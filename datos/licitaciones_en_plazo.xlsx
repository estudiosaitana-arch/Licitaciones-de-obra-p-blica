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50" headerRowCount="1">
  <autoFilter ref="A1:Y50"/>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832" headerRowCount="1">
  <autoFilter ref="A1:U832"/>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 /><Relationship Type="http://schemas.openxmlformats.org/officeDocument/2006/relationships/hyperlink" Target="https://contrataciondelestado.es/FileSystem/servlet/GetDocumentByIdServlet?cifrado=QUC1GjXXSiLkydRHJBmbpw%3D%3D&amp;DocumentIdParam=aGBPSMdKhBoHVdi6zTlf4lSrpnvyqJSHusrG7BznRd%2BwLXWfaj%2B4qatFxby77x6R6XZlinCv7ayOoZ8px8LlZvpKAPsSOzDf5iak0R2bY%2BOCx2e6p7hqtlp2aFupgHMr" TargetMode="External" Id="rId2" /><Relationship Type="http://schemas.openxmlformats.org/officeDocument/2006/relationships/hyperlink" Target="https://contrataciondelestado.es/wps/poc?uri=deeplink:detalle_licitacion&amp;idEvl=8xQwY5CItBTXOjazN1Dw9Q%3D%3D" TargetMode="External" Id="rId3"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 /><Relationship Type="http://schemas.openxmlformats.org/officeDocument/2006/relationships/hyperlink" Target="https://contrataciondelestado.es/FileSystem/servlet/GetDocumentByIdServlet?cifrado=QUC1GjXXSiLkydRHJBmbpw%3D%3D&amp;DocumentIdParam=%2BASpn/LC4mBc8ci13ew6sE146ggN/DtNEg/RWrXr40zbB6fUSrxtRt1hrZqLVPZKdo03Zwrk2a8fkRrPJQnBBroisa2CsSa0ME%2BCCAxxMA/DdQD9RyhUmzT4jZ2In4zL" TargetMode="External" Id="rId5" /><Relationship Type="http://schemas.openxmlformats.org/officeDocument/2006/relationships/hyperlink" Target="https://contrataciondelestado.es/wps/poc?uri=deeplink:detalle_licitacion&amp;idEvl=0g03eFHsseyOUi78BmzhOQ%3D%3D" TargetMode="External" Id="rId6"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7" /><Relationship Type="http://schemas.openxmlformats.org/officeDocument/2006/relationships/hyperlink" Target="https://contrataciondelestado.es/FileSystem/servlet/GetDocumentByIdServlet?cifrado=QUC1GjXXSiLkydRHJBmbpw%3D%3D&amp;DocumentIdParam=mALc6vXm5RdAprkZwn3URch0UmBKEIq1eOUcuGRf2qzMHcgwBvfw4TO9seAYYOTWuoVOqH5gZCWFo/21EoOzTryjnVoV578ZOwW2VRXfhJKHAj0WEJrB5sP7amrh2jBD" TargetMode="External" Id="rId8" /><Relationship Type="http://schemas.openxmlformats.org/officeDocument/2006/relationships/hyperlink" Target="https://contrataciondelestado.es/wps/poc?uri=deeplink:detalle_licitacion&amp;idEvl=Wmjj%2F6GHnj2TylGzYmBF9Q%3D%3D" TargetMode="External" Id="rId9"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0" /><Relationship Type="http://schemas.openxmlformats.org/officeDocument/2006/relationships/hyperlink" Target="https://contrataciondelestado.es/FileSystem/servlet/GetDocumentByIdServlet?cifrado=QUC1GjXXSiLkydRHJBmbpw%3D%3D&amp;DocumentIdParam=eYVZZ5ltpk2zjJujBLFjGSbXoqbwwdooR0cppbFCii%2BAsgn7QXv1dyMSj0Es2A3FIfzrm8ecffQkmq4vKjchHLF4%2BiMsHgp2wTn2Rb9HjoUZyAJWGsSt0OzTSTyw9JAs" TargetMode="External" Id="rId11" /><Relationship Type="http://schemas.openxmlformats.org/officeDocument/2006/relationships/hyperlink" Target="https://contrataciondelestado.es/wps/poc?uri=deeplink:detalle_licitacion&amp;idEvl=Gj%2Fj8nxrMctq1DdmE7eaXg%3D%3D" TargetMode="External" Id="rId1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3"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14" /><Relationship Type="http://schemas.openxmlformats.org/officeDocument/2006/relationships/hyperlink" Target="https://contrataciondelestado.es/wps/poc?uri=deeplink:detalle_licitacion&amp;idEvl=%2FuQ9RZE1F8dq1DdmE7eaXg%3D%3D" TargetMode="External" Id="rId1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6"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17" /><Relationship Type="http://schemas.openxmlformats.org/officeDocument/2006/relationships/hyperlink" Target="https://contrataciondelestado.es/wps/poc?uri=deeplink:detalle_licitacion&amp;idEvl=bQubJirUVEFxseVhcqrkhw%3D%3D" TargetMode="External" Id="rId18"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9"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20" /><Relationship Type="http://schemas.openxmlformats.org/officeDocument/2006/relationships/hyperlink" Target="https://contrataciondelestado.es/wps/poc?uri=deeplink:detalle_licitacion&amp;idEvl=3BGv8%2FTQdjbECtSnloz%2BZQ%3D%3D" TargetMode="External" Id="rId21"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2"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23" /><Relationship Type="http://schemas.openxmlformats.org/officeDocument/2006/relationships/hyperlink" Target="https://contrataciondelestado.es/wps/poc?uri=deeplink:detalle_licitacion&amp;idEvl=YqSPCAMF7mEeC9GJQOEBkQ%3D%3D" TargetMode="External" Id="rId24"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5"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26" /><Relationship Type="http://schemas.openxmlformats.org/officeDocument/2006/relationships/hyperlink" Target="https://contrataciondelestado.es/wps/poc?uri=deeplink:detalle_licitacion&amp;idEvl=tmydTRvlqNzs%2BnLj3vAg5A%3D%3D" TargetMode="External" Id="rId27"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8"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9" /><Relationship Type="http://schemas.openxmlformats.org/officeDocument/2006/relationships/hyperlink" Target="https://contrataciondelestado.es/wps/poc?uri=deeplink:detalle_licitacion&amp;idEvl=zB%2ByHsNPij2ExvMJXBMHHQ%3D%3D" TargetMode="External" Id="rId30"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1"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32" /><Relationship Type="http://schemas.openxmlformats.org/officeDocument/2006/relationships/hyperlink" Target="https://contrataciondelestado.es/wps/poc?uri=deeplink:detalle_licitacion&amp;idEvl=ugqzsN97RgdrhBlEHQFSKA%3D%3D" TargetMode="External" Id="rId3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4"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35" /><Relationship Type="http://schemas.openxmlformats.org/officeDocument/2006/relationships/hyperlink" Target="https://contrataciondelestado.es/wps/poc?uri=deeplink:detalle_licitacion&amp;idEvl=9kNKmiY1NbdVYjgxA4nMUw%3D%3D" TargetMode="External" Id="rId36"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7"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8" /><Relationship Type="http://schemas.openxmlformats.org/officeDocument/2006/relationships/hyperlink" Target="https://contrataciondelestado.es/wps/poc?uri=deeplink:detalle_licitacion&amp;idEvl=PseRgz82Eq8tm4eBPtV6eQ%3D%3D" TargetMode="External" Id="rId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40"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41" /><Relationship Type="http://schemas.openxmlformats.org/officeDocument/2006/relationships/hyperlink" Target="https://contrataciondelestado.es/wps/poc?uri=deeplink:detalle_licitacion&amp;idEvl=zso0KsUSwMV6nTs9LZ9RhQ%3D%3D" TargetMode="External" Id="rId42"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3"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44" /><Relationship Type="http://schemas.openxmlformats.org/officeDocument/2006/relationships/hyperlink" Target="https://contrataciondelestado.es/wps/poc?uri=deeplink:detalle_licitacion&amp;idEvl=DbQ1dyjFeeuFlFRHfEzEaw%3D%3D" TargetMode="External" Id="rId4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6"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7" /><Relationship Type="http://schemas.openxmlformats.org/officeDocument/2006/relationships/hyperlink" Target="https://contrataciondelestado.es/wps/poc?uri=deeplink:detalle_licitacion&amp;idEvl=i1jUKg0H2ko%2Bk2oCbDosIw%3D%3D" TargetMode="External" Id="rId4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9"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50" /><Relationship Type="http://schemas.openxmlformats.org/officeDocument/2006/relationships/hyperlink" Target="https://contrataciondelestado.es/wps/poc?uri=deeplink:detalle_licitacion&amp;idEvl=qKjSf4xzbvVWhbmkna2nXQ%3D%3D" TargetMode="External" Id="rId51"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2"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53" /><Relationship Type="http://schemas.openxmlformats.org/officeDocument/2006/relationships/hyperlink" Target="https://contrataciondelestado.es/wps/poc?uri=deeplink:detalle_licitacion&amp;idEvl=AkmziTT2Wyotm4eBPtV6eQ%3D%3D" TargetMode="External" Id="rId54"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5" /><Relationship Type="http://schemas.openxmlformats.org/officeDocument/2006/relationships/hyperlink" Target="https://contrataciondelestado.es/wps/poc?uri=deeplink:detalle_licitacion&amp;idEvl=Tfq5WEVf26txseVhcqrkhw%3D%3D" TargetMode="External" Id="rId56"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7"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8" /><Relationship Type="http://schemas.openxmlformats.org/officeDocument/2006/relationships/hyperlink" Target="https://contrataciondelestado.es/wps/poc?uri=deeplink:detalle_licitacion&amp;idEvl=2yXCdpseY5ceIBJRHQiPkQ%3D%3D" TargetMode="External" Id="rId59"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0"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1" /><Relationship Type="http://schemas.openxmlformats.org/officeDocument/2006/relationships/hyperlink" Target="https://contrataciondelestado.es/wps/poc?uri=deeplink:detalle_licitacion&amp;idEvl=mVq8uFi87t7N3k3tjedSGw%3D%3D" TargetMode="External" Id="rId62"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3"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4" /><Relationship Type="http://schemas.openxmlformats.org/officeDocument/2006/relationships/hyperlink" Target="https://contrataciondelestado.es/wps/poc?uri=deeplink:detalle_licitacion&amp;idEvl=bMax%2B3FiBEYmMOlAXxDEjw%3D%3D" TargetMode="External" Id="rId65"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6"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7" /><Relationship Type="http://schemas.openxmlformats.org/officeDocument/2006/relationships/hyperlink" Target="https://contrataciondelestado.es/wps/poc?uri=deeplink:detalle_licitacion&amp;idEvl=CEh8NhDAK2l9PLkba5eRog%3D%3D" TargetMode="External" Id="rId68"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69"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70" /><Relationship Type="http://schemas.openxmlformats.org/officeDocument/2006/relationships/hyperlink" Target="https://contrataciondelestado.es/wps/poc?uri=deeplink:detalle_licitacion&amp;idEvl=2RFuf9IF%2FL4tm4eBPtV6eQ%3D%3D" TargetMode="External" Id="rId71"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2"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3" /><Relationship Type="http://schemas.openxmlformats.org/officeDocument/2006/relationships/hyperlink" Target="https://contrataciondelestado.es/wps/poc?uri=deeplink:detalle_licitacion&amp;idEvl=8tSROFZiP93yoM4us5k4vw%3D%3D" TargetMode="External" Id="rId74"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5"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6" /><Relationship Type="http://schemas.openxmlformats.org/officeDocument/2006/relationships/hyperlink" Target="https://contrataciondelestado.es/wps/poc?uri=deeplink:detalle_licitacion&amp;idEvl=aRIdqffKCsteKgd8LfVV9g%3D%3D" TargetMode="External" Id="rId77"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8"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79" /><Relationship Type="http://schemas.openxmlformats.org/officeDocument/2006/relationships/hyperlink" Target="https://contrataciondelestado.es/wps/poc?uri=deeplink:detalle_licitacion&amp;idEvl=XjsYRiFYwurCfVQHDepjGQ%3D%3D" TargetMode="External" Id="rId80"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1"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2" /><Relationship Type="http://schemas.openxmlformats.org/officeDocument/2006/relationships/hyperlink" Target="https://contrataciondelestado.es/wps/poc?uri=deeplink:detalle_licitacion&amp;idEvl=jvJ3ph4P%2FNDyoM4us5k4vw%3D%3D" TargetMode="External" Id="rId83"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4"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5" /><Relationship Type="http://schemas.openxmlformats.org/officeDocument/2006/relationships/hyperlink" Target="https://contrataciondelestado.es/wps/poc?uri=deeplink:detalle_licitacion&amp;idEvl=%2BowZ1JjLNKwkJPJS%2BPS9vg%3D%3D" TargetMode="External" Id="rId86"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7"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8" /><Relationship Type="http://schemas.openxmlformats.org/officeDocument/2006/relationships/hyperlink" Target="https://contrataciondelestado.es/wps/poc?uri=deeplink:detalle_licitacion&amp;idEvl=cQbWxtnWm2Ts%2BnLj3vAg5A%3D%3D" TargetMode="External" Id="rId89"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0"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1" /><Relationship Type="http://schemas.openxmlformats.org/officeDocument/2006/relationships/hyperlink" Target="https://contrataciondelestado.es/wps/poc?uri=deeplink:detalle_licitacion&amp;idEvl=ujnDWDuOeiqP66GS%2BONYvQ%3D%3D" TargetMode="External" Id="rId92"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3"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4" /><Relationship Type="http://schemas.openxmlformats.org/officeDocument/2006/relationships/hyperlink" Target="https://contrataciondelestado.es/wps/poc?uri=deeplink:detalle_licitacion&amp;idEvl=g%2FgQDBbaHQLjHF5qKI4aaw%3D%3D" TargetMode="External" Id="rId9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96"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97" /><Relationship Type="http://schemas.openxmlformats.org/officeDocument/2006/relationships/hyperlink" Target="https://contrataciondelestado.es/wps/poc?uri=deeplink:detalle_licitacion&amp;idEvl=9EX80%2FnPwTY2wEhQbcAqug%3D%3D" TargetMode="External" Id="rId98"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99"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0" /><Relationship Type="http://schemas.openxmlformats.org/officeDocument/2006/relationships/hyperlink" Target="https://contrataciondelestado.es/wps/poc?uri=deeplink:detalle_licitacion&amp;idEvl=Y1DjExvRJ056nTs9LZ9RhQ%3D%3D" TargetMode="External" Id="rId101"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2"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3" /><Relationship Type="http://schemas.openxmlformats.org/officeDocument/2006/relationships/hyperlink" Target="https://contrataciondelestado.es/wps/poc?uri=deeplink:detalle_licitacion&amp;idEvl=OozDsAmdLF%2BHCIsjvJ3rhQ%3D%3D" TargetMode="External" Id="rId104"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5"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06" /><Relationship Type="http://schemas.openxmlformats.org/officeDocument/2006/relationships/hyperlink" Target="https://contrataciondelestado.es/wps/poc?uri=deeplink:detalle_licitacion&amp;idEvl=KbsbD2zm6oWdkQsA7ROvsg%3D%3D" TargetMode="External" Id="rId10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08"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09" /><Relationship Type="http://schemas.openxmlformats.org/officeDocument/2006/relationships/hyperlink" Target="https://contrataciondelestado.es/wps/poc?uri=deeplink:detalle_licitacion&amp;idEvl=XzwaRS%2B94TSP66GS%2BONYvQ%3D%3D" TargetMode="External" Id="rId110"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1"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2" /><Relationship Type="http://schemas.openxmlformats.org/officeDocument/2006/relationships/hyperlink" Target="https://contrataciondelestado.es/wps/poc?uri=deeplink:detalle_licitacion&amp;idEvl=p3nSL0kjEDoadbH3CysQuQ%3D%3D" TargetMode="External" Id="rId113"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14"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15" /><Relationship Type="http://schemas.openxmlformats.org/officeDocument/2006/relationships/hyperlink" Target="https://contrataciondelestado.es/wps/poc?uri=deeplink:detalle_licitacion&amp;idEvl=vZ%2FhsH%2B0w7lt5r0ngvMetA%3D%3D" TargetMode="External" Id="rId116"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17"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18" /><Relationship Type="http://schemas.openxmlformats.org/officeDocument/2006/relationships/hyperlink" Target="https://contrataciondelestado.es/wps/poc?uri=deeplink:detalle_licitacion&amp;idEvl=dbZTwVAjBOPLIx6q1oPaMg%3D%3D" TargetMode="External" Id="rId119"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0"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1" /><Relationship Type="http://schemas.openxmlformats.org/officeDocument/2006/relationships/hyperlink" Target="https://contrataciondelestado.es/wps/poc?uri=deeplink:detalle_licitacion&amp;idEvl=UWTEU69ooRb10HRJw8TEnQ%3D%3D" TargetMode="External" Id="rId122"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23"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24" /><Relationship Type="http://schemas.openxmlformats.org/officeDocument/2006/relationships/hyperlink" Target="https://contrataciondelestado.es/wps/poc?uri=deeplink:detalle_licitacion&amp;idEvl=5EaLiaIqw78aF6cS8TCh%2FA%3D%3D" TargetMode="External" Id="rId125"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26"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27" /><Relationship Type="http://schemas.openxmlformats.org/officeDocument/2006/relationships/hyperlink" Target="https://contrataciondelestado.es/wps/poc?uri=deeplink:detalle_licitacion&amp;idEvl=THC%2BVp2hV%2Bh6nTs9LZ9RhQ%3D%3D" TargetMode="External" Id="rId12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2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30" /><Relationship Type="http://schemas.openxmlformats.org/officeDocument/2006/relationships/hyperlink" Target="https://contrataciondelestado.es/wps/poc?uri=deeplink:detalle_licitacion&amp;idEvl=lZm5mMPSh1aS81gZFETWmA%3D%3D" TargetMode="External" Id="rId13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3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33" /><Relationship Type="http://schemas.openxmlformats.org/officeDocument/2006/relationships/hyperlink" Target="https://contrataciondelestado.es/wps/poc?uri=deeplink:detalle_licitacion&amp;idEvl=IwYt08KPtCi7JOCXkOhcDg%3D%3D" TargetMode="External" Id="rId13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3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36" /><Relationship Type="http://schemas.openxmlformats.org/officeDocument/2006/relationships/hyperlink" Target="https://contrataciondelestado.es/wps/poc?uri=deeplink:detalle_licitacion&amp;idEvl=%2FoDpoPCaVOtq1DdmE7eaXg%3D%3D" TargetMode="External" Id="rId13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3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39" /><Relationship Type="http://schemas.openxmlformats.org/officeDocument/2006/relationships/hyperlink" Target="https://contrataciondelestado.es/wps/poc?uri=deeplink:detalle_licitacion&amp;idEvl=TDsWprVukqcUqXM96WStVA%3D%3D" TargetMode="External" Id="rId140"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41" /><Relationship Type="http://schemas.openxmlformats.org/officeDocument/2006/relationships/hyperlink" Target="https://contrataciondelestado.es/wps/poc?uri=deeplink:detalle_licitacion&amp;idEvl=JLBk4dMPTkNSYrkJkLlFdw%3D%3D" TargetMode="External" Id="rId14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3"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44" /><Relationship Type="http://schemas.openxmlformats.org/officeDocument/2006/relationships/hyperlink" Target="https://contrataciondelestado.es/wps/poc?uri=deeplink:detalle_licitacion&amp;idEvl=9kxbkBrlFsFVq4S9zvaQpQ%3D%3D" TargetMode="External" Id="rId145" /><Relationship Type="http://schemas.openxmlformats.org/officeDocument/2006/relationships/table" Target="/xl/tables/table1.xml" Id="rId146"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1OL531dJSsfLIx6q1oPaMg%3D%3D" TargetMode="External" Id="rId1"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2" /><Relationship Type="http://schemas.openxmlformats.org/officeDocument/2006/relationships/hyperlink" Target="https://contrataciondelestado.es/wps/poc?uri=deeplink:detalle_licitacion&amp;idEvl=%2BEY9WOdS4QOIzo3LHNPGcQ%3D%3D" TargetMode="External" Id="rId3"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4" /><Relationship Type="http://schemas.openxmlformats.org/officeDocument/2006/relationships/hyperlink" Target="https://contrataciondelestado.es/wps/poc?uri=deeplink:detalle_licitacion&amp;idEvl=ZEF%2BNv71%2FcXN3k3tjedSGw%3D%3D" TargetMode="External" Id="rId5"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6" /><Relationship Type="http://schemas.openxmlformats.org/officeDocument/2006/relationships/hyperlink" Target="https://contrataciondelestado.es/wps/poc?uri=deeplink:detalle_licitacion&amp;idEvl=n8WInzjdL2PLIx6q1oPaMg%3D%3D" TargetMode="External" Id="rId7"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8" /><Relationship Type="http://schemas.openxmlformats.org/officeDocument/2006/relationships/hyperlink" Target="https://contrataciondelestado.es/wps/poc?uri=deeplink:detalle_licitacion&amp;idEvl=kNYm4P3Fg0%2B2gkLQ8TeYKA%3D%3D" TargetMode="External" Id="rId9"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10" /><Relationship Type="http://schemas.openxmlformats.org/officeDocument/2006/relationships/hyperlink" Target="https://contrataciondelestado.es/wps/poc?uri=deeplink:detalle_licitacion&amp;idEvl=TqNW%2FPxNacE7%2B9FIQYNjeQ%3D%3D" TargetMode="External" Id="rId11"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2" /><Relationship Type="http://schemas.openxmlformats.org/officeDocument/2006/relationships/hyperlink" Target="https://contrataciondelestado.es/wps/poc?uri=deeplink:detalle_licitacion&amp;idEvl=lZm5mMPSh1aS81gZFETWmA%3D%3D" TargetMode="External" Id="rId13"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4" /><Relationship Type="http://schemas.openxmlformats.org/officeDocument/2006/relationships/hyperlink" Target="https://contrataciondelestado.es/wps/poc?uri=deeplink:detalle_licitacion&amp;idEvl=kFvRLFr3b0%2FECtSnloz%2BZQ%3D%3D" TargetMode="External" Id="rId15"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6" /><Relationship Type="http://schemas.openxmlformats.org/officeDocument/2006/relationships/hyperlink" Target="https://contrataciondelestado.es/wps/poc?uri=deeplink:detalle_licitacion&amp;idEvl=5jtdhiVzeprN3k3tjedSGw%3D%3D" TargetMode="External" Id="rId17"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8" /><Relationship Type="http://schemas.openxmlformats.org/officeDocument/2006/relationships/hyperlink" Target="https://contrataciondelestado.es/wps/poc?uri=deeplink:detalle_licitacion&amp;idEvl=uwuuHdm2V3Z9PLkba5eRog%3D%3D" TargetMode="External" Id="rId19"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0" /><Relationship Type="http://schemas.openxmlformats.org/officeDocument/2006/relationships/hyperlink" Target="https://contrataciondelestado.es/wps/poc?uri=deeplink:detalle_licitacion&amp;idEvl=Dm6qVhLDoWycCF8sV%2BqtYA%3D%3D" TargetMode="External" Id="rId21"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2" /><Relationship Type="http://schemas.openxmlformats.org/officeDocument/2006/relationships/hyperlink" Target="https://contrataciondelestado.es/wps/poc?uri=deeplink:detalle_licitacion&amp;idEvl=LFWbhewS5yT5Rey58Yagpg%3D%3D" TargetMode="External" Id="rId23"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24" /><Relationship Type="http://schemas.openxmlformats.org/officeDocument/2006/relationships/hyperlink" Target="https://contrataciondelestado.es/wps/poc?uri=deeplink:detalle_licitacion&amp;idEvl=H93RFF9%2F2dlq1DdmE7eaXg%3D%3D" TargetMode="External" Id="rId25"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26" /><Relationship Type="http://schemas.openxmlformats.org/officeDocument/2006/relationships/hyperlink" Target="https://contrataciondelestado.es/wps/poc?uri=deeplink:detalle_licitacion&amp;idEvl=7tNpshwHz2wtm4eBPtV6eQ%3D%3D" TargetMode="External" Id="rId27"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28" /><Relationship Type="http://schemas.openxmlformats.org/officeDocument/2006/relationships/hyperlink" Target="https://contrataciondelestado.es/wps/poc?uri=deeplink:detalle_licitacion&amp;idEvl=sTHGcLcWlaCOUi78BmzhOQ%3D%3D" TargetMode="External" Id="rId29"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0" /><Relationship Type="http://schemas.openxmlformats.org/officeDocument/2006/relationships/hyperlink" Target="https://contrataciondelestado.es/wps/poc?uri=deeplink:detalle_licitacion&amp;idEvl=J0O%2B9zWkNfeKeVWTb9Scog%3D%3D" TargetMode="External" Id="rId31"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2" /><Relationship Type="http://schemas.openxmlformats.org/officeDocument/2006/relationships/hyperlink" Target="https://contrataciondelestado.es/wps/poc?uri=deeplink:detalle_licitacion&amp;idEvl=7IZZFQuozzIQyBAnWzHfCg%3D%3D" TargetMode="External" Id="rId33"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34" /><Relationship Type="http://schemas.openxmlformats.org/officeDocument/2006/relationships/hyperlink" Target="https://contrataciondelestado.es/wps/poc?uri=deeplink:detalle_licitacion&amp;idEvl=hzg04%2BpplIEtm4eBPtV6eQ%3D%3D" TargetMode="External" Id="rId35"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36" /><Relationship Type="http://schemas.openxmlformats.org/officeDocument/2006/relationships/hyperlink" Target="https://contrataciondelestado.es/wps/poc?uri=deeplink:detalle_licitacion&amp;idEvl=a7e7k8jIjMzLIx6q1oPaMg%3D%3D" TargetMode="External" Id="rId37"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8" /><Relationship Type="http://schemas.openxmlformats.org/officeDocument/2006/relationships/hyperlink" Target="https://contrataciondelestado.es/wps/poc?uri=deeplink:detalle_licitacion&amp;idEvl=geaWBSdXhc%2B9Hd5zqvq9cg%3D%3D" TargetMode="External" Id="rId39"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40" /><Relationship Type="http://schemas.openxmlformats.org/officeDocument/2006/relationships/hyperlink" Target="https://contrataciondelestado.es/wps/poc?uri=deeplink:detalle_licitacion&amp;idEvl=Qbzjcewh68hQFSeKCRun4Q%3D%3D" TargetMode="External" Id="rId41" /><Relationship Type="http://schemas.openxmlformats.org/officeDocument/2006/relationships/hyperlink" Target="https://contrataciondelestado.es/wps/poc?uri=deeplink:detalle_licitacion&amp;idEvl=oVrjEuSAJ%2Ftt5r0ngvMetA%3D%3D" TargetMode="External" Id="rId42"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43" /><Relationship Type="http://schemas.openxmlformats.org/officeDocument/2006/relationships/hyperlink" Target="https://contrataciondelestado.es/wps/poc?uri=deeplink:detalle_licitacion&amp;idEvl=ZCVFc8BLWSPua%2Fi14w%2FPLA%3D%3D" TargetMode="External" Id="rId4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45" /><Relationship Type="http://schemas.openxmlformats.org/officeDocument/2006/relationships/hyperlink" Target="https://contrataciondelestado.es/wps/poc?uri=deeplink:detalle_licitacion&amp;idEvl=%2FVjxxFcy5JHN3k3tjedSGw%3D%3D" TargetMode="External" Id="rId46"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47" /><Relationship Type="http://schemas.openxmlformats.org/officeDocument/2006/relationships/hyperlink" Target="https://contrataciondelestado.es/wps/poc?uri=deeplink:detalle_licitacion&amp;idEvl=FviNQSTAAGnnSoTX3z%2F7wA%3D%3D" TargetMode="External" Id="rId48"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49" /><Relationship Type="http://schemas.openxmlformats.org/officeDocument/2006/relationships/hyperlink" Target="https://contrataciondelestado.es/wps/poc?uri=deeplink:detalle_licitacion&amp;idEvl=%2BidhNo8LY3CFlFRHfEzEaw%3D%3D" TargetMode="External" Id="rId50"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51" /><Relationship Type="http://schemas.openxmlformats.org/officeDocument/2006/relationships/hyperlink" Target="https://contrataciondelestado.es/wps/poc?uri=deeplink:detalle_licitacion&amp;idEvl=Wd2OYqTGr5Nt5r0ngvMetA%3D%3D" TargetMode="External" Id="rId52"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53" /><Relationship Type="http://schemas.openxmlformats.org/officeDocument/2006/relationships/hyperlink" Target="https://contrataciondelestado.es/wps/poc?uri=deeplink:detalle_licitacion&amp;idEvl=1QpUgbF4h%2FIzjChw4z%2FXvw%3D%3D" TargetMode="External" Id="rId54"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55" /><Relationship Type="http://schemas.openxmlformats.org/officeDocument/2006/relationships/hyperlink" Target="https://contrataciondelestado.es/wps/poc?uri=deeplink:detalle_licitacion&amp;idEvl=JO9W0DSqCNzLIx6q1oPaMg%3D%3D" TargetMode="External" Id="rId56"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57" /><Relationship Type="http://schemas.openxmlformats.org/officeDocument/2006/relationships/hyperlink" Target="https://contrataciondelestado.es/wps/poc?uri=deeplink:detalle_licitacion&amp;idEvl=vS4JbbcN12wXhk1FZxEyvw%3D%3D" TargetMode="External" Id="rId58"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59" /><Relationship Type="http://schemas.openxmlformats.org/officeDocument/2006/relationships/hyperlink" Target="https://contrataciondelestado.es/wps/poc?uri=deeplink:detalle_licitacion&amp;idEvl=mf1bc4aRDXnLIx6q1oPaMg%3D%3D" TargetMode="External" Id="rId60"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61" /><Relationship Type="http://schemas.openxmlformats.org/officeDocument/2006/relationships/hyperlink" Target="https://contrataciondelestado.es/wps/poc?uri=deeplink:detalle_licitacion&amp;idEvl=yd3JTkTpYtZ9PLkba5eRog%3D%3D" TargetMode="External" Id="rId62"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63" /><Relationship Type="http://schemas.openxmlformats.org/officeDocument/2006/relationships/hyperlink" Target="https://contrataciondelestado.es/wps/poc?uri=deeplink:detalle_licitacion&amp;idEvl=t2xGqkZDsPr%2Fa9DgO%2BoYKQ%3D%3D" TargetMode="External" Id="rId64"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65" /><Relationship Type="http://schemas.openxmlformats.org/officeDocument/2006/relationships/hyperlink" Target="https://contrataciondelestado.es/wps/poc?uri=deeplink:detalle_licitacion&amp;idEvl=8ITqUJEHCxJPpzdqOdhuWg%3D%3D" TargetMode="External" Id="rId66"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67" /><Relationship Type="http://schemas.openxmlformats.org/officeDocument/2006/relationships/hyperlink" Target="https://contrataciondelestado.es/wps/poc?uri=deeplink:detalle_licitacion&amp;idEvl=hfIYWg3xoL0IYE3ZiZ%2BxmQ%3D%3D" TargetMode="External" Id="rId68"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69" /><Relationship Type="http://schemas.openxmlformats.org/officeDocument/2006/relationships/hyperlink" Target="https://contrataciondelestado.es/wps/poc?uri=deeplink:detalle_licitacion&amp;idEvl=nuUCyza7kdcadbH3CysQuQ%3D%3D" TargetMode="External" Id="rId70"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71" /><Relationship Type="http://schemas.openxmlformats.org/officeDocument/2006/relationships/hyperlink" Target="https://contrataciondelestado.es/wps/poc?uri=deeplink:detalle_licitacion&amp;idEvl=%2BFXYkmZcSTu2gkLQ8TeYKA%3D%3D" TargetMode="External" Id="rId72"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73" /><Relationship Type="http://schemas.openxmlformats.org/officeDocument/2006/relationships/hyperlink" Target="https://contrataciondelestado.es/wps/poc?uri=deeplink:detalle_licitacion&amp;idEvl=e7iM0rtC49wl5NjlNci%2BtA%3D%3D" TargetMode="External" Id="rId7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75" /><Relationship Type="http://schemas.openxmlformats.org/officeDocument/2006/relationships/hyperlink" Target="https://contrataciondelestado.es/wps/poc?uri=deeplink:detalle_licitacion&amp;idEvl=OssyHRKD4wSTylGzYmBF9Q%3D%3D" TargetMode="External" Id="rId7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77" /><Relationship Type="http://schemas.openxmlformats.org/officeDocument/2006/relationships/hyperlink" Target="https://contrataciondelestado.es/wps/poc?uri=deeplink:detalle_licitacion&amp;idEvl=6e7b5NskBwK2gkLQ8TeYKA%3D%3D" TargetMode="External" Id="rId7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79" /><Relationship Type="http://schemas.openxmlformats.org/officeDocument/2006/relationships/hyperlink" Target="https://contrataciondelestado.es/wps/poc?uri=deeplink:detalle_licitacion&amp;idEvl=i9xrdr8yMEXzAq95uGTrDQ%3D%3D" TargetMode="External" Id="rId80"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81" /><Relationship Type="http://schemas.openxmlformats.org/officeDocument/2006/relationships/hyperlink" Target="https://contrataciondelestado.es/wps/poc?uri=deeplink:detalle_licitacion&amp;idEvl=MWuKP9IHnhjLIx6q1oPaMg%3D%3D" TargetMode="External" Id="rId82"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83" /><Relationship Type="http://schemas.openxmlformats.org/officeDocument/2006/relationships/hyperlink" Target="https://contrataciondelestado.es/wps/poc?uri=deeplink:detalle_licitacion&amp;idEvl=hkVnNQnEfwP9pbnDwlaUlg%3D%3D" TargetMode="External" Id="rId84"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85" /><Relationship Type="http://schemas.openxmlformats.org/officeDocument/2006/relationships/hyperlink" Target="https://contrataciondelestado.es/wps/poc?uri=deeplink:detalle_licitacion&amp;idEvl=yE%2BolyT5PTNPpzdqOdhuWg%3D%3D" TargetMode="External" Id="rId8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87" /><Relationship Type="http://schemas.openxmlformats.org/officeDocument/2006/relationships/hyperlink" Target="https://contrataciondelestado.es/wps/poc?uri=deeplink:detalle_licitacion&amp;idEvl=HspvsNIRVvIQyBAnWzHfCg%3D%3D" TargetMode="External" Id="rId88"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89" /><Relationship Type="http://schemas.openxmlformats.org/officeDocument/2006/relationships/hyperlink" Target="https://contrataciondelestado.es/wps/poc?uri=deeplink:detalle_licitacion&amp;idEvl=Tpq1utGtj9J%2FR5QFTlaM4A%3D%3D" TargetMode="External" Id="rId90"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91" /><Relationship Type="http://schemas.openxmlformats.org/officeDocument/2006/relationships/hyperlink" Target="https://contrataciondelestado.es/wps/poc?uri=deeplink:detalle_licitacion&amp;idEvl=LjTiPqZ8uMlrSd8H4b2soA%3D%3D" TargetMode="External" Id="rId92"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93" /><Relationship Type="http://schemas.openxmlformats.org/officeDocument/2006/relationships/hyperlink" Target="https://contrataciondelestado.es/wps/poc?uri=deeplink:detalle_licitacion&amp;idEvl=jrxNsLMcUUw%2B1TMyIiZmzw%3D%3D" TargetMode="External" Id="rId94"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95" /><Relationship Type="http://schemas.openxmlformats.org/officeDocument/2006/relationships/hyperlink" Target="https://contrataciondelestado.es/wps/poc?uri=deeplink:detalle_licitacion&amp;idEvl=pKb9raoHBwrzAq95uGTrDQ%3D%3D" TargetMode="External" Id="rId96"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97" /><Relationship Type="http://schemas.openxmlformats.org/officeDocument/2006/relationships/hyperlink" Target="https://contrataciondelestado.es/wps/poc?uri=deeplink:detalle_licitacion&amp;idEvl=x%2BtWzaKQRWlVq4S9zvaQpQ%3D%3D" TargetMode="External" Id="rId98"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99" /><Relationship Type="http://schemas.openxmlformats.org/officeDocument/2006/relationships/hyperlink" Target="https://contrataciondelestado.es/wps/poc?uri=deeplink:detalle_licitacion&amp;idEvl=9OqkWFMmntc%2B1TMyIiZmzw%3D%3D" TargetMode="External" Id="rId100"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01" /><Relationship Type="http://schemas.openxmlformats.org/officeDocument/2006/relationships/hyperlink" Target="https://contrataciondelestado.es/wps/poc?uri=deeplink:detalle_licitacion&amp;idEvl=TMFgL%2BDGMd%2F9pbnDwlaUlg%3D%3D" TargetMode="External" Id="rId102"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103" /><Relationship Type="http://schemas.openxmlformats.org/officeDocument/2006/relationships/hyperlink" Target="https://contrataciondelestado.es/wps/poc?uri=deeplink:detalle_licitacion&amp;idEvl=D8CBZy0QQT436J9Lctlsuw%3D%3D" TargetMode="External" Id="rId104"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05" /><Relationship Type="http://schemas.openxmlformats.org/officeDocument/2006/relationships/hyperlink" Target="https://contrataciondelestado.es/wps/poc?uri=deeplink:detalle_licitacion&amp;idEvl=PChg%2BCKjFXOOUi78BmzhOQ%3D%3D" TargetMode="External" Id="rId106"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07" /><Relationship Type="http://schemas.openxmlformats.org/officeDocument/2006/relationships/hyperlink" Target="https://contrataciondelestado.es/wps/poc?uri=deeplink:detalle_licitacion&amp;idEvl=uAccvpWIHypWhbmkna2nXQ%3D%3D" TargetMode="External" Id="rId108"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09" /><Relationship Type="http://schemas.openxmlformats.org/officeDocument/2006/relationships/hyperlink" Target="https://contrataciondelestado.es/wps/poc?uri=deeplink:detalle_licitacion&amp;idEvl=YlKAwDTQEi%2B2gkLQ8TeYKA%3D%3D" TargetMode="External" Id="rId110"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1" /><Relationship Type="http://schemas.openxmlformats.org/officeDocument/2006/relationships/hyperlink" Target="https://contrataciondelestado.es/wps/poc?uri=deeplink:detalle_licitacion&amp;idEvl=OZM%2Fp9QKMwIkJPJS%2BPS9vg%3D%3D" TargetMode="External" Id="rId112"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3" /><Relationship Type="http://schemas.openxmlformats.org/officeDocument/2006/relationships/hyperlink" Target="https://contrataciondelestado.es/wps/poc?uri=deeplink:detalle_licitacion&amp;idEvl=H6HyKZAUGWY3vLk2DU2Ddg%3D%3D" TargetMode="External" Id="rId114"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5" /><Relationship Type="http://schemas.openxmlformats.org/officeDocument/2006/relationships/hyperlink" Target="https://contrataciondelestado.es/wps/poc?uri=deeplink:detalle_licitacion&amp;idEvl=UIalDUca%2Bwx4zIRvjBVCSw%3D%3D" TargetMode="External" Id="rId116"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7" /><Relationship Type="http://schemas.openxmlformats.org/officeDocument/2006/relationships/hyperlink" Target="https://contrataciondelestado.es/wps/poc?uri=deeplink:detalle_licitacion&amp;idEvl=C3Rf6PDXdJ5PpzdqOdhuWg%3D%3D" TargetMode="External" Id="rId118"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9" /><Relationship Type="http://schemas.openxmlformats.org/officeDocument/2006/relationships/hyperlink" Target="https://contrataciondelestado.es/wps/poc?uri=deeplink:detalle_licitacion&amp;idEvl=deFWKoTsazN%2FR5QFTlaM4A%3D%3D" TargetMode="External" Id="rId120" /><Relationship Type="http://schemas.openxmlformats.org/officeDocument/2006/relationships/hyperlink" Target="https://contrataciondelestado.es/wps/poc?uri=deeplink:detalle_licitacion&amp;idEvl=HsfBAJxk2rCFlFRHfEzEaw%3D%3D" TargetMode="External" Id="rId121"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22" /><Relationship Type="http://schemas.openxmlformats.org/officeDocument/2006/relationships/hyperlink" Target="https://contrataciondelestado.es/wps/poc?uri=deeplink:detalle_licitacion&amp;idEvl=R5qiXYufqSctm4eBPtV6eQ%3D%3D" TargetMode="External" Id="rId123"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24" /><Relationship Type="http://schemas.openxmlformats.org/officeDocument/2006/relationships/hyperlink" Target="https://contrataciondelestado.es/wps/poc?uri=deeplink:detalle_licitacion&amp;idEvl=yCzCMVWYJH43vLk2DU2Ddg%3D%3D" TargetMode="External" Id="rId125" /><Relationship Type="http://schemas.openxmlformats.org/officeDocument/2006/relationships/hyperlink" Target="https://contrataciondelestado.es/wps/poc?uri=deeplink:detalle_licitacion&amp;idEvl=UUG541%2BpbYrECtSnloz%2BZQ%3D%3D" TargetMode="External" Id="rId12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27" /><Relationship Type="http://schemas.openxmlformats.org/officeDocument/2006/relationships/hyperlink" Target="https://contrataciondelestado.es/wps/poc?uri=deeplink:detalle_licitacion&amp;idEvl=h7zspSmuJLC2gkLQ8TeYKA%3D%3D" TargetMode="External" Id="rId128"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29" /><Relationship Type="http://schemas.openxmlformats.org/officeDocument/2006/relationships/hyperlink" Target="https://contrataciondelestado.es/wps/poc?uri=deeplink:detalle_licitacion&amp;idEvl=lyl%2FalNB7WN9Zh%2FyRJgM8w%3D%3D" TargetMode="External" Id="rId130"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31" /><Relationship Type="http://schemas.openxmlformats.org/officeDocument/2006/relationships/hyperlink" Target="https://contrataciondelestado.es/wps/poc?uri=deeplink:detalle_licitacion&amp;idEvl=HSWt1mn1KSgQyBAnWzHfCg%3D%3D" TargetMode="External" Id="rId132"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33" /><Relationship Type="http://schemas.openxmlformats.org/officeDocument/2006/relationships/hyperlink" Target="https://contrataciondelestado.es/wps/poc?uri=deeplink:detalle_licitacion&amp;idEvl=Fb7D6oScwJOFlFRHfEzEaw%3D%3D" TargetMode="External" Id="rId134"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35" /><Relationship Type="http://schemas.openxmlformats.org/officeDocument/2006/relationships/hyperlink" Target="https://contrataciondelestado.es/wps/poc?uri=deeplink:detalle_licitacion&amp;idEvl=BiRxmiw966g2wEhQbcAqug%3D%3D" TargetMode="External" Id="rId136"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37" /><Relationship Type="http://schemas.openxmlformats.org/officeDocument/2006/relationships/hyperlink" Target="https://contrataciondelestado.es/wps/poc?uri=deeplink:detalle_licitacion&amp;idEvl=gb0qo3MEguF9Zh%2FyRJgM8w%3D%3D" TargetMode="External" Id="rId138"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39" /><Relationship Type="http://schemas.openxmlformats.org/officeDocument/2006/relationships/hyperlink" Target="https://contrataciondelestado.es/wps/poc?uri=deeplink:detalle_licitacion&amp;idEvl=BbyRdPbdrNVPpzdqOdhuWg%3D%3D" TargetMode="External" Id="rId140" /><Relationship Type="http://schemas.openxmlformats.org/officeDocument/2006/relationships/hyperlink" Target="https://contrataciondelestado.es/wps/poc?uri=deeplink:detalle_licitacion&amp;idEvl=3Cq27b1GidXjHF5qKI4aaw%3D%3D" TargetMode="External" Id="rId141"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42" /><Relationship Type="http://schemas.openxmlformats.org/officeDocument/2006/relationships/hyperlink" Target="https://contrataciondelestado.es/wps/poc?uri=deeplink:detalle_licitacion&amp;idEvl=694kvRXCPBmFQ%2FlhRK79lA%3D%3D" TargetMode="External" Id="rId143"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44" /><Relationship Type="http://schemas.openxmlformats.org/officeDocument/2006/relationships/hyperlink" Target="https://contrataciondelestado.es/wps/poc?uri=deeplink:detalle_licitacion&amp;idEvl=PQRweQrdByGKeVWTb9Scog%3D%3D" TargetMode="External" Id="rId145"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46" /><Relationship Type="http://schemas.openxmlformats.org/officeDocument/2006/relationships/hyperlink" Target="https://contrataciondelestado.es/wps/poc?uri=deeplink:detalle_licitacion&amp;idEvl=%2F1bBIt%2F8wRlJ8Trn0ZPzLw%3D%3D" TargetMode="External" Id="rId147"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48" /><Relationship Type="http://schemas.openxmlformats.org/officeDocument/2006/relationships/hyperlink" Target="https://contrataciondelestado.es/wps/poc?uri=deeplink:detalle_licitacion&amp;idEvl=F%2F0ZnwEm8E6FlFRHfEzEaw%3D%3D" TargetMode="External" Id="rId149"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50" /><Relationship Type="http://schemas.openxmlformats.org/officeDocument/2006/relationships/hyperlink" Target="https://contrataciondelestado.es/wps/poc?uri=deeplink:detalle_licitacion&amp;idEvl=SxZpJ77U0OTVGIpKDxgsAQ%3D%3D" TargetMode="External" Id="rId151"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52" /><Relationship Type="http://schemas.openxmlformats.org/officeDocument/2006/relationships/hyperlink" Target="https://contrataciondelestado.es/wps/poc?uri=deeplink:detalle_licitacion&amp;idEvl=MXYeJxNmTnlVkTabT%2FRM8A%3D%3D" TargetMode="External" Id="rId153"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54" /><Relationship Type="http://schemas.openxmlformats.org/officeDocument/2006/relationships/hyperlink" Target="https://contrataciondelestado.es/wps/poc?uri=deeplink:detalle_licitacion&amp;idEvl=p3nSL0kjEDoadbH3CysQuQ%3D%3D" TargetMode="External" Id="rId155"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56" /><Relationship Type="http://schemas.openxmlformats.org/officeDocument/2006/relationships/hyperlink" Target="https://contrataciondelestado.es/wps/poc?uri=deeplink:detalle_licitacion&amp;idEvl=KG2rTIhhZUkZDGvgaZEVxQ%3D%3D" TargetMode="External" Id="rId157"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58" /><Relationship Type="http://schemas.openxmlformats.org/officeDocument/2006/relationships/hyperlink" Target="https://contrataciondelestado.es/wps/poc?uri=deeplink:detalle_licitacion&amp;idEvl=PXccbwUM7hT10HRJw8TEnQ%3D%3D" TargetMode="External" Id="rId159"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60" /><Relationship Type="http://schemas.openxmlformats.org/officeDocument/2006/relationships/hyperlink" Target="https://contrataciondelestado.es/wps/poc?uri=deeplink:detalle_licitacion&amp;idEvl=LIlZvhuqLql70UvEyYJSGw%3D%3D" TargetMode="External" Id="rId161"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2" /><Relationship Type="http://schemas.openxmlformats.org/officeDocument/2006/relationships/hyperlink" Target="https://contrataciondelestado.es/wps/poc?uri=deeplink:detalle_licitacion&amp;idEvl=Opnepgj74rWzz8fXU2i3eQ%3D%3D" TargetMode="External" Id="rId16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64" /><Relationship Type="http://schemas.openxmlformats.org/officeDocument/2006/relationships/hyperlink" Target="https://contrataciondelestado.es/wps/poc?uri=deeplink:detalle_licitacion&amp;idEvl=gl9Q%2FOyVxpvCfVQHDepjGQ%3D%3D" TargetMode="External" Id="rId16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66" /><Relationship Type="http://schemas.openxmlformats.org/officeDocument/2006/relationships/hyperlink" Target="https://contrataciondelestado.es/wps/poc?uri=deeplink:detalle_licitacion&amp;idEvl=%2FEb1Luj8AhqAAM7L03kM8A%3D%3D" TargetMode="External" Id="rId16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68" /><Relationship Type="http://schemas.openxmlformats.org/officeDocument/2006/relationships/hyperlink" Target="https://contrataciondelestado.es/wps/poc?uri=deeplink:detalle_licitacion&amp;idEvl=Dhe4UVgrmH%2FIGlsa0Wad%2Bw%3D%3D" TargetMode="External" Id="rId16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70" /><Relationship Type="http://schemas.openxmlformats.org/officeDocument/2006/relationships/hyperlink" Target="https://contrataciondelestado.es/wps/poc?uri=deeplink:detalle_licitacion&amp;idEvl=C%2FULTzZPZh5%2FP7lJ7Fu0SA%3D%3D" TargetMode="External" Id="rId17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72" /><Relationship Type="http://schemas.openxmlformats.org/officeDocument/2006/relationships/hyperlink" Target="https://contrataciondelestado.es/wps/poc?uri=deeplink:detalle_licitacion&amp;idEvl=UEs%2BN66QaJLIGlsa0Wad%2Bw%3D%3D" TargetMode="External" Id="rId17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74" /><Relationship Type="http://schemas.openxmlformats.org/officeDocument/2006/relationships/hyperlink" Target="https://contrataciondelestado.es/wps/poc?uri=deeplink:detalle_licitacion&amp;idEvl=nQjFTgc2iw2LAncw3qdZkA%3D%3D" TargetMode="External" Id="rId17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76" /><Relationship Type="http://schemas.openxmlformats.org/officeDocument/2006/relationships/hyperlink" Target="https://contrataciondelestado.es/wps/poc?uri=deeplink:detalle_licitacion&amp;idEvl=hi4j8JymSH3XOjazN1Dw9Q%3D%3D" TargetMode="External" Id="rId17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78" /><Relationship Type="http://schemas.openxmlformats.org/officeDocument/2006/relationships/hyperlink" Target="https://contrataciondelestado.es/wps/poc?uri=deeplink:detalle_licitacion&amp;idEvl=WKndKZfW0pTI8aL3PRS10Q%3D%3D" TargetMode="External" Id="rId17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80" /><Relationship Type="http://schemas.openxmlformats.org/officeDocument/2006/relationships/hyperlink" Target="https://contrataciondelestado.es/wps/poc?uri=deeplink:detalle_licitacion&amp;idEvl=8uflHYnZX7l9Zh%2FyRJgM8w%3D%3D" TargetMode="External" Id="rId18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82" /><Relationship Type="http://schemas.openxmlformats.org/officeDocument/2006/relationships/hyperlink" Target="https://contrataciondelestado.es/wps/poc?uri=deeplink:detalle_licitacion&amp;idEvl=ljRSpp5IktmFQ%2FlhRK79lA%3D%3D" TargetMode="External" Id="rId18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84" /><Relationship Type="http://schemas.openxmlformats.org/officeDocument/2006/relationships/hyperlink" Target="https://contrataciondelestado.es/wps/poc?uri=deeplink:detalle_licitacion&amp;idEvl=OOwyfZDyT4E2wEhQbcAqug%3D%3D" TargetMode="External" Id="rId18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86" /><Relationship Type="http://schemas.openxmlformats.org/officeDocument/2006/relationships/hyperlink" Target="https://contrataciondelestado.es/wps/poc?uri=deeplink:detalle_licitacion&amp;idEvl=SYV5ewcw2%2BokJPJS%2BPS9vg%3D%3D" TargetMode="External" Id="rId18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88" /><Relationship Type="http://schemas.openxmlformats.org/officeDocument/2006/relationships/hyperlink" Target="https://contrataciondelestado.es/wps/poc?uri=deeplink:detalle_licitacion&amp;idEvl=dJwdgO1GacYzjChw4z%2FXvw%3D%3D" TargetMode="External" Id="rId18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90" /><Relationship Type="http://schemas.openxmlformats.org/officeDocument/2006/relationships/hyperlink" Target="https://contrataciondelestado.es/wps/poc?uri=deeplink:detalle_licitacion&amp;idEvl=26dhjfUNQl7VGIpKDxgsAQ%3D%3D" TargetMode="External" Id="rId19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92" /><Relationship Type="http://schemas.openxmlformats.org/officeDocument/2006/relationships/hyperlink" Target="https://contrataciondelestado.es/wps/poc?uri=deeplink:detalle_licitacion&amp;idEvl=KTb2wrCrof%2F%2B3JAijKO%2Bkg%3D%3D" TargetMode="External" Id="rId19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94" /><Relationship Type="http://schemas.openxmlformats.org/officeDocument/2006/relationships/hyperlink" Target="https://contrataciondelestado.es/wps/poc?uri=deeplink:detalle_licitacion&amp;idEvl=piQMaJLFrKFrhBlEHQFSKA%3D%3D" TargetMode="External" Id="rId19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96" /><Relationship Type="http://schemas.openxmlformats.org/officeDocument/2006/relationships/hyperlink" Target="https://contrataciondelestado.es/wps/poc?uri=deeplink:detalle_licitacion&amp;idEvl=hSvJJYQHGWWKeVWTb9Scog%3D%3D" TargetMode="External" Id="rId19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98" /><Relationship Type="http://schemas.openxmlformats.org/officeDocument/2006/relationships/hyperlink" Target="https://contrataciondelestado.es/wps/poc?uri=deeplink:detalle_licitacion&amp;idEvl=whN4YVPMitE4NavIWzMcHA%3D%3D" TargetMode="External" Id="rId19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200" /><Relationship Type="http://schemas.openxmlformats.org/officeDocument/2006/relationships/hyperlink" Target="https://contrataciondelestado.es/wps/poc?uri=deeplink:detalle_licitacion&amp;idEvl=UmkJG20qxaz9pbnDwlaUlg%3D%3D" TargetMode="External" Id="rId201"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02" /><Relationship Type="http://schemas.openxmlformats.org/officeDocument/2006/relationships/hyperlink" Target="https://contrataciondelestado.es/wps/poc?uri=deeplink:detalle_licitacion&amp;idEvl=fARoqzLn1tPN3k3tjedSGw%3D%3D" TargetMode="External" Id="rId203"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04" /><Relationship Type="http://schemas.openxmlformats.org/officeDocument/2006/relationships/hyperlink" Target="https://contrataciondelestado.es/wps/poc?uri=deeplink:detalle_licitacion&amp;idEvl=Sdy06ig0DtceC9GJQOEBkQ%3D%3D" TargetMode="External" Id="rId205"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06" /><Relationship Type="http://schemas.openxmlformats.org/officeDocument/2006/relationships/hyperlink" Target="https://contrataciondelestado.es/wps/poc?uri=deeplink:detalle_licitacion&amp;idEvl=cuCWWqhRuzvmnwcj%2BxbdTg%3D%3D" TargetMode="External" Id="rId207"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08" /><Relationship Type="http://schemas.openxmlformats.org/officeDocument/2006/relationships/hyperlink" Target="https://contrataciondelestado.es/wps/poc?uri=deeplink:detalle_licitacion&amp;idEvl=rCZXugBJBg0l5NjlNci%2BtA%3D%3D" TargetMode="External" Id="rId209"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10" /><Relationship Type="http://schemas.openxmlformats.org/officeDocument/2006/relationships/hyperlink" Target="https://contrataciondelestado.es/wps/poc?uri=deeplink:detalle_licitacion&amp;idEvl=Tq4VNlz32MX9pbnDwlaUlg%3D%3D" TargetMode="External" Id="rId211"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212" /><Relationship Type="http://schemas.openxmlformats.org/officeDocument/2006/relationships/hyperlink" Target="https://contrataciondelestado.es/wps/poc?uri=deeplink:detalle_licitacion&amp;idEvl=NZXcKU8A0A7IGlsa0Wad%2Bw%3D%3D" TargetMode="External" Id="rId213"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14" /><Relationship Type="http://schemas.openxmlformats.org/officeDocument/2006/relationships/hyperlink" Target="https://contrataciondelestado.es/wps/poc?uri=deeplink:detalle_licitacion&amp;idEvl=tGiGad8oBdCFQ%2FlhRK79lA%3D%3D" TargetMode="External" Id="rId215"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216" /><Relationship Type="http://schemas.openxmlformats.org/officeDocument/2006/relationships/hyperlink" Target="https://contrataciondelestado.es/wps/poc?uri=deeplink:detalle_licitacion&amp;idEvl=m%2BeQxLzq0P5%2FR5QFTlaM4A%3D%3D" TargetMode="External" Id="rId217"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18" /><Relationship Type="http://schemas.openxmlformats.org/officeDocument/2006/relationships/hyperlink" Target="https://contrataciondelestado.es/wps/poc?uri=deeplink:detalle_licitacion&amp;idEvl=lTu7Qq%2FpKE836J9Lctlsuw%3D%3D" TargetMode="External" Id="rId219"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20" /><Relationship Type="http://schemas.openxmlformats.org/officeDocument/2006/relationships/hyperlink" Target="https://contrataciondelestado.es/wps/poc?uri=deeplink:detalle_licitacion&amp;idEvl=mfpX67tUswF9PLkba5eRog%3D%3D" TargetMode="External" Id="rId221"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22" /><Relationship Type="http://schemas.openxmlformats.org/officeDocument/2006/relationships/hyperlink" Target="https://contrataciondelestado.es/wps/poc?uri=deeplink:detalle_licitacion&amp;idEvl=Y1DjExvRJ056nTs9LZ9RhQ%3D%3D" TargetMode="External" Id="rId22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24" /><Relationship Type="http://schemas.openxmlformats.org/officeDocument/2006/relationships/hyperlink" Target="https://contrataciondelestado.es/wps/poc?uri=deeplink:detalle_licitacion&amp;idEvl=rUGtqXzsmjDXOjazN1Dw9Q%3D%3D" TargetMode="External" Id="rId225"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26" /><Relationship Type="http://schemas.openxmlformats.org/officeDocument/2006/relationships/hyperlink" Target="https://contrataciondelestado.es/wps/poc?uri=deeplink:detalle_licitacion&amp;idEvl=sqnj4b6qoR2cCF8sV%2BqtYA%3D%3D" TargetMode="External" Id="rId227"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28" /><Relationship Type="http://schemas.openxmlformats.org/officeDocument/2006/relationships/hyperlink" Target="https://contrataciondelestado.es/wps/poc?uri=deeplink:detalle_licitacion&amp;idEvl=d80S3g1uf5C5HQrHoP3G5A%3D%3D" TargetMode="External" Id="rId229"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30" /><Relationship Type="http://schemas.openxmlformats.org/officeDocument/2006/relationships/hyperlink" Target="https://contrataciondelestado.es/wps/poc?uri=deeplink:detalle_licitacion&amp;idEvl=vAWtL8PBxqAeC9GJQOEBkQ%3D%3D" TargetMode="External" Id="rId231"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32" /><Relationship Type="http://schemas.openxmlformats.org/officeDocument/2006/relationships/hyperlink" Target="https://contrataciondelestado.es/wps/poc?uri=deeplink:detalle_licitacion&amp;idEvl=j%2BYVcI5xBsrE6P%2FuLemXRw%3D%3D" TargetMode="External" Id="rId233"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34" /><Relationship Type="http://schemas.openxmlformats.org/officeDocument/2006/relationships/hyperlink" Target="https://contrataciondelestado.es/wps/poc?uri=deeplink:detalle_licitacion&amp;idEvl=7rwCIMNAmgJ4zIRvjBVCSw%3D%3D" TargetMode="External" Id="rId235"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36" /><Relationship Type="http://schemas.openxmlformats.org/officeDocument/2006/relationships/hyperlink" Target="https://contrataciondelestado.es/wps/poc?uri=deeplink:detalle_licitacion&amp;idEvl=VCr7WHoJafpVYjgxA4nMUw%3D%3D" TargetMode="External" Id="rId237"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238" /><Relationship Type="http://schemas.openxmlformats.org/officeDocument/2006/relationships/hyperlink" Target="https://contrataciondelestado.es/wps/poc?uri=deeplink:detalle_licitacion&amp;idEvl=rlCidys7kT5SYrkJkLlFdw%3D%3D" TargetMode="External" Id="rId239"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40" /><Relationship Type="http://schemas.openxmlformats.org/officeDocument/2006/relationships/hyperlink" Target="https://contrataciondelestado.es/wps/poc?uri=deeplink:detalle_licitacion&amp;idEvl=9ubCFyWuKwQmMOlAXxDEjw%3D%3D" TargetMode="External" Id="rId241"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42" /><Relationship Type="http://schemas.openxmlformats.org/officeDocument/2006/relationships/hyperlink" Target="https://contrataciondelestado.es/wps/poc?uri=deeplink:detalle_licitacion&amp;idEvl=7tvI3RNBdoJ70UvEyYJSGw%3D%3D" TargetMode="External" Id="rId243"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44" /><Relationship Type="http://schemas.openxmlformats.org/officeDocument/2006/relationships/hyperlink" Target="https://contrataciondelestado.es/wps/poc?uri=deeplink:detalle_licitacion&amp;idEvl=Fp1hnbY6ZXadkQsA7ROvsg%3D%3D" TargetMode="External" Id="rId245"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246" /><Relationship Type="http://schemas.openxmlformats.org/officeDocument/2006/relationships/hyperlink" Target="https://contrataciondelestado.es/wps/poc?uri=deeplink:detalle_licitacion&amp;idEvl=AkmziTT2Wyotm4eBPtV6eQ%3D%3D" TargetMode="External" Id="rId247"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48" /><Relationship Type="http://schemas.openxmlformats.org/officeDocument/2006/relationships/hyperlink" Target="https://contrataciondelestado.es/wps/poc?uri=deeplink:detalle_licitacion&amp;idEvl=OozDsAmdLF%2BHCIsjvJ3rhQ%3D%3D" TargetMode="External" Id="rId24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50" /><Relationship Type="http://schemas.openxmlformats.org/officeDocument/2006/relationships/hyperlink" Target="https://contrataciondelestado.es/wps/poc?uri=deeplink:detalle_licitacion&amp;idEvl=SaKLIG7TZUYtm4eBPtV6eQ%3D%3D" TargetMode="External" Id="rId251"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52" /><Relationship Type="http://schemas.openxmlformats.org/officeDocument/2006/relationships/hyperlink" Target="https://contrataciondelestado.es/wps/poc?uri=deeplink:detalle_licitacion&amp;idEvl=1VFNmgFp5Fr9pbnDwlaUlg%3D%3D" TargetMode="External" Id="rId253"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254" /><Relationship Type="http://schemas.openxmlformats.org/officeDocument/2006/relationships/hyperlink" Target="https://contrataciondelestado.es/wps/poc?uri=deeplink:detalle_licitacion&amp;idEvl=tSgoLuUEh%2FWLAncw3qdZkA%3D%3D" TargetMode="External" Id="rId255"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56" /><Relationship Type="http://schemas.openxmlformats.org/officeDocument/2006/relationships/hyperlink" Target="https://contrataciondelestado.es/wps/poc?uri=deeplink:detalle_licitacion&amp;idEvl=d1ag8jA9%2BqWAAM7L03kM8A%3D%3D" TargetMode="External" Id="rId257"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58" /><Relationship Type="http://schemas.openxmlformats.org/officeDocument/2006/relationships/hyperlink" Target="https://contrataciondelestado.es/wps/poc?uri=deeplink:detalle_licitacion&amp;idEvl=ZcuzqAJLNACP%2Bo96UAV7cQ%3D%3D" TargetMode="External" Id="rId259"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60" /><Relationship Type="http://schemas.openxmlformats.org/officeDocument/2006/relationships/hyperlink" Target="https://contrataciondelestado.es/wps/poc?uri=deeplink:detalle_licitacion&amp;idEvl=ds04qql6DEqTylGzYmBF9Q%3D%3D" TargetMode="External" Id="rId261"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62" /><Relationship Type="http://schemas.openxmlformats.org/officeDocument/2006/relationships/hyperlink" Target="https://contrataciondelestado.es/wps/poc?uri=deeplink:detalle_licitacion&amp;idEvl=yciBeWPH0A%2FgL1BHd3qjQA%3D%3D" TargetMode="External" Id="rId263"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64" /><Relationship Type="http://schemas.openxmlformats.org/officeDocument/2006/relationships/hyperlink" Target="https://contrataciondelestado.es/wps/poc?uri=deeplink:detalle_licitacion&amp;idEvl=zhety5%2FC4wPmnwcj%2BxbdTg%3D%3D" TargetMode="External" Id="rId265"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66" /><Relationship Type="http://schemas.openxmlformats.org/officeDocument/2006/relationships/hyperlink" Target="https://contrataciondelestado.es/wps/poc?uri=deeplink:detalle_licitacion&amp;idEvl=nsHwSLYLMaTmnwcj%2BxbdTg%3D%3D" TargetMode="External" Id="rId26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268" /><Relationship Type="http://schemas.openxmlformats.org/officeDocument/2006/relationships/hyperlink" Target="https://contrataciondelestado.es/wps/poc?uri=deeplink:detalle_licitacion&amp;idEvl=bQubJirUVEFxseVhcqrkhw%3D%3D" TargetMode="External" Id="rId269"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70" /><Relationship Type="http://schemas.openxmlformats.org/officeDocument/2006/relationships/hyperlink" Target="https://contrataciondelestado.es/wps/poc?uri=deeplink:detalle_licitacion&amp;idEvl=IwYt08KPtCi7JOCXkOhcDg%3D%3D" TargetMode="External" Id="rId27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72" /><Relationship Type="http://schemas.openxmlformats.org/officeDocument/2006/relationships/hyperlink" Target="https://contrataciondelestado.es/wps/poc?uri=deeplink:detalle_licitacion&amp;idEvl=nUrNn1lYbIVt5r0ngvMetA%3D%3D" TargetMode="External" Id="rId27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74" /><Relationship Type="http://schemas.openxmlformats.org/officeDocument/2006/relationships/hyperlink" Target="https://contrataciondelestado.es/wps/poc?uri=deeplink:detalle_licitacion&amp;idEvl=BS4hZ485hZgadbH3CysQuQ%3D%3D" TargetMode="External" Id="rId275"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76" /><Relationship Type="http://schemas.openxmlformats.org/officeDocument/2006/relationships/hyperlink" Target="https://contrataciondelestado.es/wps/poc?uri=deeplink:detalle_licitacion&amp;idEvl=T7eHdF3Weg%2B9Hd5zqvq9cg%3D%3D" TargetMode="External" Id="rId277"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78" /><Relationship Type="http://schemas.openxmlformats.org/officeDocument/2006/relationships/hyperlink" Target="https://contrataciondelestado.es/wps/poc?uri=deeplink:detalle_licitacion&amp;idEvl=oqiWeiccbSjXOjazN1Dw9Q%3D%3D" TargetMode="External" Id="rId279"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280" /><Relationship Type="http://schemas.openxmlformats.org/officeDocument/2006/relationships/hyperlink" Target="https://contrataciondelestado.es/wps/poc?uri=deeplink:detalle_licitacion&amp;idEvl=mZ4wtIpjxifi0Kd8%2Brcp6w%3D%3D" TargetMode="External" Id="rId281"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282" /><Relationship Type="http://schemas.openxmlformats.org/officeDocument/2006/relationships/hyperlink" Target="https://contrataciondelestado.es/wps/poc?uri=deeplink:detalle_licitacion&amp;idEvl=D8P%2BFvfVIYoeC9GJQOEBkQ%3D%3D" TargetMode="External" Id="rId283"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284" /><Relationship Type="http://schemas.openxmlformats.org/officeDocument/2006/relationships/hyperlink" Target="https://contrataciondelestado.es/wps/poc?uri=deeplink:detalle_licitacion&amp;idEvl=hPHdaXcM4T6zz8fXU2i3eQ%3D%3D" TargetMode="External" Id="rId285"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86" /><Relationship Type="http://schemas.openxmlformats.org/officeDocument/2006/relationships/hyperlink" Target="https://contrataciondelestado.es/wps/poc?uri=deeplink:detalle_licitacion&amp;idEvl=FmNzdB5omY6KeVWTb9Scog%3D%3D" TargetMode="External" Id="rId287"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288" /><Relationship Type="http://schemas.openxmlformats.org/officeDocument/2006/relationships/hyperlink" Target="https://contrataciondelestado.es/wps/poc?uri=deeplink:detalle_licitacion&amp;idEvl=ohSmQ4QC1gceIBJRHQiPkQ%3D%3D" TargetMode="External" Id="rId289"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90" /><Relationship Type="http://schemas.openxmlformats.org/officeDocument/2006/relationships/hyperlink" Target="https://contrataciondelestado.es/wps/poc?uri=deeplink:detalle_licitacion&amp;idEvl=zfQhOxqx1YjE6P%2FuLemXRw%3D%3D" TargetMode="External" Id="rId291"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292" /><Relationship Type="http://schemas.openxmlformats.org/officeDocument/2006/relationships/hyperlink" Target="https://contrataciondelestado.es/wps/poc?uri=deeplink:detalle_licitacion&amp;idEvl=Wrxl0EgFSjK9Hd5zqvq9cg%3D%3D" TargetMode="External" Id="rId293"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94" /><Relationship Type="http://schemas.openxmlformats.org/officeDocument/2006/relationships/hyperlink" Target="https://contrataciondelestado.es/wps/poc?uri=deeplink:detalle_licitacion&amp;idEvl=nQI4PNWKLKt4zIRvjBVCSw%3D%3D" TargetMode="External" Id="rId295"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296" /><Relationship Type="http://schemas.openxmlformats.org/officeDocument/2006/relationships/hyperlink" Target="https://contrataciondelestado.es/wps/poc?uri=deeplink:detalle_licitacion&amp;idEvl=pAIEME7RW4qLAncw3qdZkA%3D%3D" TargetMode="External" Id="rId297"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98" /><Relationship Type="http://schemas.openxmlformats.org/officeDocument/2006/relationships/hyperlink" Target="https://contrataciondelestado.es/wps/poc?uri=deeplink:detalle_licitacion&amp;idEvl=cyWmr%2By%2Fi0710HRJw8TEnQ%3D%3D" TargetMode="External" Id="rId299"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300" /><Relationship Type="http://schemas.openxmlformats.org/officeDocument/2006/relationships/hyperlink" Target="https://contrataciondelestado.es/wps/poc?uri=deeplink:detalle_licitacion&amp;idEvl=FrBWFEkl8iL9pbnDwlaUlg%3D%3D" TargetMode="External" Id="rId301"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302" /><Relationship Type="http://schemas.openxmlformats.org/officeDocument/2006/relationships/hyperlink" Target="https://contrataciondelestado.es/wps/poc?uri=deeplink:detalle_licitacion&amp;idEvl=Ww7vwz6ExHr%2B3JAijKO%2Bkg%3D%3D" TargetMode="External" Id="rId303"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304" /><Relationship Type="http://schemas.openxmlformats.org/officeDocument/2006/relationships/hyperlink" Target="https://contrataciondelestado.es/wps/poc?uri=deeplink:detalle_licitacion&amp;idEvl=oXQu%2FZR5i8lxseVhcqrkhw%3D%3D" TargetMode="External" Id="rId305"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306" /><Relationship Type="http://schemas.openxmlformats.org/officeDocument/2006/relationships/hyperlink" Target="https://contrataciondelestado.es/wps/poc?uri=deeplink:detalle_licitacion&amp;idEvl=JGSyn9tK5QnpxJFXpLZ%2B2A%3D%3D" TargetMode="External" Id="rId307"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308" /><Relationship Type="http://schemas.openxmlformats.org/officeDocument/2006/relationships/hyperlink" Target="https://contrataciondelestado.es/wps/poc?uri=deeplink:detalle_licitacion&amp;idEvl=g4rtWQ2lC4jL1rX3q%2FMAPA%3D%3D" TargetMode="External" Id="rId309"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310" /><Relationship Type="http://schemas.openxmlformats.org/officeDocument/2006/relationships/hyperlink" Target="https://contrataciondelestado.es/wps/poc?uri=deeplink:detalle_licitacion&amp;idEvl=F%2F2zB0IVgI07%2B9FIQYNjeQ%3D%3D" TargetMode="External" Id="rId311"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312" /><Relationship Type="http://schemas.openxmlformats.org/officeDocument/2006/relationships/hyperlink" Target="https://contrataciondelestado.es/wps/poc?uri=deeplink:detalle_licitacion&amp;idEvl=4rSV3ZTsWvL10HRJw8TEnQ%3D%3D" TargetMode="External" Id="rId313"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314" /><Relationship Type="http://schemas.openxmlformats.org/officeDocument/2006/relationships/hyperlink" Target="https://contrataciondelestado.es/wps/poc?uri=deeplink:detalle_licitacion&amp;idEvl=JV2Y%2FI7YtNcl5NjlNci%2BtA%3D%3D" TargetMode="External" Id="rId315"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316" /><Relationship Type="http://schemas.openxmlformats.org/officeDocument/2006/relationships/hyperlink" Target="https://contrataciondelestado.es/wps/poc?uri=deeplink:detalle_licitacion&amp;idEvl=lBfM56FxMz310HRJw8TEnQ%3D%3D" TargetMode="External" Id="rId317"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318" /><Relationship Type="http://schemas.openxmlformats.org/officeDocument/2006/relationships/hyperlink" Target="https://contrataciondelestado.es/wps/poc?uri=deeplink:detalle_licitacion&amp;idEvl=9f2PXsOg4TZ9PLkba5eRog%3D%3D" TargetMode="External" Id="rId319"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320" /><Relationship Type="http://schemas.openxmlformats.org/officeDocument/2006/relationships/hyperlink" Target="https://contrataciondelestado.es/wps/poc?uri=deeplink:detalle_licitacion&amp;idEvl=AGS%2BWfY9YGvs%2BnLj3vAg5A%3D%3D" TargetMode="External" Id="rId321"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322" /><Relationship Type="http://schemas.openxmlformats.org/officeDocument/2006/relationships/hyperlink" Target="https://contrataciondelestado.es/wps/poc?uri=deeplink:detalle_licitacion&amp;idEvl=vQW6S4bEywSrz3GQd5r6SQ%3D%3D" TargetMode="External" Id="rId323"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324" /><Relationship Type="http://schemas.openxmlformats.org/officeDocument/2006/relationships/hyperlink" Target="https://contrataciondelestado.es/wps/poc?uri=deeplink:detalle_licitacion&amp;idEvl=FC6NjBJiH5g36J9Lctlsuw%3D%3D" TargetMode="External" Id="rId325" /><Relationship Type="http://schemas.openxmlformats.org/officeDocument/2006/relationships/hyperlink" Target="https://contrataciondelestado.es/wps/poc?uri=deeplink:detalle_licitacion&amp;idEvl=CXaik5v%2F%2FGrLIx6q1oPaMg%3D%3D" TargetMode="External" Id="rId326"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327" /><Relationship Type="http://schemas.openxmlformats.org/officeDocument/2006/relationships/hyperlink" Target="https://contrataciondelestado.es/wps/poc?uri=deeplink:detalle_licitacion&amp;idEvl=FA3vWLATt8azz8fXU2i3eQ%3D%3D" TargetMode="External" Id="rId328"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329" /><Relationship Type="http://schemas.openxmlformats.org/officeDocument/2006/relationships/hyperlink" Target="https://contrataciondelestado.es/wps/poc?uri=deeplink:detalle_licitacion&amp;idEvl=PxwtSfDhw7GIzo3LHNPGcQ%3D%3D" TargetMode="External" Id="rId330"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331" /><Relationship Type="http://schemas.openxmlformats.org/officeDocument/2006/relationships/hyperlink" Target="https://contrataciondelestado.es/wps/poc?uri=deeplink:detalle_licitacion&amp;idEvl=UmmFdvb8hGrmnwcj%2BxbdTg%3D%3D" TargetMode="External" Id="rId332"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333" /><Relationship Type="http://schemas.openxmlformats.org/officeDocument/2006/relationships/hyperlink" Target="https://contrataciondelestado.es/wps/poc?uri=deeplink:detalle_licitacion&amp;idEvl=eZ5aQ11JYVmOUi78BmzhOQ%3D%3D" TargetMode="External" Id="rId334"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335" /><Relationship Type="http://schemas.openxmlformats.org/officeDocument/2006/relationships/hyperlink" Target="https://contrataciondelestado.es/wps/poc?uri=deeplink:detalle_licitacion&amp;idEvl=%2BBxKwprdo7GTylGzYmBF9Q%3D%3D" TargetMode="External" Id="rId336"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337" /><Relationship Type="http://schemas.openxmlformats.org/officeDocument/2006/relationships/hyperlink" Target="https://contrataciondelestado.es/wps/poc?uri=deeplink:detalle_licitacion&amp;idEvl=n5Xl626%2BbwE%2FbjW6njtWLw%3D%3D" TargetMode="External" Id="rId338"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339" /><Relationship Type="http://schemas.openxmlformats.org/officeDocument/2006/relationships/hyperlink" Target="https://contrataciondelestado.es/wps/poc?uri=deeplink:detalle_licitacion&amp;idEvl=KoGzOnocmta9Hd5zqvq9cg%3D%3D" TargetMode="External" Id="rId340"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341" /><Relationship Type="http://schemas.openxmlformats.org/officeDocument/2006/relationships/hyperlink" Target="https://contrataciondelestado.es/wps/poc?uri=deeplink:detalle_licitacion&amp;idEvl=ENUKH%2BacOtXI8aL3PRS10Q%3D%3D" TargetMode="External" Id="rId342"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343" /><Relationship Type="http://schemas.openxmlformats.org/officeDocument/2006/relationships/hyperlink" Target="https://contrataciondelestado.es/wps/poc?uri=deeplink:detalle_licitacion&amp;idEvl=X2Uql7KP76AS7pcxhTeWOg%3D%3D" TargetMode="External" Id="rId34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345" /><Relationship Type="http://schemas.openxmlformats.org/officeDocument/2006/relationships/hyperlink" Target="https://contrataciondelestado.es/wps/poc?uri=deeplink:detalle_licitacion&amp;idEvl=4kSJW5lFiFlVYjgxA4nMUw%3D%3D" TargetMode="External" Id="rId346"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47" /><Relationship Type="http://schemas.openxmlformats.org/officeDocument/2006/relationships/hyperlink" Target="https://contrataciondelestado.es/wps/poc?uri=deeplink:detalle_licitacion&amp;idEvl=inw0ndhCO5aXQV0WE7lYPw%3D%3D" TargetMode="External" Id="rId348"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49" /><Relationship Type="http://schemas.openxmlformats.org/officeDocument/2006/relationships/hyperlink" Target="https://contrataciondelestado.es/wps/poc?uri=deeplink:detalle_licitacion&amp;idEvl=y2sOo0Ib7Uc4NavIWzMcHA%3D%3D" TargetMode="External" Id="rId350"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51" /><Relationship Type="http://schemas.openxmlformats.org/officeDocument/2006/relationships/hyperlink" Target="https://contrataciondelestado.es/wps/poc?uri=deeplink:detalle_licitacion&amp;idEvl=hcE9I6Q8wRhVq4S9zvaQpQ%3D%3D" TargetMode="External" Id="rId352"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53" /><Relationship Type="http://schemas.openxmlformats.org/officeDocument/2006/relationships/hyperlink" Target="https://contrataciondelestado.es/wps/poc?uri=deeplink:detalle_licitacion&amp;idEvl=jS0kMJOTapg%2FbjW6njtWLw%3D%3D" TargetMode="External" Id="rId354"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355" /><Relationship Type="http://schemas.openxmlformats.org/officeDocument/2006/relationships/hyperlink" Target="https://contrataciondelestado.es/wps/poc?uri=deeplink:detalle_licitacion&amp;idEvl=T7%2FtfdCupJGdkQsA7ROvsg%3D%3D" TargetMode="External" Id="rId35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357" /><Relationship Type="http://schemas.openxmlformats.org/officeDocument/2006/relationships/hyperlink" Target="https://contrataciondelestado.es/wps/poc?uri=deeplink:detalle_licitacion&amp;idEvl=g8KxJV%2BYRz7CfVQHDepjGQ%3D%3D" TargetMode="External" Id="rId35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59" /><Relationship Type="http://schemas.openxmlformats.org/officeDocument/2006/relationships/hyperlink" Target="https://contrataciondelestado.es/wps/poc?uri=deeplink:detalle_licitacion&amp;idEvl=w03ZYjjW3pNxseVhcqrkhw%3D%3D" TargetMode="External" Id="rId36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61" /><Relationship Type="http://schemas.openxmlformats.org/officeDocument/2006/relationships/hyperlink" Target="https://contrataciondelestado.es/wps/poc?uri=deeplink:detalle_licitacion&amp;idEvl=OX0z3e74oC4ZDGvgaZEVxQ%3D%3D" TargetMode="External" Id="rId36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63" /><Relationship Type="http://schemas.openxmlformats.org/officeDocument/2006/relationships/hyperlink" Target="https://contrataciondelestado.es/wps/poc?uri=deeplink:detalle_licitacion&amp;idEvl=uN6Azk3YxtI7%2B9FIQYNjeQ%3D%3D" TargetMode="External" Id="rId36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365" /><Relationship Type="http://schemas.openxmlformats.org/officeDocument/2006/relationships/hyperlink" Target="https://contrataciondelestado.es/wps/poc?uri=deeplink:detalle_licitacion&amp;idEvl=xKQ3XwR8lt2TylGzYmBF9Q%3D%3D" TargetMode="External" Id="rId36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67" /><Relationship Type="http://schemas.openxmlformats.org/officeDocument/2006/relationships/hyperlink" Target="https://contrataciondelestado.es/wps/poc?uri=deeplink:detalle_licitacion&amp;idEvl=vZ%2FhsH%2B0w7lt5r0ngvMetA%3D%3D" TargetMode="External" Id="rId36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369" /><Relationship Type="http://schemas.openxmlformats.org/officeDocument/2006/relationships/hyperlink" Target="https://contrataciondelestado.es/wps/poc?uri=deeplink:detalle_licitacion&amp;idEvl=OTphGj8qiOgXhk1FZxEyvw%3D%3D" TargetMode="External" Id="rId37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371" /><Relationship Type="http://schemas.openxmlformats.org/officeDocument/2006/relationships/hyperlink" Target="https://contrataciondelestado.es/wps/poc?uri=deeplink:detalle_licitacion&amp;idEvl=tmp%2FWDb6wYfVGIpKDxgsAQ%3D%3D" TargetMode="External" Id="rId37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73" /><Relationship Type="http://schemas.openxmlformats.org/officeDocument/2006/relationships/hyperlink" Target="https://contrataciondelestado.es/wps/poc?uri=deeplink:detalle_licitacion&amp;idEvl=ex5pThvwStFxseVhcqrkhw%3D%3D" TargetMode="External" Id="rId37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75" /><Relationship Type="http://schemas.openxmlformats.org/officeDocument/2006/relationships/hyperlink" Target="https://contrataciondelestado.es/wps/poc?uri=deeplink:detalle_licitacion&amp;idEvl=yIKWbglVHAYkJPJS%2BPS9vg%3D%3D" TargetMode="External" Id="rId37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77" /><Relationship Type="http://schemas.openxmlformats.org/officeDocument/2006/relationships/hyperlink" Target="https://contrataciondelestado.es/wps/poc?uri=deeplink:detalle_licitacion&amp;idEvl=fzM%2Fx3C%2BYPEkJPJS%2BPS9vg%3D%3D" TargetMode="External" Id="rId37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379" /><Relationship Type="http://schemas.openxmlformats.org/officeDocument/2006/relationships/hyperlink" Target="https://contrataciondelestado.es/wps/poc?uri=deeplink:detalle_licitacion&amp;idEvl=cgKn6U8ipcSIzo3LHNPGcQ%3D%3D" TargetMode="External" Id="rId380"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381" /><Relationship Type="http://schemas.openxmlformats.org/officeDocument/2006/relationships/hyperlink" Target="https://contrataciondelestado.es/wps/poc?uri=deeplink:detalle_licitacion&amp;idEvl=H9JqPzERxOO7JOCXkOhcDg%3D%3D" TargetMode="External" Id="rId382"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83" /><Relationship Type="http://schemas.openxmlformats.org/officeDocument/2006/relationships/hyperlink" Target="https://contrataciondelestado.es/wps/poc?uri=deeplink:detalle_licitacion&amp;idEvl=tgDwsGTYAO8eIBJRHQiPkQ%3D%3D" TargetMode="External" Id="rId384"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85" /><Relationship Type="http://schemas.openxmlformats.org/officeDocument/2006/relationships/hyperlink" Target="https://contrataciondelestado.es/wps/poc?uri=deeplink:detalle_licitacion&amp;idEvl=juA3nitDfNUSugstABGr5A%3D%3D" TargetMode="External" Id="rId386"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87" /><Relationship Type="http://schemas.openxmlformats.org/officeDocument/2006/relationships/hyperlink" Target="https://contrataciondelestado.es/wps/poc?uri=deeplink:detalle_licitacion&amp;idEvl=ncaQor%2BHQFhVYjgxA4nMUw%3D%3D" TargetMode="External" Id="rId388" /><Relationship Type="http://schemas.openxmlformats.org/officeDocument/2006/relationships/hyperlink" Target="https://contrataciondelestado.es/wps/poc?uri=deeplink:detalle_licitacion&amp;idEvl=zUm0d6%2FXS8ceIBJRHQiPkQ%3D%3D" TargetMode="External" Id="rId389"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90" /><Relationship Type="http://schemas.openxmlformats.org/officeDocument/2006/relationships/hyperlink" Target="https://contrataciondelestado.es/wps/poc?uri=deeplink:detalle_licitacion&amp;idEvl=pQa4jbA9cBF%2BF6L2uCfUWg%3D%3D" TargetMode="External" Id="rId391"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392" /><Relationship Type="http://schemas.openxmlformats.org/officeDocument/2006/relationships/hyperlink" Target="https://contrataciondelestado.es/wps/poc?uri=deeplink:detalle_licitacion&amp;idEvl=%2FoDpoPCaVOtq1DdmE7eaXg%3D%3D" TargetMode="External" Id="rId393"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394" /><Relationship Type="http://schemas.openxmlformats.org/officeDocument/2006/relationships/hyperlink" Target="https://contrataciondelestado.es/wps/poc?uri=deeplink:detalle_licitacion&amp;idEvl=G2p5Fy9Fgm3CfVQHDepjGQ%3D%3D" TargetMode="External" Id="rId395"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396" /><Relationship Type="http://schemas.openxmlformats.org/officeDocument/2006/relationships/hyperlink" Target="https://contrataciondelestado.es/wps/poc?uri=deeplink:detalle_licitacion&amp;idEvl=YYVxrRLiDQ%2F9pbnDwlaUlg%3D%3D" TargetMode="External" Id="rId397"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98" /><Relationship Type="http://schemas.openxmlformats.org/officeDocument/2006/relationships/hyperlink" Target="https://contrataciondelestado.es/wps/poc?uri=deeplink:detalle_licitacion&amp;idEvl=ppjV3cjBU0WcTfjQf3USOg%3D%3D" TargetMode="External" Id="rId399"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400" /><Relationship Type="http://schemas.openxmlformats.org/officeDocument/2006/relationships/hyperlink" Target="https://contrataciondelestado.es/wps/poc?uri=deeplink:detalle_licitacion&amp;idEvl=MgjOjzuhKWPECtSnloz%2BZQ%3D%3D" TargetMode="External" Id="rId401"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402" /><Relationship Type="http://schemas.openxmlformats.org/officeDocument/2006/relationships/hyperlink" Target="https://contrataciondelestado.es/wps/poc?uri=deeplink:detalle_licitacion&amp;idEvl=ho%2FTS0NcFcBVkTabT%2FRM8A%3D%3D" TargetMode="External" Id="rId40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404" /><Relationship Type="http://schemas.openxmlformats.org/officeDocument/2006/relationships/hyperlink" Target="https://contrataciondelestado.es/wps/poc?uri=deeplink:detalle_licitacion&amp;idEvl=0g03eFHsseyOUi78BmzhOQ%3D%3D" TargetMode="External" Id="rId405"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06" /><Relationship Type="http://schemas.openxmlformats.org/officeDocument/2006/relationships/hyperlink" Target="https://contrataciondelestado.es/wps/poc?uri=deeplink:detalle_licitacion&amp;idEvl=c71Yhy4K%2FF436J9Lctlsuw%3D%3D" TargetMode="External" Id="rId40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408" /><Relationship Type="http://schemas.openxmlformats.org/officeDocument/2006/relationships/hyperlink" Target="https://contrataciondelestado.es/wps/poc?uri=deeplink:detalle_licitacion&amp;idEvl=0TF1X0GFm3N%2BF6L2uCfUWg%3D%3D" TargetMode="External" Id="rId40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410" /><Relationship Type="http://schemas.openxmlformats.org/officeDocument/2006/relationships/hyperlink" Target="https://contrataciondelestado.es/wps/poc?uri=deeplink:detalle_licitacion&amp;idEvl=SZl2LtxnbMB9Zh%2FyRJgM8w%3D%3D" TargetMode="External" Id="rId41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412" /><Relationship Type="http://schemas.openxmlformats.org/officeDocument/2006/relationships/hyperlink" Target="https://contrataciondelestado.es/wps/poc?uri=deeplink:detalle_licitacion&amp;idEvl=2giZWkfwCBLVGIpKDxgsAQ%3D%3D" TargetMode="External" Id="rId41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414" /><Relationship Type="http://schemas.openxmlformats.org/officeDocument/2006/relationships/hyperlink" Target="https://contrataciondelestado.es/wps/poc?uri=deeplink:detalle_licitacion&amp;idEvl=j58ZF42XAHhxseVhcqrkhw%3D%3D" TargetMode="External" Id="rId41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416" /><Relationship Type="http://schemas.openxmlformats.org/officeDocument/2006/relationships/hyperlink" Target="https://contrataciondelestado.es/wps/poc?uri=deeplink:detalle_licitacion&amp;idEvl=9kQx9ZT%2FkMyHCIsjvJ3rhQ%3D%3D" TargetMode="External" Id="rId417"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418" /><Relationship Type="http://schemas.openxmlformats.org/officeDocument/2006/relationships/hyperlink" Target="https://contrataciondelestado.es/wps/poc?uri=deeplink:detalle_licitacion&amp;idEvl=OtmFHpBMs5fVGIpKDxgsAQ%3D%3D" TargetMode="External" Id="rId419"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420" /><Relationship Type="http://schemas.openxmlformats.org/officeDocument/2006/relationships/hyperlink" Target="https://contrataciondelestado.es/wps/poc?uri=deeplink:detalle_licitacion&amp;idEvl=fXTWRcUIIgkXhk1FZxEyvw%3D%3D" TargetMode="External" Id="rId421"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422" /><Relationship Type="http://schemas.openxmlformats.org/officeDocument/2006/relationships/hyperlink" Target="https://contrataciondelestado.es/wps/poc?uri=deeplink:detalle_licitacion&amp;idEvl=7FuXNH%2FEi3y5HQrHoP3G5A%3D%3D" TargetMode="External" Id="rId423"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424" /><Relationship Type="http://schemas.openxmlformats.org/officeDocument/2006/relationships/hyperlink" Target="https://contrataciondelestado.es/wps/poc?uri=deeplink:detalle_licitacion&amp;idEvl=9pxD01nIKJsUqXM96WStVA%3D%3D" TargetMode="External" Id="rId425"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426" /><Relationship Type="http://schemas.openxmlformats.org/officeDocument/2006/relationships/hyperlink" Target="https://contrataciondelestado.es/wps/poc?uri=deeplink:detalle_licitacion&amp;idEvl=L9ReCqYRR1%2BKeVWTb9Scog%3D%3D" TargetMode="External" Id="rId427" /><Relationship Type="http://schemas.openxmlformats.org/officeDocument/2006/relationships/hyperlink" Target="https://contrataciondelestado.es/wps/poc?uri=deeplink:detalle_licitacion&amp;idEvl=9fqUJRSYgQt70UvEyYJSGw%3D%3D" TargetMode="External" Id="rId428"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429" /><Relationship Type="http://schemas.openxmlformats.org/officeDocument/2006/relationships/hyperlink" Target="https://contrataciondelestado.es/wps/poc?uri=deeplink:detalle_licitacion&amp;idEvl=NhUjwcj1LkPkY6rls5tG9A%3D%3D" TargetMode="External" Id="rId430"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1" /><Relationship Type="http://schemas.openxmlformats.org/officeDocument/2006/relationships/hyperlink" Target="https://contrataciondelestado.es/wps/poc?uri=deeplink:detalle_licitacion&amp;idEvl=%2FqE9T5PvEV8ZDGvgaZEVxQ%3D%3D" TargetMode="External" Id="rId432"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433" /><Relationship Type="http://schemas.openxmlformats.org/officeDocument/2006/relationships/hyperlink" Target="https://contrataciondelestado.es/wps/poc?uri=deeplink:detalle_licitacion&amp;idEvl=cQbWxtnWm2Ts%2BnLj3vAg5A%3D%3D" TargetMode="External" Id="rId43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435" /><Relationship Type="http://schemas.openxmlformats.org/officeDocument/2006/relationships/hyperlink" Target="https://contrataciondelestado.es/wps/poc?uri=deeplink:detalle_licitacion&amp;idEvl=LlpSZLG1A1nyoM4us5k4vw%3D%3D" TargetMode="External" Id="rId43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437" /><Relationship Type="http://schemas.openxmlformats.org/officeDocument/2006/relationships/hyperlink" Target="https://contrataciondelestado.es/wps/poc?uri=deeplink:detalle_licitacion&amp;idEvl=sBQc9IoQ2ysS7pcxhTeWOg%3D%3D" TargetMode="External" Id="rId43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439" /><Relationship Type="http://schemas.openxmlformats.org/officeDocument/2006/relationships/hyperlink" Target="https://contrataciondelestado.es/wps/poc?uri=deeplink:detalle_licitacion&amp;idEvl=hT8CHqOAUjuP66GS%2BONYvQ%3D%3D" TargetMode="External" Id="rId44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441" /><Relationship Type="http://schemas.openxmlformats.org/officeDocument/2006/relationships/hyperlink" Target="https://contrataciondelestado.es/wps/poc?uri=deeplink:detalle_licitacion&amp;idEvl=B9Svf9HjW3AZDGvgaZEVxQ%3D%3D" TargetMode="External" Id="rId442"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443" /><Relationship Type="http://schemas.openxmlformats.org/officeDocument/2006/relationships/hyperlink" Target="https://contrataciondelestado.es/wps/poc?uri=deeplink:detalle_licitacion&amp;idEvl=%2Bpg35S2bI9WP66GS%2BONYvQ%3D%3D" TargetMode="External" Id="rId444"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445" /><Relationship Type="http://schemas.openxmlformats.org/officeDocument/2006/relationships/hyperlink" Target="https://contrataciondelestado.es/wps/poc?uri=deeplink:detalle_licitacion&amp;idEvl=ywikeNCnSclWhbmkna2nXQ%3D%3D" TargetMode="External" Id="rId446"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447" /><Relationship Type="http://schemas.openxmlformats.org/officeDocument/2006/relationships/hyperlink" Target="https://contrataciondelestado.es/wps/poc?uri=deeplink:detalle_licitacion&amp;idEvl=vIoKxtgM%2Be%2BIzo3LHNPGcQ%3D%3D" TargetMode="External" Id="rId448"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449" /><Relationship Type="http://schemas.openxmlformats.org/officeDocument/2006/relationships/hyperlink" Target="https://contrataciondelestado.es/wps/poc?uri=deeplink:detalle_licitacion&amp;idEvl=fwSsiaXj%2FNO2gkLQ8TeYKA%3D%3D" TargetMode="External" Id="rId450"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451" /><Relationship Type="http://schemas.openxmlformats.org/officeDocument/2006/relationships/hyperlink" Target="https://contrataciondelestado.es/wps/poc?uri=deeplink:detalle_licitacion&amp;idEvl=yUFC3zPYwI0aF6cS8TCh%2FA%3D%3D" TargetMode="External" Id="rId452"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453" /><Relationship Type="http://schemas.openxmlformats.org/officeDocument/2006/relationships/hyperlink" Target="https://contrataciondelestado.es/wps/poc?uri=deeplink:detalle_licitacion&amp;idEvl=7RmcFOllGzzmnwcj%2BxbdTg%3D%3D" TargetMode="External" Id="rId454"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455" /><Relationship Type="http://schemas.openxmlformats.org/officeDocument/2006/relationships/hyperlink" Target="https://contrataciondelestado.es/wps/poc?uri=deeplink:detalle_licitacion&amp;idEvl=M18PzIX7m2HXOjazN1Dw9Q%3D%3D" TargetMode="External" Id="rId456"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457" /><Relationship Type="http://schemas.openxmlformats.org/officeDocument/2006/relationships/hyperlink" Target="https://contrataciondelestado.es/wps/poc?uri=deeplink:detalle_licitacion&amp;idEvl=%2BTJCc%2B4ToYgUqXM96WStVA%3D%3D" TargetMode="External" Id="rId458"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459" /><Relationship Type="http://schemas.openxmlformats.org/officeDocument/2006/relationships/hyperlink" Target="https://contrataciondelestado.es/wps/poc?uri=deeplink:detalle_licitacion&amp;idEvl=986yaGfzy51SYrkJkLlFdw%3D%3D" TargetMode="External" Id="rId460"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461" /><Relationship Type="http://schemas.openxmlformats.org/officeDocument/2006/relationships/hyperlink" Target="https://contrataciondelestado.es/wps/poc?uri=deeplink:detalle_licitacion&amp;idEvl=RqUQmXRwP1fIGlsa0Wad%2Bw%3D%3D" TargetMode="External" Id="rId462"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463" /><Relationship Type="http://schemas.openxmlformats.org/officeDocument/2006/relationships/hyperlink" Target="https://contrataciondelestado.es/wps/poc?uri=deeplink:detalle_licitacion&amp;idEvl=rwhsNA1c2cB%2FP7lJ7Fu0SA%3D%3D" TargetMode="External" Id="rId464"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465" /><Relationship Type="http://schemas.openxmlformats.org/officeDocument/2006/relationships/hyperlink" Target="https://contrataciondelestado.es/wps/poc?uri=deeplink:detalle_licitacion&amp;idEvl=TDsWprVukqcUqXM96WStVA%3D%3D" TargetMode="External" Id="rId466"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467" /><Relationship Type="http://schemas.openxmlformats.org/officeDocument/2006/relationships/hyperlink" Target="https://contrataciondelestado.es/wps/poc?uri=deeplink:detalle_licitacion&amp;idEvl=JclQ1ymlgOf9pbnDwlaUlg%3D%3D" TargetMode="External" Id="rId468"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469" /><Relationship Type="http://schemas.openxmlformats.org/officeDocument/2006/relationships/hyperlink" Target="https://contrataciondelestado.es/wps/poc?uri=deeplink:detalle_licitacion&amp;idEvl=1NrZRHUmzqNVkTabT%2FRM8A%3D%3D" TargetMode="External" Id="rId47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471" /><Relationship Type="http://schemas.openxmlformats.org/officeDocument/2006/relationships/hyperlink" Target="https://contrataciondelestado.es/wps/poc?uri=deeplink:detalle_licitacion&amp;idEvl=dkycU%2Fy1WzMUqXM96WStVA%3D%3D" TargetMode="External" Id="rId472"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473" /><Relationship Type="http://schemas.openxmlformats.org/officeDocument/2006/relationships/hyperlink" Target="https://contrataciondelestado.es/wps/poc?uri=deeplink:detalle_licitacion&amp;idEvl=%2B6hwOHFt1aScCF8sV%2BqtYA%3D%3D" TargetMode="External" Id="rId474"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475" /><Relationship Type="http://schemas.openxmlformats.org/officeDocument/2006/relationships/hyperlink" Target="https://contrataciondelestado.es/wps/poc?uri=deeplink:detalle_licitacion&amp;idEvl=7fWn%2Bd%2ByAU2FlFRHfEzEaw%3D%3D" TargetMode="External" Id="rId476"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477" /><Relationship Type="http://schemas.openxmlformats.org/officeDocument/2006/relationships/hyperlink" Target="https://contrataciondelestado.es/wps/poc?uri=deeplink:detalle_licitacion&amp;idEvl=aRIdqffKCsteKgd8LfVV9g%3D%3D" TargetMode="External" Id="rId47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479" /><Relationship Type="http://schemas.openxmlformats.org/officeDocument/2006/relationships/hyperlink" Target="https://contrataciondelestado.es/wps/poc?uri=deeplink:detalle_licitacion&amp;idEvl=HN%2FEHGxku9ZxseVhcqrkhw%3D%3D" TargetMode="External" Id="rId480"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481" /><Relationship Type="http://schemas.openxmlformats.org/officeDocument/2006/relationships/hyperlink" Target="https://contrataciondelestado.es/wps/poc?uri=deeplink:detalle_licitacion&amp;idEvl=e%2BRKE9OiGx7L1rX3q%2FMAPA%3D%3D" TargetMode="External" Id="rId482"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483" /><Relationship Type="http://schemas.openxmlformats.org/officeDocument/2006/relationships/hyperlink" Target="https://contrataciondelestado.es/wps/poc?uri=deeplink:detalle_licitacion&amp;idEvl=S6BNsNx%2FbZmcCF8sV%2BqtYA%3D%3D" TargetMode="External" Id="rId484"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485" /><Relationship Type="http://schemas.openxmlformats.org/officeDocument/2006/relationships/hyperlink" Target="https://contrataciondelestado.es/wps/poc?uri=deeplink:detalle_licitacion&amp;idEvl=TVkyXAkTsCHua%2Fi14w%2FPLA%3D%3D" TargetMode="External" Id="rId486"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487" /><Relationship Type="http://schemas.openxmlformats.org/officeDocument/2006/relationships/hyperlink" Target="https://contrataciondelestado.es/wps/poc?uri=deeplink:detalle_licitacion&amp;idEvl=1DLqx8D37CaHCIsjvJ3rhQ%3D%3D" TargetMode="External" Id="rId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489" /><Relationship Type="http://schemas.openxmlformats.org/officeDocument/2006/relationships/hyperlink" Target="https://contrataciondelestado.es/wps/poc?uri=deeplink:detalle_licitacion&amp;idEvl=wX3jIghKBbFq1DdmE7eaXg%3D%3D" TargetMode="External" Id="rId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491" /><Relationship Type="http://schemas.openxmlformats.org/officeDocument/2006/relationships/hyperlink" Target="https://contrataciondelestado.es/wps/poc?uri=deeplink:detalle_licitacion&amp;idEvl=AAOFqLCCcOnpxJFXpLZ%2B2A%3D%3D" TargetMode="External" Id="rId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493" /><Relationship Type="http://schemas.openxmlformats.org/officeDocument/2006/relationships/hyperlink" Target="https://contrataciondelestado.es/wps/poc?uri=deeplink:detalle_licitacion&amp;idEvl=369mLkN3dS6sNfRW6APEDw%3D%3D" TargetMode="External" Id="rId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495" /><Relationship Type="http://schemas.openxmlformats.org/officeDocument/2006/relationships/hyperlink" Target="https://contrataciondelestado.es/wps/poc?uri=deeplink:detalle_licitacion&amp;idEvl=kYSKKOuUwE8aF6cS8TCh%2FA%3D%3D" TargetMode="External" Id="rId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497" /><Relationship Type="http://schemas.openxmlformats.org/officeDocument/2006/relationships/hyperlink" Target="https://contrataciondelestado.es/wps/poc?uri=deeplink:detalle_licitacion&amp;idEvl=NMH%2BH0yQzKEUqXM96WStVA%3D%3D" TargetMode="External" Id="rId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499" /><Relationship Type="http://schemas.openxmlformats.org/officeDocument/2006/relationships/hyperlink" Target="https://contrataciondelestado.es/wps/poc?uri=deeplink:detalle_licitacion&amp;idEvl=lwiaaeQFFNycCF8sV%2BqtYA%3D%3D" TargetMode="External" Id="rId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501" /><Relationship Type="http://schemas.openxmlformats.org/officeDocument/2006/relationships/hyperlink" Target="https://contrataciondelestado.es/wps/poc?uri=deeplink:detalle_licitacion&amp;idEvl=gOpKheyJTtrXOjazN1Dw9Q%3D%3D" TargetMode="External" Id="rId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503" /><Relationship Type="http://schemas.openxmlformats.org/officeDocument/2006/relationships/hyperlink" Target="https://contrataciondelestado.es/wps/poc?uri=deeplink:detalle_licitacion&amp;idEvl=xrzWVghuxpgaF6cS8TCh%2FA%3D%3D" TargetMode="External" Id="rId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505" /><Relationship Type="http://schemas.openxmlformats.org/officeDocument/2006/relationships/hyperlink" Target="https://contrataciondelestado.es/wps/poc?uri=deeplink:detalle_licitacion&amp;idEvl=R2VJliRWLe2S81gZFETWmA%3D%3D" TargetMode="External" Id="rId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507" /><Relationship Type="http://schemas.openxmlformats.org/officeDocument/2006/relationships/hyperlink" Target="https://contrataciondelestado.es/wps/poc?uri=deeplink:detalle_licitacion&amp;idEvl=4pqrkKl%2B0HFrSd8H4b2soA%3D%3D" TargetMode="External" Id="rId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509" /><Relationship Type="http://schemas.openxmlformats.org/officeDocument/2006/relationships/hyperlink" Target="https://contrataciondelestado.es/wps/poc?uri=deeplink:detalle_licitacion&amp;idEvl=iKzaE5lX9LO8ebB%2FXTwy0A%3D%3D" TargetMode="External" Id="rId510" /><Relationship Type="http://schemas.openxmlformats.org/officeDocument/2006/relationships/hyperlink" Target="https://contrataciondelestado.es/wps/poc?uri=deeplink:detalle_licitacion&amp;idEvl=t3UKGjaf8jdVYjgxA4nMUw%3D%3D" TargetMode="External" Id="rId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512" /><Relationship Type="http://schemas.openxmlformats.org/officeDocument/2006/relationships/hyperlink" Target="https://contrataciondelestado.es/wps/poc?uri=deeplink:detalle_licitacion&amp;idEvl=U7DPYB5HgmudkQsA7ROvsg%3D%3D" TargetMode="External" Id="rId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514" /><Relationship Type="http://schemas.openxmlformats.org/officeDocument/2006/relationships/hyperlink" Target="https://contrataciondelestado.es/wps/poc?uri=deeplink:detalle_licitacion&amp;idEvl=oW0b9moZu08S7pcxhTeWOg%3D%3D" TargetMode="External" Id="rId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516" /><Relationship Type="http://schemas.openxmlformats.org/officeDocument/2006/relationships/hyperlink" Target="https://contrataciondelestado.es/wps/poc?uri=deeplink:detalle_licitacion&amp;idEvl=5ji%2B2MI9FIwzjChw4z%2FXvw%3D%3D" TargetMode="External" Id="rId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518" /><Relationship Type="http://schemas.openxmlformats.org/officeDocument/2006/relationships/hyperlink" Target="https://contrataciondelestado.es/wps/poc?uri=deeplink:detalle_licitacion&amp;idEvl=yAbJE4hQOQjyoM4us5k4vw%3D%3D" TargetMode="External" Id="rId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520" /><Relationship Type="http://schemas.openxmlformats.org/officeDocument/2006/relationships/hyperlink" Target="https://contrataciondelestado.es/wps/poc?uri=deeplink:detalle_licitacion&amp;idEvl=80o%2Fz%2FYBXk570UvEyYJSGw%3D%3D" TargetMode="External" Id="rId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522" /><Relationship Type="http://schemas.openxmlformats.org/officeDocument/2006/relationships/hyperlink" Target="https://contrataciondelestado.es/wps/poc?uri=deeplink:detalle_licitacion&amp;idEvl=Ric%2B2JhIhGUaF6cS8TCh%2FA%3D%3D" TargetMode="External" Id="rId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524" /><Relationship Type="http://schemas.openxmlformats.org/officeDocument/2006/relationships/hyperlink" Target="https://contrataciondelestado.es/wps/poc?uri=deeplink:detalle_licitacion&amp;idEvl=CzvSMHPBpbEl5NjlNci%2BtA%3D%3D" TargetMode="External" Id="rId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526" /><Relationship Type="http://schemas.openxmlformats.org/officeDocument/2006/relationships/hyperlink" Target="https://contrataciondelestado.es/wps/poc?uri=deeplink:detalle_licitacion&amp;idEvl=HtouEKQBJ1dq1DdmE7eaXg%3D%3D" TargetMode="External" Id="rId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528" /><Relationship Type="http://schemas.openxmlformats.org/officeDocument/2006/relationships/hyperlink" Target="https://contrataciondelestado.es/wps/poc?uri=deeplink:detalle_licitacion&amp;idEvl=PgTOaMNISHd%2FP7lJ7Fu0SA%3D%3D" TargetMode="External" Id="rId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530" /><Relationship Type="http://schemas.openxmlformats.org/officeDocument/2006/relationships/hyperlink" Target="https://contrataciondelestado.es/wps/poc?uri=deeplink:detalle_licitacion&amp;idEvl=uRz0Z1i20pO2gkLQ8TeYKA%3D%3D" TargetMode="External" Id="rId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532" /><Relationship Type="http://schemas.openxmlformats.org/officeDocument/2006/relationships/hyperlink" Target="https://contrataciondelestado.es/wps/poc?uri=deeplink:detalle_licitacion&amp;idEvl=JxeoRffFfhBrSd8H4b2soA%3D%3D" TargetMode="External" Id="rId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534" /><Relationship Type="http://schemas.openxmlformats.org/officeDocument/2006/relationships/hyperlink" Target="https://contrataciondelestado.es/wps/poc?uri=deeplink:detalle_licitacion&amp;idEvl=0Odm88NhzcuTylGzYmBF9Q%3D%3D" TargetMode="External" Id="rId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536" /><Relationship Type="http://schemas.openxmlformats.org/officeDocument/2006/relationships/hyperlink" Target="https://contrataciondelestado.es/wps/poc?uri=deeplink:detalle_licitacion&amp;idEvl=04mR97hr32wzjChw4z%2FXvw%3D%3D" TargetMode="External" Id="rId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538" /><Relationship Type="http://schemas.openxmlformats.org/officeDocument/2006/relationships/hyperlink" Target="https://contrataciondelestado.es/wps/poc?uri=deeplink:detalle_licitacion&amp;idEvl=z9tMsh%2Fv9RES7pcxhTeWOg%3D%3D" TargetMode="External" Id="rId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540" /><Relationship Type="http://schemas.openxmlformats.org/officeDocument/2006/relationships/hyperlink" Target="https://contrataciondelestado.es/wps/poc?uri=deeplink:detalle_licitacion&amp;idEvl=Eefd5CSnJFhVYjgxA4nMUw%3D%3D" TargetMode="External" Id="rId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542" /><Relationship Type="http://schemas.openxmlformats.org/officeDocument/2006/relationships/hyperlink" Target="https://contrataciondelestado.es/wps/poc?uri=deeplink:detalle_licitacion&amp;idEvl=UZYBRDMG%2BI836J9Lctlsuw%3D%3D" TargetMode="External" Id="rId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544" /><Relationship Type="http://schemas.openxmlformats.org/officeDocument/2006/relationships/hyperlink" Target="https://contrataciondelestado.es/wps/poc?uri=deeplink:detalle_licitacion&amp;idEvl=HlG%2BRpYnl9fmnwcj%2BxbdTg%3D%3D" TargetMode="External" Id="rId545" /><Relationship Type="http://schemas.openxmlformats.org/officeDocument/2006/relationships/hyperlink" Target="https://contrataciondelestado.es/wps/poc?uri=deeplink:detalle_licitacion&amp;idEvl=9e2wSal9Zhotm4eBPtV6eQ%3D%3D" TargetMode="External" Id="rId546" /><Relationship Type="http://schemas.openxmlformats.org/officeDocument/2006/relationships/hyperlink" Target="https://contrataciondelestado.es/wps/poc?uri=deeplink:detalle_licitacion&amp;idEvl=H%2Bs5A9jWHKAQyBAnWzHfCg%3D%3D" TargetMode="External" Id="rId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548" /><Relationship Type="http://schemas.openxmlformats.org/officeDocument/2006/relationships/hyperlink" Target="https://contrataciondelestado.es/wps/poc?uri=deeplink:detalle_licitacion&amp;idEvl=3EEosdaKkax%2FP7lJ7Fu0SA%3D%3D" TargetMode="External" Id="rId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550" /><Relationship Type="http://schemas.openxmlformats.org/officeDocument/2006/relationships/hyperlink" Target="https://contrataciondelestado.es/wps/poc?uri=deeplink:detalle_licitacion&amp;idEvl=kD8ALMrCGubjHF5qKI4aaw%3D%3D" TargetMode="External" Id="rId551" /><Relationship Type="http://schemas.openxmlformats.org/officeDocument/2006/relationships/hyperlink" Target="https://contrataciondelestado.es/wps/poc?uri=deeplink:detalle_licitacion&amp;idEvl=ARrEM%2F5tuZHs%2BnLj3vAg5A%3D%3D" TargetMode="External" Id="rId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553" /><Relationship Type="http://schemas.openxmlformats.org/officeDocument/2006/relationships/hyperlink" Target="https://contrataciondelestado.es/wps/poc?uri=deeplink:detalle_licitacion&amp;idEvl=RNxtOJvMepQQyBAnWzHfCg%3D%3D" TargetMode="External" Id="rId554"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555" /><Relationship Type="http://schemas.openxmlformats.org/officeDocument/2006/relationships/hyperlink" Target="https://contrataciondelestado.es/wps/poc?uri=deeplink:detalle_licitacion&amp;idEvl=cvm%2BNhSqiiCGCFcHcNGIlQ%3D%3D" TargetMode="External" Id="rId556"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557" /><Relationship Type="http://schemas.openxmlformats.org/officeDocument/2006/relationships/hyperlink" Target="https://contrataciondelestado.es/wps/poc?uri=deeplink:detalle_licitacion&amp;idEvl=zbG490Ml%2F10adbH3CysQuQ%3D%3D" TargetMode="External" Id="rId558"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559" /><Relationship Type="http://schemas.openxmlformats.org/officeDocument/2006/relationships/hyperlink" Target="https://contrataciondelestado.es/wps/poc?uri=deeplink:detalle_licitacion&amp;idEvl=4wVj%2B0n9Y90%2B1TMyIiZmzw%3D%3D" TargetMode="External" Id="rId560"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561" /><Relationship Type="http://schemas.openxmlformats.org/officeDocument/2006/relationships/hyperlink" Target="https://contrataciondelestado.es/wps/poc?uri=deeplink:detalle_licitacion&amp;idEvl=Us83gGQP3qb%2Fa9DgO%2BoYKQ%3D%3D" TargetMode="External" Id="rId562"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563" /><Relationship Type="http://schemas.openxmlformats.org/officeDocument/2006/relationships/hyperlink" Target="https://contrataciondelestado.es/wps/poc?uri=deeplink:detalle_licitacion&amp;idEvl=zVD8WVByWaZ%2FP7lJ7Fu0SA%3D%3D" TargetMode="External" Id="rId564"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565" /><Relationship Type="http://schemas.openxmlformats.org/officeDocument/2006/relationships/hyperlink" Target="https://contrataciondelestado.es/wps/poc?uri=deeplink:detalle_licitacion&amp;idEvl=IT4vRLUpKJ07u6%2B%2FR7DUoA%3D%3D" TargetMode="External" Id="rId566"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567" /><Relationship Type="http://schemas.openxmlformats.org/officeDocument/2006/relationships/hyperlink" Target="https://contrataciondelestado.es/wps/poc?uri=deeplink:detalle_licitacion&amp;idEvl=284IE%2BmruCe7JOCXkOhcDg%3D%3D" TargetMode="External" Id="rId56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569" /><Relationship Type="http://schemas.openxmlformats.org/officeDocument/2006/relationships/hyperlink" Target="https://contrataciondelestado.es/wps/poc?uri=deeplink:detalle_licitacion&amp;idEvl=lLsAhqFoPU6AAM7L03kM8A%3D%3D" TargetMode="External" Id="rId570"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571" /><Relationship Type="http://schemas.openxmlformats.org/officeDocument/2006/relationships/hyperlink" Target="https://contrataciondelestado.es/wps/poc?uri=deeplink:detalle_licitacion&amp;idEvl=O7h0OP51aL5t5r0ngvMetA%3D%3D" TargetMode="External" Id="rId572"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573" /><Relationship Type="http://schemas.openxmlformats.org/officeDocument/2006/relationships/hyperlink" Target="https://contrataciondelestado.es/wps/poc?uri=deeplink:detalle_licitacion&amp;idEvl=Vj9Ypqj8j46P66GS%2BONYvQ%3D%3D" TargetMode="External" Id="rId574" /><Relationship Type="http://schemas.openxmlformats.org/officeDocument/2006/relationships/hyperlink" Target="https://contrataciondelestado.es/wps/poc?uri=deeplink:detalle_licitacion&amp;idEvl=iwswG7Razf3ua%2Fi14w%2FPLA%3D%3D" TargetMode="External" Id="rId575"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576" /><Relationship Type="http://schemas.openxmlformats.org/officeDocument/2006/relationships/hyperlink" Target="https://contrataciondelestado.es/wps/poc?uri=deeplink:detalle_licitacion&amp;idEvl=dBbYY6HOW17LIx6q1oPaMg%3D%3D" TargetMode="External" Id="rId577"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578" /><Relationship Type="http://schemas.openxmlformats.org/officeDocument/2006/relationships/hyperlink" Target="https://contrataciondelestado.es/wps/poc?uri=deeplink:detalle_licitacion&amp;idEvl=tmydTRvlqNzs%2BnLj3vAg5A%3D%3D" TargetMode="External" Id="rId57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580" /><Relationship Type="http://schemas.openxmlformats.org/officeDocument/2006/relationships/hyperlink" Target="https://contrataciondelestado.es/wps/poc?uri=deeplink:detalle_licitacion&amp;idEvl=PwiYOKoHOW8%2FbjW6njtWLw%3D%3D" TargetMode="External" Id="rId581"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582" /><Relationship Type="http://schemas.openxmlformats.org/officeDocument/2006/relationships/hyperlink" Target="https://contrataciondelestado.es/wps/poc?uri=deeplink:detalle_licitacion&amp;idEvl=xdcZCNyFdfnjHF5qKI4aaw%3D%3D" TargetMode="External" Id="rId583"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584" /><Relationship Type="http://schemas.openxmlformats.org/officeDocument/2006/relationships/hyperlink" Target="https://contrataciondelestado.es/wps/poc?uri=deeplink:detalle_licitacion&amp;idEvl=DN%2BJvHvcQebE6P%2FuLemXRw%3D%3D" TargetMode="External" Id="rId585"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586" /><Relationship Type="http://schemas.openxmlformats.org/officeDocument/2006/relationships/hyperlink" Target="https://contrataciondelestado.es/wps/poc?uri=deeplink:detalle_licitacion&amp;idEvl=SeGaILImDPtQFSeKCRun4Q%3D%3D" TargetMode="External" Id="rId587"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588" /><Relationship Type="http://schemas.openxmlformats.org/officeDocument/2006/relationships/hyperlink" Target="https://contrataciondelestado.es/wps/poc?uri=deeplink:detalle_licitacion&amp;idEvl=HLupSxRM2QhrhBlEHQFSKA%3D%3D" TargetMode="External" Id="rId589"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590" /><Relationship Type="http://schemas.openxmlformats.org/officeDocument/2006/relationships/hyperlink" Target="https://contrataciondelestado.es/wps/poc?uri=deeplink:detalle_licitacion&amp;idEvl=TBVAfSQ3Ua6opEMYCmrbmw%3D%3D" TargetMode="External" Id="rId591"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592" /><Relationship Type="http://schemas.openxmlformats.org/officeDocument/2006/relationships/hyperlink" Target="https://contrataciondelestado.es/wps/poc?uri=deeplink:detalle_licitacion&amp;idEvl=eBKev387l1HVGIpKDxgsAQ%3D%3D" TargetMode="External" Id="rId593"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594" /><Relationship Type="http://schemas.openxmlformats.org/officeDocument/2006/relationships/hyperlink" Target="https://contrataciondelestado.es/wps/poc?uri=deeplink:detalle_licitacion&amp;idEvl=f%2BKLE3baAZGKeVWTb9Scog%3D%3D" TargetMode="External" Id="rId595"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596" /><Relationship Type="http://schemas.openxmlformats.org/officeDocument/2006/relationships/hyperlink" Target="https://contrataciondelestado.es/wps/poc?uri=deeplink:detalle_licitacion&amp;idEvl=fNK08PAee9stm4eBPtV6eQ%3D%3D" TargetMode="External" Id="rId597"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598" /><Relationship Type="http://schemas.openxmlformats.org/officeDocument/2006/relationships/hyperlink" Target="https://contrataciondelestado.es/wps/poc?uri=deeplink:detalle_licitacion&amp;idEvl=Td2OOKFubwEeIBJRHQiPkQ%3D%3D" TargetMode="External" Id="rId599"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600" /><Relationship Type="http://schemas.openxmlformats.org/officeDocument/2006/relationships/hyperlink" Target="https://contrataciondelestado.es/wps/poc?uri=deeplink:detalle_licitacion&amp;idEvl=5ENLM42C%2Bec%2FbjW6njtWLw%3D%3D" TargetMode="External" Id="rId601"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602" /><Relationship Type="http://schemas.openxmlformats.org/officeDocument/2006/relationships/hyperlink" Target="https://contrataciondelestado.es/wps/poc?uri=deeplink:detalle_licitacion&amp;idEvl=2OrlPddWc56TylGzYmBF9Q%3D%3D" TargetMode="External" Id="rId603"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604" /><Relationship Type="http://schemas.openxmlformats.org/officeDocument/2006/relationships/hyperlink" Target="https://contrataciondelestado.es/wps/poc?uri=deeplink:detalle_licitacion&amp;idEvl=dbZTwVAjBOPLIx6q1oPaMg%3D%3D" TargetMode="External" Id="rId605"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606" /><Relationship Type="http://schemas.openxmlformats.org/officeDocument/2006/relationships/hyperlink" Target="https://contrataciondelestado.es/wps/poc?uri=deeplink:detalle_licitacion&amp;idEvl=G%2FuR1jUgTO83vLk2DU2Ddg%3D%3D" TargetMode="External" Id="rId607"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608" /><Relationship Type="http://schemas.openxmlformats.org/officeDocument/2006/relationships/hyperlink" Target="https://contrataciondelestado.es/wps/poc?uri=deeplink:detalle_licitacion&amp;idEvl=K7HiJE4P6NPi0Kd8%2Brcp6w%3D%3D" TargetMode="External" Id="rId609"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610" /><Relationship Type="http://schemas.openxmlformats.org/officeDocument/2006/relationships/hyperlink" Target="https://contrataciondelestado.es/wps/poc?uri=deeplink:detalle_licitacion&amp;idEvl=1yk6A%2BAfUtDzAq95uGTrDQ%3D%3D" TargetMode="External" Id="rId611"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612" /><Relationship Type="http://schemas.openxmlformats.org/officeDocument/2006/relationships/hyperlink" Target="https://contrataciondelestado.es/wps/poc?uri=deeplink:detalle_licitacion&amp;idEvl=FwcijBZWdMweC9GJQOEBkQ%3D%3D" TargetMode="External" Id="rId613"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614" /><Relationship Type="http://schemas.openxmlformats.org/officeDocument/2006/relationships/hyperlink" Target="https://contrataciondelestado.es/wps/poc?uri=deeplink:detalle_licitacion&amp;idEvl=mVq8uFi87t7N3k3tjedSGw%3D%3D" TargetMode="External" Id="rId615"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16" /><Relationship Type="http://schemas.openxmlformats.org/officeDocument/2006/relationships/hyperlink" Target="https://contrataciondelestado.es/wps/poc?uri=deeplink:detalle_licitacion&amp;idEvl=msn4vT%2FXUOotm4eBPtV6eQ%3D%3D" TargetMode="External" Id="rId617"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618" /><Relationship Type="http://schemas.openxmlformats.org/officeDocument/2006/relationships/hyperlink" Target="https://contrataciondelestado.es/wps/poc?uri=deeplink:detalle_licitacion&amp;idEvl=XNe%2FZY3OLWfL1rX3q%2FMAPA%3D%3D" TargetMode="External" Id="rId619"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620" /><Relationship Type="http://schemas.openxmlformats.org/officeDocument/2006/relationships/hyperlink" Target="https://contrataciondelestado.es/wps/poc?uri=deeplink:detalle_licitacion&amp;idEvl=GADmwfO5rNuqb7rCcv76BA%3D%3D" TargetMode="External" Id="rId621"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622" /><Relationship Type="http://schemas.openxmlformats.org/officeDocument/2006/relationships/hyperlink" Target="https://contrataciondelestado.es/wps/poc?uri=deeplink:detalle_licitacion&amp;idEvl=ouB54JpFDBJ70UvEyYJSGw%3D%3D" TargetMode="External" Id="rId62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624" /><Relationship Type="http://schemas.openxmlformats.org/officeDocument/2006/relationships/hyperlink" Target="https://contrataciondelestado.es/wps/poc?uri=deeplink:detalle_licitacion&amp;idEvl=b9aOgEZZoE7%2Fa9DgO%2BoYKQ%3D%3D" TargetMode="External" Id="rId62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626" /><Relationship Type="http://schemas.openxmlformats.org/officeDocument/2006/relationships/hyperlink" Target="https://contrataciondelestado.es/wps/poc?uri=deeplink:detalle_licitacion&amp;idEvl=cTciWhwV8bR70UvEyYJSGw%3D%3D" TargetMode="External" Id="rId62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628" /><Relationship Type="http://schemas.openxmlformats.org/officeDocument/2006/relationships/hyperlink" Target="https://contrataciondelestado.es/wps/poc?uri=deeplink:detalle_licitacion&amp;idEvl=qXbE4a65vaI7u6%2B%2FR7DUoA%3D%3D" TargetMode="External" Id="rId629" /><Relationship Type="http://schemas.openxmlformats.org/officeDocument/2006/relationships/hyperlink" Target="https://contrataciondelestado.es/wps/poc?uri=deeplink:detalle_licitacion&amp;idEvl=MlU%2Boh3A%2FDNt5r0ngvMetA%3D%3D" TargetMode="External" Id="rId63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631" /><Relationship Type="http://schemas.openxmlformats.org/officeDocument/2006/relationships/hyperlink" Target="https://contrataciondelestado.es/wps/poc?uri=deeplink:detalle_licitacion&amp;idEvl=SsJ8Hqp%2BAWyExvMJXBMHHQ%3D%3D" TargetMode="External" Id="rId63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633" /><Relationship Type="http://schemas.openxmlformats.org/officeDocument/2006/relationships/hyperlink" Target="https://contrataciondelestado.es/wps/poc?uri=deeplink:detalle_licitacion&amp;idEvl=Fei3NXJw2cB%2FR5QFTlaM4A%3D%3D" TargetMode="External" Id="rId634"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635" /><Relationship Type="http://schemas.openxmlformats.org/officeDocument/2006/relationships/hyperlink" Target="https://contrataciondelestado.es/wps/poc?uri=deeplink:detalle_licitacion&amp;idEvl=hyPCgqRznveFQ%2FlhRK79lA%3D%3D" TargetMode="External" Id="rId636"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637" /><Relationship Type="http://schemas.openxmlformats.org/officeDocument/2006/relationships/hyperlink" Target="https://contrataciondelestado.es/wps/poc?uri=deeplink:detalle_licitacion&amp;idEvl=vbJH2T9JGtPL1rX3q%2FMAPA%3D%3D" TargetMode="External" Id="rId638"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639" /><Relationship Type="http://schemas.openxmlformats.org/officeDocument/2006/relationships/hyperlink" Target="https://contrataciondelestado.es/wps/poc?uri=deeplink:detalle_licitacion&amp;idEvl=jOUXAP4H3%2FfI8aL3PRS10Q%3D%3D" TargetMode="External" Id="rId640"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641" /><Relationship Type="http://schemas.openxmlformats.org/officeDocument/2006/relationships/hyperlink" Target="https://contrataciondelestado.es/wps/poc?uri=deeplink:detalle_licitacion&amp;idEvl=YPLo24qZl8jE6P%2FuLemXRw%3D%3D" TargetMode="External" Id="rId642"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643" /><Relationship Type="http://schemas.openxmlformats.org/officeDocument/2006/relationships/hyperlink" Target="https://contrataciondelestado.es/wps/poc?uri=deeplink:detalle_licitacion&amp;idEvl=DThsT9N5yPoadbH3CysQuQ%3D%3D" TargetMode="External" Id="rId644"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645" /><Relationship Type="http://schemas.openxmlformats.org/officeDocument/2006/relationships/hyperlink" Target="https://contrataciondelestado.es/wps/poc?uri=deeplink:detalle_licitacion&amp;idEvl=R0Bb8SkWeZNq1DdmE7eaXg%3D%3D" TargetMode="External" Id="rId646"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647" /><Relationship Type="http://schemas.openxmlformats.org/officeDocument/2006/relationships/hyperlink" Target="https://contrataciondelestado.es/wps/poc?uri=deeplink:detalle_licitacion&amp;idEvl=tKHDOERS%2FfKKeVWTb9Scog%3D%3D" TargetMode="External" Id="rId648"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649" /><Relationship Type="http://schemas.openxmlformats.org/officeDocument/2006/relationships/hyperlink" Target="https://contrataciondelestado.es/wps/poc?uri=deeplink:detalle_licitacion&amp;idEvl=Ae73KLuIe%2BN6nTs9LZ9RhQ%3D%3D" TargetMode="External" Id="rId650"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651" /><Relationship Type="http://schemas.openxmlformats.org/officeDocument/2006/relationships/hyperlink" Target="https://contrataciondelestado.es/wps/poc?uri=deeplink:detalle_licitacion&amp;idEvl=fkycVsnkQ4k%2Bk2oCbDosIw%3D%3D" TargetMode="External" Id="rId652"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653" /><Relationship Type="http://schemas.openxmlformats.org/officeDocument/2006/relationships/hyperlink" Target="https://contrataciondelestado.es/wps/poc?uri=deeplink:detalle_licitacion&amp;idEvl=ujnDWDuOeiqP66GS%2BONYvQ%3D%3D" TargetMode="External" Id="rId654"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655" /><Relationship Type="http://schemas.openxmlformats.org/officeDocument/2006/relationships/hyperlink" Target="https://contrataciondelestado.es/wps/poc?uri=deeplink:detalle_licitacion&amp;idEvl=Uoz1N733H2gIYE3ZiZ%2BxmQ%3D%3D" TargetMode="External" Id="rId656"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657" /><Relationship Type="http://schemas.openxmlformats.org/officeDocument/2006/relationships/hyperlink" Target="https://contrataciondelestado.es/wps/poc?uri=deeplink:detalle_licitacion&amp;idEvl=yjbHRoEr138QyBAnWzHfCg%3D%3D" TargetMode="External" Id="rId658"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659" /><Relationship Type="http://schemas.openxmlformats.org/officeDocument/2006/relationships/hyperlink" Target="https://contrataciondelestado.es/wps/poc?uri=deeplink:detalle_licitacion&amp;idEvl=hFlCrIgyjhWS81gZFETWmA%3D%3D" TargetMode="External" Id="rId660"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661" /><Relationship Type="http://schemas.openxmlformats.org/officeDocument/2006/relationships/hyperlink" Target="https://contrataciondelestado.es/wps/poc?uri=deeplink:detalle_licitacion&amp;idEvl=iYZ8Ocx0WswkJPJS%2BPS9vg%3D%3D" TargetMode="External" Id="rId662" /><Relationship Type="http://schemas.openxmlformats.org/officeDocument/2006/relationships/hyperlink" Target="https://contrataciondelestado.es/wps/poc?uri=deeplink:detalle_licitacion&amp;idEvl=hXakaQtyrNkmMOlAXxDEjw%3D%3D" TargetMode="External" Id="rId663"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664" /><Relationship Type="http://schemas.openxmlformats.org/officeDocument/2006/relationships/hyperlink" Target="https://contrataciondelestado.es/wps/poc?uri=deeplink:detalle_licitacion&amp;idEvl=qu4ezZIJRaNxseVhcqrkhw%3D%3D" TargetMode="External" Id="rId665" /><Relationship Type="http://schemas.openxmlformats.org/officeDocument/2006/relationships/hyperlink" Target="https://contrataciondelestado.es/FileSystem/servlet/GetDocumentByIdServlet?cifrado=QUC1GjXXSiLkydRHJBmbpw%3D%3D&amp;DocumentIdParam=wzceR%2BpxeMY9nP8B/IsI1SRdfT3nssb8I/LAVIHY86BeAO7FUwZmAk7kxWP4i27zFwBCQjbT8dn8KNTeayqrN6Tfkb5Xfx5nzwQCqe1NL5bVTD3T98KC0nSgQFM0q%2B5s" TargetMode="External" Id="rId666" /><Relationship Type="http://schemas.openxmlformats.org/officeDocument/2006/relationships/hyperlink" Target="https://contrataciondelestado.es/wps/poc?uri=deeplink:detalle_licitacion&amp;idEvl=FSdyYoC2y1QmMOlAXxDEjw%3D%3D" TargetMode="External" Id="rId667" /><Relationship Type="http://schemas.openxmlformats.org/officeDocument/2006/relationships/hyperlink" Target="https://contrataciondelestado.es/wps/poc?uri=deeplink:detalle_licitacion&amp;idEvl=ZI2J4aHV9bN70UvEyYJSGw%3D%3D" TargetMode="External" Id="rId668"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669" /><Relationship Type="http://schemas.openxmlformats.org/officeDocument/2006/relationships/hyperlink" Target="https://contrataciondelestado.es/wps/poc?uri=deeplink:detalle_licitacion&amp;idEvl=bJ7RafCEkY6cCF8sV%2BqtYA%3D%3D" TargetMode="External" Id="rId670"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671" /><Relationship Type="http://schemas.openxmlformats.org/officeDocument/2006/relationships/hyperlink" Target="https://contrataciondelestado.es/wps/poc?uri=deeplink:detalle_licitacion&amp;idEvl=ynX2T2b5rVri0Kd8%2Brcp6w%3D%3D" TargetMode="External" Id="rId672"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673" /><Relationship Type="http://schemas.openxmlformats.org/officeDocument/2006/relationships/hyperlink" Target="https://contrataciondelestado.es/wps/poc?uri=deeplink:detalle_licitacion&amp;idEvl=%2Fc%2Bm8RERtmmsNfRW6APEDw%3D%3D" TargetMode="External" Id="rId674"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675" /><Relationship Type="http://schemas.openxmlformats.org/officeDocument/2006/relationships/hyperlink" Target="https://contrataciondelestado.es/wps/poc?uri=deeplink:detalle_licitacion&amp;idEvl=ge8ExxufhqSopEMYCmrbmw%3D%3D" TargetMode="External" Id="rId676"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677" /><Relationship Type="http://schemas.openxmlformats.org/officeDocument/2006/relationships/hyperlink" Target="https://contrataciondelestado.es/wps/poc?uri=deeplink:detalle_licitacion&amp;idEvl=QLSVTSlFHpR6nTs9LZ9RhQ%3D%3D" TargetMode="External" Id="rId678"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9" /><Relationship Type="http://schemas.openxmlformats.org/officeDocument/2006/relationships/hyperlink" Target="https://contrataciondelestado.es/wps/poc?uri=deeplink:detalle_licitacion&amp;idEvl=sCRawiNHKK8zjChw4z%2FXvw%3D%3D" TargetMode="External" Id="rId680"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81" /><Relationship Type="http://schemas.openxmlformats.org/officeDocument/2006/relationships/hyperlink" Target="https://contrataciondelestado.es/wps/poc?uri=deeplink:detalle_licitacion&amp;idEvl=YWgQEPL1ekZxseVhcqrkhw%3D%3D" TargetMode="External" Id="rId682"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683" /><Relationship Type="http://schemas.openxmlformats.org/officeDocument/2006/relationships/hyperlink" Target="https://contrataciondelestado.es/wps/poc?uri=deeplink:detalle_licitacion&amp;idEvl=59lJFIybtLr5Rey58Yagpg%3D%3D" TargetMode="External" Id="rId684"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685" /><Relationship Type="http://schemas.openxmlformats.org/officeDocument/2006/relationships/hyperlink" Target="https://contrataciondelestado.es/wps/poc?uri=deeplink:detalle_licitacion&amp;idEvl=ad1g%2Bq9rOCWkU02jNGj1Fw%3D%3D" TargetMode="External" Id="rId686"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687" /><Relationship Type="http://schemas.openxmlformats.org/officeDocument/2006/relationships/hyperlink" Target="https://contrataciondelestado.es/wps/poc?uri=deeplink:detalle_licitacion&amp;idEvl=VsbZ9Ys7oH4eC9GJQOEBkQ%3D%3D" TargetMode="External" Id="rId688"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689" /><Relationship Type="http://schemas.openxmlformats.org/officeDocument/2006/relationships/hyperlink" Target="https://contrataciondelestado.es/wps/poc?uri=deeplink:detalle_licitacion&amp;idEvl=Yzq1eAgxXeA%2Bk2oCbDosIw%3D%3D" TargetMode="External" Id="rId69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691" /><Relationship Type="http://schemas.openxmlformats.org/officeDocument/2006/relationships/hyperlink" Target="https://contrataciondelestado.es/wps/poc?uri=deeplink:detalle_licitacion&amp;idEvl=Vt6pjW7ieHji0Kd8%2Brcp6w%3D%3D" TargetMode="External" Id="rId692"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693" /><Relationship Type="http://schemas.openxmlformats.org/officeDocument/2006/relationships/hyperlink" Target="https://contrataciondelestado.es/wps/poc?uri=deeplink:detalle_licitacion&amp;idEvl=dQaQWHUJEmbzAq95uGTrDQ%3D%3D" TargetMode="External" Id="rId694"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695" /><Relationship Type="http://schemas.openxmlformats.org/officeDocument/2006/relationships/hyperlink" Target="https://contrataciondelestado.es/wps/poc?uri=deeplink:detalle_licitacion&amp;idEvl=NNpsipETf%2Fx70UvEyYJSGw%3D%3D" TargetMode="External" Id="rId696"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697" /><Relationship Type="http://schemas.openxmlformats.org/officeDocument/2006/relationships/hyperlink" Target="https://contrataciondelestado.es/wps/poc?uri=deeplink:detalle_licitacion&amp;idEvl=W%2B3woEfT0bL%2B3JAijKO%2Bkg%3D%3D" TargetMode="External" Id="rId698"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699" /><Relationship Type="http://schemas.openxmlformats.org/officeDocument/2006/relationships/hyperlink" Target="https://contrataciondelestado.es/wps/poc?uri=deeplink:detalle_licitacion&amp;idEvl=w6OS8MCYZKd70UvEyYJSGw%3D%3D" TargetMode="External" Id="rId700"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701" /><Relationship Type="http://schemas.openxmlformats.org/officeDocument/2006/relationships/hyperlink" Target="https://contrataciondelestado.es/wps/poc?uri=deeplink:detalle_licitacion&amp;idEvl=sekD1puXkRK2gkLQ8TeYKA%3D%3D" TargetMode="External" Id="rId702"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703" /><Relationship Type="http://schemas.openxmlformats.org/officeDocument/2006/relationships/hyperlink" Target="https://contrataciondelestado.es/wps/poc?uri=deeplink:detalle_licitacion&amp;idEvl=jBURuIudDdfgL1BHd3qjQA%3D%3D" TargetMode="External" Id="rId704"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705" /><Relationship Type="http://schemas.openxmlformats.org/officeDocument/2006/relationships/hyperlink" Target="https://contrataciondelestado.es/wps/poc?uri=deeplink:detalle_licitacion&amp;idEvl=%2FkhmkNb0THlJ8Trn0ZPzLw%3D%3D" TargetMode="External" Id="rId706"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707" /><Relationship Type="http://schemas.openxmlformats.org/officeDocument/2006/relationships/hyperlink" Target="https://contrataciondelestado.es/wps/poc?uri=deeplink:detalle_licitacion&amp;idEvl=B6t%2F%2FrlHQPQmMOlAXxDEjw%3D%3D" TargetMode="External" Id="rId708"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709" /><Relationship Type="http://schemas.openxmlformats.org/officeDocument/2006/relationships/hyperlink" Target="https://contrataciondelestado.es/wps/poc?uri=deeplink:detalle_licitacion&amp;idEvl=%2Fj%2F19P8TA%2FDXOjazN1Dw9Q%3D%3D" TargetMode="External" Id="rId710"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711" /><Relationship Type="http://schemas.openxmlformats.org/officeDocument/2006/relationships/hyperlink" Target="https://contrataciondelestado.es/wps/poc?uri=deeplink:detalle_licitacion&amp;idEvl=aLimt8KmQDQ3vLk2DU2Ddg%3D%3D" TargetMode="External" Id="rId712"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713" /><Relationship Type="http://schemas.openxmlformats.org/officeDocument/2006/relationships/hyperlink" Target="https://contrataciondelestado.es/wps/poc?uri=deeplink:detalle_licitacion&amp;idEvl=fCpL7081nsO5HQrHoP3G5A%3D%3D" TargetMode="External" Id="rId714"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715" /><Relationship Type="http://schemas.openxmlformats.org/officeDocument/2006/relationships/hyperlink" Target="https://contrataciondelestado.es/wps/poc?uri=deeplink:detalle_licitacion&amp;idEvl=7UapLifuXbzE6P%2FuLemXRw%3D%3D" TargetMode="External" Id="rId716"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717" /><Relationship Type="http://schemas.openxmlformats.org/officeDocument/2006/relationships/hyperlink" Target="https://contrataciondelestado.es/wps/poc?uri=deeplink:detalle_licitacion&amp;idEvl=Dy0MaKcOGghVYjgxA4nMUw%3D%3D" TargetMode="External" Id="rId718"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719" /><Relationship Type="http://schemas.openxmlformats.org/officeDocument/2006/relationships/hyperlink" Target="https://contrataciondelestado.es/wps/poc?uri=deeplink:detalle_licitacion&amp;idEvl=dXOo1Nj4STeopEMYCmrbmw%3D%3D" TargetMode="External" Id="rId720"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721" /><Relationship Type="http://schemas.openxmlformats.org/officeDocument/2006/relationships/hyperlink" Target="https://contrataciondelestado.es/wps/poc?uri=deeplink:detalle_licitacion&amp;idEvl=yxLbMc2LQ0CP%2Bo96UAV7cQ%3D%3D" TargetMode="External" Id="rId722"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723" /><Relationship Type="http://schemas.openxmlformats.org/officeDocument/2006/relationships/hyperlink" Target="https://contrataciondelestado.es/wps/poc?uri=deeplink:detalle_licitacion&amp;idEvl=OTEvKtlHcanIGlsa0Wad%2Bw%3D%3D" TargetMode="External" Id="rId724"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725" /><Relationship Type="http://schemas.openxmlformats.org/officeDocument/2006/relationships/hyperlink" Target="https://contrataciondelestado.es/wps/poc?uri=deeplink:detalle_licitacion&amp;idEvl=q5l4u%2FlYkV%2F10HRJw8TEnQ%3D%3D" TargetMode="External" Id="rId72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727" /><Relationship Type="http://schemas.openxmlformats.org/officeDocument/2006/relationships/hyperlink" Target="https://contrataciondelestado.es/wps/poc?uri=deeplink:detalle_licitacion&amp;idEvl=9H33xImsHAtVq4S9zvaQpQ%3D%3D" TargetMode="External" Id="rId72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729" /><Relationship Type="http://schemas.openxmlformats.org/officeDocument/2006/relationships/hyperlink" Target="https://contrataciondelestado.es/wps/poc?uri=deeplink:detalle_licitacion&amp;idEvl=thB9%2Fr2CC4qS81gZFETWmA%3D%3D" TargetMode="External" Id="rId73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731" /><Relationship Type="http://schemas.openxmlformats.org/officeDocument/2006/relationships/hyperlink" Target="https://contrataciondelestado.es/wps/poc?uri=deeplink:detalle_licitacion&amp;idEvl=Jwc8X7avjbcl5NjlNci%2BtA%3D%3D" TargetMode="External" Id="rId73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733" /><Relationship Type="http://schemas.openxmlformats.org/officeDocument/2006/relationships/hyperlink" Target="https://contrataciondelestado.es/wps/poc?uri=deeplink:detalle_licitacion&amp;idEvl=NBisZonF33wzjChw4z%2FXvw%3D%3D" TargetMode="External" Id="rId73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735" /><Relationship Type="http://schemas.openxmlformats.org/officeDocument/2006/relationships/hyperlink" Target="https://contrataciondelestado.es/wps/poc?uri=deeplink:detalle_licitacion&amp;idEvl=%2BErkgO5HAcnyoM4us5k4vw%3D%3D" TargetMode="External" Id="rId73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737" /><Relationship Type="http://schemas.openxmlformats.org/officeDocument/2006/relationships/hyperlink" Target="https://contrataciondelestado.es/wps/poc?uri=deeplink:detalle_licitacion&amp;idEvl=yETWMHlcJJ0QyBAnWzHfCg%3D%3D" TargetMode="External" Id="rId73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739" /><Relationship Type="http://schemas.openxmlformats.org/officeDocument/2006/relationships/hyperlink" Target="https://contrataciondelestado.es/wps/poc?uri=deeplink:detalle_licitacion&amp;idEvl=L0ChsKpcaZfs%2BnLj3vAg5A%3D%3D" TargetMode="External" Id="rId74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741" /><Relationship Type="http://schemas.openxmlformats.org/officeDocument/2006/relationships/hyperlink" Target="https://contrataciondelestado.es/wps/poc?uri=deeplink:detalle_licitacion&amp;idEvl=Lqqkgxv%2FU%2F9t5r0ngvMetA%3D%3D" TargetMode="External" Id="rId742"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43" /><Relationship Type="http://schemas.openxmlformats.org/officeDocument/2006/relationships/hyperlink" Target="https://contrataciondelestado.es/wps/poc?uri=deeplink:detalle_licitacion&amp;idEvl=0m%2BiOOG5dJw36J9Lctlsuw%3D%3D" TargetMode="External" Id="rId744"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745" /><Relationship Type="http://schemas.openxmlformats.org/officeDocument/2006/relationships/hyperlink" Target="https://contrataciondelestado.es/wps/poc?uri=deeplink:detalle_licitacion&amp;idEvl=1tXYVC1wrvRVYjgxA4nMUw%3D%3D" TargetMode="External" Id="rId746"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747" /><Relationship Type="http://schemas.openxmlformats.org/officeDocument/2006/relationships/hyperlink" Target="https://contrataciondelestado.es/wps/poc?uri=deeplink:detalle_licitacion&amp;idEvl=4mb%2BuVvgvmVQFSeKCRun4Q%3D%3D" TargetMode="External" Id="rId748"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749" /><Relationship Type="http://schemas.openxmlformats.org/officeDocument/2006/relationships/hyperlink" Target="https://contrataciondelestado.es/wps/poc?uri=deeplink:detalle_licitacion&amp;idEvl=SKd16xhWJC1rhBlEHQFSKA%3D%3D" TargetMode="External" Id="rId750"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751" /><Relationship Type="http://schemas.openxmlformats.org/officeDocument/2006/relationships/hyperlink" Target="https://contrataciondelestado.es/wps/poc?uri=deeplink:detalle_licitacion&amp;idEvl=odYgMQCUvR2P%2Bo96UAV7cQ%3D%3D" TargetMode="External" Id="rId752"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753" /><Relationship Type="http://schemas.openxmlformats.org/officeDocument/2006/relationships/hyperlink" Target="https://contrataciondelestado.es/wps/poc?uri=deeplink:detalle_licitacion&amp;idEvl=TuwH28gmLd%2BKeVWTb9Scog%3D%3D" TargetMode="External" Id="rId754"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755" /><Relationship Type="http://schemas.openxmlformats.org/officeDocument/2006/relationships/hyperlink" Target="https://contrataciondelestado.es/wps/poc?uri=deeplink:detalle_licitacion&amp;idEvl=tnpcb%2B9LXGLgL1BHd3qjQA%3D%3D" TargetMode="External" Id="rId756"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757" /><Relationship Type="http://schemas.openxmlformats.org/officeDocument/2006/relationships/hyperlink" Target="https://contrataciondelestado.es/wps/poc?uri=deeplink:detalle_licitacion&amp;idEvl=j33u5F%2BIK4XE6P%2FuLemXRw%3D%3D" TargetMode="External" Id="rId758"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759" /><Relationship Type="http://schemas.openxmlformats.org/officeDocument/2006/relationships/hyperlink" Target="https://contrataciondelestado.es/wps/poc?uri=deeplink:detalle_licitacion&amp;idEvl=XjsYRiFYwurCfVQHDepjGQ%3D%3D" TargetMode="External" Id="rId760"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61" /><Relationship Type="http://schemas.openxmlformats.org/officeDocument/2006/relationships/hyperlink" Target="https://contrataciondelestado.es/wps/poc?uri=deeplink:detalle_licitacion&amp;idEvl=TPHdaR6odYaS81gZFETWmA%3D%3D" TargetMode="External" Id="rId762"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763" /><Relationship Type="http://schemas.openxmlformats.org/officeDocument/2006/relationships/hyperlink" Target="https://contrataciondelestado.es/wps/poc?uri=deeplink:detalle_licitacion&amp;idEvl=NibXcOySXiPLIx6q1oPaMg%3D%3D" TargetMode="External" Id="rId764"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765" /><Relationship Type="http://schemas.openxmlformats.org/officeDocument/2006/relationships/hyperlink" Target="https://contrataciondelestado.es/wps/poc?uri=deeplink:detalle_licitacion&amp;idEvl=oqO%2FSxQrdkaAAM7L03kM8A%3D%3D" TargetMode="External" Id="rId766"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767" /><Relationship Type="http://schemas.openxmlformats.org/officeDocument/2006/relationships/hyperlink" Target="https://contrataciondelestado.es/wps/poc?uri=deeplink:detalle_licitacion&amp;idEvl=u2QF1AuClDXmnwcj%2BxbdTg%3D%3D" TargetMode="External" Id="rId768"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769" /><Relationship Type="http://schemas.openxmlformats.org/officeDocument/2006/relationships/hyperlink" Target="https://contrataciondelestado.es/wps/poc?uri=deeplink:detalle_licitacion&amp;idEvl=y34ySu%2FwvBNVYjgxA4nMUw%3D%3D" TargetMode="External" Id="rId770"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771" /><Relationship Type="http://schemas.openxmlformats.org/officeDocument/2006/relationships/hyperlink" Target="https://contrataciondelestado.es/wps/poc?uri=deeplink:detalle_licitacion&amp;idEvl=jvJ3ph4P%2FNDyoM4us5k4vw%3D%3D" TargetMode="External" Id="rId77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773" /><Relationship Type="http://schemas.openxmlformats.org/officeDocument/2006/relationships/hyperlink" Target="https://contrataciondelestado.es/wps/poc?uri=deeplink:detalle_licitacion&amp;idEvl=kJ4H63VAtjuHCIsjvJ3rhQ%3D%3D" TargetMode="External" Id="rId77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775" /><Relationship Type="http://schemas.openxmlformats.org/officeDocument/2006/relationships/hyperlink" Target="https://contrataciondelestado.es/wps/poc?uri=deeplink:detalle_licitacion&amp;idEvl=07QWi0W65iQtm4eBPtV6eQ%3D%3D" TargetMode="External" Id="rId77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777" /><Relationship Type="http://schemas.openxmlformats.org/officeDocument/2006/relationships/hyperlink" Target="https://contrataciondelestado.es/wps/poc?uri=deeplink:detalle_licitacion&amp;idEvl=Id%2Fq7hSVPmQUqXM96WStVA%3D%3D" TargetMode="External" Id="rId77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779" /><Relationship Type="http://schemas.openxmlformats.org/officeDocument/2006/relationships/hyperlink" Target="https://contrataciondelestado.es/wps/poc?uri=deeplink:detalle_licitacion&amp;idEvl=rrnzBj4Ftf%2B5HQrHoP3G5A%3D%3D" TargetMode="External" Id="rId78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781" /><Relationship Type="http://schemas.openxmlformats.org/officeDocument/2006/relationships/hyperlink" Target="https://contrataciondelestado.es/wps/poc?uri=deeplink:detalle_licitacion&amp;idEvl=NWSuAqfVhZcaF6cS8TCh%2FA%3D%3D" TargetMode="External" Id="rId782" /><Relationship Type="http://schemas.openxmlformats.org/officeDocument/2006/relationships/hyperlink" Target="https://contrataciondelestado.es/wps/poc?uri=deeplink:detalle_licitacion&amp;idEvl=ujmYhf3SwywQyBAnWzHfCg%3D%3D" TargetMode="External" Id="rId78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784" /><Relationship Type="http://schemas.openxmlformats.org/officeDocument/2006/relationships/hyperlink" Target="https://contrataciondelestado.es/wps/poc?uri=deeplink:detalle_licitacion&amp;idEvl=YwAqicOq0zBxseVhcqrkhw%3D%3D" TargetMode="External" Id="rId785"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786" /><Relationship Type="http://schemas.openxmlformats.org/officeDocument/2006/relationships/hyperlink" Target="https://contrataciondelestado.es/wps/poc?uri=deeplink:detalle_licitacion&amp;idEvl=ZXyMQVtJGGxVq4S9zvaQpQ%3D%3D" TargetMode="External" Id="rId787"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788" /><Relationship Type="http://schemas.openxmlformats.org/officeDocument/2006/relationships/hyperlink" Target="https://contrataciondelestado.es/wps/poc?uri=deeplink:detalle_licitacion&amp;idEvl=oahJhN%2BxhRGsNfRW6APEDw%3D%3D" TargetMode="External" Id="rId789"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790" /><Relationship Type="http://schemas.openxmlformats.org/officeDocument/2006/relationships/hyperlink" Target="https://contrataciondelestado.es/wps/poc?uri=deeplink:detalle_licitacion&amp;idEvl=DrPmzDZYBPg3vLk2DU2Ddg%3D%3D" TargetMode="External" Id="rId79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792" /><Relationship Type="http://schemas.openxmlformats.org/officeDocument/2006/relationships/hyperlink" Target="https://contrataciondelestado.es/wps/poc?uri=deeplink:detalle_licitacion&amp;idEvl=8jLDg7c60EkUqXM96WStVA%3D%3D" TargetMode="External" Id="rId79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794" /><Relationship Type="http://schemas.openxmlformats.org/officeDocument/2006/relationships/hyperlink" Target="https://contrataciondelestado.es/wps/poc?uri=deeplink:detalle_licitacion&amp;idEvl=MM9a6jiiQQ2dkQsA7ROvsg%3D%3D" TargetMode="External" Id="rId79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796" /><Relationship Type="http://schemas.openxmlformats.org/officeDocument/2006/relationships/hyperlink" Target="https://contrataciondelestado.es/wps/poc?uri=deeplink:detalle_licitacion&amp;idEvl=TawEbwovq9W5HQrHoP3G5A%3D%3D" TargetMode="External" Id="rId79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798" /><Relationship Type="http://schemas.openxmlformats.org/officeDocument/2006/relationships/hyperlink" Target="https://contrataciondelestado.es/wps/poc?uri=deeplink:detalle_licitacion&amp;idEvl=8fY0U%2Fq7swOFlFRHfEzEaw%3D%3D" TargetMode="External" Id="rId799"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800" /><Relationship Type="http://schemas.openxmlformats.org/officeDocument/2006/relationships/hyperlink" Target="https://contrataciondelestado.es/wps/poc?uri=deeplink:detalle_licitacion&amp;idEvl=qmz1vmd%2FDTZJ8Trn0ZPzLw%3D%3D" TargetMode="External" Id="rId801"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802" /><Relationship Type="http://schemas.openxmlformats.org/officeDocument/2006/relationships/hyperlink" Target="https://contrataciondelestado.es/wps/poc?uri=deeplink:detalle_licitacion&amp;idEvl=8tSROFZiP93yoM4us5k4vw%3D%3D" TargetMode="External" Id="rId803"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804" /><Relationship Type="http://schemas.openxmlformats.org/officeDocument/2006/relationships/hyperlink" Target="https://contrataciondelestado.es/wps/poc?uri=deeplink:detalle_licitacion&amp;idEvl=p%2FU3Lbdt3Lo%2FbjW6njtWLw%3D%3D" TargetMode="External" Id="rId805"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806" /><Relationship Type="http://schemas.openxmlformats.org/officeDocument/2006/relationships/hyperlink" Target="https://contrataciondelestado.es/wps/poc?uri=deeplink:detalle_licitacion&amp;idEvl=W%2FtjItVqIyM4NavIWzMcHA%3D%3D" TargetMode="External" Id="rId807"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808" /><Relationship Type="http://schemas.openxmlformats.org/officeDocument/2006/relationships/hyperlink" Target="https://contrataciondelestado.es/wps/poc?uri=deeplink:detalle_licitacion&amp;idEvl=ZQbk0jDSogMl5NjlNci%2BtA%3D%3D" TargetMode="External" Id="rId809"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810" /><Relationship Type="http://schemas.openxmlformats.org/officeDocument/2006/relationships/hyperlink" Target="https://contrataciondelestado.es/wps/poc?uri=deeplink:detalle_licitacion&amp;idEvl=ErlEs1l0q%2FiP%2Bo96UAV7cQ%3D%3D" TargetMode="External" Id="rId811" /><Relationship Type="http://schemas.openxmlformats.org/officeDocument/2006/relationships/hyperlink" Target="https://contrataciondelestado.es/wps/poc?uri=deeplink:detalle_licitacion&amp;idEvl=rCkPexV5I5GTylGzYmBF9Q%3D%3D" TargetMode="External" Id="rId812"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813" /><Relationship Type="http://schemas.openxmlformats.org/officeDocument/2006/relationships/hyperlink" Target="https://contrataciondelestado.es/wps/poc?uri=deeplink:detalle_licitacion&amp;idEvl=NTNdk7z0fRZ70UvEyYJSGw%3D%3D" TargetMode="External" Id="rId814"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815" /><Relationship Type="http://schemas.openxmlformats.org/officeDocument/2006/relationships/hyperlink" Target="https://contrataciondelestado.es/wps/poc?uri=deeplink:detalle_licitacion&amp;idEvl=OuZ2xRdf1Ic4NavIWzMcHA%3D%3D" TargetMode="External" Id="rId816"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817" /><Relationship Type="http://schemas.openxmlformats.org/officeDocument/2006/relationships/hyperlink" Target="https://contrataciondelestado.es/wps/poc?uri=deeplink:detalle_licitacion&amp;idEvl=qHqmG5pITSfLIx6q1oPaMg%3D%3D" TargetMode="External" Id="rId818"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819" /><Relationship Type="http://schemas.openxmlformats.org/officeDocument/2006/relationships/hyperlink" Target="https://contrataciondelestado.es/wps/poc?uri=deeplink:detalle_licitacion&amp;idEvl=RhRQgMEX%2FDTIGlsa0Wad%2Bw%3D%3D" TargetMode="External" Id="rId82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821" /><Relationship Type="http://schemas.openxmlformats.org/officeDocument/2006/relationships/hyperlink" Target="https://contrataciondelestado.es/wps/poc?uri=deeplink:detalle_licitacion&amp;idEvl=gT28mJ9cKE3ua%2Fi14w%2FPLA%3D%3D" TargetMode="External" Id="rId822"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823" /><Relationship Type="http://schemas.openxmlformats.org/officeDocument/2006/relationships/hyperlink" Target="https://contrataciondelestado.es/wps/poc?uri=deeplink:detalle_licitacion&amp;idEvl=hMx6j3p6i0SOUi78BmzhOQ%3D%3D" TargetMode="External" Id="rId824"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825" /><Relationship Type="http://schemas.openxmlformats.org/officeDocument/2006/relationships/hyperlink" Target="https://contrataciondelestado.es/wps/poc?uri=deeplink:detalle_licitacion&amp;idEvl=ydxflqKgdrzECtSnloz%2BZQ%3D%3D" TargetMode="External" Id="rId826"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827" /><Relationship Type="http://schemas.openxmlformats.org/officeDocument/2006/relationships/hyperlink" Target="https://contrataciondelestado.es/wps/poc?uri=deeplink:detalle_licitacion&amp;idEvl=eCQqoSzZQGE3vLk2DU2Ddg%3D%3D" TargetMode="External" Id="rId828"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829" /><Relationship Type="http://schemas.openxmlformats.org/officeDocument/2006/relationships/hyperlink" Target="https://contrataciondelestado.es/wps/poc?uri=deeplink:detalle_licitacion&amp;idEvl=RG0iaeYtoErua%2Fi14w%2FPLA%3D%3D" TargetMode="External" Id="rId830"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831" /><Relationship Type="http://schemas.openxmlformats.org/officeDocument/2006/relationships/hyperlink" Target="https://contrataciondelestado.es/wps/poc?uri=deeplink:detalle_licitacion&amp;idEvl=Mf0wBthuD%2BTgL1BHd3qjQA%3D%3D" TargetMode="External" Id="rId832"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833" /><Relationship Type="http://schemas.openxmlformats.org/officeDocument/2006/relationships/hyperlink" Target="https://contrataciondelestado.es/wps/poc?uri=deeplink:detalle_licitacion&amp;idEvl=RUHO%2Fp0MCRFWhbmkna2nXQ%3D%3D" TargetMode="External" Id="rId834"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835" /><Relationship Type="http://schemas.openxmlformats.org/officeDocument/2006/relationships/hyperlink" Target="https://contrataciondelestado.es/wps/poc?uri=deeplink:detalle_licitacion&amp;idEvl=UvR1n3Bt%2Fdt%2FR5QFTlaM4A%3D%3D" TargetMode="External" Id="rId836"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837" /><Relationship Type="http://schemas.openxmlformats.org/officeDocument/2006/relationships/hyperlink" Target="https://contrataciondelestado.es/wps/poc?uri=deeplink:detalle_licitacion&amp;idEvl=rvb2cjTil928ebB%2FXTwy0A%3D%3D" TargetMode="External" Id="rId838"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839" /><Relationship Type="http://schemas.openxmlformats.org/officeDocument/2006/relationships/hyperlink" Target="https://contrataciondelestado.es/wps/poc?uri=deeplink:detalle_licitacion&amp;idEvl=gR4HOZ6%2FX87IGlsa0Wad%2Bw%3D%3D" TargetMode="External" Id="rId840"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841" /><Relationship Type="http://schemas.openxmlformats.org/officeDocument/2006/relationships/hyperlink" Target="https://contrataciondelestado.es/wps/poc?uri=deeplink:detalle_licitacion&amp;idEvl=FYUInW7xc5Z4zIRvjBVCSw%3D%3D" TargetMode="External" Id="rId842"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843" /><Relationship Type="http://schemas.openxmlformats.org/officeDocument/2006/relationships/hyperlink" Target="https://contrataciondelestado.es/wps/poc?uri=deeplink:detalle_licitacion&amp;idEvl=LZuSxj7tjRk%2FbjW6njtWLw%3D%3D" TargetMode="External" Id="rId844"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845" /><Relationship Type="http://schemas.openxmlformats.org/officeDocument/2006/relationships/hyperlink" Target="https://contrataciondelestado.es/wps/poc?uri=deeplink:detalle_licitacion&amp;idEvl=31EBFkow9Hgtm4eBPtV6eQ%3D%3D" TargetMode="External" Id="rId846"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847" /><Relationship Type="http://schemas.openxmlformats.org/officeDocument/2006/relationships/hyperlink" Target="https://contrataciondelestado.es/wps/poc?uri=deeplink:detalle_licitacion&amp;idEvl=QCazcqh6K52FlFRHfEzEaw%3D%3D" TargetMode="External" Id="rId848"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849" /><Relationship Type="http://schemas.openxmlformats.org/officeDocument/2006/relationships/hyperlink" Target="https://contrataciondelestado.es/wps/poc?uri=deeplink:detalle_licitacion&amp;idEvl=Bb%2BUkYIJKo0wYTJJ03sHog%3D%3D" TargetMode="External" Id="rId850"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851" /><Relationship Type="http://schemas.openxmlformats.org/officeDocument/2006/relationships/hyperlink" Target="https://contrataciondelestado.es/wps/poc?uri=deeplink:detalle_licitacion&amp;idEvl=NIUsNTAbHLgeIBJRHQiPkQ%3D%3D" TargetMode="External" Id="rId852"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853" /><Relationship Type="http://schemas.openxmlformats.org/officeDocument/2006/relationships/hyperlink" Target="https://contrataciondelestado.es/wps/poc?uri=deeplink:detalle_licitacion&amp;idEvl=aneqGVrYhb0ZDGvgaZEVxQ%3D%3D" TargetMode="External" Id="rId854"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855" /><Relationship Type="http://schemas.openxmlformats.org/officeDocument/2006/relationships/hyperlink" Target="https://contrataciondelestado.es/wps/poc?uri=deeplink:detalle_licitacion&amp;idEvl=t1R1u29ovgyKeVWTb9Scog%3D%3D" TargetMode="External" Id="rId856" /><Relationship Type="http://schemas.openxmlformats.org/officeDocument/2006/relationships/hyperlink" Target="https://contrataciondelestado.es/wps/poc?uri=deeplink:detalle_licitacion&amp;idEvl=CHJLck8p8Xq7JOCXkOhcDg%3D%3D" TargetMode="External" Id="rId857"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858" /><Relationship Type="http://schemas.openxmlformats.org/officeDocument/2006/relationships/hyperlink" Target="https://contrataciondelestado.es/wps/poc?uri=deeplink:detalle_licitacion&amp;idEvl=K9r9MXRcUefECtSnloz%2BZQ%3D%3D" TargetMode="External" Id="rId859"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860" /><Relationship Type="http://schemas.openxmlformats.org/officeDocument/2006/relationships/hyperlink" Target="https://contrataciondelestado.es/wps/poc?uri=deeplink:detalle_licitacion&amp;idEvl=YupFiRhG0h1t5r0ngvMetA%3D%3D" TargetMode="External" Id="rId861" /><Relationship Type="http://schemas.openxmlformats.org/officeDocument/2006/relationships/hyperlink" Target="https://contrataciondelestado.es/wps/poc?uri=deeplink:detalle_licitacion&amp;idEvl=JprWXZZcqllSYrkJkLlFdw%3D%3D" TargetMode="External" Id="rId862"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863" /><Relationship Type="http://schemas.openxmlformats.org/officeDocument/2006/relationships/hyperlink" Target="https://contrataciondelestado.es/wps/poc?uri=deeplink:detalle_licitacion&amp;idEvl=zfxuB3poT%2FzN3k3tjedSGw%3D%3D" TargetMode="External" Id="rId864"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865" /><Relationship Type="http://schemas.openxmlformats.org/officeDocument/2006/relationships/hyperlink" Target="https://contrataciondelestado.es/wps/poc?uri=deeplink:detalle_licitacion&amp;idEvl=CmtwgbIPtXk7%2B9FIQYNjeQ%3D%3D" TargetMode="External" Id="rId866"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867" /><Relationship Type="http://schemas.openxmlformats.org/officeDocument/2006/relationships/hyperlink" Target="https://contrataciondelestado.es/wps/poc?uri=deeplink:detalle_licitacion&amp;idEvl=KqpmkKvWKpH%2B3JAijKO%2Bkg%3D%3D" TargetMode="External" Id="rId868"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869" /><Relationship Type="http://schemas.openxmlformats.org/officeDocument/2006/relationships/hyperlink" Target="https://contrataciondelestado.es/wps/poc?uri=deeplink:detalle_licitacion&amp;idEvl=6kLIJj4gev2OUi78BmzhOQ%3D%3D" TargetMode="External" Id="rId870"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871" /><Relationship Type="http://schemas.openxmlformats.org/officeDocument/2006/relationships/hyperlink" Target="https://contrataciondelestado.es/wps/poc?uri=deeplink:detalle_licitacion&amp;idEvl=XnF%2FkUbmsrz9pbnDwlaUlg%3D%3D" TargetMode="External" Id="rId872"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873" /><Relationship Type="http://schemas.openxmlformats.org/officeDocument/2006/relationships/hyperlink" Target="https://contrataciondelestado.es/wps/poc?uri=deeplink:detalle_licitacion&amp;idEvl=Wntr%2BDEMtzNt5r0ngvMetA%3D%3D" TargetMode="External" Id="rId874"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875" /><Relationship Type="http://schemas.openxmlformats.org/officeDocument/2006/relationships/hyperlink" Target="https://contrataciondelestado.es/wps/poc?uri=deeplink:detalle_licitacion&amp;idEvl=uXjIxm5fvRDs%2BnLj3vAg5A%3D%3D" TargetMode="External" Id="rId876"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877" /><Relationship Type="http://schemas.openxmlformats.org/officeDocument/2006/relationships/hyperlink" Target="https://contrataciondelestado.es/wps/poc?uri=deeplink:detalle_licitacion&amp;idEvl=30KCFcT1DZPua%2Fi14w%2FPLA%3D%3D" TargetMode="External" Id="rId878"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879" /><Relationship Type="http://schemas.openxmlformats.org/officeDocument/2006/relationships/hyperlink" Target="https://contrataciondelestado.es/wps/poc?uri=deeplink:detalle_licitacion&amp;idEvl=DtiPUAkPDJ9QFSeKCRun4Q%3D%3D" TargetMode="External" Id="rId880"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881" /><Relationship Type="http://schemas.openxmlformats.org/officeDocument/2006/relationships/hyperlink" Target="https://contrataciondelestado.es/wps/poc?uri=deeplink:detalle_licitacion&amp;idEvl=W%2FilFnz5aMwQyBAnWzHfCg%3D%3D" TargetMode="External" Id="rId882" /><Relationship Type="http://schemas.openxmlformats.org/officeDocument/2006/relationships/hyperlink" Target="https://contrataciondelestado.es/wps/poc?uri=deeplink:detalle_licitacion&amp;idEvl=FAVCBPyAMXIkJPJS%2BPS9vg%3D%3D" TargetMode="External" Id="rId883"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884" /><Relationship Type="http://schemas.openxmlformats.org/officeDocument/2006/relationships/hyperlink" Target="https://contrataciondelestado.es/wps/poc?uri=deeplink:detalle_licitacion&amp;idEvl=ZcR11L9HItacCF8sV%2BqtYA%3D%3D" TargetMode="External" Id="rId885"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886" /><Relationship Type="http://schemas.openxmlformats.org/officeDocument/2006/relationships/hyperlink" Target="https://contrataciondelestado.es/wps/poc?uri=deeplink:detalle_licitacion&amp;idEvl=1pq0mKTRQhR%2FR5QFTlaM4A%3D%3D" TargetMode="External" Id="rId887"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888" /><Relationship Type="http://schemas.openxmlformats.org/officeDocument/2006/relationships/hyperlink" Target="https://contrataciondelestado.es/wps/poc?uri=deeplink:detalle_licitacion&amp;idEvl=sJlo7XvmlNC8ebB%2FXTwy0A%3D%3D" TargetMode="External" Id="rId88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890" /><Relationship Type="http://schemas.openxmlformats.org/officeDocument/2006/relationships/hyperlink" Target="https://contrataciondelestado.es/wps/poc?uri=deeplink:detalle_licitacion&amp;idEvl=m3ATimgHIyUeC9GJQOEBkQ%3D%3D" TargetMode="External" Id="rId89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892" /><Relationship Type="http://schemas.openxmlformats.org/officeDocument/2006/relationships/hyperlink" Target="https://contrataciondelestado.es/wps/poc?uri=deeplink:detalle_licitacion&amp;idEvl=9kNKmiY1NbdVYjgxA4nMUw%3D%3D" TargetMode="External" Id="rId89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894" /><Relationship Type="http://schemas.openxmlformats.org/officeDocument/2006/relationships/hyperlink" Target="https://contrataciondelestado.es/wps/poc?uri=deeplink:detalle_licitacion&amp;idEvl=A8n1GinWWxF9PLkba5eRog%3D%3D" TargetMode="External" Id="rId89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896" /><Relationship Type="http://schemas.openxmlformats.org/officeDocument/2006/relationships/hyperlink" Target="https://contrataciondelestado.es/wps/poc?uri=deeplink:detalle_licitacion&amp;idEvl=3BGv8%2FTQdjbECtSnloz%2BZQ%3D%3D" TargetMode="External" Id="rId897"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898" /><Relationship Type="http://schemas.openxmlformats.org/officeDocument/2006/relationships/hyperlink" Target="https://contrataciondelestado.es/wps/poc?uri=deeplink:detalle_licitacion&amp;idEvl=c6SMQxY58EMaF6cS8TCh%2FA%3D%3D" TargetMode="External" Id="rId899"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900" /><Relationship Type="http://schemas.openxmlformats.org/officeDocument/2006/relationships/hyperlink" Target="https://contrataciondelestado.es/wps/poc?uri=deeplink:detalle_licitacion&amp;idEvl=ccPXEIPsUDB4zIRvjBVCSw%3D%3D" TargetMode="External" Id="rId901"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902" /><Relationship Type="http://schemas.openxmlformats.org/officeDocument/2006/relationships/hyperlink" Target="https://contrataciondelestado.es/wps/poc?uri=deeplink:detalle_licitacion&amp;idEvl=%2BJhXhhrMXXckJPJS%2BPS9vg%3D%3D" TargetMode="External" Id="rId903"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904" /><Relationship Type="http://schemas.openxmlformats.org/officeDocument/2006/relationships/hyperlink" Target="https://contrataciondelestado.es/wps/poc?uri=deeplink:detalle_licitacion&amp;idEvl=2MRG4%2B%2BY9Tc%2FbjW6njtWLw%3D%3D" TargetMode="External" Id="rId905"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906" /><Relationship Type="http://schemas.openxmlformats.org/officeDocument/2006/relationships/hyperlink" Target="https://contrataciondelestado.es/wps/poc?uri=deeplink:detalle_licitacion&amp;idEvl=BqUrmi4T4gE%2Bk2oCbDosIw%3D%3D" TargetMode="External" Id="rId907"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908" /><Relationship Type="http://schemas.openxmlformats.org/officeDocument/2006/relationships/hyperlink" Target="https://contrataciondelestado.es/wps/poc?uri=deeplink:detalle_licitacion&amp;idEvl=m1nIP6MDwXHN3k3tjedSGw%3D%3D" TargetMode="External" Id="rId909"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910" /><Relationship Type="http://schemas.openxmlformats.org/officeDocument/2006/relationships/hyperlink" Target="https://contrataciondelestado.es/wps/poc?uri=deeplink:detalle_licitacion&amp;idEvl=wMlJLwTwmlrmnwcj%2BxbdTg%3D%3D" TargetMode="External" Id="rId911"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912" /><Relationship Type="http://schemas.openxmlformats.org/officeDocument/2006/relationships/hyperlink" Target="https://contrataciondelestado.es/wps/poc?uri=deeplink:detalle_licitacion&amp;idEvl=wEohuWoEBKhWhbmkna2nXQ%3D%3D" TargetMode="External" Id="rId913"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914" /><Relationship Type="http://schemas.openxmlformats.org/officeDocument/2006/relationships/hyperlink" Target="https://contrataciondelestado.es/wps/poc?uri=deeplink:detalle_licitacion&amp;idEvl=Gj%2Fj8nxrMctq1DdmE7eaXg%3D%3D" TargetMode="External" Id="rId915"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916" /><Relationship Type="http://schemas.openxmlformats.org/officeDocument/2006/relationships/hyperlink" Target="https://contrataciondelestado.es/wps/poc?uri=deeplink:detalle_licitacion&amp;idEvl=GqNduzGS3fNWhbmkna2nXQ%3D%3D" TargetMode="External" Id="rId917"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918" /><Relationship Type="http://schemas.openxmlformats.org/officeDocument/2006/relationships/hyperlink" Target="https://contrataciondelestado.es/wps/poc?uri=deeplink:detalle_licitacion&amp;idEvl=kpdpZQCGwKI%2Bk2oCbDosIw%3D%3D" TargetMode="External" Id="rId919"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920" /><Relationship Type="http://schemas.openxmlformats.org/officeDocument/2006/relationships/hyperlink" Target="https://contrataciondelestado.es/wps/poc?uri=deeplink:detalle_licitacion&amp;idEvl=7U5WneYLq%2BKcTfjQf3USOg%3D%3D" TargetMode="External" Id="rId921"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922" /><Relationship Type="http://schemas.openxmlformats.org/officeDocument/2006/relationships/hyperlink" Target="https://contrataciondelestado.es/wps/poc?uri=deeplink:detalle_licitacion&amp;idEvl=DUSVXG%2BpwU4%2Bk2oCbDosIw%3D%3D" TargetMode="External" Id="rId923"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924" /><Relationship Type="http://schemas.openxmlformats.org/officeDocument/2006/relationships/hyperlink" Target="https://contrataciondelestado.es/wps/poc?uri=deeplink:detalle_licitacion&amp;idEvl=8RXVMV5OyodVkTabT%2FRM8A%3D%3D" TargetMode="External" Id="rId925"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926" /><Relationship Type="http://schemas.openxmlformats.org/officeDocument/2006/relationships/hyperlink" Target="https://contrataciondelestado.es/wps/poc?uri=deeplink:detalle_licitacion&amp;idEvl=mtVXBrhnxbm7JOCXkOhcDg%3D%3D" TargetMode="External" Id="rId927"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928" /><Relationship Type="http://schemas.openxmlformats.org/officeDocument/2006/relationships/hyperlink" Target="https://contrataciondelestado.es/wps/poc?uri=deeplink:detalle_licitacion&amp;idEvl=UZ%2Bes3aOlwR70UvEyYJSGw%3D%3D" TargetMode="External" Id="rId929"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930" /><Relationship Type="http://schemas.openxmlformats.org/officeDocument/2006/relationships/hyperlink" Target="https://contrataciondelestado.es/wps/poc?uri=deeplink:detalle_licitacion&amp;idEvl=PseRgz82Eq8tm4eBPtV6eQ%3D%3D" TargetMode="External" Id="rId931"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932" /><Relationship Type="http://schemas.openxmlformats.org/officeDocument/2006/relationships/hyperlink" Target="https://contrataciondelestado.es/wps/poc?uri=deeplink:detalle_licitacion&amp;idEvl=as7ua6kGLqCzz8fXU2i3eQ%3D%3D" TargetMode="External" Id="rId933"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934" /><Relationship Type="http://schemas.openxmlformats.org/officeDocument/2006/relationships/hyperlink" Target="https://contrataciondelestado.es/wps/poc?uri=deeplink:detalle_licitacion&amp;idEvl=tdXMrVnpWf836J9Lctlsuw%3D%3D" TargetMode="External" Id="rId935"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936" /><Relationship Type="http://schemas.openxmlformats.org/officeDocument/2006/relationships/hyperlink" Target="https://contrataciondelestado.es/wps/poc?uri=deeplink:detalle_licitacion&amp;idEvl=dRROasM9RPLCfVQHDepjGQ%3D%3D" TargetMode="External" Id="rId937"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938" /><Relationship Type="http://schemas.openxmlformats.org/officeDocument/2006/relationships/hyperlink" Target="https://contrataciondelestado.es/wps/poc?uri=deeplink:detalle_licitacion&amp;idEvl=AZr4hFr1yRGFlFRHfEzEaw%3D%3D" TargetMode="External" Id="rId939"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940" /><Relationship Type="http://schemas.openxmlformats.org/officeDocument/2006/relationships/hyperlink" Target="https://contrataciondelestado.es/wps/poc?uri=deeplink:detalle_licitacion&amp;idEvl=JLBk4dMPTkNSYrkJkLlFdw%3D%3D" TargetMode="External" Id="rId941"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942" /><Relationship Type="http://schemas.openxmlformats.org/officeDocument/2006/relationships/hyperlink" Target="https://contrataciondelestado.es/wps/poc?uri=deeplink:detalle_licitacion&amp;idEvl=%2BAjqbXrbHVIXhk1FZxEyvw%3D%3D" TargetMode="External" Id="rId943"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944" /><Relationship Type="http://schemas.openxmlformats.org/officeDocument/2006/relationships/hyperlink" Target="https://contrataciondelestado.es/wps/poc?uri=deeplink:detalle_licitacion&amp;idEvl=N69HUBdDZF%2B2gkLQ8TeYKA%3D%3D" TargetMode="External" Id="rId945"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946" /><Relationship Type="http://schemas.openxmlformats.org/officeDocument/2006/relationships/hyperlink" Target="https://contrataciondelestado.es/wps/poc?uri=deeplink:detalle_licitacion&amp;idEvl=RjpXlomFV%2FrE6P%2FuLemXRw%3D%3D" TargetMode="External" Id="rId947"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948" /><Relationship Type="http://schemas.openxmlformats.org/officeDocument/2006/relationships/hyperlink" Target="https://contrataciondelestado.es/wps/poc?uri=deeplink:detalle_licitacion&amp;idEvl=wqloEHMZHwo%2Bk2oCbDosIw%3D%3D" TargetMode="External" Id="rId949"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950" /><Relationship Type="http://schemas.openxmlformats.org/officeDocument/2006/relationships/hyperlink" Target="https://contrataciondelestado.es/wps/poc?uri=deeplink:detalle_licitacion&amp;idEvl=CgVKa%2BnnYHh%2BF6L2uCfUWg%3D%3D" TargetMode="External" Id="rId951"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952" /><Relationship Type="http://schemas.openxmlformats.org/officeDocument/2006/relationships/hyperlink" Target="https://contrataciondelestado.es/wps/poc?uri=deeplink:detalle_licitacion&amp;idEvl=J5b6%2B5PUnyukU02jNGj1Fw%3D%3D" TargetMode="External" Id="rId95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954" /><Relationship Type="http://schemas.openxmlformats.org/officeDocument/2006/relationships/hyperlink" Target="https://contrataciondelestado.es/wps/poc?uri=deeplink:detalle_licitacion&amp;idEvl=DtNlrKjIiyg%2B1TMyIiZmzw%3D%3D" TargetMode="External" Id="rId95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956" /><Relationship Type="http://schemas.openxmlformats.org/officeDocument/2006/relationships/hyperlink" Target="https://contrataciondelestado.es/wps/poc?uri=deeplink:detalle_licitacion&amp;idEvl=YdgpAAAiKDOKeVWTb9Scog%3D%3D" TargetMode="External" Id="rId95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958" /><Relationship Type="http://schemas.openxmlformats.org/officeDocument/2006/relationships/hyperlink" Target="https://contrataciondelestado.es/wps/poc?uri=deeplink:detalle_licitacion&amp;idEvl=DfkdaMRdGBS9Hd5zqvq9cg%3D%3D" TargetMode="External" Id="rId95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960" /><Relationship Type="http://schemas.openxmlformats.org/officeDocument/2006/relationships/hyperlink" Target="https://contrataciondelestado.es/wps/poc?uri=deeplink:detalle_licitacion&amp;idEvl=TXxNOICaYwvzAq95uGTrDQ%3D%3D" TargetMode="External" Id="rId96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962" /><Relationship Type="http://schemas.openxmlformats.org/officeDocument/2006/relationships/hyperlink" Target="https://contrataciondelestado.es/wps/poc?uri=deeplink:detalle_licitacion&amp;idEvl=8f7mUz9IAcxVq4S9zvaQpQ%3D%3D" TargetMode="External" Id="rId96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964" /><Relationship Type="http://schemas.openxmlformats.org/officeDocument/2006/relationships/hyperlink" Target="https://contrataciondelestado.es/wps/poc?uri=deeplink:detalle_licitacion&amp;idEvl=s50lAZYO%2Fz8zjChw4z%2FXvw%3D%3D" TargetMode="External" Id="rId96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966" /><Relationship Type="http://schemas.openxmlformats.org/officeDocument/2006/relationships/hyperlink" Target="https://contrataciondelestado.es/wps/poc?uri=deeplink:detalle_licitacion&amp;idEvl=X0Zkm0YS7EGzz8fXU2i3eQ%3D%3D" TargetMode="External" Id="rId96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968" /><Relationship Type="http://schemas.openxmlformats.org/officeDocument/2006/relationships/hyperlink" Target="https://contrataciondelestado.es/wps/poc?uri=deeplink:detalle_licitacion&amp;idEvl=lfzn%2F%2FpwkIjgL1BHd3qjQA%3D%3D" TargetMode="External" Id="rId96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970" /><Relationship Type="http://schemas.openxmlformats.org/officeDocument/2006/relationships/hyperlink" Target="https://contrataciondelestado.es/wps/poc?uri=deeplink:detalle_licitacion&amp;idEvl=u1kv5lA1EgeP66GS%2BONYvQ%3D%3D" TargetMode="External" Id="rId97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972" /><Relationship Type="http://schemas.openxmlformats.org/officeDocument/2006/relationships/hyperlink" Target="https://contrataciondelestado.es/wps/poc?uri=deeplink:detalle_licitacion&amp;idEvl=yepT1GaZ1FJWhbmkna2nXQ%3D%3D" TargetMode="External" Id="rId97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974" /><Relationship Type="http://schemas.openxmlformats.org/officeDocument/2006/relationships/hyperlink" Target="https://contrataciondelestado.es/wps/poc?uri=deeplink:detalle_licitacion&amp;idEvl=CBnwtJaHz0Ul5NjlNci%2BtA%3D%3D" TargetMode="External" Id="rId97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976" /><Relationship Type="http://schemas.openxmlformats.org/officeDocument/2006/relationships/hyperlink" Target="https://contrataciondelestado.es/wps/poc?uri=deeplink:detalle_licitacion&amp;idEvl=%2BfYhMb3fWnO9Hd5zqvq9cg%3D%3D" TargetMode="External" Id="rId97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978" /><Relationship Type="http://schemas.openxmlformats.org/officeDocument/2006/relationships/hyperlink" Target="https://contrataciondelestado.es/wps/poc?uri=deeplink:detalle_licitacion&amp;idEvl=BqzU6e22JRyFlFRHfEzEaw%3D%3D" TargetMode="External" Id="rId97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980" /><Relationship Type="http://schemas.openxmlformats.org/officeDocument/2006/relationships/hyperlink" Target="https://contrataciondelestado.es/wps/poc?uri=deeplink:detalle_licitacion&amp;idEvl=52z3QpJPR2pVYjgxA4nMUw%3D%3D" TargetMode="External" Id="rId98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982" /><Relationship Type="http://schemas.openxmlformats.org/officeDocument/2006/relationships/hyperlink" Target="https://contrataciondelestado.es/wps/poc?uri=deeplink:detalle_licitacion&amp;idEvl=2qdpV8AJNT7IGlsa0Wad%2Bw%3D%3D" TargetMode="External" Id="rId983"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984" /><Relationship Type="http://schemas.openxmlformats.org/officeDocument/2006/relationships/hyperlink" Target="https://contrataciondelestado.es/wps/poc?uri=deeplink:detalle_licitacion&amp;idEvl=8xQwY5CItBTXOjazN1Dw9Q%3D%3D" TargetMode="External" Id="rId985"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986" /><Relationship Type="http://schemas.openxmlformats.org/officeDocument/2006/relationships/hyperlink" Target="https://contrataciondelestado.es/wps/poc?uri=deeplink:detalle_licitacion&amp;idEvl=bMax%2B3FiBEYmMOlAXxDEjw%3D%3D" TargetMode="External" Id="rId987"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988" /><Relationship Type="http://schemas.openxmlformats.org/officeDocument/2006/relationships/hyperlink" Target="https://contrataciondelestado.es/wps/poc?uri=deeplink:detalle_licitacion&amp;idEvl=xrBASFy%2F3R8%2FbjW6njtWLw%3D%3D" TargetMode="External" Id="rId989"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990" /><Relationship Type="http://schemas.openxmlformats.org/officeDocument/2006/relationships/hyperlink" Target="https://contrataciondelestado.es/wps/poc?uri=deeplink:detalle_licitacion&amp;idEvl=r5aKQ0R0TNO8ebB%2FXTwy0A%3D%3D" TargetMode="External" Id="rId991"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992" /><Relationship Type="http://schemas.openxmlformats.org/officeDocument/2006/relationships/hyperlink" Target="https://contrataciondelestado.es/wps/poc?uri=deeplink:detalle_licitacion&amp;idEvl=oB7w3xQinn4eC9GJQOEBkQ%3D%3D" TargetMode="External" Id="rId993"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994" /><Relationship Type="http://schemas.openxmlformats.org/officeDocument/2006/relationships/hyperlink" Target="https://contrataciondelestado.es/wps/poc?uri=deeplink:detalle_licitacion&amp;idEvl=qcgq%2Fj2TpDDs%2BnLj3vAg5A%3D%3D" TargetMode="External" Id="rId995"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996" /><Relationship Type="http://schemas.openxmlformats.org/officeDocument/2006/relationships/hyperlink" Target="https://contrataciondelestado.es/wps/poc?uri=deeplink:detalle_licitacion&amp;idEvl=FeX2xpm1D9yqb7rCcv76BA%3D%3D" TargetMode="External" Id="rId997"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998" /><Relationship Type="http://schemas.openxmlformats.org/officeDocument/2006/relationships/hyperlink" Target="https://contrataciondelestado.es/wps/poc?uri=deeplink:detalle_licitacion&amp;idEvl=xNuxVP5vDU1Whbmkna2nXQ%3D%3D" TargetMode="External" Id="rId999"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000" /><Relationship Type="http://schemas.openxmlformats.org/officeDocument/2006/relationships/hyperlink" Target="https://contrataciondelestado.es/wps/poc?uri=deeplink:detalle_licitacion&amp;idEvl=3L82wfGUJLWTylGzYmBF9Q%3D%3D" TargetMode="External" Id="rId1001"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002" /><Relationship Type="http://schemas.openxmlformats.org/officeDocument/2006/relationships/hyperlink" Target="https://contrataciondelestado.es/wps/poc?uri=deeplink:detalle_licitacion&amp;idEvl=w6pciAE%2FQAfN3k3tjedSGw%3D%3D" TargetMode="External" Id="rId1003"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004" /><Relationship Type="http://schemas.openxmlformats.org/officeDocument/2006/relationships/hyperlink" Target="https://contrataciondelestado.es/wps/poc?uri=deeplink:detalle_licitacion&amp;idEvl=GvzEy5nneD82wEhQbcAqug%3D%3D" TargetMode="External" Id="rId1005"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006" /><Relationship Type="http://schemas.openxmlformats.org/officeDocument/2006/relationships/hyperlink" Target="https://contrataciondelestado.es/wps/poc?uri=deeplink:detalle_licitacion&amp;idEvl=px8hieD9ZUrmnwcj%2BxbdTg%3D%3D" TargetMode="External" Id="rId1007"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008" /><Relationship Type="http://schemas.openxmlformats.org/officeDocument/2006/relationships/hyperlink" Target="https://contrataciondelestado.es/wps/poc?uri=deeplink:detalle_licitacion&amp;idEvl=Wmjj%2F6GHnj2TylGzYmBF9Q%3D%3D" TargetMode="External" Id="rId1009"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010" /><Relationship Type="http://schemas.openxmlformats.org/officeDocument/2006/relationships/hyperlink" Target="https://contrataciondelestado.es/wps/poc?uri=deeplink:detalle_licitacion&amp;idEvl=ToF10k%2BYLeSsNfRW6APEDw%3D%3D" TargetMode="External" Id="rId1011"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012" /><Relationship Type="http://schemas.openxmlformats.org/officeDocument/2006/relationships/hyperlink" Target="https://contrataciondelestado.es/wps/poc?uri=deeplink:detalle_licitacion&amp;idEvl=H%2F630%2BNdG5kQyBAnWzHfCg%3D%3D" TargetMode="External" Id="rId1013"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014" /><Relationship Type="http://schemas.openxmlformats.org/officeDocument/2006/relationships/hyperlink" Target="https://contrataciondelestado.es/wps/poc?uri=deeplink:detalle_licitacion&amp;idEvl=v1xB%2FUnSk1Qtm4eBPtV6eQ%3D%3D" TargetMode="External" Id="rId1015"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016" /><Relationship Type="http://schemas.openxmlformats.org/officeDocument/2006/relationships/hyperlink" Target="https://contrataciondelestado.es/wps/poc?uri=deeplink:detalle_licitacion&amp;idEvl=LxRr%2BvNzcg5rSd8H4b2soA%3D%3D" TargetMode="External" Id="rId1017"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018" /><Relationship Type="http://schemas.openxmlformats.org/officeDocument/2006/relationships/hyperlink" Target="https://contrataciondelestado.es/wps/poc?uri=deeplink:detalle_licitacion&amp;idEvl=velutswXJhNQFSeKCRun4Q%3D%3D" TargetMode="External" Id="rId1019"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020" /><Relationship Type="http://schemas.openxmlformats.org/officeDocument/2006/relationships/hyperlink" Target="https://contrataciondelestado.es/wps/poc?uri=deeplink:detalle_licitacion&amp;idEvl=i2napjsxTibE6P%2FuLemXRw%3D%3D" TargetMode="External" Id="rId1021"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022" /><Relationship Type="http://schemas.openxmlformats.org/officeDocument/2006/relationships/hyperlink" Target="https://contrataciondelestado.es/wps/poc?uri=deeplink:detalle_licitacion&amp;idEvl=%2BW5ievmptwqopEMYCmrbmw%3D%3D" TargetMode="External" Id="rId1023"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024" /><Relationship Type="http://schemas.openxmlformats.org/officeDocument/2006/relationships/hyperlink" Target="https://contrataciondelestado.es/wps/poc?uri=deeplink:detalle_licitacion&amp;idEvl=4E3%2Bkq8UgUqopEMYCmrbmw%3D%3D" TargetMode="External" Id="rId1025"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026" /><Relationship Type="http://schemas.openxmlformats.org/officeDocument/2006/relationships/hyperlink" Target="https://contrataciondelestado.es/wps/poc?uri=deeplink:detalle_licitacion&amp;idEvl=glLwtgUBmj6AAM7L03kM8A%3D%3D" TargetMode="External" Id="rId1027"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028" /><Relationship Type="http://schemas.openxmlformats.org/officeDocument/2006/relationships/hyperlink" Target="https://contrataciondelestado.es/wps/poc?uri=deeplink:detalle_licitacion&amp;idEvl=zB%2ByHsNPij2ExvMJXBMHHQ%3D%3D" TargetMode="External" Id="rId1029"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030" /><Relationship Type="http://schemas.openxmlformats.org/officeDocument/2006/relationships/hyperlink" Target="https://contrataciondelestado.es/wps/poc?uri=deeplink:detalle_licitacion&amp;idEvl=SYqOfKVWj4UIYE3ZiZ%2BxmQ%3D%3D" TargetMode="External" Id="rId1031"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032" /><Relationship Type="http://schemas.openxmlformats.org/officeDocument/2006/relationships/hyperlink" Target="https://contrataciondelestado.es/wps/poc?uri=deeplink:detalle_licitacion&amp;idEvl=PwgvpqwC5tDjHF5qKI4aaw%3D%3D" TargetMode="External" Id="rId1033"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034" /><Relationship Type="http://schemas.openxmlformats.org/officeDocument/2006/relationships/hyperlink" Target="https://contrataciondelestado.es/wps/poc?uri=deeplink:detalle_licitacion&amp;idEvl=Z0nSM81pw%2BbzAq95uGTrDQ%3D%3D" TargetMode="External" Id="rId1035"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036" /><Relationship Type="http://schemas.openxmlformats.org/officeDocument/2006/relationships/hyperlink" Target="https://contrataciondelestado.es/wps/poc?uri=deeplink:detalle_licitacion&amp;idEvl=kYupOMzbjxSqb7rCcv76BA%3D%3D" TargetMode="External" Id="rId1037"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038" /><Relationship Type="http://schemas.openxmlformats.org/officeDocument/2006/relationships/hyperlink" Target="https://contrataciondelestado.es/wps/poc?uri=deeplink:detalle_licitacion&amp;idEvl=WjNqYODdob0%2Bk2oCbDosIw%3D%3D" TargetMode="External" Id="rId1039"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040" /><Relationship Type="http://schemas.openxmlformats.org/officeDocument/2006/relationships/hyperlink" Target="https://contrataciondelestado.es/wps/poc?uri=deeplink:detalle_licitacion&amp;idEvl=5jSSbZD7fPEQyBAnWzHfCg%3D%3D" TargetMode="External" Id="rId1041"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042" /><Relationship Type="http://schemas.openxmlformats.org/officeDocument/2006/relationships/hyperlink" Target="https://contrataciondelestado.es/wps/poc?uri=deeplink:detalle_licitacion&amp;idEvl=KbsbD2zm6oWdkQsA7ROvsg%3D%3D" TargetMode="External" Id="rId1043"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44" /><Relationship Type="http://schemas.openxmlformats.org/officeDocument/2006/relationships/hyperlink" Target="https://contrataciondelestado.es/wps/poc?uri=deeplink:detalle_licitacion&amp;idEvl=Eh6PiTxYSnT%2B3JAijKO%2Bkg%3D%3D" TargetMode="External" Id="rId1045"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046" /><Relationship Type="http://schemas.openxmlformats.org/officeDocument/2006/relationships/hyperlink" Target="https://contrataciondelestado.es/wps/poc?uri=deeplink:detalle_licitacion&amp;idEvl=CoEHWzskbMr%2Fa9DgO%2BoYKQ%3D%3D" TargetMode="External" Id="rId1047"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1048" /><Relationship Type="http://schemas.openxmlformats.org/officeDocument/2006/relationships/hyperlink" Target="https://contrataciondelestado.es/wps/poc?uri=deeplink:detalle_licitacion&amp;idEvl=CgfnxY%2FTsTI4NavIWzMcHA%3D%3D" TargetMode="External" Id="rId104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050" /><Relationship Type="http://schemas.openxmlformats.org/officeDocument/2006/relationships/hyperlink" Target="https://contrataciondelestado.es/wps/poc?uri=deeplink:detalle_licitacion&amp;idEvl=M1CGBQl2tmn10HRJw8TEnQ%3D%3D" TargetMode="External" Id="rId105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052" /><Relationship Type="http://schemas.openxmlformats.org/officeDocument/2006/relationships/hyperlink" Target="https://contrataciondelestado.es/wps/poc?uri=deeplink:detalle_licitacion&amp;idEvl=DtPJPXDcBu96nTs9LZ9RhQ%3D%3D" TargetMode="External" Id="rId1053" /><Relationship Type="http://schemas.openxmlformats.org/officeDocument/2006/relationships/hyperlink" Target="https://contrataciondelestado.es/wps/poc?uri=deeplink:detalle_licitacion&amp;idEvl=PKxGHWNoBHWKeVWTb9Scog%3D%3D" TargetMode="External" Id="rId105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055" /><Relationship Type="http://schemas.openxmlformats.org/officeDocument/2006/relationships/hyperlink" Target="https://contrataciondelestado.es/wps/poc?uri=deeplink:detalle_licitacion&amp;idEvl=SJCJAc9y%2FMA4NavIWzMcHA%3D%3D" TargetMode="External" Id="rId105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057" /><Relationship Type="http://schemas.openxmlformats.org/officeDocument/2006/relationships/hyperlink" Target="https://contrataciondelestado.es/wps/poc?uri=deeplink:detalle_licitacion&amp;idEvl=1vno3Pt6EtmExvMJXBMHHQ%3D%3D" TargetMode="External" Id="rId105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059" /><Relationship Type="http://schemas.openxmlformats.org/officeDocument/2006/relationships/hyperlink" Target="https://contrataciondelestado.es/wps/poc?uri=deeplink:detalle_licitacion&amp;idEvl=1V7lTtfNMo07u6%2B%2FR7DUoA%3D%3D" TargetMode="External" Id="rId106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061" /><Relationship Type="http://schemas.openxmlformats.org/officeDocument/2006/relationships/hyperlink" Target="https://contrataciondelestado.es/wps/poc?uri=deeplink:detalle_licitacion&amp;idEvl=hkVKw4eAAvm5HQrHoP3G5A%3D%3D" TargetMode="External" Id="rId106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063" /><Relationship Type="http://schemas.openxmlformats.org/officeDocument/2006/relationships/hyperlink" Target="https://contrataciondelestado.es/wps/poc?uri=deeplink:detalle_licitacion&amp;idEvl=c%2FAYe%2BKi2U2S81gZFETWmA%3D%3D" TargetMode="External" Id="rId1064"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065" /><Relationship Type="http://schemas.openxmlformats.org/officeDocument/2006/relationships/hyperlink" Target="https://contrataciondelestado.es/wps/poc?uri=deeplink:detalle_licitacion&amp;idEvl=CEh8NhDAK2l9PLkba5eRog%3D%3D" TargetMode="External" Id="rId106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067" /><Relationship Type="http://schemas.openxmlformats.org/officeDocument/2006/relationships/hyperlink" Target="https://contrataciondelestado.es/wps/poc?uri=deeplink:detalle_licitacion&amp;idEvl=oStCzgLIItA36J9Lctlsuw%3D%3D" TargetMode="External" Id="rId106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069" /><Relationship Type="http://schemas.openxmlformats.org/officeDocument/2006/relationships/hyperlink" Target="https://contrataciondelestado.es/wps/poc?uri=deeplink:detalle_licitacion&amp;idEvl=FcEltUXR6XgzjChw4z%2FXvw%3D%3D" TargetMode="External" Id="rId1070"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071" /><Relationship Type="http://schemas.openxmlformats.org/officeDocument/2006/relationships/hyperlink" Target="https://contrataciondelestado.es/wps/poc?uri=deeplink:detalle_licitacion&amp;idEvl=%2FuQ9RZE1F8dq1DdmE7eaXg%3D%3D" TargetMode="External" Id="rId107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073" /><Relationship Type="http://schemas.openxmlformats.org/officeDocument/2006/relationships/hyperlink" Target="https://contrataciondelestado.es/wps/poc?uri=deeplink:detalle_licitacion&amp;idEvl=uWF0L7xnlJ%2FpxJFXpLZ%2B2A%3D%3D" TargetMode="External" Id="rId1074"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075" /><Relationship Type="http://schemas.openxmlformats.org/officeDocument/2006/relationships/hyperlink" Target="https://contrataciondelestado.es/wps/poc?uri=deeplink:detalle_licitacion&amp;idEvl=NyXrmEZQYWLECtSnloz%2BZQ%3D%3D" TargetMode="External" Id="rId1076"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077" /><Relationship Type="http://schemas.openxmlformats.org/officeDocument/2006/relationships/hyperlink" Target="https://contrataciondelestado.es/wps/poc?uri=deeplink:detalle_licitacion&amp;idEvl=qKjSf4xzbvVWhbmkna2nXQ%3D%3D" TargetMode="External" Id="rId107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079" /><Relationship Type="http://schemas.openxmlformats.org/officeDocument/2006/relationships/hyperlink" Target="https://contrataciondelestado.es/wps/poc?uri=deeplink:detalle_licitacion&amp;idEvl=Kr7UkThlFrH%2B3JAijKO%2Bkg%3D%3D" TargetMode="External" Id="rId1080"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081" /><Relationship Type="http://schemas.openxmlformats.org/officeDocument/2006/relationships/hyperlink" Target="https://contrataciondelestado.es/wps/poc?uri=deeplink:detalle_licitacion&amp;idEvl=VqVyj78xsM1%2FR5QFTlaM4A%3D%3D" TargetMode="External" Id="rId1082"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083" /><Relationship Type="http://schemas.openxmlformats.org/officeDocument/2006/relationships/hyperlink" Target="https://contrataciondelestado.es/wps/poc?uri=deeplink:detalle_licitacion&amp;idEvl=1F5vUDRyKK14zIRvjBVCSw%3D%3D" TargetMode="External" Id="rId1084"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085" /><Relationship Type="http://schemas.openxmlformats.org/officeDocument/2006/relationships/hyperlink" Target="https://contrataciondelestado.es/wps/poc?uri=deeplink:detalle_licitacion&amp;idEvl=2GNYSAkeQZB9Zh%2FyRJgM8w%3D%3D" TargetMode="External" Id="rId1086"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087" /><Relationship Type="http://schemas.openxmlformats.org/officeDocument/2006/relationships/hyperlink" Target="https://contrataciondelestado.es/wps/poc?uri=deeplink:detalle_licitacion&amp;idEvl=VWDu3R2pISDL1rX3q%2FMAPA%3D%3D" TargetMode="External" Id="rId1088"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089" /><Relationship Type="http://schemas.openxmlformats.org/officeDocument/2006/relationships/hyperlink" Target="https://contrataciondelestado.es/wps/poc?uri=deeplink:detalle_licitacion&amp;idEvl=8y6k8g1iDWsS7pcxhTeWOg%3D%3D" TargetMode="External" Id="rId1090"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091" /><Relationship Type="http://schemas.openxmlformats.org/officeDocument/2006/relationships/hyperlink" Target="https://contrataciondelestado.es/wps/poc?uri=deeplink:detalle_licitacion&amp;idEvl=zqaHaHQRArgkJPJS%2BPS9vg%3D%3D" TargetMode="External" Id="rId1092"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093" /><Relationship Type="http://schemas.openxmlformats.org/officeDocument/2006/relationships/hyperlink" Target="https://contrataciondelestado.es/wps/poc?uri=deeplink:detalle_licitacion&amp;idEvl=XXDVauzsEq%2BFlFRHfEzEaw%3D%3D" TargetMode="External" Id="rId1094"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095" /><Relationship Type="http://schemas.openxmlformats.org/officeDocument/2006/relationships/hyperlink" Target="https://contrataciondelestado.es/wps/poc?uri=deeplink:detalle_licitacion&amp;idEvl=qPHnRDlem8dQFSeKCRun4Q%3D%3D" TargetMode="External" Id="rId1096"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097" /><Relationship Type="http://schemas.openxmlformats.org/officeDocument/2006/relationships/hyperlink" Target="https://contrataciondelestado.es/wps/poc?uri=deeplink:detalle_licitacion&amp;idEvl=RM5yVn4GZnkXhk1FZxEyvw%3D%3D" TargetMode="External" Id="rId1098"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099" /><Relationship Type="http://schemas.openxmlformats.org/officeDocument/2006/relationships/hyperlink" Target="https://contrataciondelestado.es/wps/poc?uri=deeplink:detalle_licitacion&amp;idEvl=esIKeutzbA35Rey58Yagpg%3D%3D" TargetMode="External" Id="rId1100"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101" /><Relationship Type="http://schemas.openxmlformats.org/officeDocument/2006/relationships/hyperlink" Target="https://contrataciondelestado.es/wps/poc?uri=deeplink:detalle_licitacion&amp;idEvl=UJ%2FFpKtgOdx%2FP7lJ7Fu0SA%3D%3D" TargetMode="External" Id="rId110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103" /><Relationship Type="http://schemas.openxmlformats.org/officeDocument/2006/relationships/hyperlink" Target="https://contrataciondelestado.es/wps/poc?uri=deeplink:detalle_licitacion&amp;idEvl=iwU%2BRD%2FDpxfkY6rls5tG9A%3D%3D" TargetMode="External" Id="rId110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105" /><Relationship Type="http://schemas.openxmlformats.org/officeDocument/2006/relationships/hyperlink" Target="https://contrataciondelestado.es/wps/poc?uri=deeplink:detalle_licitacion&amp;idEvl=do8CynyVzOC5HQrHoP3G5A%3D%3D" TargetMode="External" Id="rId110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107" /><Relationship Type="http://schemas.openxmlformats.org/officeDocument/2006/relationships/hyperlink" Target="https://contrataciondelestado.es/wps/poc?uri=deeplink:detalle_licitacion&amp;idEvl=APYZBEYZq5aIzo3LHNPGcQ%3D%3D" TargetMode="External" Id="rId110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109" /><Relationship Type="http://schemas.openxmlformats.org/officeDocument/2006/relationships/hyperlink" Target="https://contrataciondelestado.es/wps/poc?uri=deeplink:detalle_licitacion&amp;idEvl=p7nTa3joX%2Fs7u6%2B%2FR7DUoA%3D%3D" TargetMode="External" Id="rId111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111" /><Relationship Type="http://schemas.openxmlformats.org/officeDocument/2006/relationships/hyperlink" Target="https://contrataciondelestado.es/wps/poc?uri=deeplink:detalle_licitacion&amp;idEvl=UwqB6jkzg0ZWhbmkna2nXQ%3D%3D" TargetMode="External" Id="rId111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113" /><Relationship Type="http://schemas.openxmlformats.org/officeDocument/2006/relationships/hyperlink" Target="https://contrataciondelestado.es/wps/poc?uri=deeplink:detalle_licitacion&amp;idEvl=CSpUZFXvbFaGCFcHcNGIlQ%3D%3D" TargetMode="External" Id="rId111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115" /><Relationship Type="http://schemas.openxmlformats.org/officeDocument/2006/relationships/hyperlink" Target="https://contrataciondelestado.es/wps/poc?uri=deeplink:detalle_licitacion&amp;idEvl=NlMuwSJKTW8S7pcxhTeWOg%3D%3D" TargetMode="External" Id="rId111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117" /><Relationship Type="http://schemas.openxmlformats.org/officeDocument/2006/relationships/hyperlink" Target="https://contrataciondelestado.es/wps/poc?uri=deeplink:detalle_licitacion&amp;idEvl=wzX9ANrnvInyoM4us5k4vw%3D%3D" TargetMode="External" Id="rId111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119" /><Relationship Type="http://schemas.openxmlformats.org/officeDocument/2006/relationships/hyperlink" Target="https://contrataciondelestado.es/wps/poc?uri=deeplink:detalle_licitacion&amp;idEvl=ZcC3%2Fc3PUi4kJPJS%2BPS9vg%3D%3D" TargetMode="External" Id="rId112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121" /><Relationship Type="http://schemas.openxmlformats.org/officeDocument/2006/relationships/hyperlink" Target="https://contrataciondelestado.es/wps/poc?uri=deeplink:detalle_licitacion&amp;idEvl=qFcqOS6e2eTI8aL3PRS10Q%3D%3D" TargetMode="External" Id="rId112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123" /><Relationship Type="http://schemas.openxmlformats.org/officeDocument/2006/relationships/hyperlink" Target="https://contrataciondelestado.es/wps/poc?uri=deeplink:detalle_licitacion&amp;idEvl=R9Q3lQpBs75VYjgxA4nMUw%3D%3D" TargetMode="External" Id="rId112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125" /><Relationship Type="http://schemas.openxmlformats.org/officeDocument/2006/relationships/hyperlink" Target="https://contrataciondelestado.es/wps/poc?uri=deeplink:detalle_licitacion&amp;idEvl=AS9uAA6WlN%2BP%2Bo96UAV7cQ%3D%3D" TargetMode="External" Id="rId112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127" /><Relationship Type="http://schemas.openxmlformats.org/officeDocument/2006/relationships/hyperlink" Target="https://contrataciondelestado.es/wps/poc?uri=deeplink:detalle_licitacion&amp;idEvl=vi%2Bcn5VyBhcIYE3ZiZ%2BxmQ%3D%3D" TargetMode="External" Id="rId112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129" /><Relationship Type="http://schemas.openxmlformats.org/officeDocument/2006/relationships/hyperlink" Target="https://contrataciondelestado.es/wps/poc?uri=deeplink:detalle_licitacion&amp;idEvl=0kfM1WlYQaomMOlAXxDEjw%3D%3D" TargetMode="External" Id="rId1130"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31" /><Relationship Type="http://schemas.openxmlformats.org/officeDocument/2006/relationships/hyperlink" Target="https://contrataciondelestado.es/wps/poc?uri=deeplink:detalle_licitacion&amp;idEvl=G1mLa7jzSyPECtSnloz%2BZQ%3D%3D" TargetMode="External" Id="rId1132"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133" /><Relationship Type="http://schemas.openxmlformats.org/officeDocument/2006/relationships/hyperlink" Target="https://contrataciondelestado.es/wps/poc?uri=deeplink:detalle_licitacion&amp;idEvl=F3Ph8WshBHfL1rX3q%2FMAPA%3D%3D" TargetMode="External" Id="rId1134"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135" /><Relationship Type="http://schemas.openxmlformats.org/officeDocument/2006/relationships/hyperlink" Target="https://contrataciondelestado.es/wps/poc?uri=deeplink:detalle_licitacion&amp;idEvl=Pomv4eiMMsGTylGzYmBF9Q%3D%3D" TargetMode="External" Id="rId1136"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137" /><Relationship Type="http://schemas.openxmlformats.org/officeDocument/2006/relationships/hyperlink" Target="https://contrataciondelestado.es/wps/poc?uri=deeplink:detalle_licitacion&amp;idEvl=oZykyHz5K26S81gZFETWmA%3D%3D" TargetMode="External" Id="rId113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139" /><Relationship Type="http://schemas.openxmlformats.org/officeDocument/2006/relationships/hyperlink" Target="https://contrataciondelestado.es/wps/poc?uri=deeplink:detalle_licitacion&amp;idEvl=7%2BKzw%2B3JnFTyoM4us5k4vw%3D%3D" TargetMode="External" Id="rId1140"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141" /><Relationship Type="http://schemas.openxmlformats.org/officeDocument/2006/relationships/hyperlink" Target="https://contrataciondelestado.es/wps/poc?uri=deeplink:detalle_licitacion&amp;idEvl=WdLo%2BxMV6v1%2BF6L2uCfUWg%3D%3D" TargetMode="External" Id="rId1142"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143" /><Relationship Type="http://schemas.openxmlformats.org/officeDocument/2006/relationships/hyperlink" Target="https://contrataciondelestado.es/wps/poc?uri=deeplink:detalle_licitacion&amp;idEvl=WGyG9%2B5ZJwPI8aL3PRS10Q%3D%3D" TargetMode="External" Id="rId1144"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145" /><Relationship Type="http://schemas.openxmlformats.org/officeDocument/2006/relationships/hyperlink" Target="https://contrataciondelestado.es/wps/poc?uri=deeplink:detalle_licitacion&amp;idEvl=9gp7eIxBCEngL1BHd3qjQA%3D%3D" TargetMode="External" Id="rId1146"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147" /><Relationship Type="http://schemas.openxmlformats.org/officeDocument/2006/relationships/hyperlink" Target="https://contrataciondelestado.es/wps/poc?uri=deeplink:detalle_licitacion&amp;idEvl=ru7o8nEpoZu9Hd5zqvq9cg%3D%3D" TargetMode="External" Id="rId1148"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149" /><Relationship Type="http://schemas.openxmlformats.org/officeDocument/2006/relationships/hyperlink" Target="https://contrataciondelestado.es/wps/poc?uri=deeplink:detalle_licitacion&amp;idEvl=PCTW4CuwumzVGIpKDxgsAQ%3D%3D" TargetMode="External" Id="rId1150"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151" /><Relationship Type="http://schemas.openxmlformats.org/officeDocument/2006/relationships/hyperlink" Target="https://contrataciondelestado.es/wps/poc?uri=deeplink:detalle_licitacion&amp;idEvl=L3x%2BayzuUXryoM4us5k4vw%3D%3D" TargetMode="External" Id="rId1152"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153" /><Relationship Type="http://schemas.openxmlformats.org/officeDocument/2006/relationships/hyperlink" Target="https://contrataciondelestado.es/wps/poc?uri=deeplink:detalle_licitacion&amp;idEvl=NVl8R7khYkv9pbnDwlaUlg%3D%3D" TargetMode="External" Id="rId1154"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155" /><Relationship Type="http://schemas.openxmlformats.org/officeDocument/2006/relationships/hyperlink" Target="https://contrataciondelestado.es/wps/poc?uri=deeplink:detalle_licitacion&amp;idEvl=Oo4zbnux9E1%2FR5QFTlaM4A%3D%3D" TargetMode="External" Id="rId1156"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157" /><Relationship Type="http://schemas.openxmlformats.org/officeDocument/2006/relationships/hyperlink" Target="https://contrataciondelestado.es/wps/poc?uri=deeplink:detalle_licitacion&amp;idEvl=6jFd19xWe%2Fs7%2B9FIQYNjeQ%3D%3D" TargetMode="External" Id="rId1158"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159" /><Relationship Type="http://schemas.openxmlformats.org/officeDocument/2006/relationships/hyperlink" Target="https://contrataciondelestado.es/wps/poc?uri=deeplink:detalle_licitacion&amp;idEvl=Qg8t2sdPzsni0Kd8%2Brcp6w%3D%3D" TargetMode="External" Id="rId1160"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161" /><Relationship Type="http://schemas.openxmlformats.org/officeDocument/2006/relationships/hyperlink" Target="https://contrataciondelestado.es/wps/poc?uri=deeplink:detalle_licitacion&amp;idEvl=jD%2F4%2BR6KIbe5HQrHoP3G5A%3D%3D" TargetMode="External" Id="rId1162"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163" /><Relationship Type="http://schemas.openxmlformats.org/officeDocument/2006/relationships/hyperlink" Target="https://contrataciondelestado.es/wps/poc?uri=deeplink:detalle_licitacion&amp;idEvl=B1VETa1fqkdeKgd8LfVV9g%3D%3D" TargetMode="External" Id="rId1164"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165" /><Relationship Type="http://schemas.openxmlformats.org/officeDocument/2006/relationships/hyperlink" Target="https://contrataciondelestado.es/wps/poc?uri=deeplink:detalle_licitacion&amp;idEvl=bN0LsvUQmIb9pbnDwlaUlg%3D%3D" TargetMode="External" Id="rId116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167" /><Relationship Type="http://schemas.openxmlformats.org/officeDocument/2006/relationships/hyperlink" Target="https://contrataciondelestado.es/wps/poc?uri=deeplink:detalle_licitacion&amp;idEvl=FS0Ns0Pj%2FOr10HRJw8TEnQ%3D%3D" TargetMode="External" Id="rId116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169" /><Relationship Type="http://schemas.openxmlformats.org/officeDocument/2006/relationships/hyperlink" Target="https://contrataciondelestado.es/wps/poc?uri=deeplink:detalle_licitacion&amp;idEvl=DZxNcNg2VSDs%2BnLj3vAg5A%3D%3D" TargetMode="External" Id="rId117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171" /><Relationship Type="http://schemas.openxmlformats.org/officeDocument/2006/relationships/hyperlink" Target="https://contrataciondelestado.es/wps/poc?uri=deeplink:detalle_licitacion&amp;idEvl=21mj%2F437wAEUqXM96WStVA%3D%3D" TargetMode="External" Id="rId117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173" /><Relationship Type="http://schemas.openxmlformats.org/officeDocument/2006/relationships/hyperlink" Target="https://contrataciondelestado.es/wps/poc?uri=deeplink:detalle_licitacion&amp;idEvl=uU2CTRJR4AoS7pcxhTeWOg%3D%3D" TargetMode="External" Id="rId117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175" /><Relationship Type="http://schemas.openxmlformats.org/officeDocument/2006/relationships/hyperlink" Target="https://contrataciondelestado.es/wps/poc?uri=deeplink:detalle_licitacion&amp;idEvl=m%2FSsuKfgkTmFlFRHfEzEaw%3D%3D" TargetMode="External" Id="rId117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177" /><Relationship Type="http://schemas.openxmlformats.org/officeDocument/2006/relationships/hyperlink" Target="https://contrataciondelestado.es/wps/poc?uri=deeplink:detalle_licitacion&amp;idEvl=ZwTMQsdTOxfECtSnloz%2BZQ%3D%3D" TargetMode="External" Id="rId117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179" /><Relationship Type="http://schemas.openxmlformats.org/officeDocument/2006/relationships/hyperlink" Target="https://contrataciondelestado.es/wps/poc?uri=deeplink:detalle_licitacion&amp;idEvl=Q%2Fsgwf4mJk5xseVhcqrkhw%3D%3D" TargetMode="External" Id="rId118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181" /><Relationship Type="http://schemas.openxmlformats.org/officeDocument/2006/relationships/hyperlink" Target="https://contrataciondelestado.es/wps/poc?uri=deeplink:detalle_licitacion&amp;idEvl=Ut3sPY37wnuExvMJXBMHHQ%3D%3D" TargetMode="External" Id="rId1182"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183" /><Relationship Type="http://schemas.openxmlformats.org/officeDocument/2006/relationships/hyperlink" Target="https://contrataciondelestado.es/wps/poc?uri=deeplink:detalle_licitacion&amp;idEvl=7C7SNJZh16%2Bqb7rCcv76BA%3D%3D" TargetMode="External" Id="rId1184"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185" /><Relationship Type="http://schemas.openxmlformats.org/officeDocument/2006/relationships/hyperlink" Target="https://contrataciondelestado.es/wps/poc?uri=deeplink:detalle_licitacion&amp;idEvl=7zbD%2B5phX44Xhk1FZxEyvw%3D%3D" TargetMode="External" Id="rId1186"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187" /><Relationship Type="http://schemas.openxmlformats.org/officeDocument/2006/relationships/hyperlink" Target="https://contrataciondelestado.es/wps/poc?uri=deeplink:detalle_licitacion&amp;idEvl=6tTpCdA2nNQ2wEhQbcAqug%3D%3D" TargetMode="External" Id="rId1188"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189" /><Relationship Type="http://schemas.openxmlformats.org/officeDocument/2006/relationships/hyperlink" Target="https://contrataciondelestado.es/wps/poc?uri=deeplink:detalle_licitacion&amp;idEvl=TU55TD3BjYWP%2Bo96UAV7cQ%3D%3D" TargetMode="External" Id="rId1190"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191" /><Relationship Type="http://schemas.openxmlformats.org/officeDocument/2006/relationships/hyperlink" Target="https://contrataciondelestado.es/wps/poc?uri=deeplink:detalle_licitacion&amp;idEvl=BRKRn4vEuLP10HRJw8TEnQ%3D%3D" TargetMode="External" Id="rId1192"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193" /><Relationship Type="http://schemas.openxmlformats.org/officeDocument/2006/relationships/hyperlink" Target="https://contrataciondelestado.es/wps/poc?uri=deeplink:detalle_licitacion&amp;idEvl=Phvmq%2FzIAERJ8Trn0ZPzLw%3D%3D" TargetMode="External" Id="rId1194"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195" /><Relationship Type="http://schemas.openxmlformats.org/officeDocument/2006/relationships/hyperlink" Target="https://contrataciondelestado.es/wps/poc?uri=deeplink:detalle_licitacion&amp;idEvl=KKADxnzQ6vM4NavIWzMcHA%3D%3D" TargetMode="External" Id="rId1196"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197" /><Relationship Type="http://schemas.openxmlformats.org/officeDocument/2006/relationships/hyperlink" Target="https://contrataciondelestado.es/wps/poc?uri=deeplink:detalle_licitacion&amp;idEvl=Onh%2Fl6FYRGhQFSeKCRun4Q%3D%3D" TargetMode="External" Id="rId1198"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199" /><Relationship Type="http://schemas.openxmlformats.org/officeDocument/2006/relationships/hyperlink" Target="https://contrataciondelestado.es/wps/poc?uri=deeplink:detalle_licitacion&amp;idEvl=%2B1WmVuSdDwbXOjazN1Dw9Q%3D%3D" TargetMode="External" Id="rId1200"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201" /><Relationship Type="http://schemas.openxmlformats.org/officeDocument/2006/relationships/hyperlink" Target="https://contrataciondelestado.es/wps/poc?uri=deeplink:detalle_licitacion&amp;idEvl=L3EcYz8F7s2P66GS%2BONYvQ%3D%3D" TargetMode="External" Id="rId1202"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203" /><Relationship Type="http://schemas.openxmlformats.org/officeDocument/2006/relationships/hyperlink" Target="https://contrataciondelestado.es/wps/poc?uri=deeplink:detalle_licitacion&amp;idEvl=m78EY4%2BjNs4Xhk1FZxEyvw%3D%3D" TargetMode="External" Id="rId1204"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205" /><Relationship Type="http://schemas.openxmlformats.org/officeDocument/2006/relationships/hyperlink" Target="https://contrataciondelestado.es/wps/poc?uri=deeplink:detalle_licitacion&amp;idEvl=ER9gLZGa9%2B6FQ%2FlhRK79lA%3D%3D" TargetMode="External" Id="rId1206"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207" /><Relationship Type="http://schemas.openxmlformats.org/officeDocument/2006/relationships/hyperlink" Target="https://contrataciondelestado.es/wps/poc?uri=deeplink:detalle_licitacion&amp;idEvl=xr2U%2FsP3G1lxseVhcqrkhw%3D%3D" TargetMode="External" Id="rId1208"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209" /><Relationship Type="http://schemas.openxmlformats.org/officeDocument/2006/relationships/hyperlink" Target="https://contrataciondelestado.es/wps/poc?uri=deeplink:detalle_licitacion&amp;idEvl=eu89ZJaXvpCcCF8sV%2BqtYA%3D%3D" TargetMode="External" Id="rId1210"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211" /><Relationship Type="http://schemas.openxmlformats.org/officeDocument/2006/relationships/hyperlink" Target="https://contrataciondelestado.es/wps/poc?uri=deeplink:detalle_licitacion&amp;idEvl=GzJwRfafk2j%2Fa9DgO%2BoYKQ%3D%3D" TargetMode="External" Id="rId1212"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213" /><Relationship Type="http://schemas.openxmlformats.org/officeDocument/2006/relationships/hyperlink" Target="https://contrataciondelestado.es/wps/poc?uri=deeplink:detalle_licitacion&amp;idEvl=i98OAluLp6T5Rey58Yagpg%3D%3D" TargetMode="External" Id="rId1214"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215" /><Relationship Type="http://schemas.openxmlformats.org/officeDocument/2006/relationships/hyperlink" Target="https://contrataciondelestado.es/wps/poc?uri=deeplink:detalle_licitacion&amp;idEvl=9n8%2Bd6o1Ey1rSd8H4b2soA%3D%3D" TargetMode="External" Id="rId1216"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217" /><Relationship Type="http://schemas.openxmlformats.org/officeDocument/2006/relationships/hyperlink" Target="https://contrataciondelestado.es/wps/poc?uri=deeplink:detalle_licitacion&amp;idEvl=g%2F%2BAVZ1u1BoZDGvgaZEVxQ%3D%3D" TargetMode="External" Id="rId1218"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219" /><Relationship Type="http://schemas.openxmlformats.org/officeDocument/2006/relationships/hyperlink" Target="https://contrataciondelestado.es/wps/poc?uri=deeplink:detalle_licitacion&amp;idEvl=YKbwx2ZefzAtm4eBPtV6eQ%3D%3D" TargetMode="External" Id="rId1220"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221" /><Relationship Type="http://schemas.openxmlformats.org/officeDocument/2006/relationships/hyperlink" Target="https://contrataciondelestado.es/wps/poc?uri=deeplink:detalle_licitacion&amp;idEvl=QflapgVH0CfLIx6q1oPaMg%3D%3D" TargetMode="External" Id="rId1222"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223" /><Relationship Type="http://schemas.openxmlformats.org/officeDocument/2006/relationships/hyperlink" Target="https://contrataciondelestado.es/wps/poc?uri=deeplink:detalle_licitacion&amp;idEvl=SoLiAlFEic%2BGCFcHcNGIlQ%3D%3D" TargetMode="External" Id="rId1224"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225" /><Relationship Type="http://schemas.openxmlformats.org/officeDocument/2006/relationships/hyperlink" Target="https://contrataciondelestado.es/wps/poc?uri=deeplink:detalle_licitacion&amp;idEvl=xYAHiBdmiNTI8aL3PRS10Q%3D%3D" TargetMode="External" Id="rId1226" /><Relationship Type="http://schemas.openxmlformats.org/officeDocument/2006/relationships/hyperlink" Target="https://contrataciondelestado.es/wps/poc?uri=deeplink:detalle_licitacion&amp;idEvl=tZjJedjeGcEaF6cS8TCh%2FA%3D%3D" TargetMode="External" Id="rId1227"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228" /><Relationship Type="http://schemas.openxmlformats.org/officeDocument/2006/relationships/hyperlink" Target="https://contrataciondelestado.es/wps/poc?uri=deeplink:detalle_licitacion&amp;idEvl=%2BzVRaR3GeHMQyBAnWzHfCg%3D%3D" TargetMode="External" Id="rId1229"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230" /><Relationship Type="http://schemas.openxmlformats.org/officeDocument/2006/relationships/hyperlink" Target="https://contrataciondelestado.es/wps/poc?uri=deeplink:detalle_licitacion&amp;idEvl=XxwiKmlbLa2sNfRW6APEDw%3D%3D" TargetMode="External" Id="rId1231"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232" /><Relationship Type="http://schemas.openxmlformats.org/officeDocument/2006/relationships/hyperlink" Target="https://contrataciondelestado.es/wps/poc?uri=deeplink:detalle_licitacion&amp;idEvl=3ZhCGco12xDECtSnloz%2BZQ%3D%3D" TargetMode="External" Id="rId1233"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234" /><Relationship Type="http://schemas.openxmlformats.org/officeDocument/2006/relationships/hyperlink" Target="https://contrataciondelestado.es/wps/poc?uri=deeplink:detalle_licitacion&amp;idEvl=3WyJrIMnNEvua%2Fi14w%2FPLA%3D%3D" TargetMode="External" Id="rId1235"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236" /><Relationship Type="http://schemas.openxmlformats.org/officeDocument/2006/relationships/hyperlink" Target="https://contrataciondelestado.es/wps/poc?uri=deeplink:detalle_licitacion&amp;idEvl=0qHR7BPBQ0E%2Bk2oCbDosIw%3D%3D" TargetMode="External" Id="rId1237"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238" /><Relationship Type="http://schemas.openxmlformats.org/officeDocument/2006/relationships/hyperlink" Target="https://contrataciondelestado.es/wps/poc?uri=deeplink:detalle_licitacion&amp;idEvl=BOum9MUpagE7u6%2B%2FR7DUoA%3D%3D" TargetMode="External" Id="rId1239"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240" /><Relationship Type="http://schemas.openxmlformats.org/officeDocument/2006/relationships/hyperlink" Target="https://contrataciondelestado.es/wps/poc?uri=deeplink:detalle_licitacion&amp;idEvl=V48NRVoNTRaiEJrVRqloyA%3D%3D" TargetMode="External" Id="rId1241"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242" /><Relationship Type="http://schemas.openxmlformats.org/officeDocument/2006/relationships/hyperlink" Target="https://contrataciondelestado.es/wps/poc?uri=deeplink:detalle_licitacion&amp;idEvl=p9cEWzMg3s7ua%2Fi14w%2FPLA%3D%3D" TargetMode="External" Id="rId1243"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244" /><Relationship Type="http://schemas.openxmlformats.org/officeDocument/2006/relationships/hyperlink" Target="https://contrataciondelestado.es/wps/poc?uri=deeplink:detalle_licitacion&amp;idEvl=k8dgnneIJDFPpzdqOdhuWg%3D%3D" TargetMode="External" Id="rId1245"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246" /><Relationship Type="http://schemas.openxmlformats.org/officeDocument/2006/relationships/hyperlink" Target="https://contrataciondelestado.es/wps/poc?uri=deeplink:detalle_licitacion&amp;idEvl=YUhObzOCEElVq4S9zvaQpQ%3D%3D" TargetMode="External" Id="rId1247"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248" /><Relationship Type="http://schemas.openxmlformats.org/officeDocument/2006/relationships/hyperlink" Target="https://contrataciondelestado.es/wps/poc?uri=deeplink:detalle_licitacion&amp;idEvl=SfSUDUGETGmS81gZFETWmA%3D%3D" TargetMode="External" Id="rId1249"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250" /><Relationship Type="http://schemas.openxmlformats.org/officeDocument/2006/relationships/hyperlink" Target="https://contrataciondelestado.es/wps/poc?uri=deeplink:detalle_licitacion&amp;idEvl=PiL4et0l7SM36J9Lctlsuw%3D%3D" TargetMode="External" Id="rId1251"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252" /><Relationship Type="http://schemas.openxmlformats.org/officeDocument/2006/relationships/hyperlink" Target="https://contrataciondelestado.es/wps/poc?uri=deeplink:detalle_licitacion&amp;idEvl=%2FgUzLbHDqXwQyBAnWzHfCg%3D%3D" TargetMode="External" Id="rId125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254" /><Relationship Type="http://schemas.openxmlformats.org/officeDocument/2006/relationships/hyperlink" Target="https://contrataciondelestado.es/wps/poc?uri=deeplink:detalle_licitacion&amp;idEvl=K8XImBnkUHrgL1BHd3qjQA%3D%3D" TargetMode="External" Id="rId1255"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256" /><Relationship Type="http://schemas.openxmlformats.org/officeDocument/2006/relationships/hyperlink" Target="https://contrataciondelestado.es/wps/poc?uri=deeplink:detalle_licitacion&amp;idEvl=ps%2Fl84pVANqcCF8sV%2BqtYA%3D%3D" TargetMode="External" Id="rId1257"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258" /><Relationship Type="http://schemas.openxmlformats.org/officeDocument/2006/relationships/hyperlink" Target="https://contrataciondelestado.es/wps/poc?uri=deeplink:detalle_licitacion&amp;idEvl=YqSPCAMF7mEeC9GJQOEBkQ%3D%3D" TargetMode="External" Id="rId125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260" /><Relationship Type="http://schemas.openxmlformats.org/officeDocument/2006/relationships/hyperlink" Target="https://contrataciondelestado.es/wps/poc?uri=deeplink:detalle_licitacion&amp;idEvl=kq3MAnG9pb8eC9GJQOEBkQ%3D%3D" TargetMode="External" Id="rId1261"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262" /><Relationship Type="http://schemas.openxmlformats.org/officeDocument/2006/relationships/hyperlink" Target="https://contrataciondelestado.es/wps/poc?uri=deeplink:detalle_licitacion&amp;idEvl=UWTEU69ooRb10HRJw8TEnQ%3D%3D" TargetMode="External" Id="rId1263"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64" /><Relationship Type="http://schemas.openxmlformats.org/officeDocument/2006/relationships/hyperlink" Target="https://contrataciondelestado.es/wps/poc?uri=deeplink:detalle_licitacion&amp;idEvl=i85xaeWOa6TN3k3tjedSGw%3D%3D" TargetMode="External" Id="rId1265"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266" /><Relationship Type="http://schemas.openxmlformats.org/officeDocument/2006/relationships/hyperlink" Target="https://contrataciondelestado.es/wps/poc?uri=deeplink:detalle_licitacion&amp;idEvl=xT3yqYnJTk5rSd8H4b2soA%3D%3D" TargetMode="External" Id="rId1267"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268" /><Relationship Type="http://schemas.openxmlformats.org/officeDocument/2006/relationships/hyperlink" Target="https://contrataciondelestado.es/wps/poc?uri=deeplink:detalle_licitacion&amp;idEvl=W4y2YsmYF1j5Rey58Yagpg%3D%3D" TargetMode="External" Id="rId12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270" /><Relationship Type="http://schemas.openxmlformats.org/officeDocument/2006/relationships/hyperlink" Target="https://contrataciondelestado.es/wps/poc?uri=deeplink:detalle_licitacion&amp;idEvl=Z2RWE3Asco%2Fua%2Fi14w%2FPLA%3D%3D" TargetMode="External" Id="rId12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272" /><Relationship Type="http://schemas.openxmlformats.org/officeDocument/2006/relationships/hyperlink" Target="https://contrataciondelestado.es/wps/poc?uri=deeplink:detalle_licitacion&amp;idEvl=InwZ7FGhmLB4zIRvjBVCSw%3D%3D" TargetMode="External" Id="rId12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274" /><Relationship Type="http://schemas.openxmlformats.org/officeDocument/2006/relationships/hyperlink" Target="https://contrataciondelestado.es/wps/poc?uri=deeplink:detalle_licitacion&amp;idEvl=CIR2wRc6A7e2gkLQ8TeYKA%3D%3D" TargetMode="External" Id="rId12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276" /><Relationship Type="http://schemas.openxmlformats.org/officeDocument/2006/relationships/hyperlink" Target="https://contrataciondelestado.es/wps/poc?uri=deeplink:detalle_licitacion&amp;idEvl=yuBOYXAA35BVkTabT%2FRM8A%3D%3D" TargetMode="External" Id="rId12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278" /><Relationship Type="http://schemas.openxmlformats.org/officeDocument/2006/relationships/hyperlink" Target="https://contrataciondelestado.es/wps/poc?uri=deeplink:detalle_licitacion&amp;idEvl=LM85I7Bgsq6HCIsjvJ3rhQ%3D%3D" TargetMode="External" Id="rId12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280" /><Relationship Type="http://schemas.openxmlformats.org/officeDocument/2006/relationships/hyperlink" Target="https://contrataciondelestado.es/wps/poc?uri=deeplink:detalle_licitacion&amp;idEvl=kkBSRq3ElDMeIBJRHQiPkQ%3D%3D" TargetMode="External" Id="rId12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282" /><Relationship Type="http://schemas.openxmlformats.org/officeDocument/2006/relationships/hyperlink" Target="https://contrataciondelestado.es/wps/poc?uri=deeplink:detalle_licitacion&amp;idEvl=STgpvctlDLesNfRW6APEDw%3D%3D" TargetMode="External" Id="rId12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284" /><Relationship Type="http://schemas.openxmlformats.org/officeDocument/2006/relationships/hyperlink" Target="https://contrataciondelestado.es/wps/poc?uri=deeplink:detalle_licitacion&amp;idEvl=8KkOvVZVLVWzz8fXU2i3eQ%3D%3D" TargetMode="External" Id="rId12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286" /><Relationship Type="http://schemas.openxmlformats.org/officeDocument/2006/relationships/hyperlink" Target="https://contrataciondelestado.es/wps/poc?uri=deeplink:detalle_licitacion&amp;idEvl=UxTI%2Bb0zmyukU02jNGj1Fw%3D%3D" TargetMode="External" Id="rId12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288" /><Relationship Type="http://schemas.openxmlformats.org/officeDocument/2006/relationships/hyperlink" Target="https://contrataciondelestado.es/wps/poc?uri=deeplink:detalle_licitacion&amp;idEvl=%2BR%2FTlY3aytYQyBAnWzHfCg%3D%3D" TargetMode="External" Id="rId12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290" /><Relationship Type="http://schemas.openxmlformats.org/officeDocument/2006/relationships/hyperlink" Target="https://contrataciondelestado.es/wps/poc?uri=deeplink:detalle_licitacion&amp;idEvl=Xya3l66gySb9pbnDwlaUlg%3D%3D" TargetMode="External" Id="rId1291"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292" /><Relationship Type="http://schemas.openxmlformats.org/officeDocument/2006/relationships/hyperlink" Target="https://contrataciondelestado.es/wps/poc?uri=deeplink:detalle_licitacion&amp;idEvl=pHCtf5fdUcKcCF8sV%2BqtYA%3D%3D" TargetMode="External" Id="rId1293"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294" /><Relationship Type="http://schemas.openxmlformats.org/officeDocument/2006/relationships/hyperlink" Target="https://contrataciondelestado.es/wps/poc?uri=deeplink:detalle_licitacion&amp;idEvl=3g489Wszjb0%2FbjW6njtWLw%3D%3D" TargetMode="External" Id="rId1295"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296" /><Relationship Type="http://schemas.openxmlformats.org/officeDocument/2006/relationships/hyperlink" Target="https://contrataciondelestado.es/wps/poc?uri=deeplink:detalle_licitacion&amp;idEvl=2vpK8K3r5Uji0Kd8%2Brcp6w%3D%3D" TargetMode="External" Id="rId1297"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298" /><Relationship Type="http://schemas.openxmlformats.org/officeDocument/2006/relationships/hyperlink" Target="https://contrataciondelestado.es/wps/poc?uri=deeplink:detalle_licitacion&amp;idEvl=YooO3GxCacb5Rey58Yagpg%3D%3D" TargetMode="External" Id="rId1299"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300" /><Relationship Type="http://schemas.openxmlformats.org/officeDocument/2006/relationships/hyperlink" Target="https://contrataciondelestado.es/wps/poc?uri=deeplink:detalle_licitacion&amp;idEvl=x2is%2FEgJyxL%2B3JAijKO%2Bkg%3D%3D" TargetMode="External" Id="rId1301"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302" /><Relationship Type="http://schemas.openxmlformats.org/officeDocument/2006/relationships/hyperlink" Target="https://contrataciondelestado.es/wps/poc?uri=deeplink:detalle_licitacion&amp;idEvl=aXPw46LG8Y%2BLAncw3qdZkA%3D%3D" TargetMode="External" Id="rId130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304" /><Relationship Type="http://schemas.openxmlformats.org/officeDocument/2006/relationships/hyperlink" Target="https://contrataciondelestado.es/wps/poc?uri=deeplink:detalle_licitacion&amp;idEvl=FjnKAyia99hLAIVZdUs8KA%3D%3D" TargetMode="External" Id="rId1305"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306" /><Relationship Type="http://schemas.openxmlformats.org/officeDocument/2006/relationships/hyperlink" Target="https://contrataciondelestado.es/wps/poc?uri=deeplink:detalle_licitacion&amp;idEvl=C4d1bFooPRHIGlsa0Wad%2Bw%3D%3D" TargetMode="External" Id="rId1307"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308" /><Relationship Type="http://schemas.openxmlformats.org/officeDocument/2006/relationships/hyperlink" Target="https://contrataciondelestado.es/wps/poc?uri=deeplink:detalle_licitacion&amp;idEvl=Tfq5WEVf26txseVhcqrkhw%3D%3D" TargetMode="External" Id="rId130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310" /><Relationship Type="http://schemas.openxmlformats.org/officeDocument/2006/relationships/hyperlink" Target="https://contrataciondelestado.es/wps/poc?uri=deeplink:detalle_licitacion&amp;idEvl=VoZa1MKvV3Czz8fXU2i3eQ%3D%3D" TargetMode="External" Id="rId1311"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312" /><Relationship Type="http://schemas.openxmlformats.org/officeDocument/2006/relationships/hyperlink" Target="https://contrataciondelestado.es/wps/poc?uri=deeplink:detalle_licitacion&amp;idEvl=iVTAYhXSN7vgL1BHd3qjQA%3D%3D" TargetMode="External" Id="rId1313"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314" /><Relationship Type="http://schemas.openxmlformats.org/officeDocument/2006/relationships/hyperlink" Target="https://contrataciondelestado.es/wps/poc?uri=deeplink:detalle_licitacion&amp;idEvl=Cpru1v2QsM%2Bqb7rCcv76BA%3D%3D" TargetMode="External" Id="rId1315"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316" /><Relationship Type="http://schemas.openxmlformats.org/officeDocument/2006/relationships/hyperlink" Target="https://contrataciondelestado.es/wps/poc?uri=deeplink:detalle_licitacion&amp;idEvl=L%2Fkm0f1W%2BC%2BcTfjQf3USOg%3D%3D" TargetMode="External" Id="rId1317"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318" /><Relationship Type="http://schemas.openxmlformats.org/officeDocument/2006/relationships/hyperlink" Target="https://contrataciondelestado.es/wps/poc?uri=deeplink:detalle_licitacion&amp;idEvl=29eoWQtSsPCP66GS%2BONYvQ%3D%3D" TargetMode="External" Id="rId1319"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320" /><Relationship Type="http://schemas.openxmlformats.org/officeDocument/2006/relationships/hyperlink" Target="https://contrataciondelestado.es/wps/poc?uri=deeplink:detalle_licitacion&amp;idEvl=V%2BBHea9QU4Bq1DdmE7eaXg%3D%3D" TargetMode="External" Id="rId1321"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322" /><Relationship Type="http://schemas.openxmlformats.org/officeDocument/2006/relationships/hyperlink" Target="https://contrataciondelestado.es/wps/poc?uri=deeplink:detalle_licitacion&amp;idEvl=jv1VloDl6FCKeVWTb9Scog%3D%3D" TargetMode="External" Id="rId1323"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324" /><Relationship Type="http://schemas.openxmlformats.org/officeDocument/2006/relationships/hyperlink" Target="https://contrataciondelestado.es/wps/poc?uri=deeplink:detalle_licitacion&amp;idEvl=qR2P7VNhPFES7pcxhTeWOg%3D%3D" TargetMode="External" Id="rId1325"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326" /><Relationship Type="http://schemas.openxmlformats.org/officeDocument/2006/relationships/hyperlink" Target="https://contrataciondelestado.es/wps/poc?uri=deeplink:detalle_licitacion&amp;idEvl=XzwaRS%2B94TSP66GS%2BONYvQ%3D%3D" TargetMode="External" Id="rId132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328" /><Relationship Type="http://schemas.openxmlformats.org/officeDocument/2006/relationships/hyperlink" Target="https://contrataciondelestado.es/wps/poc?uri=deeplink:detalle_licitacion&amp;idEvl=wM%2F%2FRSg%2FZl9PpzdqOdhuWg%3D%3D" TargetMode="External" Id="rId1329"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330" /><Relationship Type="http://schemas.openxmlformats.org/officeDocument/2006/relationships/hyperlink" Target="https://contrataciondelestado.es/wps/poc?uri=deeplink:detalle_licitacion&amp;idEvl=K70tbF2TNzc%2Bk2oCbDosIw%3D%3D" TargetMode="External" Id="rId1331"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332" /><Relationship Type="http://schemas.openxmlformats.org/officeDocument/2006/relationships/hyperlink" Target="https://contrataciondelestado.es/wps/poc?uri=deeplink:detalle_licitacion&amp;idEvl=g%2FgQDBbaHQLjHF5qKI4aaw%3D%3D" TargetMode="External" Id="rId133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334" /><Relationship Type="http://schemas.openxmlformats.org/officeDocument/2006/relationships/hyperlink" Target="https://contrataciondelestado.es/wps/poc?uri=deeplink:detalle_licitacion&amp;idEvl=QIMmqDY%2FMIN70UvEyYJSGw%3D%3D" TargetMode="External" Id="rId1335"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336" /><Relationship Type="http://schemas.openxmlformats.org/officeDocument/2006/relationships/hyperlink" Target="https://contrataciondelestado.es/wps/poc?uri=deeplink:detalle_licitacion&amp;idEvl=ekyNTXaTRRM%2B1TMyIiZmzw%3D%3D" TargetMode="External" Id="rId1337"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338" /><Relationship Type="http://schemas.openxmlformats.org/officeDocument/2006/relationships/hyperlink" Target="https://contrataciondelestado.es/wps/poc?uri=deeplink:detalle_licitacion&amp;idEvl=cnqxfc8xne5LAIVZdUs8KA%3D%3D" TargetMode="External" Id="rId1339"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340" /><Relationship Type="http://schemas.openxmlformats.org/officeDocument/2006/relationships/hyperlink" Target="https://contrataciondelestado.es/wps/poc?uri=deeplink:detalle_licitacion&amp;idEvl=ugqzsN97RgdrhBlEHQFSKA%3D%3D" TargetMode="External" Id="rId1341"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342" /><Relationship Type="http://schemas.openxmlformats.org/officeDocument/2006/relationships/hyperlink" Target="https://contrataciondelestado.es/wps/poc?uri=deeplink:detalle_licitacion&amp;idEvl=vP2MZjo9ib2qb7rCcv76BA%3D%3D" TargetMode="External" Id="rId1343"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344" /><Relationship Type="http://schemas.openxmlformats.org/officeDocument/2006/relationships/hyperlink" Target="https://contrataciondelestado.es/wps/poc?uri=deeplink:detalle_licitacion&amp;idEvl=mJeSyOQH4XWExvMJXBMHHQ%3D%3D" TargetMode="External" Id="rId1345"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346" /><Relationship Type="http://schemas.openxmlformats.org/officeDocument/2006/relationships/hyperlink" Target="https://contrataciondelestado.es/wps/poc?uri=deeplink:detalle_licitacion&amp;idEvl=D4UePnS5OTmKeVWTb9Scog%3D%3D" TargetMode="External" Id="rId1347"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348" /><Relationship Type="http://schemas.openxmlformats.org/officeDocument/2006/relationships/hyperlink" Target="https://contrataciondelestado.es/wps/poc?uri=deeplink:detalle_licitacion&amp;idEvl=YXXdAyXuO3xSYrkJkLlFdw%3D%3D" TargetMode="External" Id="rId1349"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350" /><Relationship Type="http://schemas.openxmlformats.org/officeDocument/2006/relationships/hyperlink" Target="https://contrataciondelestado.es/wps/poc?uri=deeplink:detalle_licitacion&amp;idEvl=G4DBmgJ6JNO9Hd5zqvq9cg%3D%3D" TargetMode="External" Id="rId135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352" /><Relationship Type="http://schemas.openxmlformats.org/officeDocument/2006/relationships/hyperlink" Target="https://contrataciondelestado.es/wps/poc?uri=deeplink:detalle_licitacion&amp;idEvl=GKPzKvY85fiqb7rCcv76BA%3D%3D" TargetMode="External" Id="rId1353" /><Relationship Type="http://schemas.openxmlformats.org/officeDocument/2006/relationships/hyperlink" Target="https://contrataciondelestado.es/wps/poc?uri=deeplink:detalle_licitacion&amp;idEvl=PwG8jgXwfCYtm4eBPtV6eQ%3D%3D" TargetMode="External" Id="rId135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355" /><Relationship Type="http://schemas.openxmlformats.org/officeDocument/2006/relationships/hyperlink" Target="https://contrataciondelestado.es/wps/poc?uri=deeplink:detalle_licitacion&amp;idEvl=%2BowZ1JjLNKwkJPJS%2BPS9vg%3D%3D" TargetMode="External" Id="rId135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357" /><Relationship Type="http://schemas.openxmlformats.org/officeDocument/2006/relationships/hyperlink" Target="https://contrataciondelestado.es/wps/poc?uri=deeplink:detalle_licitacion&amp;idEvl=WW5Wsv8Yc48QyBAnWzHfCg%3D%3D" TargetMode="External" Id="rId135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359" /><Relationship Type="http://schemas.openxmlformats.org/officeDocument/2006/relationships/hyperlink" Target="https://contrataciondelestado.es/wps/poc?uri=deeplink:detalle_licitacion&amp;idEvl=s4EUo24XOkc7u6%2B%2FR7DUoA%3D%3D" TargetMode="External" Id="rId136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361" /><Relationship Type="http://schemas.openxmlformats.org/officeDocument/2006/relationships/hyperlink" Target="https://contrataciondelestado.es/wps/poc?uri=deeplink:detalle_licitacion&amp;idEvl=q%2BvTFQMeLPhPpzdqOdhuWg%3D%3D" TargetMode="External" Id="rId136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363" /><Relationship Type="http://schemas.openxmlformats.org/officeDocument/2006/relationships/hyperlink" Target="https://contrataciondelestado.es/wps/poc?uri=deeplink:detalle_licitacion&amp;idEvl=WF0X%2B1XCX5h9Zh%2FyRJgM8w%3D%3D" TargetMode="External" Id="rId136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365" /><Relationship Type="http://schemas.openxmlformats.org/officeDocument/2006/relationships/hyperlink" Target="https://contrataciondelestado.es/wps/poc?uri=deeplink:detalle_licitacion&amp;idEvl=iwUWlyjDux03vLk2DU2Ddg%3D%3D" TargetMode="External" Id="rId136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367" /><Relationship Type="http://schemas.openxmlformats.org/officeDocument/2006/relationships/hyperlink" Target="https://contrataciondelestado.es/wps/poc?uri=deeplink:detalle_licitacion&amp;idEvl=Kvteo405Sjyzz8fXU2i3eQ%3D%3D" TargetMode="External" Id="rId136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369" /><Relationship Type="http://schemas.openxmlformats.org/officeDocument/2006/relationships/hyperlink" Target="https://contrataciondelestado.es/wps/poc?uri=deeplink:detalle_licitacion&amp;idEvl=w7AIROp8iBVrSd8H4b2soA%3D%3D" TargetMode="External" Id="rId137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371" /><Relationship Type="http://schemas.openxmlformats.org/officeDocument/2006/relationships/hyperlink" Target="https://contrataciondelestado.es/wps/poc?uri=deeplink:detalle_licitacion&amp;idEvl=r0FDxHSU4HaGCFcHcNGIlQ%3D%3D" TargetMode="External" Id="rId137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373" /><Relationship Type="http://schemas.openxmlformats.org/officeDocument/2006/relationships/hyperlink" Target="https://contrataciondelestado.es/wps/poc?uri=deeplink:detalle_licitacion&amp;idEvl=C0wOzLJWTU4tm4eBPtV6eQ%3D%3D" TargetMode="External" Id="rId137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375" /><Relationship Type="http://schemas.openxmlformats.org/officeDocument/2006/relationships/hyperlink" Target="https://contrataciondelestado.es/wps/poc?uri=deeplink:detalle_licitacion&amp;idEvl=5EaLiaIqw78aF6cS8TCh%2FA%3D%3D" TargetMode="External" Id="rId137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77" /><Relationship Type="http://schemas.openxmlformats.org/officeDocument/2006/relationships/hyperlink" Target="https://contrataciondelestado.es/wps/poc?uri=deeplink:detalle_licitacion&amp;idEvl=QUifsp1xaw%2FIGlsa0Wad%2Bw%3D%3D" TargetMode="External" Id="rId137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379" /><Relationship Type="http://schemas.openxmlformats.org/officeDocument/2006/relationships/hyperlink" Target="https://contrataciondelestado.es/wps/poc?uri=deeplink:detalle_licitacion&amp;idEvl=%2FxUo2BIcmXp70UvEyYJSGw%3D%3D" TargetMode="External" Id="rId138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381" /><Relationship Type="http://schemas.openxmlformats.org/officeDocument/2006/relationships/hyperlink" Target="https://contrataciondelestado.es/wps/poc?uri=deeplink:detalle_licitacion&amp;idEvl=iQZP39YXNIFWhbmkna2nXQ%3D%3D" TargetMode="External" Id="rId138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383" /><Relationship Type="http://schemas.openxmlformats.org/officeDocument/2006/relationships/hyperlink" Target="https://contrataciondelestado.es/wps/poc?uri=deeplink:detalle_licitacion&amp;idEvl=Wtt%2BvYK0%2BG1SYrkJkLlFdw%3D%3D" TargetMode="External" Id="rId138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385" /><Relationship Type="http://schemas.openxmlformats.org/officeDocument/2006/relationships/hyperlink" Target="https://contrataciondelestado.es/wps/poc?uri=deeplink:detalle_licitacion&amp;idEvl=6tTL%2Bo9QEVh%2FP7lJ7Fu0SA%3D%3D" TargetMode="External" Id="rId138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387" /><Relationship Type="http://schemas.openxmlformats.org/officeDocument/2006/relationships/hyperlink" Target="https://contrataciondelestado.es/wps/poc?uri=deeplink:detalle_licitacion&amp;idEvl=f5UAT4icjXV4zIRvjBVCSw%3D%3D" TargetMode="External" Id="rId138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389" /><Relationship Type="http://schemas.openxmlformats.org/officeDocument/2006/relationships/hyperlink" Target="https://contrataciondelestado.es/wps/poc?uri=deeplink:detalle_licitacion&amp;idEvl=6MG%2BndouiaJrhBlEHQFSKA%3D%3D" TargetMode="External" Id="rId1390"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391" /><Relationship Type="http://schemas.openxmlformats.org/officeDocument/2006/relationships/hyperlink" Target="https://contrataciondelestado.es/wps/poc?uri=deeplink:detalle_licitacion&amp;idEvl=vWky0cebmP1rSd8H4b2soA%3D%3D" TargetMode="External" Id="rId1392"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393" /><Relationship Type="http://schemas.openxmlformats.org/officeDocument/2006/relationships/hyperlink" Target="https://contrataciondelestado.es/wps/poc?uri=deeplink:detalle_licitacion&amp;idEvl=ubKTRtSZg9prSd8H4b2soA%3D%3D" TargetMode="External" Id="rId1394"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395" /><Relationship Type="http://schemas.openxmlformats.org/officeDocument/2006/relationships/hyperlink" Target="https://contrataciondelestado.es/wps/poc?uri=deeplink:detalle_licitacion&amp;idEvl=MZH7J7tnXHc7%2B9FIQYNjeQ%3D%3D" TargetMode="External" Id="rId1396"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397" /><Relationship Type="http://schemas.openxmlformats.org/officeDocument/2006/relationships/hyperlink" Target="https://contrataciondelestado.es/wps/poc?uri=deeplink:detalle_licitacion&amp;idEvl=URgiZOV0leeKeVWTb9Scog%3D%3D" TargetMode="External" Id="rId1398"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399" /><Relationship Type="http://schemas.openxmlformats.org/officeDocument/2006/relationships/hyperlink" Target="https://contrataciondelestado.es/wps/poc?uri=deeplink:detalle_licitacion&amp;idEvl=9kxbkBrlFsFVq4S9zvaQpQ%3D%3D" TargetMode="External" Id="rId140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01" /><Relationship Type="http://schemas.openxmlformats.org/officeDocument/2006/relationships/hyperlink" Target="https://contrataciondelestado.es/wps/poc?uri=deeplink:detalle_licitacion&amp;idEvl=U9KYjWGkeubVGIpKDxgsAQ%3D%3D" TargetMode="External" Id="rId1402"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403" /><Relationship Type="http://schemas.openxmlformats.org/officeDocument/2006/relationships/hyperlink" Target="https://contrataciondelestado.es/wps/poc?uri=deeplink:detalle_licitacion&amp;idEvl=Dh2D9o1t2uk%2FbjW6njtWLw%3D%3D" TargetMode="External" Id="rId140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405" /><Relationship Type="http://schemas.openxmlformats.org/officeDocument/2006/relationships/hyperlink" Target="https://contrataciondelestado.es/wps/poc?uri=deeplink:detalle_licitacion&amp;idEvl=DbQ1dyjFeeuFlFRHfEzEaw%3D%3D" TargetMode="External" Id="rId140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407" /><Relationship Type="http://schemas.openxmlformats.org/officeDocument/2006/relationships/hyperlink" Target="https://contrataciondelestado.es/wps/poc?uri=deeplink:detalle_licitacion&amp;idEvl=xFF1fTTQVBX9pbnDwlaUlg%3D%3D" TargetMode="External" Id="rId140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409" /><Relationship Type="http://schemas.openxmlformats.org/officeDocument/2006/relationships/hyperlink" Target="https://contrataciondelestado.es/wps/poc?uri=deeplink:detalle_licitacion&amp;idEvl=aqjO5flT5Ff%2Fa9DgO%2BoYKQ%3D%3D" TargetMode="External" Id="rId141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411" /><Relationship Type="http://schemas.openxmlformats.org/officeDocument/2006/relationships/hyperlink" Target="https://contrataciondelestado.es/wps/poc?uri=deeplink:detalle_licitacion&amp;idEvl=quiyTxalfSfs%2BnLj3vAg5A%3D%3D" TargetMode="External" Id="rId141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413" /><Relationship Type="http://schemas.openxmlformats.org/officeDocument/2006/relationships/hyperlink" Target="https://contrataciondelestado.es/wps/poc?uri=deeplink:detalle_licitacion&amp;idEvl=Rde4dXVVRsvgL1BHd3qjQA%3D%3D" TargetMode="External" Id="rId141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415" /><Relationship Type="http://schemas.openxmlformats.org/officeDocument/2006/relationships/hyperlink" Target="https://contrataciondelestado.es/wps/poc?uri=deeplink:detalle_licitacion&amp;idEvl=pQHBa7sALoXs%2BnLj3vAg5A%3D%3D" TargetMode="External" Id="rId141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417" /><Relationship Type="http://schemas.openxmlformats.org/officeDocument/2006/relationships/hyperlink" Target="https://contrataciondelestado.es/wps/poc?uri=deeplink:detalle_licitacion&amp;idEvl=E2Yy8TxFMCpQFSeKCRun4Q%3D%3D" TargetMode="External" Id="rId1418"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419" /><Relationship Type="http://schemas.openxmlformats.org/officeDocument/2006/relationships/hyperlink" Target="https://contrataciondelestado.es/wps/poc?uri=deeplink:detalle_licitacion&amp;idEvl=GWaXTOl7B%2FrVGIpKDxgsAQ%3D%3D" TargetMode="External" Id="rId1420"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1421" /><Relationship Type="http://schemas.openxmlformats.org/officeDocument/2006/relationships/hyperlink" Target="https://contrataciondelestado.es/wps/poc?uri=deeplink:detalle_licitacion&amp;idEvl=0YAXe%2B1gU5acCF8sV%2BqtYA%3D%3D" TargetMode="External" Id="rId142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423" /><Relationship Type="http://schemas.openxmlformats.org/officeDocument/2006/relationships/hyperlink" Target="https://contrataciondelestado.es/wps/poc?uri=deeplink:detalle_licitacion&amp;idEvl=0aGgrSSZs53i0Kd8%2Brcp6w%3D%3D" TargetMode="External" Id="rId1424"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1425" /><Relationship Type="http://schemas.openxmlformats.org/officeDocument/2006/relationships/hyperlink" Target="https://contrataciondelestado.es/wps/poc?uri=deeplink:detalle_licitacion&amp;idEvl=69IN8YHTyqtrSd8H4b2soA%3D%3D" TargetMode="External" Id="rId1426"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427" /><Relationship Type="http://schemas.openxmlformats.org/officeDocument/2006/relationships/hyperlink" Target="https://contrataciondelestado.es/wps/poc?uri=deeplink:detalle_licitacion&amp;idEvl=O5sGau7lSHD10HRJw8TEnQ%3D%3D" TargetMode="External" Id="rId1428"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429" /><Relationship Type="http://schemas.openxmlformats.org/officeDocument/2006/relationships/hyperlink" Target="https://contrataciondelestado.es/wps/poc?uri=deeplink:detalle_licitacion&amp;idEvl=Xb9k%2FGteEOyP%2Bo96UAV7cQ%3D%3D" TargetMode="External" Id="rId1430"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431" /><Relationship Type="http://schemas.openxmlformats.org/officeDocument/2006/relationships/hyperlink" Target="https://contrataciondelestado.es/wps/poc?uri=deeplink:detalle_licitacion&amp;idEvl=THC%2BVp2hV%2Bh6nTs9LZ9RhQ%3D%3D" TargetMode="External" Id="rId143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433" /><Relationship Type="http://schemas.openxmlformats.org/officeDocument/2006/relationships/hyperlink" Target="https://contrataciondelestado.es/wps/poc?uri=deeplink:detalle_licitacion&amp;idEvl=j%2BPlowDlItgQyBAnWzHfCg%3D%3D" TargetMode="External" Id="rId143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1435" /><Relationship Type="http://schemas.openxmlformats.org/officeDocument/2006/relationships/hyperlink" Target="https://contrataciondelestado.es/wps/poc?uri=deeplink:detalle_licitacion&amp;idEvl=ZaLs5NBm7z%2FN3k3tjedSGw%3D%3D" TargetMode="External" Id="rId143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437" /><Relationship Type="http://schemas.openxmlformats.org/officeDocument/2006/relationships/hyperlink" Target="https://contrataciondelestado.es/wps/poc?uri=deeplink:detalle_licitacion&amp;idEvl=dD%2FooQnPxn1QFSeKCRun4Q%3D%3D" TargetMode="External" Id="rId143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1439" /><Relationship Type="http://schemas.openxmlformats.org/officeDocument/2006/relationships/hyperlink" Target="https://contrataciondelestado.es/wps/poc?uri=deeplink:detalle_licitacion&amp;idEvl=FZ14Fn%2FToZuAAM7L03kM8A%3D%3D" TargetMode="External" Id="rId1440"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441" /><Relationship Type="http://schemas.openxmlformats.org/officeDocument/2006/relationships/hyperlink" Target="https://contrataciondelestado.es/wps/poc?uri=deeplink:detalle_licitacion&amp;idEvl=dzfB0MLdUHk36J9Lctlsuw%3D%3D" TargetMode="External" Id="rId1442"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443" /><Relationship Type="http://schemas.openxmlformats.org/officeDocument/2006/relationships/hyperlink" Target="https://contrataciondelestado.es/wps/poc?uri=deeplink:detalle_licitacion&amp;idEvl=wV9%2BSBQfMdg%2B1TMyIiZmzw%3D%3D" TargetMode="External" Id="rId1444"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1445" /><Relationship Type="http://schemas.openxmlformats.org/officeDocument/2006/relationships/hyperlink" Target="https://contrataciondelestado.es/wps/poc?uri=deeplink:detalle_licitacion&amp;idEvl=qhWusGuMHIYkJPJS%2BPS9vg%3D%3D" TargetMode="External" Id="rId1446"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1447" /><Relationship Type="http://schemas.openxmlformats.org/officeDocument/2006/relationships/hyperlink" Target="https://contrataciondelestado.es/wps/poc?uri=deeplink:detalle_licitacion&amp;idEvl=wAYeChv70RM3vLk2DU2Ddg%3D%3D" TargetMode="External" Id="rId1448"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1449" /><Relationship Type="http://schemas.openxmlformats.org/officeDocument/2006/relationships/hyperlink" Target="https://contrataciondelestado.es/wps/poc?uri=deeplink:detalle_licitacion&amp;idEvl=8wN0CMx8ndkl5NjlNci%2BtA%3D%3D" TargetMode="External" Id="rId1450"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1451" /><Relationship Type="http://schemas.openxmlformats.org/officeDocument/2006/relationships/hyperlink" Target="https://contrataciondelestado.es/wps/poc?uri=deeplink:detalle_licitacion&amp;idEvl=FoHX4RJB4DP%2Fa9DgO%2BoYKQ%3D%3D" TargetMode="External" Id="rId1452"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1453" /><Relationship Type="http://schemas.openxmlformats.org/officeDocument/2006/relationships/hyperlink" Target="https://contrataciondelestado.es/wps/poc?uri=deeplink:detalle_licitacion&amp;idEvl=Pt6WDb8%2F2k0mMOlAXxDEjw%3D%3D" TargetMode="External" Id="rId1454" /><Relationship Type="http://schemas.openxmlformats.org/officeDocument/2006/relationships/hyperlink" Target="https://contrataciondelestado.es/wps/poc?uri=deeplink:detalle_licitacion&amp;idEvl=g4fnwbDYKFCLAncw3qdZkA%3D%3D" TargetMode="External" Id="rId1455"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456" /><Relationship Type="http://schemas.openxmlformats.org/officeDocument/2006/relationships/hyperlink" Target="https://contrataciondelestado.es/wps/poc?uri=deeplink:detalle_licitacion&amp;idEvl=GFCJPN1yJFol5NjlNci%2BtA%3D%3D" TargetMode="External" Id="rId1457"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458" /><Relationship Type="http://schemas.openxmlformats.org/officeDocument/2006/relationships/hyperlink" Target="https://contrataciondelestado.es/wps/poc?uri=deeplink:detalle_licitacion&amp;idEvl=foNIaqdzJoleKgd8LfVV9g%3D%3D" TargetMode="External" Id="rId1459"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1460" /><Relationship Type="http://schemas.openxmlformats.org/officeDocument/2006/relationships/hyperlink" Target="https://contrataciondelestado.es/wps/poc?uri=deeplink:detalle_licitacion&amp;idEvl=UUYyOPX06tJ6nTs9LZ9RhQ%3D%3D" TargetMode="External" Id="rId1461"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1462" /><Relationship Type="http://schemas.openxmlformats.org/officeDocument/2006/relationships/hyperlink" Target="https://contrataciondelestado.es/wps/poc?uri=deeplink:detalle_licitacion&amp;idEvl=ba6FY4T8VwKopEMYCmrbmw%3D%3D" TargetMode="External" Id="rId1463"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1464" /><Relationship Type="http://schemas.openxmlformats.org/officeDocument/2006/relationships/hyperlink" Target="https://contrataciondelestado.es/wps/poc?uri=deeplink:detalle_licitacion&amp;idEvl=F%2BkewY5JxpM%2Bk2oCbDosIw%3D%3D" TargetMode="External" Id="rId1465"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1466" /><Relationship Type="http://schemas.openxmlformats.org/officeDocument/2006/relationships/hyperlink" Target="https://contrataciondelestado.es/wps/poc?uri=deeplink:detalle_licitacion&amp;idEvl=gIC0%2B%2ByHjq6TylGzYmBF9Q%3D%3D" TargetMode="External" Id="rId1467"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1468" /><Relationship Type="http://schemas.openxmlformats.org/officeDocument/2006/relationships/hyperlink" Target="https://contrataciondelestado.es/wps/poc?uri=deeplink:detalle_licitacion&amp;idEvl=CvkZzCQnmFAkJPJS%2BPS9vg%3D%3D" TargetMode="External" Id="rId1469"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1470" /><Relationship Type="http://schemas.openxmlformats.org/officeDocument/2006/relationships/hyperlink" Target="https://contrataciondelestado.es/wps/poc?uri=deeplink:detalle_licitacion&amp;idEvl=2RFuf9IF%2FL4tm4eBPtV6eQ%3D%3D" TargetMode="External" Id="rId1471"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472" /><Relationship Type="http://schemas.openxmlformats.org/officeDocument/2006/relationships/hyperlink" Target="https://contrataciondelestado.es/wps/poc?uri=deeplink:detalle_licitacion&amp;idEvl=FuUfFe4c%2FCJ9PLkba5eRog%3D%3D" TargetMode="External" Id="rId1473"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1474" /><Relationship Type="http://schemas.openxmlformats.org/officeDocument/2006/relationships/hyperlink" Target="https://contrataciondelestado.es/wps/poc?uri=deeplink:detalle_licitacion&amp;idEvl=MukClzzLGT%2B7JOCXkOhcDg%3D%3D" TargetMode="External" Id="rId1475"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1476" /><Relationship Type="http://schemas.openxmlformats.org/officeDocument/2006/relationships/hyperlink" Target="https://contrataciondelestado.es/wps/poc?uri=deeplink:detalle_licitacion&amp;idEvl=%2FCq12lPoK7uopEMYCmrbmw%3D%3D" TargetMode="External" Id="rId1477"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1478" /><Relationship Type="http://schemas.openxmlformats.org/officeDocument/2006/relationships/hyperlink" Target="https://contrataciondelestado.es/wps/poc?uri=deeplink:detalle_licitacion&amp;idEvl=YGVR3XbSrbeP66GS%2BONYvQ%3D%3D" TargetMode="External" Id="rId1479"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480" /><Relationship Type="http://schemas.openxmlformats.org/officeDocument/2006/relationships/hyperlink" Target="https://contrataciondelestado.es/wps/poc?uri=deeplink:detalle_licitacion&amp;idEvl=Oius1aSXezqFQ%2FlhRK79lA%3D%3D" TargetMode="External" Id="rId1481"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1482" /><Relationship Type="http://schemas.openxmlformats.org/officeDocument/2006/relationships/hyperlink" Target="https://contrataciondelestado.es/wps/poc?uri=deeplink:detalle_licitacion&amp;idEvl=2%2FrVS1eMVs8zjChw4z%2FXvw%3D%3D" TargetMode="External" Id="rId1483"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1484" /><Relationship Type="http://schemas.openxmlformats.org/officeDocument/2006/relationships/hyperlink" Target="https://contrataciondelestado.es/wps/poc?uri=deeplink:detalle_licitacion&amp;idEvl=i1jUKg0H2ko%2Bk2oCbDosIw%3D%3D" TargetMode="External" Id="rId148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1486" /><Relationship Type="http://schemas.openxmlformats.org/officeDocument/2006/relationships/hyperlink" Target="https://contrataciondelestado.es/wps/poc?uri=deeplink:detalle_licitacion&amp;idEvl=RHln4O1U8%2FQ7%2B9FIQYNjeQ%3D%3D" TargetMode="External" Id="rId1487"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1488" /><Relationship Type="http://schemas.openxmlformats.org/officeDocument/2006/relationships/hyperlink" Target="https://contrataciondelestado.es/wps/poc?uri=deeplink:detalle_licitacion&amp;idEvl=0ElQojJH8aj5Rey58Yagpg%3D%3D" TargetMode="External" Id="rId1489" /><Relationship Type="http://schemas.openxmlformats.org/officeDocument/2006/relationships/hyperlink" Target="https://contrataciondelestado.es/wps/poc?uri=deeplink:detalle_licitacion&amp;idEvl=WLqIvohEiKgXhk1FZxEyvw%3D%3D" TargetMode="External" Id="rId1490"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1491" /><Relationship Type="http://schemas.openxmlformats.org/officeDocument/2006/relationships/hyperlink" Target="https://contrataciondelestado.es/wps/poc?uri=deeplink:detalle_licitacion&amp;idEvl=QR840W%2BwtWv%2Fa9DgO%2BoYKQ%3D%3D" TargetMode="External" Id="rId14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1493" /><Relationship Type="http://schemas.openxmlformats.org/officeDocument/2006/relationships/hyperlink" Target="https://contrataciondelestado.es/wps/poc?uri=deeplink:detalle_licitacion&amp;idEvl=dV4NErk5RcisNfRW6APEDw%3D%3D" TargetMode="External" Id="rId1494"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1495" /><Relationship Type="http://schemas.openxmlformats.org/officeDocument/2006/relationships/hyperlink" Target="https://contrataciondelestado.es/wps/poc?uri=deeplink:detalle_licitacion&amp;idEvl=74fS9rkHYKdVkTabT%2FRM8A%3D%3D" TargetMode="External" Id="rId149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1497" /><Relationship Type="http://schemas.openxmlformats.org/officeDocument/2006/relationships/hyperlink" Target="https://contrataciondelestado.es/wps/poc?uri=deeplink:detalle_licitacion&amp;idEvl=MsWAkDVP%2B6mFQ%2FlhRK79lA%3D%3D" TargetMode="External" Id="rId1498"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499" /><Relationship Type="http://schemas.openxmlformats.org/officeDocument/2006/relationships/hyperlink" Target="https://contrataciondelestado.es/wps/poc?uri=deeplink:detalle_licitacion&amp;idEvl=Ozccl4ioyz0l5NjlNci%2BtA%3D%3D" TargetMode="External" Id="rId1500"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01" /><Relationship Type="http://schemas.openxmlformats.org/officeDocument/2006/relationships/hyperlink" Target="https://contrataciondelestado.es/wps/poc?uri=deeplink:detalle_licitacion&amp;idEvl=M5Sfj09dtWDkY6rls5tG9A%3D%3D" TargetMode="External" Id="rId150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1503" /><Relationship Type="http://schemas.openxmlformats.org/officeDocument/2006/relationships/hyperlink" Target="https://contrataciondelestado.es/wps/poc?uri=deeplink:detalle_licitacion&amp;idEvl=weILdLlBNJyKeVWTb9Scog%3D%3D" TargetMode="External" Id="rId1504"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1505" /><Relationship Type="http://schemas.openxmlformats.org/officeDocument/2006/relationships/hyperlink" Target="https://contrataciondelestado.es/wps/poc?uri=deeplink:detalle_licitacion&amp;idEvl=IzlPmUaw1iSzz8fXU2i3eQ%3D%3D" TargetMode="External" Id="rId1506" /><Relationship Type="http://schemas.openxmlformats.org/officeDocument/2006/relationships/hyperlink" Target="https://contrataciondelestado.es/wps/poc?uri=deeplink:detalle_licitacion&amp;idEvl=zEbPnh5PIFGLAncw3qdZkA%3D%3D" TargetMode="External" Id="rId1507"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508" /><Relationship Type="http://schemas.openxmlformats.org/officeDocument/2006/relationships/hyperlink" Target="https://contrataciondelestado.es/wps/poc?uri=deeplink:detalle_licitacion&amp;idEvl=C7fsUQfHxmLIGlsa0Wad%2Bw%3D%3D" TargetMode="External" Id="rId1509"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1510" /><Relationship Type="http://schemas.openxmlformats.org/officeDocument/2006/relationships/hyperlink" Target="https://contrataciondelestado.es/wps/poc?uri=deeplink:detalle_licitacion&amp;idEvl=DyqppeXjnZBxseVhcqrkhw%3D%3D" TargetMode="External" Id="rId1511"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1512" /><Relationship Type="http://schemas.openxmlformats.org/officeDocument/2006/relationships/hyperlink" Target="https://contrataciondelestado.es/wps/poc?uri=deeplink:detalle_licitacion&amp;idEvl=ryRQPrroZDyFQ%2FlhRK79lA%3D%3D" TargetMode="External" Id="rId1513"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1514" /><Relationship Type="http://schemas.openxmlformats.org/officeDocument/2006/relationships/hyperlink" Target="https://contrataciondelestado.es/wps/poc?uri=deeplink:detalle_licitacion&amp;idEvl=j5GgH95YG5qzz8fXU2i3eQ%3D%3D" TargetMode="External" Id="rId1515"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1516" /><Relationship Type="http://schemas.openxmlformats.org/officeDocument/2006/relationships/hyperlink" Target="https://contrataciondelestado.es/wps/poc?uri=deeplink:detalle_licitacion&amp;idEvl=gX2lqjMbP7uP%2Bo96UAV7cQ%3D%3D" TargetMode="External" Id="rId1517"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518" /><Relationship Type="http://schemas.openxmlformats.org/officeDocument/2006/relationships/hyperlink" Target="https://contrataciondelestado.es/wps/poc?uri=deeplink:detalle_licitacion&amp;idEvl=XMbLsDfbwLrN3k3tjedSGw%3D%3D" TargetMode="External" Id="rId1519"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520" /><Relationship Type="http://schemas.openxmlformats.org/officeDocument/2006/relationships/hyperlink" Target="https://contrataciondelestado.es/wps/poc?uri=deeplink:detalle_licitacion&amp;idEvl=jLPz7YdbMmLua%2Fi14w%2FPLA%3D%3D" TargetMode="External" Id="rId1521"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1522" /><Relationship Type="http://schemas.openxmlformats.org/officeDocument/2006/relationships/hyperlink" Target="https://contrataciondelestado.es/wps/poc?uri=deeplink:detalle_licitacion&amp;idEvl=F%2FZXf4Ayy%2Fs3vLk2DU2Ddg%3D%3D" TargetMode="External" Id="rId1523"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1524" /><Relationship Type="http://schemas.openxmlformats.org/officeDocument/2006/relationships/hyperlink" Target="https://contrataciondelestado.es/wps/poc?uri=deeplink:detalle_licitacion&amp;idEvl=2OxGaFqeEo4S7pcxhTeWOg%3D%3D" TargetMode="External" Id="rId1525"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1526" /><Relationship Type="http://schemas.openxmlformats.org/officeDocument/2006/relationships/hyperlink" Target="https://contrataciondelestado.es/wps/poc?uri=deeplink:detalle_licitacion&amp;idEvl=ngjRnQ2s1lsIYE3ZiZ%2BxmQ%3D%3D" TargetMode="External" Id="rId1527"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1528" /><Relationship Type="http://schemas.openxmlformats.org/officeDocument/2006/relationships/hyperlink" Target="https://contrataciondelestado.es/wps/poc?uri=deeplink:detalle_licitacion&amp;idEvl=es0nLhoGnBV9Zh%2FyRJgM8w%3D%3D" TargetMode="External" Id="rId1529"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530" /><Relationship Type="http://schemas.openxmlformats.org/officeDocument/2006/relationships/hyperlink" Target="https://contrataciondelestado.es/wps/poc?uri=deeplink:detalle_licitacion&amp;idEvl=urCqKXpPMfl70UvEyYJSGw%3D%3D" TargetMode="External" Id="rId153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532" /><Relationship Type="http://schemas.openxmlformats.org/officeDocument/2006/relationships/hyperlink" Target="https://contrataciondelestado.es/wps/poc?uri=deeplink:detalle_licitacion&amp;idEvl=Kg3KZxJBEw9t5r0ngvMetA%3D%3D" TargetMode="External" Id="rId153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1534" /><Relationship Type="http://schemas.openxmlformats.org/officeDocument/2006/relationships/hyperlink" Target="https://contrataciondelestado.es/wps/poc?uri=deeplink:detalle_licitacion&amp;idEvl=mYyKCsfeSnQS7pcxhTeWOg%3D%3D" TargetMode="External" Id="rId153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1536" /><Relationship Type="http://schemas.openxmlformats.org/officeDocument/2006/relationships/hyperlink" Target="https://contrataciondelestado.es/wps/poc?uri=deeplink:detalle_licitacion&amp;idEvl=f8AQHjWV2KPjHF5qKI4aaw%3D%3D" TargetMode="External" Id="rId153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1538" /><Relationship Type="http://schemas.openxmlformats.org/officeDocument/2006/relationships/hyperlink" Target="https://contrataciondelestado.es/wps/poc?uri=deeplink:detalle_licitacion&amp;idEvl=YTWotuVboIQSugstABGr5A%3D%3D" TargetMode="External" Id="rId153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1540" /><Relationship Type="http://schemas.openxmlformats.org/officeDocument/2006/relationships/hyperlink" Target="https://contrataciondelestado.es/wps/poc?uri=deeplink:detalle_licitacion&amp;idEvl=rxqVb7THKATzAq95uGTrDQ%3D%3D" TargetMode="External" Id="rId154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1542" /><Relationship Type="http://schemas.openxmlformats.org/officeDocument/2006/relationships/hyperlink" Target="https://contrataciondelestado.es/wps/poc?uri=deeplink:detalle_licitacion&amp;idEvl=hPBZ%2Fb8x%2F3pLAIVZdUs8KA%3D%3D" TargetMode="External" Id="rId1543"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544" /><Relationship Type="http://schemas.openxmlformats.org/officeDocument/2006/relationships/hyperlink" Target="https://contrataciondelestado.es/wps/poc?uri=deeplink:detalle_licitacion&amp;idEvl=ntgUSiKsrmLkY6rls5tG9A%3D%3D" TargetMode="External" Id="rId1545"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1546" /><Relationship Type="http://schemas.openxmlformats.org/officeDocument/2006/relationships/hyperlink" Target="https://contrataciondelestado.es/wps/poc?uri=deeplink:detalle_licitacion&amp;idEvl=M4Lmyl0vhqprhBlEHQFSKA%3D%3D" TargetMode="External" Id="rId1547"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548" /><Relationship Type="http://schemas.openxmlformats.org/officeDocument/2006/relationships/hyperlink" Target="https://contrataciondelestado.es/wps/poc?uri=deeplink:detalle_licitacion&amp;idEvl=lVIcwwPkEg9rSd8H4b2soA%3D%3D" TargetMode="External" Id="rId154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1550" /><Relationship Type="http://schemas.openxmlformats.org/officeDocument/2006/relationships/hyperlink" Target="https://contrataciondelestado.es/wps/poc?uri=deeplink:detalle_licitacion&amp;idEvl=bLDR6i1wqqpt5r0ngvMetA%3D%3D" TargetMode="External" Id="rId1551"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552" /><Relationship Type="http://schemas.openxmlformats.org/officeDocument/2006/relationships/hyperlink" Target="https://contrataciondelestado.es/wps/poc?uri=deeplink:detalle_licitacion&amp;idEvl=68sDpqkqWpOS81gZFETWmA%3D%3D" TargetMode="External" Id="rId1553"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554" /><Relationship Type="http://schemas.openxmlformats.org/officeDocument/2006/relationships/hyperlink" Target="https://contrataciondelestado.es/wps/poc?uri=deeplink:detalle_licitacion&amp;idEvl=9eAWhj05zJ6HCIsjvJ3rhQ%3D%3D" TargetMode="External" Id="rId1555"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556" /><Relationship Type="http://schemas.openxmlformats.org/officeDocument/2006/relationships/hyperlink" Target="https://contrataciondelestado.es/wps/poc?uri=deeplink:detalle_licitacion&amp;idEvl=DiJPuGS7p30%2B1TMyIiZmzw%3D%3D" TargetMode="External" Id="rId155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1558" /><Relationship Type="http://schemas.openxmlformats.org/officeDocument/2006/relationships/hyperlink" Target="https://contrataciondelestado.es/wps/poc?uri=deeplink:detalle_licitacion&amp;idEvl=6EqekwckB1nECtSnloz%2BZQ%3D%3D" TargetMode="External" Id="rId155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1560" /><Relationship Type="http://schemas.openxmlformats.org/officeDocument/2006/relationships/hyperlink" Target="https://contrataciondelestado.es/wps/poc?uri=deeplink:detalle_licitacion&amp;idEvl=nfO4f2ADf41xseVhcqrkhw%3D%3D" TargetMode="External" Id="rId156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1562" /><Relationship Type="http://schemas.openxmlformats.org/officeDocument/2006/relationships/hyperlink" Target="https://contrataciondelestado.es/wps/poc?uri=deeplink:detalle_licitacion&amp;idEvl=S%2FSrgSAdadAZDGvgaZEVxQ%3D%3D" TargetMode="External" Id="rId156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1564" /><Relationship Type="http://schemas.openxmlformats.org/officeDocument/2006/relationships/hyperlink" Target="https://contrataciondelestado.es/wps/poc?uri=deeplink:detalle_licitacion&amp;idEvl=27YISnV1qnXgL1BHd3qjQA%3D%3D" TargetMode="External" Id="rId1565"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566" /><Relationship Type="http://schemas.openxmlformats.org/officeDocument/2006/relationships/hyperlink" Target="https://contrataciondelestado.es/wps/poc?uri=deeplink:detalle_licitacion&amp;idEvl=SeqUt4MEEaLE6P%2FuLemXRw%3D%3D" TargetMode="External" Id="rId1567"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1568" /><Relationship Type="http://schemas.openxmlformats.org/officeDocument/2006/relationships/hyperlink" Target="https://contrataciondelestado.es/wps/poc?uri=deeplink:detalle_licitacion&amp;idEvl=0uRpOxX5n7PVGIpKDxgsAQ%3D%3D" TargetMode="External" Id="rId1569"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1570" /><Relationship Type="http://schemas.openxmlformats.org/officeDocument/2006/relationships/hyperlink" Target="https://contrataciondelestado.es/wps/poc?uri=deeplink:detalle_licitacion&amp;idEvl=KOOCxjeHUqPjHF5qKI4aaw%3D%3D" TargetMode="External" Id="rId1571"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572" /><Relationship Type="http://schemas.openxmlformats.org/officeDocument/2006/relationships/hyperlink" Target="https://contrataciondelestado.es/wps/poc?uri=deeplink:detalle_licitacion&amp;idEvl=%2BepjU5KiVjKHCIsjvJ3rhQ%3D%3D" TargetMode="External" Id="rId1573"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1574" /><Relationship Type="http://schemas.openxmlformats.org/officeDocument/2006/relationships/hyperlink" Target="https://contrataciondelestado.es/wps/poc?uri=deeplink:detalle_licitacion&amp;idEvl=UVDANPSBco0wYTJJ03sHog%3D%3D" TargetMode="External" Id="rId1575"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576" /><Relationship Type="http://schemas.openxmlformats.org/officeDocument/2006/relationships/hyperlink" Target="https://contrataciondelestado.es/wps/poc?uri=deeplink:detalle_licitacion&amp;idEvl=QbUDxI2oMrh70UvEyYJSGw%3D%3D" TargetMode="External" Id="rId1577"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1578" /><Relationship Type="http://schemas.openxmlformats.org/officeDocument/2006/relationships/hyperlink" Target="https://contrataciondelestado.es/wps/poc?uri=deeplink:detalle_licitacion&amp;idEvl=YmdCOi9L%2BOGGCFcHcNGIlQ%3D%3D" TargetMode="External" Id="rId1579"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580" /><Relationship Type="http://schemas.openxmlformats.org/officeDocument/2006/relationships/hyperlink" Target="https://contrataciondelestado.es/wps/poc?uri=deeplink:detalle_licitacion&amp;idEvl=9cJe3OZRGU8wYTJJ03sHog%3D%3D" TargetMode="External" Id="rId1581"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582" /><Relationship Type="http://schemas.openxmlformats.org/officeDocument/2006/relationships/hyperlink" Target="https://contrataciondelestado.es/wps/poc?uri=deeplink:detalle_licitacion&amp;idEvl=XWQSZIaG9%2B4eC9GJQOEBkQ%3D%3D" TargetMode="External" Id="rId1583"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584" /><Relationship Type="http://schemas.openxmlformats.org/officeDocument/2006/relationships/hyperlink" Target="https://contrataciondelestado.es/wps/poc?uri=deeplink:detalle_licitacion&amp;idEvl=FYnbpu9rjPSzz8fXU2i3eQ%3D%3D" TargetMode="External" Id="rId1585"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1586" /><Relationship Type="http://schemas.openxmlformats.org/officeDocument/2006/relationships/hyperlink" Target="https://contrataciondelestado.es/wps/poc?uri=deeplink:detalle_licitacion&amp;idEvl=bnCkisxW1qbLIx6q1oPaMg%3D%3D" TargetMode="External" Id="rId1587"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588" /><Relationship Type="http://schemas.openxmlformats.org/officeDocument/2006/relationships/hyperlink" Target="https://contrataciondelestado.es/wps/poc?uri=deeplink:detalle_licitacion&amp;idEvl=8zGIO6k%2BO%2FXI8aL3PRS10Q%3D%3D" TargetMode="External" Id="rId1589"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1590" /><Relationship Type="http://schemas.openxmlformats.org/officeDocument/2006/relationships/hyperlink" Target="https://contrataciondelestado.es/wps/poc?uri=deeplink:detalle_licitacion&amp;idEvl=RleDfGIgCCv5Rey58Yagpg%3D%3D" TargetMode="External" Id="rId1591"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1592" /><Relationship Type="http://schemas.openxmlformats.org/officeDocument/2006/relationships/hyperlink" Target="https://contrataciondelestado.es/wps/poc?uri=deeplink:detalle_licitacion&amp;idEvl=YzbI%2F%2FaUh5M4NavIWzMcHA%3D%3D" TargetMode="External" Id="rId1593"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1594" /><Relationship Type="http://schemas.openxmlformats.org/officeDocument/2006/relationships/hyperlink" Target="https://contrataciondelestado.es/wps/poc?uri=deeplink:detalle_licitacion&amp;idEvl=sbi0gLGaXBGExvMJXBMHHQ%3D%3D" TargetMode="External" Id="rId1595"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1596" /><Relationship Type="http://schemas.openxmlformats.org/officeDocument/2006/relationships/hyperlink" Target="https://contrataciondelestado.es/wps/poc?uri=deeplink:detalle_licitacion&amp;idEvl=zso0KsUSwMV6nTs9LZ9RhQ%3D%3D" TargetMode="External" Id="rId1597"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598" /><Relationship Type="http://schemas.openxmlformats.org/officeDocument/2006/relationships/hyperlink" Target="https://contrataciondelestado.es/wps/poc?uri=deeplink:detalle_licitacion&amp;idEvl=EB6e8sLa3JEaF6cS8TCh%2FA%3D%3D" TargetMode="External" Id="rId1599"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1600" /><Relationship Type="http://schemas.openxmlformats.org/officeDocument/2006/relationships/hyperlink" Target="https://contrataciondelestado.es/wps/poc?uri=deeplink:detalle_licitacion&amp;idEvl=9wBkG36kX3cZDGvgaZEVxQ%3D%3D" TargetMode="External" Id="rId1601"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602" /><Relationship Type="http://schemas.openxmlformats.org/officeDocument/2006/relationships/hyperlink" Target="https://contrataciondelestado.es/wps/poc?uri=deeplink:detalle_licitacion&amp;idEvl=uSI0EPypqPPgL1BHd3qjQA%3D%3D" TargetMode="External" Id="rId160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1604" /><Relationship Type="http://schemas.openxmlformats.org/officeDocument/2006/relationships/hyperlink" Target="https://contrataciondelestado.es/wps/poc?uri=deeplink:detalle_licitacion&amp;idEvl=2yXCdpseY5ceIBJRHQiPkQ%3D%3D" TargetMode="External" Id="rId160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606" /><Relationship Type="http://schemas.openxmlformats.org/officeDocument/2006/relationships/hyperlink" Target="https://contrataciondelestado.es/wps/poc?uri=deeplink:detalle_licitacion&amp;idEvl=WY39vfob6NydkQsA7ROvsg%3D%3D" TargetMode="External" Id="rId160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1608" /><Relationship Type="http://schemas.openxmlformats.org/officeDocument/2006/relationships/hyperlink" Target="https://contrataciondelestado.es/wps/poc?uri=deeplink:detalle_licitacion&amp;idEvl=vlT1Hojaml4mMOlAXxDEjw%3D%3D" TargetMode="External" Id="rId160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1610" /><Relationship Type="http://schemas.openxmlformats.org/officeDocument/2006/relationships/hyperlink" Target="https://contrataciondelestado.es/wps/poc?uri=deeplink:detalle_licitacion&amp;idEvl=%2BEngMnoWfmh9PLkba5eRog%3D%3D" TargetMode="External" Id="rId161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1612" /><Relationship Type="http://schemas.openxmlformats.org/officeDocument/2006/relationships/hyperlink" Target="https://contrataciondelestado.es/wps/poc?uri=deeplink:detalle_licitacion&amp;idEvl=TxexcZQ5Iry2gkLQ8TeYKA%3D%3D" TargetMode="External" Id="rId1613"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614" /><Relationship Type="http://schemas.openxmlformats.org/officeDocument/2006/relationships/hyperlink" Target="https://contrataciondelestado.es/wps/poc?uri=deeplink:detalle_licitacion&amp;idEvl=AfGM%2FWpJPlo7%2B9FIQYNjeQ%3D%3D" TargetMode="External" Id="rId1615"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616" /><Relationship Type="http://schemas.openxmlformats.org/officeDocument/2006/relationships/hyperlink" Target="https://contrataciondelestado.es/wps/poc?uri=deeplink:detalle_licitacion&amp;idEvl=tPq6dBPKOZWExvMJXBMHHQ%3D%3D" TargetMode="External" Id="rId1617"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1618" /><Relationship Type="http://schemas.openxmlformats.org/officeDocument/2006/relationships/hyperlink" Target="https://contrataciondelestado.es/wps/poc?uri=deeplink:detalle_licitacion&amp;idEvl=naiqzfHxsBvE6P%2FuLemXRw%3D%3D" TargetMode="External" Id="rId1619"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1620" /><Relationship Type="http://schemas.openxmlformats.org/officeDocument/2006/relationships/hyperlink" Target="https://contrataciondelestado.es/wps/poc?uri=deeplink:detalle_licitacion&amp;idEvl=nFqfS1eOUcbLIx6q1oPaMg%3D%3D" TargetMode="External" Id="rId1621"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622" /><Relationship Type="http://schemas.openxmlformats.org/officeDocument/2006/relationships/hyperlink" Target="https://contrataciondelestado.es/wps/poc?uri=deeplink:detalle_licitacion&amp;idEvl=m9DVFI6T0vJ9PLkba5eRog%3D%3D" TargetMode="External" Id="rId1623"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624" /><Relationship Type="http://schemas.openxmlformats.org/officeDocument/2006/relationships/hyperlink" Target="https://contrataciondelestado.es/wps/poc?uri=deeplink:detalle_licitacion&amp;idEvl=piH1aslIFtnL1rX3q%2FMAPA%3D%3D" TargetMode="External" Id="rId1625"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626" /><Relationship Type="http://schemas.openxmlformats.org/officeDocument/2006/relationships/hyperlink" Target="https://contrataciondelestado.es/wps/poc?uri=deeplink:detalle_licitacion&amp;idEvl=9EX80%2FnPwTY2wEhQbcAqug%3D%3D" TargetMode="External" Id="rId162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628" /><Relationship Type="http://schemas.openxmlformats.org/officeDocument/2006/relationships/hyperlink" Target="https://contrataciondelestado.es/wps/poc?uri=deeplink:detalle_licitacion&amp;idEvl=fy5FnSJpPPtLAIVZdUs8KA%3D%3D" TargetMode="External" Id="rId1629"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1630" /><Relationship Type="http://schemas.openxmlformats.org/officeDocument/2006/relationships/hyperlink" Target="https://contrataciondelestado.es/wps/poc?uri=deeplink:detalle_licitacion&amp;idEvl=bUGZuEEwJn5LAIVZdUs8KA%3D%3D" TargetMode="External" Id="rId1631" /><Relationship Type="http://schemas.openxmlformats.org/officeDocument/2006/relationships/hyperlink" Target="https://contrataciondelestado.es/wps/poc?uri=deeplink:detalle_licitacion&amp;idEvl=nPeI4M4zbcjXOjazN1Dw9Q%3D%3D" TargetMode="External" Id="rId1632"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633" /><Relationship Type="http://schemas.openxmlformats.org/officeDocument/2006/relationships/hyperlink" Target="https://contrataciondelestado.es/wps/poc?uri=deeplink:detalle_licitacion&amp;idEvl=D5wO2xem9bA7%2B9FIQYNjeQ%3D%3D" TargetMode="External" Id="rId1634"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1635" /><Relationship Type="http://schemas.openxmlformats.org/officeDocument/2006/relationships/table" Target="/xl/tables/table2.xml" Id="rId1636" /></Relationships>
</file>

<file path=xl/worksheets/sheet1.xml><?xml version="1.0" encoding="utf-8"?>
<worksheet xmlns="http://schemas.openxmlformats.org/spreadsheetml/2006/main">
  <sheetPr>
    <outlinePr summaryBelow="1" summaryRight="1"/>
    <pageSetUpPr fitToPage="1"/>
  </sheetPr>
  <dimension ref="A1:Y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46310.79166666666</v>
      </c>
      <c r="C2" s="4">
        <f>IF(B2="","",INT(B2)-TODAY())</f>
        <v/>
      </c>
      <c r="D2" s="5" t="n">
        <v>831539.76</v>
      </c>
      <c r="E2" s="5" t="n">
        <v>997847.71</v>
      </c>
      <c r="F2" s="2" t="inlineStr">
        <is>
          <t>Comunitat Valenciana</t>
        </is>
      </c>
      <c r="G2" s="2" t="inlineStr">
        <is>
          <t>Valencia</t>
        </is>
      </c>
      <c r="H2" s="2" t="inlineStr">
        <is>
          <t>Aldaia</t>
        </is>
      </c>
      <c r="I2" s="2" t="inlineStr">
        <is>
          <t>Alcaldía del Ayuntamiento de Aldaia</t>
        </is>
      </c>
      <c r="J2" s="2" t="inlineStr">
        <is>
          <t>DANA2024 Reparación de la Casa de la Música</t>
        </is>
      </c>
      <c r="K2" s="2" t="inlineStr">
        <is>
          <t>2026/C-OBRASA/4</t>
        </is>
      </c>
      <c r="L2" s="2" t="inlineStr">
        <is>
          <t>Abierto simplificado</t>
        </is>
      </c>
      <c r="M2" s="6" t="n">
        <v>6</v>
      </c>
      <c r="N2" s="2" t="inlineStr">
        <is>
          <t>C4-3</t>
        </is>
      </c>
      <c r="O2" s="7" t="n">
        <v>0</v>
      </c>
      <c r="P2" s="2" t="inlineStr">
        <is>
          <t>Oferta económica 80 | Limpieza del edificio 20</t>
        </is>
      </c>
      <c r="Q2" s="2" t="inlineStr">
        <is>
          <t>definitiva 5%</t>
        </is>
      </c>
      <c r="R2" s="2" t="n"/>
      <c r="S2" s="4" t="n"/>
      <c r="T2" s="2" t="inlineStr">
        <is>
          <t>45453100; 45262700</t>
        </is>
      </c>
      <c r="U2" s="8" t="inlineStr">
        <is>
          <t>PCAP</t>
        </is>
      </c>
      <c r="V2" s="8" t="inlineStr">
        <is>
          <t>PPT</t>
        </is>
      </c>
      <c r="W2" s="8" t="inlineStr">
        <is>
          <t>Ver</t>
        </is>
      </c>
      <c r="X2" s="9" t="n">
        <v>46310</v>
      </c>
      <c r="Y2" s="2" t="n"/>
    </row>
    <row r="3">
      <c r="A3" s="2" t="n"/>
      <c r="B3" s="3" t="n">
        <v>46310.99930555555</v>
      </c>
      <c r="C3" s="4">
        <f>IF(B3="","",INT(B3)-TODAY())</f>
        <v/>
      </c>
      <c r="D3" s="5" t="n">
        <v>743801.65</v>
      </c>
      <c r="E3" s="5" t="n">
        <v>743801.65</v>
      </c>
      <c r="F3" s="2" t="inlineStr">
        <is>
          <t>Andalucía</t>
        </is>
      </c>
      <c r="G3" s="2" t="inlineStr">
        <is>
          <t>Sevilla</t>
        </is>
      </c>
      <c r="H3" s="2" t="n"/>
      <c r="I3" s="2" t="inlineStr">
        <is>
          <t>Alcaldía del Ayuntamiento de El Viso del Alcor</t>
        </is>
      </c>
      <c r="J3" s="2" t="inlineStr">
        <is>
          <t>Obra de reforma de Pabellón Deportivo y ampliación del Gimnasio Santa Lucía</t>
        </is>
      </c>
      <c r="K3" s="2" t="inlineStr">
        <is>
          <t>4546/2026</t>
        </is>
      </c>
      <c r="L3" s="2" t="inlineStr">
        <is>
          <t>Abierto simplificado</t>
        </is>
      </c>
      <c r="M3" s="6" t="n">
        <v>9</v>
      </c>
      <c r="N3" s="2" t="inlineStr">
        <is>
          <t>C*-3</t>
        </is>
      </c>
      <c r="O3" s="7" t="n">
        <v>0</v>
      </c>
      <c r="P3" s="2" t="inlineStr">
        <is>
          <t>Criterio n.º 1: Oferta económica. Máximo 40 puntos. 40 | Criterio n.º 2: Ampliación del plazo de garantía. Máximo 60 puntos. 60</t>
        </is>
      </c>
      <c r="Q3" s="2" t="inlineStr">
        <is>
          <t>definitiva 5%</t>
        </is>
      </c>
      <c r="R3" s="2" t="n"/>
      <c r="S3" s="4" t="n"/>
      <c r="T3" s="2" t="inlineStr">
        <is>
          <t>45210000</t>
        </is>
      </c>
      <c r="U3" s="8" t="inlineStr">
        <is>
          <t>PCAP</t>
        </is>
      </c>
      <c r="V3" s="8" t="inlineStr">
        <is>
          <t>PPT</t>
        </is>
      </c>
      <c r="W3" s="8" t="inlineStr">
        <is>
          <t>Ver</t>
        </is>
      </c>
      <c r="X3" s="9" t="n">
        <v>46310</v>
      </c>
      <c r="Y3" s="2" t="n"/>
    </row>
    <row r="4">
      <c r="A4" s="2" t="n"/>
      <c r="B4" s="3" t="n">
        <v>46311.54166666666</v>
      </c>
      <c r="C4" s="4">
        <f>IF(B4="","",INT(B4)-TODAY())</f>
        <v/>
      </c>
      <c r="D4" s="5" t="n">
        <v>8797967.949999999</v>
      </c>
      <c r="E4" s="5" t="n">
        <v>9239222.58</v>
      </c>
      <c r="F4" s="2" t="inlineStr">
        <is>
          <t>Andalucía</t>
        </is>
      </c>
      <c r="G4" s="2" t="n"/>
      <c r="H4" s="2" t="n"/>
      <c r="I4" s="2" t="inlineStr">
        <is>
          <t>ADIF -Consejo de Administración</t>
        </is>
      </c>
      <c r="J4" s="2" t="inlineStr">
        <is>
          <t>Ejecución de las obras y realización del mantenimiento del proyecto constructivo de telemando de energía del tramo Ronda-Algeciras de la línea Bobadilla-Algeciras</t>
        </is>
      </c>
      <c r="K4" s="2" t="inlineStr">
        <is>
          <t>4.25/06110.0362</t>
        </is>
      </c>
      <c r="L4" s="2" t="inlineStr">
        <is>
          <t>Abierto</t>
        </is>
      </c>
      <c r="M4" s="6" t="n">
        <v>48</v>
      </c>
      <c r="N4" s="2" t="inlineStr">
        <is>
          <t>I7-4</t>
        </is>
      </c>
      <c r="O4" s="7" t="n">
        <v>0.49</v>
      </c>
      <c r="P4" s="2" t="inlineStr">
        <is>
          <t>Precio 51 | Criterios evaluables mediante un juicio de valor 49 (JV)</t>
        </is>
      </c>
      <c r="Q4" s="2" t="n"/>
      <c r="R4" s="2" t="inlineStr">
        <is>
          <t>Electrificación ferroviaria, telemando de energía (gran distancia)</t>
        </is>
      </c>
      <c r="S4" s="4" t="n"/>
      <c r="T4" s="2" t="inlineStr">
        <is>
          <t>45234000</t>
        </is>
      </c>
      <c r="U4" s="8" t="inlineStr">
        <is>
          <t>PCAP</t>
        </is>
      </c>
      <c r="V4" s="8" t="inlineStr">
        <is>
          <t>PPT</t>
        </is>
      </c>
      <c r="W4" s="8" t="inlineStr">
        <is>
          <t>Ver</t>
        </is>
      </c>
      <c r="X4" s="9" t="n">
        <v>46310</v>
      </c>
      <c r="Y4" s="2" t="n"/>
    </row>
    <row r="5">
      <c r="A5" s="2" t="n"/>
      <c r="B5" s="3" t="n">
        <v>46314.54166666666</v>
      </c>
      <c r="C5" s="4">
        <f>IF(B5="","",INT(B5)-TODAY())</f>
        <v/>
      </c>
      <c r="D5" s="5" t="n">
        <v>3230429.22</v>
      </c>
      <c r="E5" s="5" t="n">
        <v>3230429.22</v>
      </c>
      <c r="F5" s="2" t="inlineStr">
        <is>
          <t>Andalucía</t>
        </is>
      </c>
      <c r="G5" s="2" t="n"/>
      <c r="H5" s="2" t="n"/>
      <c r="I5" s="2" t="inlineStr">
        <is>
          <t>ADIF - Presidencia</t>
        </is>
      </c>
      <c r="J5"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K5" s="2" t="inlineStr">
        <is>
          <t>3.26/27507.0212</t>
        </is>
      </c>
      <c r="L5" s="2" t="inlineStr">
        <is>
          <t>Abierto</t>
        </is>
      </c>
      <c r="M5" s="6" t="n">
        <v>16</v>
      </c>
      <c r="N5" s="2" t="inlineStr">
        <is>
          <t>D5-5</t>
        </is>
      </c>
      <c r="O5" s="7" t="n">
        <v>0.49</v>
      </c>
      <c r="P5" s="2" t="inlineStr">
        <is>
          <t>Cuantificable mediante fórmula (Compromiso de utilización CDE Adif) 2 | Evaluable mediante juicio de valor 49 (JV) | Precio 49</t>
        </is>
      </c>
      <c r="Q5" s="2" t="n"/>
      <c r="R5" s="2" t="n"/>
      <c r="S5" s="4" t="n"/>
      <c r="T5" s="2" t="inlineStr">
        <is>
          <t>45234100</t>
        </is>
      </c>
      <c r="U5" s="8" t="inlineStr">
        <is>
          <t>PCAP</t>
        </is>
      </c>
      <c r="V5" s="8" t="inlineStr">
        <is>
          <t>PPT</t>
        </is>
      </c>
      <c r="W5" s="8" t="inlineStr">
        <is>
          <t>Ver</t>
        </is>
      </c>
      <c r="X5" s="9" t="n">
        <v>46310</v>
      </c>
      <c r="Y5" s="2" t="n"/>
    </row>
    <row r="6">
      <c r="A6" s="2" t="n"/>
      <c r="B6" s="3" t="n">
        <v>46314.99930555555</v>
      </c>
      <c r="C6" s="4">
        <f>IF(B6="","",INT(B6)-TODAY())</f>
        <v/>
      </c>
      <c r="D6" s="5" t="n">
        <v>2207320.13</v>
      </c>
      <c r="E6" s="5" t="n">
        <v>2207320.13</v>
      </c>
      <c r="F6" s="2" t="inlineStr">
        <is>
          <t>Comunitat Valenciana</t>
        </is>
      </c>
      <c r="G6" s="2" t="inlineStr">
        <is>
          <t>Valencia</t>
        </is>
      </c>
      <c r="H6" s="2" t="inlineStr">
        <is>
          <t>Valencia</t>
        </is>
      </c>
      <c r="I6" s="2" t="inlineStr">
        <is>
          <t>Departamento de Salud Valencia - Arnau de Vilanova - Llíria. Dirección Económica-Gerencia</t>
        </is>
      </c>
      <c r="J6" s="2" t="inlineStr">
        <is>
          <t>Obras de Reforma de Climatización Fase II del Hospital Arnau de Vilanova del Departamento de Salud De Valencia-Arnau de Vilanova-Llíria</t>
        </is>
      </c>
      <c r="K6" s="2" t="inlineStr">
        <is>
          <t>1564/2026</t>
        </is>
      </c>
      <c r="L6" s="2" t="inlineStr">
        <is>
          <t>Abierto</t>
        </is>
      </c>
      <c r="M6" s="6" t="n">
        <v>28</v>
      </c>
      <c r="N6" s="2" t="n"/>
      <c r="O6" s="7" t="n">
        <v>0.36</v>
      </c>
      <c r="P6" s="2" t="inlineStr">
        <is>
          <t>10- Precio 45 | 8- Ampliación plazo garantía 9 | 9-Incremento dedicación en obra del jefe de obra 10 | 1-Criterios cualitativos-juicio de valor 36 (JV)</t>
        </is>
      </c>
      <c r="Q6" s="2" t="inlineStr">
        <is>
          <t>complementaria 3%; definitiva 5%</t>
        </is>
      </c>
      <c r="R6" s="2" t="n"/>
      <c r="S6" s="4" t="n"/>
      <c r="T6" s="2" t="inlineStr">
        <is>
          <t>45215140; 45331000; 45262900; 45310000</t>
        </is>
      </c>
      <c r="U6" s="8" t="inlineStr">
        <is>
          <t>PCAP</t>
        </is>
      </c>
      <c r="V6" s="8" t="inlineStr">
        <is>
          <t>PPT</t>
        </is>
      </c>
      <c r="W6" s="8" t="inlineStr">
        <is>
          <t>Ver</t>
        </is>
      </c>
      <c r="X6" s="9" t="n">
        <v>46310</v>
      </c>
      <c r="Y6" s="2" t="n"/>
    </row>
    <row r="7">
      <c r="A7" s="2" t="n"/>
      <c r="B7" s="3" t="n">
        <v>46316.99930555555</v>
      </c>
      <c r="C7" s="4">
        <f>IF(B7="","",INT(B7)-TODAY())</f>
        <v/>
      </c>
      <c r="D7" s="5" t="n">
        <v>1556552.43</v>
      </c>
      <c r="E7" s="5" t="n">
        <v>1556552.43</v>
      </c>
      <c r="F7" s="2" t="inlineStr">
        <is>
          <t>Andalucía</t>
        </is>
      </c>
      <c r="G7" s="2" t="inlineStr">
        <is>
          <t>Sevilla</t>
        </is>
      </c>
      <c r="H7" s="2" t="inlineStr">
        <is>
          <t>Brenes (Sevilla)</t>
        </is>
      </c>
      <c r="I7" s="2" t="inlineStr">
        <is>
          <t>Pleno del Ayuntamiento de Brenes</t>
        </is>
      </c>
      <c r="J7" s="2" t="inlineStr">
        <is>
          <t>Obras contempladas en el proyecto de Teatro Municipal (Adecuación de salón de usos múltiples a teatro)</t>
        </is>
      </c>
      <c r="K7" s="2" t="inlineStr">
        <is>
          <t>3206/2026</t>
        </is>
      </c>
      <c r="L7" s="2" t="inlineStr">
        <is>
          <t>Abierto simplificado</t>
        </is>
      </c>
      <c r="M7" s="6" t="n">
        <v>24</v>
      </c>
      <c r="N7" s="2" t="n"/>
      <c r="O7" s="7" t="n">
        <v>0</v>
      </c>
      <c r="P7" s="2" t="inlineStr">
        <is>
          <t>Mejora: Suministro escenario modular 10 | Mejora: Plantación olivo 10 | Precio a la baja 65 | Mejora: Reducción plazo de ejecución 15</t>
        </is>
      </c>
      <c r="Q7" s="2" t="inlineStr">
        <is>
          <t>definitiva 5%</t>
        </is>
      </c>
      <c r="R7" s="2" t="n"/>
      <c r="S7" s="4" t="n"/>
      <c r="T7" s="2" t="inlineStr">
        <is>
          <t>45212322; 45212300; 45454000</t>
        </is>
      </c>
      <c r="U7" s="8" t="inlineStr">
        <is>
          <t>PCAP</t>
        </is>
      </c>
      <c r="V7" s="8" t="inlineStr">
        <is>
          <t>PPT</t>
        </is>
      </c>
      <c r="W7" s="8" t="inlineStr">
        <is>
          <t>Ver</t>
        </is>
      </c>
      <c r="X7" s="9" t="n">
        <v>46310</v>
      </c>
      <c r="Y7" s="2" t="n"/>
    </row>
    <row r="8">
      <c r="A8" s="2" t="n"/>
      <c r="B8" s="3" t="n">
        <v>46317.99930555555</v>
      </c>
      <c r="C8" s="4">
        <f>IF(B8="","",INT(B8)-TODAY())</f>
        <v/>
      </c>
      <c r="D8" s="5" t="n">
        <v>700330.77</v>
      </c>
      <c r="E8" s="5" t="n">
        <v>700330.77</v>
      </c>
      <c r="F8" s="2" t="inlineStr">
        <is>
          <t>Andalucía</t>
        </is>
      </c>
      <c r="G8" s="2" t="inlineStr">
        <is>
          <t>Córdoba</t>
        </is>
      </c>
      <c r="H8" s="2" t="n"/>
      <c r="I8" s="2" t="inlineStr">
        <is>
          <t>Junta de Gobierno Local del Ayuntamiento de Hornachuelos</t>
        </is>
      </c>
      <c r="J8" s="2" t="inlineStr">
        <is>
          <t>Contratación de la obra relativa al proyecto de construcción de pabellón polivalente para actividades relacionadas con el desarrollo económico en el recinto ferial Las Erillas (zona norte) de Hornachuelos (Córdoba)</t>
        </is>
      </c>
      <c r="K8" s="2" t="inlineStr">
        <is>
          <t>10893/2026</t>
        </is>
      </c>
      <c r="L8" s="2" t="inlineStr">
        <is>
          <t>Abierto</t>
        </is>
      </c>
      <c r="M8" s="6" t="n">
        <v>7</v>
      </c>
      <c r="N8" s="2" t="inlineStr">
        <is>
          <t>C4-2</t>
        </is>
      </c>
      <c r="O8" s="7" t="n">
        <v>0</v>
      </c>
      <c r="P8" s="2" t="inlineStr">
        <is>
          <t>REDUCCION DEL PLAZO DE EJECUCION 40 | MEJORA MÓDULO 40 | OFERTA ECONÓMICA 20</t>
        </is>
      </c>
      <c r="Q8" s="2" t="inlineStr">
        <is>
          <t>definitiva 5%</t>
        </is>
      </c>
      <c r="R8" s="2" t="n"/>
      <c r="S8" s="4" t="n"/>
      <c r="T8" s="2" t="inlineStr">
        <is>
          <t>45212000</t>
        </is>
      </c>
      <c r="U8" s="8" t="inlineStr">
        <is>
          <t>PCAP</t>
        </is>
      </c>
      <c r="V8" s="8" t="inlineStr">
        <is>
          <t>PPT</t>
        </is>
      </c>
      <c r="W8" s="8" t="inlineStr">
        <is>
          <t>Ver</t>
        </is>
      </c>
      <c r="X8" s="9" t="n">
        <v>46310</v>
      </c>
      <c r="Y8" s="2" t="n"/>
    </row>
    <row r="9">
      <c r="A9" s="2" t="n"/>
      <c r="B9" s="3" t="n">
        <v>46317.99930555555</v>
      </c>
      <c r="C9" s="4">
        <f>IF(B9="","",INT(B9)-TODAY())</f>
        <v/>
      </c>
      <c r="D9" s="5" t="n">
        <v>1090919.91</v>
      </c>
      <c r="E9" s="5" t="n">
        <v>1309103.09</v>
      </c>
      <c r="F9" s="2" t="inlineStr">
        <is>
          <t>Andalucía</t>
        </is>
      </c>
      <c r="G9" s="2" t="inlineStr">
        <is>
          <t>Almería</t>
        </is>
      </c>
      <c r="H9" s="2" t="n"/>
      <c r="I9" s="2" t="inlineStr">
        <is>
          <t>Junta de Gobierno Local del Ayuntamiento de El Ejido</t>
        </is>
      </c>
      <c r="J9"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9" s="2" t="inlineStr">
        <is>
          <t>2026 1160</t>
        </is>
      </c>
      <c r="L9" s="2" t="inlineStr">
        <is>
          <t>Abierto simplificado</t>
        </is>
      </c>
      <c r="M9" s="6" t="n">
        <v>6</v>
      </c>
      <c r="N9" s="2" t="n"/>
      <c r="O9" s="7" t="n">
        <v>0.25</v>
      </c>
      <c r="P9" s="2" t="inlineStr">
        <is>
          <t>Criterios evaluables mediante un juicio de valor 25 (JV) | Proposición económica 75</t>
        </is>
      </c>
      <c r="Q9" s="2" t="inlineStr">
        <is>
          <t>definitiva 5%</t>
        </is>
      </c>
      <c r="R9" s="2" t="n"/>
      <c r="S9" s="4" t="n"/>
      <c r="T9" s="2" t="inlineStr">
        <is>
          <t>45200000</t>
        </is>
      </c>
      <c r="U9" s="8" t="inlineStr">
        <is>
          <t>PCAP</t>
        </is>
      </c>
      <c r="V9" s="8" t="inlineStr">
        <is>
          <t>PPT</t>
        </is>
      </c>
      <c r="W9" s="8" t="inlineStr">
        <is>
          <t>Ver</t>
        </is>
      </c>
      <c r="X9" s="9" t="n">
        <v>46310</v>
      </c>
      <c r="Y9" s="2" t="n"/>
    </row>
    <row r="10">
      <c r="A10" s="2" t="n"/>
      <c r="B10" s="3" t="n">
        <v>46318.99930555555</v>
      </c>
      <c r="C10" s="4">
        <f>IF(B10="","",INT(B10)-TODAY())</f>
        <v/>
      </c>
      <c r="D10" s="5" t="n">
        <v>3018964.07</v>
      </c>
      <c r="E10" s="5" t="n">
        <v>3924653.29</v>
      </c>
      <c r="F10" s="2" t="inlineStr">
        <is>
          <t>Comunitat Valenciana</t>
        </is>
      </c>
      <c r="G10" s="2" t="inlineStr">
        <is>
          <t>Alicante</t>
        </is>
      </c>
      <c r="H10" s="2" t="inlineStr">
        <is>
          <t>ELCHE</t>
        </is>
      </c>
      <c r="I10" s="2" t="inlineStr">
        <is>
          <t>Departamento de Salud de Elche. Dirección Económica-Gerencia</t>
        </is>
      </c>
      <c r="J10" s="2" t="inlineStr">
        <is>
          <t>Obras de reforma integral de la Unidad de Cuidados Intensivos (Uci) del Hospital General Universitario de Elche</t>
        </is>
      </c>
      <c r="K10" s="2" t="inlineStr">
        <is>
          <t>PA 428/2026</t>
        </is>
      </c>
      <c r="L10" s="2" t="inlineStr">
        <is>
          <t>Abierto</t>
        </is>
      </c>
      <c r="M10" s="6" t="n">
        <v>16</v>
      </c>
      <c r="N10" s="2" t="inlineStr">
        <is>
          <t>J2-4</t>
        </is>
      </c>
      <c r="O10" s="7" t="n">
        <v>0</v>
      </c>
      <c r="P10" s="2" t="inlineStr">
        <is>
          <t>OFERTA ECONOMICA 0 | CRITERIOS CUALITATIVOS DE CARÁCTER AUTOMÁTICO 10 | CRITERIOS QUE DEPENDE DE UN JUICIO DE VALOR 0 (JV)</t>
        </is>
      </c>
      <c r="Q10" s="2" t="inlineStr">
        <is>
          <t>definitiva 5%; complementaria 5%</t>
        </is>
      </c>
      <c r="R10" s="2" t="n"/>
      <c r="S10" s="4" t="n"/>
      <c r="T10" s="2" t="inlineStr">
        <is>
          <t>45215140; 45215142</t>
        </is>
      </c>
      <c r="U10" s="8" t="inlineStr">
        <is>
          <t>PCAP</t>
        </is>
      </c>
      <c r="V10" s="8" t="inlineStr">
        <is>
          <t>PPT</t>
        </is>
      </c>
      <c r="W10" s="8" t="inlineStr">
        <is>
          <t>Ver</t>
        </is>
      </c>
      <c r="X10" s="9" t="n">
        <v>46310</v>
      </c>
      <c r="Y10" s="2" t="n"/>
    </row>
    <row r="11">
      <c r="A11" s="2" t="n"/>
      <c r="B11" s="3" t="n">
        <v>46321.375</v>
      </c>
      <c r="C11" s="4">
        <f>IF(B11="","",INT(B11)-TODAY())</f>
        <v/>
      </c>
      <c r="D11" s="5" t="n">
        <v>889866.1</v>
      </c>
      <c r="E11" s="5" t="n">
        <v>1067839.32</v>
      </c>
      <c r="F11" s="2" t="inlineStr">
        <is>
          <t>Comunitat Valenciana</t>
        </is>
      </c>
      <c r="G11" s="2" t="inlineStr">
        <is>
          <t>Alicante</t>
        </is>
      </c>
      <c r="H11" s="2" t="inlineStr">
        <is>
          <t>Alicante</t>
        </is>
      </c>
      <c r="I11" s="2" t="inlineStr">
        <is>
          <t>Mercados Centrales De Abastecimiento de Alicante S.A.</t>
        </is>
      </c>
      <c r="J11" s="2" t="inlineStr">
        <is>
          <t>Sustitución de las cubiertas de fibrocemento de la nave III de Mercalicante</t>
        </is>
      </c>
      <c r="K11" s="2" t="inlineStr">
        <is>
          <t>21/2026EXPL</t>
        </is>
      </c>
      <c r="L11" s="2" t="inlineStr">
        <is>
          <t>Abierto simplificado</t>
        </is>
      </c>
      <c r="M11" s="6" t="n">
        <v>10</v>
      </c>
      <c r="N11" s="2" t="n"/>
      <c r="O11" s="7" t="n">
        <v>0.25</v>
      </c>
      <c r="P11" s="2" t="inlineStr">
        <is>
          <t>Plan de obra 5 (JV) | Experiencia del jefe y del encargado de obra 10 | Ampliación del plazo de garantía 5 | Memoria y estudio de obra 20 (JV) | Oferta económica 54 | Mantenimiento de la cubierta y líneas de vida 6</t>
        </is>
      </c>
      <c r="Q11" s="2" t="inlineStr">
        <is>
          <t>complementaria 5%; definitiva 5%</t>
        </is>
      </c>
      <c r="R11" s="2" t="n"/>
      <c r="S11" s="4" t="n"/>
      <c r="T11" s="2" t="inlineStr">
        <is>
          <t>45000000; 45421160; 45261220; 45262660; 45261420</t>
        </is>
      </c>
      <c r="U11" s="8" t="inlineStr">
        <is>
          <t>PCAP</t>
        </is>
      </c>
      <c r="V11" s="8" t="inlineStr">
        <is>
          <t>PPT</t>
        </is>
      </c>
      <c r="W11" s="8" t="inlineStr">
        <is>
          <t>Ver</t>
        </is>
      </c>
      <c r="X11" s="9" t="n">
        <v>46310</v>
      </c>
      <c r="Y11" s="2" t="n"/>
    </row>
    <row r="12">
      <c r="A12" s="2" t="n"/>
      <c r="B12" s="3" t="n">
        <v>46321.54166666666</v>
      </c>
      <c r="C12" s="4">
        <f>IF(B12="","",INT(B12)-TODAY())</f>
        <v/>
      </c>
      <c r="D12" s="5" t="n">
        <v>3837538.71</v>
      </c>
      <c r="E12" s="5" t="n">
        <v>4221292.58</v>
      </c>
      <c r="F12" s="2" t="inlineStr">
        <is>
          <t>Andalucía</t>
        </is>
      </c>
      <c r="G12" s="2" t="inlineStr">
        <is>
          <t>Sevilla</t>
        </is>
      </c>
      <c r="H12" s="2" t="n"/>
      <c r="I12" s="2" t="inlineStr">
        <is>
          <t>Gerencia de Sevilla Activa SAU</t>
        </is>
      </c>
      <c r="J12" s="2" t="inlineStr">
        <is>
          <t>Terminación de 50 Viviendas Protegidas</t>
        </is>
      </c>
      <c r="K12" s="2" t="inlineStr">
        <is>
          <t>A41420191-2026/000082-PaA</t>
        </is>
      </c>
      <c r="L12" s="2" t="inlineStr">
        <is>
          <t>Abierto</t>
        </is>
      </c>
      <c r="M12" s="6" t="n">
        <v>12</v>
      </c>
      <c r="N12" s="2" t="inlineStr">
        <is>
          <t>C*-5; G*-5; G6-4; C4-4</t>
        </is>
      </c>
      <c r="O12" s="7" t="n">
        <v>0.3</v>
      </c>
      <c r="P12" s="2" t="inlineStr">
        <is>
          <t>memoria técnica [1] 30 (JV) | ampliación del plazo de garantía de la obra sobre el mínimo de un año [3] 15 | visita guiada [2] 15 | Aspecto Económico (precio) [1] 40</t>
        </is>
      </c>
      <c r="Q12" s="2" t="n"/>
      <c r="R12" s="2" t="n"/>
      <c r="S12" s="4" t="n"/>
      <c r="T12" s="2" t="inlineStr">
        <is>
          <t>45211000</t>
        </is>
      </c>
      <c r="U12" s="8" t="inlineStr">
        <is>
          <t>PCAP</t>
        </is>
      </c>
      <c r="V12" s="8" t="inlineStr">
        <is>
          <t>PPT</t>
        </is>
      </c>
      <c r="W12" s="8" t="inlineStr">
        <is>
          <t>Ver</t>
        </is>
      </c>
      <c r="X12" s="9" t="n">
        <v>46310</v>
      </c>
      <c r="Y12" s="2" t="n"/>
    </row>
    <row r="13">
      <c r="A13" s="2" t="n"/>
      <c r="B13" s="3" t="n">
        <v>46321.79166666666</v>
      </c>
      <c r="C13" s="4">
        <f>IF(B13="","",INT(B13)-TODAY())</f>
        <v/>
      </c>
      <c r="D13" s="5" t="n">
        <v>1650495.98</v>
      </c>
      <c r="E13" s="5" t="n">
        <v>1650495.98</v>
      </c>
      <c r="F13" s="2" t="inlineStr">
        <is>
          <t>Andalucía</t>
        </is>
      </c>
      <c r="G13" s="2" t="inlineStr">
        <is>
          <t>Málaga</t>
        </is>
      </c>
      <c r="H13" s="2" t="n"/>
      <c r="I13" s="2" t="inlineStr">
        <is>
          <t>Instituto de Turismo de España (TURESPAÑA)</t>
        </is>
      </c>
      <c r="J13" s="2" t="inlineStr">
        <is>
          <t>Contrato para la ejecución de obras de la Fase II de las obras para la protección y consolidación del frente de acantilado del parador de turismo de Nerja (Málaga)</t>
        </is>
      </c>
      <c r="K13" s="2" t="inlineStr">
        <is>
          <t>020026C00098</t>
        </is>
      </c>
      <c r="L13" s="2" t="inlineStr">
        <is>
          <t>Abierto simplificado</t>
        </is>
      </c>
      <c r="M13" s="6" t="n">
        <v>10</v>
      </c>
      <c r="N13" s="2" t="n"/>
      <c r="O13" s="7" t="n">
        <v>0</v>
      </c>
      <c r="P13" s="2" t="inlineStr">
        <is>
          <t>OFERTA ECONÓMICA 65 | OTROS CRITERIOS CUANTIFICABLES AUTOMATICAMENTE 35</t>
        </is>
      </c>
      <c r="Q13" s="2" t="inlineStr">
        <is>
          <t>complementaria 5%; definitiva 5%</t>
        </is>
      </c>
      <c r="R13" s="2" t="n"/>
      <c r="S13" s="4" t="n"/>
      <c r="T13" s="2" t="inlineStr">
        <is>
          <t>45200000</t>
        </is>
      </c>
      <c r="U13" s="8" t="inlineStr">
        <is>
          <t>PCAP</t>
        </is>
      </c>
      <c r="V13" s="8" t="inlineStr">
        <is>
          <t>PPT</t>
        </is>
      </c>
      <c r="W13" s="8" t="inlineStr">
        <is>
          <t>Ver</t>
        </is>
      </c>
      <c r="X13" s="9" t="n">
        <v>46310</v>
      </c>
      <c r="Y13" s="2" t="n"/>
    </row>
    <row r="14">
      <c r="A14" s="2" t="n"/>
      <c r="B14" s="3" t="n">
        <v>46321.99930555555</v>
      </c>
      <c r="C14" s="4">
        <f>IF(B14="","",INT(B14)-TODAY())</f>
        <v/>
      </c>
      <c r="D14" s="5" t="n">
        <v>636363.64</v>
      </c>
      <c r="E14" s="5" t="n">
        <v>636363.64</v>
      </c>
      <c r="F14" s="2" t="inlineStr">
        <is>
          <t>Andalucía</t>
        </is>
      </c>
      <c r="G14" s="2" t="inlineStr">
        <is>
          <t>Huelva</t>
        </is>
      </c>
      <c r="H14" s="2" t="n"/>
      <c r="I14" s="2" t="inlineStr">
        <is>
          <t>Junta de Gobierno del Ayuntamiento de Almonte</t>
        </is>
      </c>
      <c r="J14"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4" s="2" t="inlineStr">
        <is>
          <t>12054/2026</t>
        </is>
      </c>
      <c r="L14" s="2" t="inlineStr">
        <is>
          <t>Abierto simplificado</t>
        </is>
      </c>
      <c r="M14" s="6" t="n">
        <v>10</v>
      </c>
      <c r="N14" s="2" t="inlineStr">
        <is>
          <t>C*-3</t>
        </is>
      </c>
      <c r="O14" s="7" t="n">
        <v>0.25</v>
      </c>
      <c r="P14"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4" s="2" t="inlineStr">
        <is>
          <t>definitiva 5%</t>
        </is>
      </c>
      <c r="R14" s="2" t="n"/>
      <c r="S14" s="4" t="n"/>
      <c r="T14" s="2" t="inlineStr">
        <is>
          <t>45200000</t>
        </is>
      </c>
      <c r="U14" s="8" t="inlineStr">
        <is>
          <t>PCAP</t>
        </is>
      </c>
      <c r="V14" s="8" t="inlineStr">
        <is>
          <t>PPT</t>
        </is>
      </c>
      <c r="W14" s="8" t="inlineStr">
        <is>
          <t>Ver</t>
        </is>
      </c>
      <c r="X14" s="9" t="n">
        <v>46310</v>
      </c>
      <c r="Y14" s="2" t="n"/>
    </row>
    <row r="15">
      <c r="A15" s="2" t="n"/>
      <c r="B15" s="3" t="n">
        <v>46321.99930555555</v>
      </c>
      <c r="C15" s="4">
        <f>IF(B15="","",INT(B15)-TODAY())</f>
        <v/>
      </c>
      <c r="D15" s="5" t="n">
        <v>1025843.16</v>
      </c>
      <c r="E15" s="5" t="n">
        <v>1025843.16</v>
      </c>
      <c r="F15" s="2" t="inlineStr">
        <is>
          <t>Andalucía</t>
        </is>
      </c>
      <c r="G15" s="2" t="inlineStr">
        <is>
          <t>Málaga</t>
        </is>
      </c>
      <c r="H15" s="2" t="inlineStr">
        <is>
          <t>Alhaurín el Grande</t>
        </is>
      </c>
      <c r="I15" s="2" t="inlineStr">
        <is>
          <t>Alcaldía del Ayuntamiento de Alhaurín el Grande</t>
        </is>
      </c>
      <c r="J15" s="2" t="inlineStr">
        <is>
          <t>Proyecto de obras de renaturalización de las Avenidas Blas Infante y Libertad. Tramo 4</t>
        </is>
      </c>
      <c r="K15" s="2" t="inlineStr">
        <is>
          <t>25734/2026 BLAS INFANTE Y LIBERTAD</t>
        </is>
      </c>
      <c r="L15" s="2" t="inlineStr">
        <is>
          <t>Abierto simplificado</t>
        </is>
      </c>
      <c r="M15" s="6" t="n">
        <v>14</v>
      </c>
      <c r="N15" s="2" t="n"/>
      <c r="O15" s="7" t="n">
        <v>0.1</v>
      </c>
      <c r="P15" s="2" t="inlineStr">
        <is>
          <t>Proposición económica 80 | Memoria constructiva y programa de trabajo 4 (JV) | Medidas para reducir el impacto Ambiental 2 (JV) | Medidas para reducir el impacto urbano de la obra 4 (JV) | ampliación en el plazo de garantía 10</t>
        </is>
      </c>
      <c r="Q15" s="2" t="inlineStr">
        <is>
          <t>definitiva 5%</t>
        </is>
      </c>
      <c r="R15" s="2" t="n"/>
      <c r="S15" s="4" t="n"/>
      <c r="T15" s="2" t="inlineStr">
        <is>
          <t>45223210; 45262520; 45233140; 45262210; 45112000; 45232100</t>
        </is>
      </c>
      <c r="U15" s="8" t="inlineStr">
        <is>
          <t>PCAP</t>
        </is>
      </c>
      <c r="V15" s="8" t="inlineStr">
        <is>
          <t>PPT</t>
        </is>
      </c>
      <c r="W15" s="8" t="inlineStr">
        <is>
          <t>Ver</t>
        </is>
      </c>
      <c r="X15" s="9" t="n">
        <v>46310</v>
      </c>
      <c r="Y15" s="2" t="n"/>
    </row>
    <row r="16">
      <c r="A16" s="2" t="n"/>
      <c r="B16" s="3" t="n">
        <v>46322.99930555555</v>
      </c>
      <c r="C16" s="4">
        <f>IF(B16="","",INT(B16)-TODAY())</f>
        <v/>
      </c>
      <c r="D16" s="5" t="n">
        <v>1408264.46</v>
      </c>
      <c r="E16" s="5" t="n">
        <v>1408264.46</v>
      </c>
      <c r="F16" s="2" t="inlineStr">
        <is>
          <t>Andalucía</t>
        </is>
      </c>
      <c r="G16" s="2" t="inlineStr">
        <is>
          <t>Almería</t>
        </is>
      </c>
      <c r="H16" s="2" t="n"/>
      <c r="I16" s="2" t="inlineStr">
        <is>
          <t>Junta de Gobierno de la Diputación Provincial de Almería</t>
        </is>
      </c>
      <c r="J16" s="2" t="inlineStr">
        <is>
          <t>Obras De Urbanización Para Un Complejo Deportivo. Vera 72PPOS24-27BI</t>
        </is>
      </c>
      <c r="K16" s="2" t="inlineStr">
        <is>
          <t>2026/D31000/006-013/00078</t>
        </is>
      </c>
      <c r="L16" s="2" t="inlineStr">
        <is>
          <t>Abierto simplificado</t>
        </is>
      </c>
      <c r="M16" s="6" t="n">
        <v>12.2</v>
      </c>
      <c r="N16" s="2" t="inlineStr">
        <is>
          <t>G6-4</t>
        </is>
      </c>
      <c r="O16" s="7" t="n">
        <v>0.25</v>
      </c>
      <c r="P16" s="2" t="inlineStr">
        <is>
          <t>Oferta técnica 25 (JV) | Precio 75</t>
        </is>
      </c>
      <c r="Q16" s="2" t="inlineStr">
        <is>
          <t>definitiva 5%; complementaria 5%</t>
        </is>
      </c>
      <c r="R16" s="2" t="n"/>
      <c r="S16" s="4" t="n"/>
      <c r="T16" s="2" t="inlineStr">
        <is>
          <t>45233200</t>
        </is>
      </c>
      <c r="U16" s="8" t="inlineStr">
        <is>
          <t>PCAP</t>
        </is>
      </c>
      <c r="V16" s="8" t="inlineStr">
        <is>
          <t>PPT</t>
        </is>
      </c>
      <c r="W16" s="8" t="inlineStr">
        <is>
          <t>Ver</t>
        </is>
      </c>
      <c r="X16" s="9" t="n">
        <v>46310</v>
      </c>
      <c r="Y16" s="2" t="n"/>
    </row>
    <row r="17">
      <c r="A17" s="2" t="n"/>
      <c r="B17" s="3" t="n">
        <v>46322.99930555555</v>
      </c>
      <c r="C17" s="4">
        <f>IF(B17="","",INT(B17)-TODAY())</f>
        <v/>
      </c>
      <c r="D17" s="5" t="n">
        <v>826446.28</v>
      </c>
      <c r="E17" s="5" t="n">
        <v>826446.28</v>
      </c>
      <c r="F17" s="2" t="inlineStr">
        <is>
          <t>Andalucía</t>
        </is>
      </c>
      <c r="G17" s="2" t="inlineStr">
        <is>
          <t>Almería</t>
        </is>
      </c>
      <c r="H17" s="2" t="n"/>
      <c r="I17" s="2" t="inlineStr">
        <is>
          <t>Junta de Gobierno de la Diputación Provincial de Almería</t>
        </is>
      </c>
      <c r="J17" s="2" t="inlineStr">
        <is>
          <t>Rehabilitación Y Mejora De Edificios Municipales. Benahadux 19PPOS24-27BII</t>
        </is>
      </c>
      <c r="K17" s="2" t="inlineStr">
        <is>
          <t>2026/D31000/006-013/00009</t>
        </is>
      </c>
      <c r="L17" s="2" t="inlineStr">
        <is>
          <t>Abierto simplificado</t>
        </is>
      </c>
      <c r="M17" s="6" t="n">
        <v>15</v>
      </c>
      <c r="N17" s="2" t="inlineStr">
        <is>
          <t>C6-3; C4-3</t>
        </is>
      </c>
      <c r="O17" s="7" t="n">
        <v>0.25</v>
      </c>
      <c r="P17" s="2" t="inlineStr">
        <is>
          <t>Oferta Técnica 25 (JV) | Precio 75</t>
        </is>
      </c>
      <c r="Q17" s="2" t="inlineStr">
        <is>
          <t>complementaria 5%; definitiva 5%</t>
        </is>
      </c>
      <c r="R17" s="2" t="n"/>
      <c r="S17" s="4" t="n"/>
      <c r="T17" s="2" t="inlineStr">
        <is>
          <t>45214000</t>
        </is>
      </c>
      <c r="U17" s="8" t="inlineStr">
        <is>
          <t>PCAP</t>
        </is>
      </c>
      <c r="V17" s="8" t="inlineStr">
        <is>
          <t>PPT</t>
        </is>
      </c>
      <c r="W17" s="8" t="inlineStr">
        <is>
          <t>Ver</t>
        </is>
      </c>
      <c r="X17" s="9" t="n">
        <v>46310</v>
      </c>
      <c r="Y17" s="2" t="n"/>
    </row>
    <row r="18">
      <c r="A18" s="2" t="n"/>
      <c r="B18" s="3" t="n">
        <v>46323.04097222222</v>
      </c>
      <c r="C18" s="4">
        <f>IF(B18="","",INT(B18)-TODAY())</f>
        <v/>
      </c>
      <c r="D18" s="5" t="n">
        <v>547041.28</v>
      </c>
      <c r="E18" s="5" t="n">
        <v>547041.28</v>
      </c>
      <c r="F18" s="2" t="inlineStr">
        <is>
          <t>Andalucía</t>
        </is>
      </c>
      <c r="G18" s="2" t="inlineStr">
        <is>
          <t>Sevilla</t>
        </is>
      </c>
      <c r="H18" s="2" t="inlineStr">
        <is>
          <t>Sevilla</t>
        </is>
      </c>
      <c r="I18" s="2" t="inlineStr">
        <is>
          <t>Consejo de Administración de la Agencia de Régimen Especial Ciclo Integral Aguas del Retortillo</t>
        </is>
      </c>
      <c r="J18" s="2" t="inlineStr">
        <is>
          <t>PAS/OBRAS/007/2026 Obras construcción EDAR Natural Puerto de la Encina</t>
        </is>
      </c>
      <c r="K18" s="2" t="inlineStr">
        <is>
          <t>1009/2026</t>
        </is>
      </c>
      <c r="L18" s="2" t="inlineStr">
        <is>
          <t>Abierto simplificado</t>
        </is>
      </c>
      <c r="M18" s="6" t="n">
        <v>6</v>
      </c>
      <c r="N18" s="2" t="inlineStr">
        <is>
          <t>E1-3</t>
        </is>
      </c>
      <c r="O18" s="7" t="n">
        <v>0</v>
      </c>
      <c r="P18" s="2" t="inlineStr">
        <is>
          <t>Calidad: Ampliación Garantía 6 | Calidad. Experiencia Jefe de Obras 10 | PRECIO 84</t>
        </is>
      </c>
      <c r="Q18" s="2" t="inlineStr">
        <is>
          <t>definitiva 5%</t>
        </is>
      </c>
      <c r="R18" s="2" t="n"/>
      <c r="S18" s="4" t="n"/>
      <c r="T18" s="2" t="inlineStr">
        <is>
          <t>45252100</t>
        </is>
      </c>
      <c r="U18" s="8" t="inlineStr">
        <is>
          <t>PCAP</t>
        </is>
      </c>
      <c r="V18" s="8" t="inlineStr">
        <is>
          <t>PPT</t>
        </is>
      </c>
      <c r="W18" s="8" t="inlineStr">
        <is>
          <t>Ver</t>
        </is>
      </c>
      <c r="X18" s="9" t="n">
        <v>46310</v>
      </c>
      <c r="Y18" s="2" t="n"/>
    </row>
    <row r="19">
      <c r="A19" s="2" t="n"/>
      <c r="B19" s="3" t="n">
        <v>46323.5</v>
      </c>
      <c r="C19" s="4">
        <f>IF(B19="","",INT(B19)-TODAY())</f>
        <v/>
      </c>
      <c r="D19" s="5" t="n">
        <v>794991.59</v>
      </c>
      <c r="E19" s="5" t="n">
        <v>794991.59</v>
      </c>
      <c r="F19" s="2" t="inlineStr">
        <is>
          <t>Andalucía</t>
        </is>
      </c>
      <c r="G19" s="2" t="inlineStr">
        <is>
          <t>Málaga</t>
        </is>
      </c>
      <c r="H19" s="2" t="inlineStr">
        <is>
          <t>Málaga</t>
        </is>
      </c>
      <c r="I19" s="2" t="inlineStr">
        <is>
          <t>Aena. Dirección del Aeropuerto de Málaga-Costa del Sol</t>
        </is>
      </c>
      <c r="J19" s="2" t="inlineStr">
        <is>
          <t>Ampliación Y Adecuación De Aseo 208 En El Aeropuerto De Málaga ¿ Costa Del Sol</t>
        </is>
      </c>
      <c r="K19" s="2" t="inlineStr">
        <is>
          <t>AGP-147/2026</t>
        </is>
      </c>
      <c r="L19" s="2" t="inlineStr">
        <is>
          <t>Normas internas</t>
        </is>
      </c>
      <c r="M19" s="6" t="n">
        <v>14</v>
      </c>
      <c r="N19" s="2" t="n"/>
      <c r="O19" s="7" t="n">
        <v>0</v>
      </c>
      <c r="P19" s="2" t="inlineStr">
        <is>
          <t>Precio 100</t>
        </is>
      </c>
      <c r="Q19" s="2" t="n"/>
      <c r="R19" s="2" t="n"/>
      <c r="S19" s="4" t="n"/>
      <c r="T19" s="2" t="inlineStr">
        <is>
          <t>45211310</t>
        </is>
      </c>
      <c r="U19" s="8" t="inlineStr">
        <is>
          <t>PCAP</t>
        </is>
      </c>
      <c r="V19" s="8" t="inlineStr">
        <is>
          <t>PPT</t>
        </is>
      </c>
      <c r="W19" s="8" t="inlineStr">
        <is>
          <t>Ver</t>
        </is>
      </c>
      <c r="X19" s="9" t="n">
        <v>46310</v>
      </c>
      <c r="Y19" s="2" t="n"/>
    </row>
    <row r="20">
      <c r="A20" s="2" t="n"/>
      <c r="B20" s="3" t="n">
        <v>46323.5</v>
      </c>
      <c r="C20" s="4">
        <f>IF(B20="","",INT(B20)-TODAY())</f>
        <v/>
      </c>
      <c r="D20" s="5" t="n">
        <v>653963.23</v>
      </c>
      <c r="E20" s="5" t="n">
        <v>653963.23</v>
      </c>
      <c r="F20" s="2" t="inlineStr">
        <is>
          <t>Comunitat Valenciana</t>
        </is>
      </c>
      <c r="G20" s="2" t="inlineStr">
        <is>
          <t>Alicante</t>
        </is>
      </c>
      <c r="H20" s="2" t="inlineStr">
        <is>
          <t>Almoradí</t>
        </is>
      </c>
      <c r="I20" s="2" t="inlineStr">
        <is>
          <t>Junta de Gobierno del Ayuntamiento de Almoradí</t>
        </is>
      </c>
      <c r="J20" s="2" t="inlineStr">
        <is>
          <t>Mejora de la accesibilidad y la escena urbana en el entorno del Teatro Cortés y Museo del Terremoto (Plan de Actuación Integrado PAI, cofinanciado con la Unión Europea - FEDER)</t>
        </is>
      </c>
      <c r="K20" s="2" t="inlineStr">
        <is>
          <t>6981/2026</t>
        </is>
      </c>
      <c r="L20" s="2" t="inlineStr">
        <is>
          <t>Abierto simplificado</t>
        </is>
      </c>
      <c r="M20" s="6" t="n">
        <v>5</v>
      </c>
      <c r="N20" s="2" t="n"/>
      <c r="O20" s="7" t="n">
        <v>0.25</v>
      </c>
      <c r="P20" s="2" t="inlineStr">
        <is>
          <t>Proposición económica 75 | Memoria Técnica 25 (JV)</t>
        </is>
      </c>
      <c r="Q20" s="2" t="inlineStr">
        <is>
          <t>complementaria 5%; definitiva 5%</t>
        </is>
      </c>
      <c r="R20" s="2" t="n"/>
      <c r="S20" s="4" t="n"/>
      <c r="T20" s="2" t="inlineStr">
        <is>
          <t>45233200; 45000000; 45111100; 45233140; 45233253; 45211360</t>
        </is>
      </c>
      <c r="U20" s="8" t="inlineStr">
        <is>
          <t>PCAP</t>
        </is>
      </c>
      <c r="V20" s="2" t="n"/>
      <c r="W20" s="8" t="inlineStr">
        <is>
          <t>Ver</t>
        </is>
      </c>
      <c r="X20" s="9" t="n">
        <v>46310</v>
      </c>
      <c r="Y20" s="2" t="n"/>
    </row>
    <row r="21">
      <c r="A21" s="2" t="n"/>
      <c r="B21" s="3" t="n">
        <v>46323.5</v>
      </c>
      <c r="C21" s="4">
        <f>IF(B21="","",INT(B21)-TODAY())</f>
        <v/>
      </c>
      <c r="D21" s="5" t="n">
        <v>590000</v>
      </c>
      <c r="E21" s="5" t="n">
        <v>590000</v>
      </c>
      <c r="F21" s="2" t="inlineStr">
        <is>
          <t>Andalucía</t>
        </is>
      </c>
      <c r="G21" s="2" t="inlineStr">
        <is>
          <t>Cádiz</t>
        </is>
      </c>
      <c r="H21" s="2" t="n"/>
      <c r="I21" s="2" t="inlineStr">
        <is>
          <t>Comité Central de Compras de Navantia S.A., S.M.E.</t>
        </is>
      </c>
      <c r="J21" s="2" t="inlineStr">
        <is>
          <t>Licitación para la adjudicación de un Contrato para los trabajos de rehabilitación de accesos, protecciones colectivas y líneas de vida en grúas en Navantia Cádiz.</t>
        </is>
      </c>
      <c r="K21" s="2" t="inlineStr">
        <is>
          <t>5100075545 Líneas Vida Grúas Navantia Cádiz</t>
        </is>
      </c>
      <c r="L21" s="2" t="inlineStr">
        <is>
          <t>Normas internas</t>
        </is>
      </c>
      <c r="M21" s="6" t="n">
        <v>7</v>
      </c>
      <c r="N21" s="2" t="n"/>
      <c r="O21" s="7" t="n">
        <v>1</v>
      </c>
      <c r="P21" s="2" t="inlineStr">
        <is>
          <t>Según PPT y PCP 100 (JV)</t>
        </is>
      </c>
      <c r="Q21" s="2" t="n"/>
      <c r="R21" s="2" t="n"/>
      <c r="S21" s="4" t="n"/>
      <c r="T21" s="2" t="inlineStr">
        <is>
          <t>45262600; 45340000</t>
        </is>
      </c>
      <c r="U21" s="8" t="inlineStr">
        <is>
          <t>PCAP</t>
        </is>
      </c>
      <c r="V21" s="8" t="inlineStr">
        <is>
          <t>PPT</t>
        </is>
      </c>
      <c r="W21" s="8" t="inlineStr">
        <is>
          <t>Ver</t>
        </is>
      </c>
      <c r="X21" s="9" t="n">
        <v>46310</v>
      </c>
      <c r="Y21" s="2" t="n"/>
    </row>
    <row r="22">
      <c r="A22" s="2" t="n"/>
      <c r="B22" s="3" t="n">
        <v>46323.99930555555</v>
      </c>
      <c r="C22" s="4">
        <f>IF(B22="","",INT(B22)-TODAY())</f>
        <v/>
      </c>
      <c r="D22" s="5" t="n">
        <v>734951.3100000001</v>
      </c>
      <c r="E22" s="5" t="n">
        <v>734951.3100000001</v>
      </c>
      <c r="F22" s="2" t="inlineStr">
        <is>
          <t>Comunitat Valenciana</t>
        </is>
      </c>
      <c r="G22" s="2" t="inlineStr">
        <is>
          <t>Valencia</t>
        </is>
      </c>
      <c r="H22" s="2" t="n"/>
      <c r="I22" s="2" t="inlineStr">
        <is>
          <t>Alcaldía del Ayuntamiento de Manises</t>
        </is>
      </c>
      <c r="J22" s="2" t="inlineStr">
        <is>
          <t>Reasfaltado de la travesia de Manises de la CV-370 desde Avenida dels Tranvies hasta la V-11 de acceso al aeropuerto y sustitución del alumbrado del puente de la CV-371 en el término de Manises</t>
        </is>
      </c>
      <c r="K22" s="2" t="inlineStr">
        <is>
          <t>3034000P</t>
        </is>
      </c>
      <c r="L22" s="2" t="inlineStr">
        <is>
          <t>Abierto simplificado</t>
        </is>
      </c>
      <c r="M22" s="6" t="n">
        <v>2</v>
      </c>
      <c r="N22" s="2" t="inlineStr">
        <is>
          <t>G4-3</t>
        </is>
      </c>
      <c r="O22" s="7" t="n">
        <v>0</v>
      </c>
      <c r="P22" s="2" t="inlineStr">
        <is>
          <t>Oferta económica 70 | Amplliación del plazo de garantia 30</t>
        </is>
      </c>
      <c r="Q22" s="2" t="n"/>
      <c r="R22" s="2" t="n"/>
      <c r="S22" s="4" t="n"/>
      <c r="T22" s="2" t="inlineStr">
        <is>
          <t>45233222; 45233252; 45233223; 45233251; 34928530; 34991000; 50232100</t>
        </is>
      </c>
      <c r="U22" s="8" t="inlineStr">
        <is>
          <t>PCAP</t>
        </is>
      </c>
      <c r="V22" s="8" t="inlineStr">
        <is>
          <t>PPT</t>
        </is>
      </c>
      <c r="W22" s="8" t="inlineStr">
        <is>
          <t>Ver</t>
        </is>
      </c>
      <c r="X22" s="9" t="n">
        <v>46310</v>
      </c>
      <c r="Y22" s="2" t="n"/>
    </row>
    <row r="23">
      <c r="A23" s="2" t="n"/>
      <c r="B23" s="3" t="n">
        <v>46323.99930555555</v>
      </c>
      <c r="C23" s="4">
        <f>IF(B23="","",INT(B23)-TODAY())</f>
        <v/>
      </c>
      <c r="D23" s="5" t="n">
        <v>812294</v>
      </c>
      <c r="E23" s="5" t="n">
        <v>812294</v>
      </c>
      <c r="F23" s="2" t="inlineStr">
        <is>
          <t>Comunitat Valenciana</t>
        </is>
      </c>
      <c r="G23" s="2" t="inlineStr">
        <is>
          <t>Valencia</t>
        </is>
      </c>
      <c r="H23" s="2" t="inlineStr">
        <is>
          <t>el Genovés</t>
        </is>
      </c>
      <c r="I23" s="2" t="inlineStr">
        <is>
          <t>Pleno del Ayuntamiento de Genovés</t>
        </is>
      </c>
      <c r="J23" s="2" t="inlineStr">
        <is>
          <t>Construcción de un edificio de nueva planta, destinado a la población joven de la localidad, emplazado en calle Maestro Serrano nº 4 de El Genovés.</t>
        </is>
      </c>
      <c r="K23" s="2" t="inlineStr">
        <is>
          <t>2222/2026</t>
        </is>
      </c>
      <c r="L23" s="2" t="inlineStr">
        <is>
          <t>Abierto simplificado</t>
        </is>
      </c>
      <c r="M23" s="6" t="n">
        <v>10</v>
      </c>
      <c r="N23" s="2" t="inlineStr">
        <is>
          <t>C*-3</t>
        </is>
      </c>
      <c r="O23" s="7" t="n">
        <v>0</v>
      </c>
      <c r="P23" s="2" t="inlineStr">
        <is>
          <t>Mejor oferta económica 100</t>
        </is>
      </c>
      <c r="Q23" s="2" t="inlineStr">
        <is>
          <t>definitiva 5%</t>
        </is>
      </c>
      <c r="R23" s="2" t="n"/>
      <c r="S23" s="4" t="n"/>
      <c r="T23" s="2" t="inlineStr">
        <is>
          <t>45000000; 45220000; 45200000</t>
        </is>
      </c>
      <c r="U23" s="8" t="inlineStr">
        <is>
          <t>PCAP</t>
        </is>
      </c>
      <c r="V23" s="8" t="inlineStr">
        <is>
          <t>PPT</t>
        </is>
      </c>
      <c r="W23" s="8" t="inlineStr">
        <is>
          <t>Ver</t>
        </is>
      </c>
      <c r="X23" s="9" t="n">
        <v>46310</v>
      </c>
      <c r="Y23" s="2" t="n"/>
    </row>
    <row r="24">
      <c r="A24" s="2" t="n"/>
      <c r="B24" s="3" t="n">
        <v>46323.99930555555</v>
      </c>
      <c r="C24" s="4">
        <f>IF(B24="","",INT(B24)-TODAY())</f>
        <v/>
      </c>
      <c r="D24" s="5" t="n">
        <v>675994.61</v>
      </c>
      <c r="E24" s="5" t="n">
        <v>743594.0699999999</v>
      </c>
      <c r="F24" s="2" t="inlineStr">
        <is>
          <t>Comunitat Valenciana</t>
        </is>
      </c>
      <c r="G24" s="2" t="inlineStr">
        <is>
          <t>Valencia</t>
        </is>
      </c>
      <c r="H24" s="2" t="n"/>
      <c r="I24" s="2" t="inlineStr">
        <is>
          <t>Junta de Gobierno del Ajuntament de València</t>
        </is>
      </c>
      <c r="J24" s="2" t="inlineStr">
        <is>
          <t>Ejecución de las Obras denominadas Limpieza y mantenimiento de las fachadas del Mercado Central de València.-</t>
        </is>
      </c>
      <c r="K24" s="2" t="inlineStr">
        <is>
          <t>04101/2026/236-O</t>
        </is>
      </c>
      <c r="L24" s="2" t="inlineStr">
        <is>
          <t>Abierto simplificado</t>
        </is>
      </c>
      <c r="M24" s="6" t="n">
        <v>5</v>
      </c>
      <c r="N24" s="2" t="inlineStr">
        <is>
          <t>K7-3</t>
        </is>
      </c>
      <c r="O24" s="7" t="n">
        <v>0</v>
      </c>
      <c r="P24" s="2" t="inlineStr">
        <is>
          <t>REDUCCIÓN DEL PLAZO DE EJECUCIÓN 20 | BAJA ECONÓMICA AL PRESUPUESTO BASE DE LICITACIÓN 40 | EXPERIENCIA PROFESIONAL ESPECÍFICA DE LAS PERSONAS INTEGRANTES DEL EQUIPO DE TRABAJO 30 | AMPLIACIÓN PLAZO DE GARANTIA 10</t>
        </is>
      </c>
      <c r="Q24" s="2" t="inlineStr">
        <is>
          <t>definitiva 5%</t>
        </is>
      </c>
      <c r="R24" s="2" t="n"/>
      <c r="S24" s="4" t="n"/>
      <c r="T24" s="2" t="inlineStr">
        <is>
          <t>45213141</t>
        </is>
      </c>
      <c r="U24" s="8" t="inlineStr">
        <is>
          <t>PCAP</t>
        </is>
      </c>
      <c r="V24" s="8" t="inlineStr">
        <is>
          <t>PPT</t>
        </is>
      </c>
      <c r="W24" s="8" t="inlineStr">
        <is>
          <t>Ver</t>
        </is>
      </c>
      <c r="X24" s="9" t="n">
        <v>46310</v>
      </c>
      <c r="Y24" s="2" t="n"/>
    </row>
    <row r="25">
      <c r="A25" s="2" t="n"/>
      <c r="B25" s="3" t="n">
        <v>46323.99930555555</v>
      </c>
      <c r="C25" s="4">
        <f>IF(B25="","",INT(B25)-TODAY())</f>
        <v/>
      </c>
      <c r="D25" s="5" t="n">
        <v>781690.8</v>
      </c>
      <c r="E25" s="5" t="n">
        <v>781690.8</v>
      </c>
      <c r="F25" s="2" t="inlineStr">
        <is>
          <t>Andalucía</t>
        </is>
      </c>
      <c r="G25" s="2" t="inlineStr">
        <is>
          <t>Málaga</t>
        </is>
      </c>
      <c r="H25" s="2" t="inlineStr">
        <is>
          <t>Alhaurín el Grande</t>
        </is>
      </c>
      <c r="I25" s="2" t="inlineStr">
        <is>
          <t>Alcaldía del Ayuntamiento de Alhaurín el Grande</t>
        </is>
      </c>
      <c r="J25" s="2" t="inlineStr">
        <is>
          <t>Mejora del acabado final mediante la aplicación de capa de mezcla bituminosa en caliente y mejora de la red de abastecimiento en el camino viejo de Málaga y aledaños de Alhaurín el Grande</t>
        </is>
      </c>
      <c r="K25" s="2" t="inlineStr">
        <is>
          <t>23202/2026 CAMINO VIEJO DE MALAGA</t>
        </is>
      </c>
      <c r="L25" s="2" t="inlineStr">
        <is>
          <t>Abierto</t>
        </is>
      </c>
      <c r="M25" s="6" t="n">
        <v>6</v>
      </c>
      <c r="N25" s="2" t="n"/>
      <c r="O25" s="7" t="n">
        <v>0.3</v>
      </c>
      <c r="P25" s="2" t="inlineStr">
        <is>
          <t>Proposición económica 50 | Conocimiento del proyecto 15 (JV) | Programación y organización 15 (JV) | MEJORA EN EL PLAZO DE GARANTIA 20</t>
        </is>
      </c>
      <c r="Q25" s="2" t="inlineStr">
        <is>
          <t>definitiva 5%</t>
        </is>
      </c>
      <c r="R25" s="2" t="n"/>
      <c r="S25" s="4" t="n"/>
      <c r="T25" s="2" t="inlineStr">
        <is>
          <t>45233140</t>
        </is>
      </c>
      <c r="U25" s="8" t="inlineStr">
        <is>
          <t>PCAP</t>
        </is>
      </c>
      <c r="V25" s="8" t="inlineStr">
        <is>
          <t>PPT</t>
        </is>
      </c>
      <c r="W25" s="8" t="inlineStr">
        <is>
          <t>Ver</t>
        </is>
      </c>
      <c r="X25" s="9" t="n">
        <v>46310</v>
      </c>
      <c r="Y25" s="2" t="n"/>
    </row>
    <row r="26">
      <c r="A26" s="2" t="n"/>
      <c r="B26" s="3" t="n">
        <v>46324.58333333334</v>
      </c>
      <c r="C26" s="4">
        <f>IF(B26="","",INT(B26)-TODAY())</f>
        <v/>
      </c>
      <c r="D26" s="5" t="n">
        <v>743801.65</v>
      </c>
      <c r="E26" s="5" t="n">
        <v>743801.65</v>
      </c>
      <c r="F26" s="2" t="inlineStr">
        <is>
          <t>Andalucía</t>
        </is>
      </c>
      <c r="G26" s="2" t="inlineStr">
        <is>
          <t>Sevilla</t>
        </is>
      </c>
      <c r="H26" s="2" t="n"/>
      <c r="I26" s="2" t="inlineStr">
        <is>
          <t>Alcaldia del Ayuntamiento de Pilas</t>
        </is>
      </c>
      <c r="J26" s="2" t="inlineStr">
        <is>
          <t>Ejecución de la obra "Proyecto de reasfaltado 2026, de Pilas (Sevilla).</t>
        </is>
      </c>
      <c r="K26" s="2" t="inlineStr">
        <is>
          <t>P4107500C-2026/000082-PAAS</t>
        </is>
      </c>
      <c r="L26" s="2" t="inlineStr">
        <is>
          <t>Abierto simplificado</t>
        </is>
      </c>
      <c r="M26" s="6" t="n">
        <v>6</v>
      </c>
      <c r="N26" s="2" t="inlineStr">
        <is>
          <t>G4-3; G*-3</t>
        </is>
      </c>
      <c r="O26" s="7" t="n">
        <v>0</v>
      </c>
      <c r="P26" s="2" t="inlineStr">
        <is>
          <t>Reducción del plazo de ejecución [2] 10 | Aspecto Económico (precio) [1] 75 | Mejoras [3] 15</t>
        </is>
      </c>
      <c r="Q26" s="2" t="n"/>
      <c r="R26" s="2" t="n"/>
      <c r="S26" s="4" t="n"/>
      <c r="T26" s="2" t="inlineStr">
        <is>
          <t>45233222</t>
        </is>
      </c>
      <c r="U26" s="8" t="inlineStr">
        <is>
          <t>PCAP</t>
        </is>
      </c>
      <c r="V26" s="8" t="inlineStr">
        <is>
          <t>PPT</t>
        </is>
      </c>
      <c r="W26" s="8" t="inlineStr">
        <is>
          <t>Ver</t>
        </is>
      </c>
      <c r="X26" s="9" t="n">
        <v>46310</v>
      </c>
      <c r="Y26" s="2" t="n"/>
    </row>
    <row r="27">
      <c r="A27" s="2" t="n"/>
      <c r="B27" s="3" t="n">
        <v>46324.99930555555</v>
      </c>
      <c r="C27" s="4">
        <f>IF(B27="","",INT(B27)-TODAY())</f>
        <v/>
      </c>
      <c r="D27" s="5" t="n">
        <v>667189.24</v>
      </c>
      <c r="E27" s="5" t="n">
        <v>667189.24</v>
      </c>
      <c r="F27" s="2" t="inlineStr">
        <is>
          <t>Andalucía</t>
        </is>
      </c>
      <c r="G27" s="2" t="inlineStr">
        <is>
          <t>Huelva</t>
        </is>
      </c>
      <c r="H27" s="2" t="inlineStr">
        <is>
          <t>ISLA CRISTINA</t>
        </is>
      </c>
      <c r="I27" s="2" t="inlineStr">
        <is>
          <t>Alcaldía del Ayuntamiento de Isla Cristina</t>
        </is>
      </c>
      <c r="J27" s="2" t="inlineStr">
        <is>
          <t>Obras Proyecto de renovación y mejora de la eficiencia energética de las instalaciones de alumbrado público exterior del municipio de Isla Cristina.</t>
        </is>
      </c>
      <c r="K27" s="2" t="inlineStr">
        <is>
          <t>5773/2026</t>
        </is>
      </c>
      <c r="L27" s="2" t="inlineStr">
        <is>
          <t>Abierto simplificado</t>
        </is>
      </c>
      <c r="M27" s="6" t="n">
        <v>6.1</v>
      </c>
      <c r="N27" s="2" t="inlineStr">
        <is>
          <t>I1-3</t>
        </is>
      </c>
      <c r="O27" s="7" t="n">
        <v>0.25</v>
      </c>
      <c r="P27" s="2" t="inlineStr">
        <is>
          <t>Ampliación plazo garantía 10 | Calidad técnica de la propuesta de ejecución 25 (JV) | Oferta económica 60 | Primera intervención efectiva ante incidencias cubiertas por la garantía 5</t>
        </is>
      </c>
      <c r="Q27" s="2" t="inlineStr">
        <is>
          <t>definitiva 5%</t>
        </is>
      </c>
      <c r="R27" s="2" t="n"/>
      <c r="S27" s="4" t="n"/>
      <c r="T27" s="2" t="inlineStr">
        <is>
          <t>45316100; 45315600</t>
        </is>
      </c>
      <c r="U27" s="8" t="inlineStr">
        <is>
          <t>PCAP</t>
        </is>
      </c>
      <c r="V27" s="8" t="inlineStr">
        <is>
          <t>PPT</t>
        </is>
      </c>
      <c r="W27" s="8" t="inlineStr">
        <is>
          <t>Ver</t>
        </is>
      </c>
      <c r="X27" s="9" t="n">
        <v>46310</v>
      </c>
      <c r="Y27" s="2" t="n"/>
    </row>
    <row r="28">
      <c r="A28" s="2" t="n"/>
      <c r="B28" s="3" t="n">
        <v>46324.99930555555</v>
      </c>
      <c r="C28" s="4">
        <f>IF(B28="","",INT(B28)-TODAY())</f>
        <v/>
      </c>
      <c r="D28" s="5" t="n">
        <v>568417.8100000001</v>
      </c>
      <c r="E28" s="5" t="n">
        <v>568417.8100000001</v>
      </c>
      <c r="F28" s="2" t="inlineStr">
        <is>
          <t>Andalucía</t>
        </is>
      </c>
      <c r="G28" s="2" t="inlineStr">
        <is>
          <t>Huelva</t>
        </is>
      </c>
      <c r="H28" s="2" t="inlineStr">
        <is>
          <t>BONARES</t>
        </is>
      </c>
      <c r="I28" s="2" t="inlineStr">
        <is>
          <t>Alcaldia del Ayuntamiento de Bonares</t>
        </is>
      </c>
      <c r="J28" s="2" t="inlineStr">
        <is>
          <t>Creación de aparcamiento y plaza pública ajardinada en Avda. Nuestra Señora del Rocío nº 3 de Bonares (Huelva</t>
        </is>
      </c>
      <c r="K28" s="2" t="inlineStr">
        <is>
          <t>4654/2026</t>
        </is>
      </c>
      <c r="L28" s="2" t="inlineStr">
        <is>
          <t>Abierto simplificado</t>
        </is>
      </c>
      <c r="M28" s="6" t="n">
        <v>12</v>
      </c>
      <c r="N28" s="2" t="inlineStr">
        <is>
          <t>C*-3</t>
        </is>
      </c>
      <c r="O28" s="7" t="n">
        <v>0</v>
      </c>
      <c r="P28" s="2" t="inlineStr">
        <is>
          <t>REDUCCIÓN DEL PLAZO DE EJECUCIÓN 12 | OFERTA ECONÓMICA 68 | AUMENTO PLAZO DE GARANTÍA 20</t>
        </is>
      </c>
      <c r="Q28" s="2" t="inlineStr">
        <is>
          <t>definitiva 5%</t>
        </is>
      </c>
      <c r="R28" s="2" t="inlineStr">
        <is>
          <t>No se prevé la revisión de precios (Cláusula 6.9. del PCAP).</t>
        </is>
      </c>
      <c r="S28" s="4" t="n"/>
      <c r="T28" s="2" t="inlineStr">
        <is>
          <t>45220000; 45223000; 45000000</t>
        </is>
      </c>
      <c r="U28" s="8" t="inlineStr">
        <is>
          <t>PCAP</t>
        </is>
      </c>
      <c r="V28" s="8" t="inlineStr">
        <is>
          <t>PPT</t>
        </is>
      </c>
      <c r="W28" s="8" t="inlineStr">
        <is>
          <t>Ver</t>
        </is>
      </c>
      <c r="X28" s="9" t="n">
        <v>46310</v>
      </c>
      <c r="Y28" s="2" t="n"/>
    </row>
    <row r="29">
      <c r="A29" s="2" t="n"/>
      <c r="B29" s="3" t="n">
        <v>46324.99930555555</v>
      </c>
      <c r="C29" s="4">
        <f>IF(B29="","",INT(B29)-TODAY())</f>
        <v/>
      </c>
      <c r="D29" s="5" t="n">
        <v>1170584.07</v>
      </c>
      <c r="E29" s="5" t="n">
        <v>1170584.07</v>
      </c>
      <c r="F29" s="2" t="inlineStr">
        <is>
          <t>Andalucía</t>
        </is>
      </c>
      <c r="G29" s="2" t="inlineStr">
        <is>
          <t>Sevilla</t>
        </is>
      </c>
      <c r="H29" s="2" t="n"/>
      <c r="I29" s="2" t="inlineStr">
        <is>
          <t>Pleno del Ayuntamiento de La Roda de Andalucía</t>
        </is>
      </c>
      <c r="J29" s="2" t="inlineStr">
        <is>
          <t>Contrato de obras para ejecución del "Proyecto básico y de terminación del pabellón polideportivo cubierto municipal"</t>
        </is>
      </c>
      <c r="K29" s="2" t="inlineStr">
        <is>
          <t>P4108200I-2026/000011-PAAS</t>
        </is>
      </c>
      <c r="L29" s="2" t="inlineStr">
        <is>
          <t>Abierto simplificado</t>
        </is>
      </c>
      <c r="M29" s="6" t="n">
        <v>18</v>
      </c>
      <c r="N29" s="2" t="inlineStr">
        <is>
          <t>C4-3</t>
        </is>
      </c>
      <c r="O29" s="7" t="n">
        <v>0</v>
      </c>
      <c r="P29" s="2" t="inlineStr">
        <is>
          <t>Aspecto Económico (precio) [1] 100</t>
        </is>
      </c>
      <c r="Q29" s="2" t="n"/>
      <c r="R29" s="2" t="n"/>
      <c r="S29" s="4" t="n"/>
      <c r="T29" s="2" t="inlineStr">
        <is>
          <t>45000000</t>
        </is>
      </c>
      <c r="U29" s="8" t="inlineStr">
        <is>
          <t>PCAP</t>
        </is>
      </c>
      <c r="V29" s="8" t="inlineStr">
        <is>
          <t>PPT</t>
        </is>
      </c>
      <c r="W29" s="8" t="inlineStr">
        <is>
          <t>Ver</t>
        </is>
      </c>
      <c r="X29" s="9" t="n">
        <v>46310</v>
      </c>
      <c r="Y29" s="2" t="n"/>
    </row>
    <row r="30">
      <c r="A30" s="2" t="n"/>
      <c r="B30" s="3" t="n">
        <v>46325.58333333334</v>
      </c>
      <c r="C30" s="4">
        <f>IF(B30="","",INT(B30)-TODAY())</f>
        <v/>
      </c>
      <c r="D30" s="5" t="n">
        <v>1540129.68</v>
      </c>
      <c r="E30" s="5" t="n">
        <v>1540129.68</v>
      </c>
      <c r="F30" s="2" t="inlineStr">
        <is>
          <t>Andalucía</t>
        </is>
      </c>
      <c r="G30" s="2" t="inlineStr">
        <is>
          <t>Granada</t>
        </is>
      </c>
      <c r="H30" s="2" t="inlineStr">
        <is>
          <t>Granada</t>
        </is>
      </c>
      <c r="I30" s="2" t="inlineStr">
        <is>
          <t>Secretaría General de la Agencia Estatal Consejo Superior de Investigaciones Científicas</t>
        </is>
      </c>
      <c r="J30" s="2" t="inlineStr">
        <is>
          <t>Obras de nuevo edificio del Instituto de Astrofísica de Andalucía</t>
        </is>
      </c>
      <c r="K30" s="2" t="inlineStr">
        <is>
          <t>35349/26</t>
        </is>
      </c>
      <c r="L30" s="2" t="inlineStr">
        <is>
          <t>Abierto simplificado</t>
        </is>
      </c>
      <c r="M30" s="6" t="n">
        <v>12</v>
      </c>
      <c r="N30" s="2" t="n"/>
      <c r="O30" s="7" t="n">
        <v>0.25</v>
      </c>
      <c r="P30"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0" s="2" t="n"/>
      <c r="R30" s="2" t="n"/>
      <c r="S30" s="4" t="n"/>
      <c r="T30" s="2" t="inlineStr">
        <is>
          <t>45214000; 45214600; 45213150</t>
        </is>
      </c>
      <c r="U30" s="8" t="inlineStr">
        <is>
          <t>PCAP</t>
        </is>
      </c>
      <c r="V30" s="8" t="inlineStr">
        <is>
          <t>PPT</t>
        </is>
      </c>
      <c r="W30" s="8" t="inlineStr">
        <is>
          <t>Ver</t>
        </is>
      </c>
      <c r="X30" s="9" t="n">
        <v>46310</v>
      </c>
      <c r="Y30" s="2" t="n"/>
    </row>
    <row r="31">
      <c r="A31" s="2" t="n"/>
      <c r="B31" s="3" t="n">
        <v>46328.33333333334</v>
      </c>
      <c r="C31" s="4">
        <f>IF(B31="","",INT(B31)-TODAY())</f>
        <v/>
      </c>
      <c r="D31" s="5" t="n">
        <v>1189873.92</v>
      </c>
      <c r="E31" s="5" t="n">
        <v>1189873.92</v>
      </c>
      <c r="F31" s="2" t="inlineStr">
        <is>
          <t>Comunitat Valenciana</t>
        </is>
      </c>
      <c r="G31" s="2" t="inlineStr">
        <is>
          <t>Alicante</t>
        </is>
      </c>
      <c r="H31" s="2" t="inlineStr">
        <is>
          <t>ORIHUELA</t>
        </is>
      </c>
      <c r="I31" s="2" t="inlineStr">
        <is>
          <t>Junta de Gobierno del Ayuntamiento de Orihuela</t>
        </is>
      </c>
      <c r="J31" s="2" t="inlineStr">
        <is>
          <t>Rehabilitación de Paramentos y Acondicionamiento de Sala de hombres en el Museo Arqueológico Comarcal de Orihuela</t>
        </is>
      </c>
      <c r="K31" s="2" t="inlineStr">
        <is>
          <t>4727/2026 BIS</t>
        </is>
      </c>
      <c r="L31" s="2" t="inlineStr">
        <is>
          <t>Abierto simplificado</t>
        </is>
      </c>
      <c r="M31" s="6" t="n">
        <v>12</v>
      </c>
      <c r="N31" s="2" t="inlineStr">
        <is>
          <t>C*-3; K7-3</t>
        </is>
      </c>
      <c r="O31" s="7" t="n">
        <v>0.25</v>
      </c>
      <c r="P31" s="2" t="inlineStr">
        <is>
          <t>Ampliación del plazo de garantía 30 | OFERTA ECONÓMICA (Sin IVA) 45 | Estudio de unidades de obra del proyecto 15 (JV) | Estudio de mediciones del proyecto 10 (JV)</t>
        </is>
      </c>
      <c r="Q31" s="2" t="inlineStr">
        <is>
          <t>complementaria 5%; definitiva 5%</t>
        </is>
      </c>
      <c r="R31" s="2" t="n"/>
      <c r="S31" s="4" t="n"/>
      <c r="T31" s="2" t="inlineStr">
        <is>
          <t>45000000; 45454100; 45453000</t>
        </is>
      </c>
      <c r="U31" s="8" t="inlineStr">
        <is>
          <t>PCAP</t>
        </is>
      </c>
      <c r="V31" s="8" t="inlineStr">
        <is>
          <t>PPT</t>
        </is>
      </c>
      <c r="W31" s="8" t="inlineStr">
        <is>
          <t>Ver</t>
        </is>
      </c>
      <c r="X31" s="9" t="n">
        <v>46310</v>
      </c>
      <c r="Y31" s="2" t="n"/>
    </row>
    <row r="32">
      <c r="A32" s="2" t="n"/>
      <c r="B32" s="3" t="n">
        <v>46328.58333333334</v>
      </c>
      <c r="C32" s="4">
        <f>IF(B32="","",INT(B32)-TODAY())</f>
        <v/>
      </c>
      <c r="D32" s="5" t="n">
        <v>557102.23</v>
      </c>
      <c r="E32" s="5" t="n">
        <v>557102.23</v>
      </c>
      <c r="F32" s="2" t="inlineStr">
        <is>
          <t>Comunitat Valenciana</t>
        </is>
      </c>
      <c r="G32" s="2" t="inlineStr">
        <is>
          <t>Valencia</t>
        </is>
      </c>
      <c r="H32" s="2" t="inlineStr">
        <is>
          <t>REQUENA</t>
        </is>
      </c>
      <c r="I32" s="2" t="inlineStr">
        <is>
          <t>Junta de Gobierno Local del Ayuntamiento de Requena</t>
        </is>
      </c>
      <c r="J32" s="2" t="inlineStr">
        <is>
          <t>Demolicion y construccion Centro Social de Campo Arcís</t>
        </is>
      </c>
      <c r="K32" s="2" t="inlineStr">
        <is>
          <t>2896352M</t>
        </is>
      </c>
      <c r="L32" s="2" t="inlineStr">
        <is>
          <t>Abierto simplificado</t>
        </is>
      </c>
      <c r="M32" s="6" t="n">
        <v>24</v>
      </c>
      <c r="N32" s="2" t="n"/>
      <c r="O32" s="7" t="n">
        <v>0</v>
      </c>
      <c r="P32" s="2" t="inlineStr">
        <is>
          <t>Mejora en el Precio, 100 puntos 100</t>
        </is>
      </c>
      <c r="Q32" s="2" t="inlineStr">
        <is>
          <t>definitiva 5%</t>
        </is>
      </c>
      <c r="R32" s="2" t="n"/>
      <c r="S32" s="4" t="n"/>
      <c r="T32" s="2" t="inlineStr">
        <is>
          <t>45211350; 45111100</t>
        </is>
      </c>
      <c r="U32" s="8" t="inlineStr">
        <is>
          <t>PCAP</t>
        </is>
      </c>
      <c r="V32" s="8" t="inlineStr">
        <is>
          <t>PPT</t>
        </is>
      </c>
      <c r="W32" s="8" t="inlineStr">
        <is>
          <t>Ver</t>
        </is>
      </c>
      <c r="X32" s="9" t="n">
        <v>46310</v>
      </c>
      <c r="Y32" s="2" t="n"/>
    </row>
    <row r="33">
      <c r="A33" s="2" t="n"/>
      <c r="B33" s="3" t="n">
        <v>46328.58333333334</v>
      </c>
      <c r="C33" s="4">
        <f>IF(B33="","",INT(B33)-TODAY())</f>
        <v/>
      </c>
      <c r="D33" s="5" t="n">
        <v>814296.7</v>
      </c>
      <c r="E33" s="5" t="n">
        <v>814296.7</v>
      </c>
      <c r="F33" s="2" t="inlineStr">
        <is>
          <t>Comunitat Valenciana</t>
        </is>
      </c>
      <c r="G33" s="2" t="inlineStr">
        <is>
          <t>Valencia</t>
        </is>
      </c>
      <c r="H33" s="2" t="inlineStr">
        <is>
          <t>Turís</t>
        </is>
      </c>
      <c r="I33" s="2" t="inlineStr">
        <is>
          <t>Alcaldía del Ayuntamiento de Turis</t>
        </is>
      </c>
      <c r="J33" s="2" t="inlineStr">
        <is>
          <t>Urbanización calles perimetrales parcela nuevo CEIP</t>
        </is>
      </c>
      <c r="K33" s="2" t="inlineStr">
        <is>
          <t>3385/2026</t>
        </is>
      </c>
      <c r="L33" s="2" t="inlineStr">
        <is>
          <t>Abierto simplificado</t>
        </is>
      </c>
      <c r="M33" s="6" t="n">
        <v>5</v>
      </c>
      <c r="N33" s="2" t="n"/>
      <c r="O33" s="7" t="n">
        <v>0</v>
      </c>
      <c r="P33" s="2" t="inlineStr">
        <is>
          <t>Precio 100</t>
        </is>
      </c>
      <c r="Q33" s="2" t="inlineStr">
        <is>
          <t>definitiva 5%</t>
        </is>
      </c>
      <c r="R33" s="2" t="n"/>
      <c r="S33" s="4" t="n"/>
      <c r="T33" s="2" t="inlineStr">
        <is>
          <t>45233140</t>
        </is>
      </c>
      <c r="U33" s="8" t="inlineStr">
        <is>
          <t>PCAP</t>
        </is>
      </c>
      <c r="V33" s="8" t="inlineStr">
        <is>
          <t>PPT</t>
        </is>
      </c>
      <c r="W33" s="8" t="inlineStr">
        <is>
          <t>Ver</t>
        </is>
      </c>
      <c r="X33" s="9" t="n">
        <v>46310</v>
      </c>
      <c r="Y33" s="2" t="n"/>
    </row>
    <row r="34">
      <c r="A34" s="2" t="n"/>
      <c r="B34" s="3" t="n">
        <v>46328.99930555555</v>
      </c>
      <c r="C34" s="4">
        <f>IF(B34="","",INT(B34)-TODAY())</f>
        <v/>
      </c>
      <c r="D34" s="5" t="n">
        <v>4502927.26</v>
      </c>
      <c r="E34" s="5" t="n">
        <v>4502927.26</v>
      </c>
      <c r="F34" s="2" t="inlineStr">
        <is>
          <t>Comunitat Valenciana</t>
        </is>
      </c>
      <c r="G34" s="2" t="inlineStr">
        <is>
          <t>Valencia</t>
        </is>
      </c>
      <c r="H34" s="2" t="n"/>
      <c r="I34" s="2" t="inlineStr">
        <is>
          <t>Pleno del Ayuntamiento de Carlet</t>
        </is>
      </c>
      <c r="J34" s="2" t="inlineStr">
        <is>
          <t>Obras de restitución de las canalizaciones de la red de agua potable y de la red de saneamiento y pavimentación de la Ronda Malecón, financiadas con cargo al Fondo de Solidaridad de la Unión Europea</t>
        </is>
      </c>
      <c r="K34" s="2" t="inlineStr">
        <is>
          <t>3018/2026</t>
        </is>
      </c>
      <c r="L34" s="2" t="inlineStr">
        <is>
          <t>Abierto</t>
        </is>
      </c>
      <c r="M34" s="6" t="n">
        <v>12</v>
      </c>
      <c r="N34" s="2" t="inlineStr">
        <is>
          <t>E*-5</t>
        </is>
      </c>
      <c r="O34" s="7" t="n">
        <v>0</v>
      </c>
      <c r="P34" s="2" t="inlineStr">
        <is>
          <t>Ampliación del plazo de garantía 10 | Uso de materiales con menor huella de carbono 20 | Reducción del plazo de ejecución 20 | Oferta económica 50</t>
        </is>
      </c>
      <c r="Q34" s="2" t="inlineStr">
        <is>
          <t>definitiva 5%</t>
        </is>
      </c>
      <c r="R34" s="2" t="n"/>
      <c r="S34" s="4" t="n"/>
      <c r="T34" s="2" t="inlineStr">
        <is>
          <t>45240000; 45233200; 45232150; 45232440</t>
        </is>
      </c>
      <c r="U34" s="8" t="inlineStr">
        <is>
          <t>PCAP</t>
        </is>
      </c>
      <c r="V34" s="8" t="inlineStr">
        <is>
          <t>PPT</t>
        </is>
      </c>
      <c r="W34" s="8" t="inlineStr">
        <is>
          <t>Ver</t>
        </is>
      </c>
      <c r="X34" s="9" t="n">
        <v>46310</v>
      </c>
      <c r="Y34" s="2" t="n"/>
    </row>
    <row r="35">
      <c r="A35" s="2" t="n"/>
      <c r="B35" s="3" t="n">
        <v>46329.58333333334</v>
      </c>
      <c r="C35" s="4">
        <f>IF(B35="","",INT(B35)-TODAY())</f>
        <v/>
      </c>
      <c r="D35" s="5" t="n">
        <v>988010.83</v>
      </c>
      <c r="E35" s="5" t="n">
        <v>988010.83</v>
      </c>
      <c r="F35" s="2" t="inlineStr">
        <is>
          <t>Andalucía</t>
        </is>
      </c>
      <c r="G35" s="2" t="inlineStr">
        <is>
          <t>Sevilla</t>
        </is>
      </c>
      <c r="H35" s="2" t="inlineStr">
        <is>
          <t>Gines</t>
        </is>
      </c>
      <c r="I35" s="2" t="inlineStr">
        <is>
          <t>Junta de Gobierno Local del Ayuntamiento de Gines</t>
        </is>
      </c>
      <c r="J35" s="2" t="inlineStr">
        <is>
          <t>Obras de rehabilitación y adecuación de inmueble municipal en plantas baja y sótano para aparcamiento público municipal y locales de usos culturales y sociales.</t>
        </is>
      </c>
      <c r="K35" s="2" t="inlineStr">
        <is>
          <t>6859/2026</t>
        </is>
      </c>
      <c r="L35" s="2" t="inlineStr">
        <is>
          <t>Abierto simplificado</t>
        </is>
      </c>
      <c r="M35" s="6" t="n">
        <v>6</v>
      </c>
      <c r="N35" s="2" t="inlineStr">
        <is>
          <t>C*-2</t>
        </is>
      </c>
      <c r="O35" s="7" t="n">
        <v>0.25</v>
      </c>
      <c r="P35"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5" s="2" t="inlineStr">
        <is>
          <t>definitiva 5%</t>
        </is>
      </c>
      <c r="R35" s="2" t="n"/>
      <c r="S35" s="4" t="n"/>
      <c r="T35" s="2" t="inlineStr">
        <is>
          <t>45453100; 45313100; 45331210</t>
        </is>
      </c>
      <c r="U35" s="8" t="inlineStr">
        <is>
          <t>PCAP</t>
        </is>
      </c>
      <c r="V35" s="8" t="inlineStr">
        <is>
          <t>PPT</t>
        </is>
      </c>
      <c r="W35" s="8" t="inlineStr">
        <is>
          <t>Ver</t>
        </is>
      </c>
      <c r="X35" s="9" t="n">
        <v>46310</v>
      </c>
      <c r="Y35" s="2" t="n"/>
    </row>
    <row r="36">
      <c r="A36" s="2" t="n"/>
      <c r="B36" s="3" t="n">
        <v>46329.79166666666</v>
      </c>
      <c r="C36" s="4">
        <f>IF(B36="","",INT(B36)-TODAY())</f>
        <v/>
      </c>
      <c r="D36" s="5" t="n">
        <v>669122.0600000001</v>
      </c>
      <c r="E36" s="5" t="n">
        <v>669122.0600000001</v>
      </c>
      <c r="F36" s="2" t="inlineStr">
        <is>
          <t>Andalucía</t>
        </is>
      </c>
      <c r="G36" s="2" t="inlineStr">
        <is>
          <t>Córdoba</t>
        </is>
      </c>
      <c r="H36" s="2" t="inlineStr">
        <is>
          <t>Córdoba</t>
        </is>
      </c>
      <c r="I36" s="2" t="inlineStr">
        <is>
          <t>Presidencia del Consejo de Administración de la Empresa Provincial de Aguas de Córdoba S.A.</t>
        </is>
      </c>
      <c r="J36" s="2" t="inlineStr">
        <is>
          <t>Obra de Red de Abastecimiento Aldea del Villar (Fuente Palmera).</t>
        </is>
      </c>
      <c r="K36" s="2" t="inlineStr">
        <is>
          <t>CC 55/2026</t>
        </is>
      </c>
      <c r="L36" s="2" t="inlineStr">
        <is>
          <t>Abierto</t>
        </is>
      </c>
      <c r="M36" s="6" t="n">
        <v>12</v>
      </c>
      <c r="N36" s="2" t="inlineStr">
        <is>
          <t>E1-3</t>
        </is>
      </c>
      <c r="O36" s="7" t="n">
        <v>0.5</v>
      </c>
      <c r="P36" s="2" t="inlineStr">
        <is>
          <t>Ampliación plazo de garantía 10 (JV) | Oferta económica 50 | Oferta técnica 40 (JV)</t>
        </is>
      </c>
      <c r="Q36" s="2" t="n"/>
      <c r="R36" s="2" t="n"/>
      <c r="S36" s="4" t="n"/>
      <c r="T36" s="2" t="inlineStr">
        <is>
          <t>45240000</t>
        </is>
      </c>
      <c r="U36" s="8" t="inlineStr">
        <is>
          <t>PCAP</t>
        </is>
      </c>
      <c r="V36" s="8" t="inlineStr">
        <is>
          <t>PPT</t>
        </is>
      </c>
      <c r="W36" s="8" t="inlineStr">
        <is>
          <t>Ver</t>
        </is>
      </c>
      <c r="X36" s="9" t="n">
        <v>46310</v>
      </c>
      <c r="Y36" s="2" t="n"/>
    </row>
    <row r="37">
      <c r="A37" s="2" t="n"/>
      <c r="B37" s="3" t="n">
        <v>46329.79166666666</v>
      </c>
      <c r="C37" s="4">
        <f>IF(B37="","",INT(B37)-TODAY())</f>
        <v/>
      </c>
      <c r="D37" s="5" t="n">
        <v>1071077.53</v>
      </c>
      <c r="E37" s="5" t="n">
        <v>1071077.53</v>
      </c>
      <c r="F37" s="2" t="inlineStr">
        <is>
          <t>Andalucía</t>
        </is>
      </c>
      <c r="G37" s="2" t="inlineStr">
        <is>
          <t>Almería</t>
        </is>
      </c>
      <c r="H37" s="2" t="inlineStr">
        <is>
          <t>Almería</t>
        </is>
      </c>
      <c r="I37" s="2" t="inlineStr">
        <is>
          <t>Presidencia de la Autoridad Portuaria de Almería</t>
        </is>
      </c>
      <c r="J37" s="2" t="inlineStr">
        <is>
          <t>Obras de Reforma de Pasarelas 4 y 5 en Puerto de Almería</t>
        </is>
      </c>
      <c r="K37" s="2" t="inlineStr">
        <is>
          <t>31/O/A/AL26</t>
        </is>
      </c>
      <c r="L37" s="2" t="inlineStr">
        <is>
          <t>Abierto</t>
        </is>
      </c>
      <c r="M37" s="6" t="n">
        <v>12</v>
      </c>
      <c r="N37" s="2" t="inlineStr">
        <is>
          <t>C3-4</t>
        </is>
      </c>
      <c r="O37" s="7" t="n">
        <v>0.25</v>
      </c>
      <c r="P37" s="2" t="inlineStr">
        <is>
          <t>Cuantitativos 75 | Cualitativos 25 (JV)</t>
        </is>
      </c>
      <c r="Q37" s="2" t="n"/>
      <c r="R37" s="2" t="n"/>
      <c r="S37" s="4" t="n"/>
      <c r="T37" s="2" t="inlineStr">
        <is>
          <t>45223210; 45223100</t>
        </is>
      </c>
      <c r="U37" s="8" t="inlineStr">
        <is>
          <t>PCAP</t>
        </is>
      </c>
      <c r="V37" s="8" t="inlineStr">
        <is>
          <t>PPT</t>
        </is>
      </c>
      <c r="W37" s="8" t="inlineStr">
        <is>
          <t>Ver</t>
        </is>
      </c>
      <c r="X37" s="9" t="n">
        <v>46310</v>
      </c>
      <c r="Y37" s="2" t="n"/>
    </row>
    <row r="38">
      <c r="A38" s="2" t="n"/>
      <c r="B38" s="3" t="n">
        <v>46329.79166666666</v>
      </c>
      <c r="C38" s="4">
        <f>IF(B38="","",INT(B38)-TODAY())</f>
        <v/>
      </c>
      <c r="D38" s="5" t="n">
        <v>1565254.69</v>
      </c>
      <c r="E38" s="5" t="n">
        <v>1565254.69</v>
      </c>
      <c r="F38" s="2" t="inlineStr">
        <is>
          <t>Andalucía</t>
        </is>
      </c>
      <c r="G38" s="2" t="inlineStr">
        <is>
          <t>Almería</t>
        </is>
      </c>
      <c r="H38" s="2" t="inlineStr">
        <is>
          <t>Almería</t>
        </is>
      </c>
      <c r="I38" s="2" t="inlineStr">
        <is>
          <t>Presidencia de la Autoridad Portuaria de Almería</t>
        </is>
      </c>
      <c r="J38" s="2" t="inlineStr">
        <is>
          <t>Obras de reforma de Pasarelas 2 y 3 en Puerto de Almería</t>
        </is>
      </c>
      <c r="K38" s="2" t="inlineStr">
        <is>
          <t>26/O/A/AL26</t>
        </is>
      </c>
      <c r="L38" s="2" t="inlineStr">
        <is>
          <t>Abierto</t>
        </is>
      </c>
      <c r="M38" s="6" t="n">
        <v>6</v>
      </c>
      <c r="N38" s="2" t="inlineStr">
        <is>
          <t>C3-4</t>
        </is>
      </c>
      <c r="O38" s="7" t="n">
        <v>0.25</v>
      </c>
      <c r="P38" s="2" t="inlineStr">
        <is>
          <t>Cuantitativos 75 | Cualitativos 25 (JV)</t>
        </is>
      </c>
      <c r="Q38" s="2" t="n"/>
      <c r="R38" s="2" t="n"/>
      <c r="S38" s="4" t="n"/>
      <c r="T38" s="2" t="inlineStr">
        <is>
          <t>45223210; 45223100</t>
        </is>
      </c>
      <c r="U38" s="8" t="inlineStr">
        <is>
          <t>PCAP</t>
        </is>
      </c>
      <c r="V38" s="8" t="inlineStr">
        <is>
          <t>PPT</t>
        </is>
      </c>
      <c r="W38" s="8" t="inlineStr">
        <is>
          <t>Ver</t>
        </is>
      </c>
      <c r="X38" s="9" t="n">
        <v>46310</v>
      </c>
      <c r="Y38" s="2" t="n"/>
    </row>
    <row r="39">
      <c r="A39" s="2" t="n"/>
      <c r="B39" s="3" t="n">
        <v>46329.99930555555</v>
      </c>
      <c r="C39" s="4">
        <f>IF(B39="","",INT(B39)-TODAY())</f>
        <v/>
      </c>
      <c r="D39" s="5" t="n">
        <v>564012.4</v>
      </c>
      <c r="E39" s="5" t="n">
        <v>564012.4</v>
      </c>
      <c r="F39" s="2" t="inlineStr">
        <is>
          <t>Comunitat Valenciana</t>
        </is>
      </c>
      <c r="G39" s="2" t="n"/>
      <c r="H39" s="2" t="inlineStr">
        <is>
          <t>Oliva</t>
        </is>
      </c>
      <c r="I39" s="2" t="inlineStr">
        <is>
          <t>Concejal de Contratación del Ayuntamiento de Oliva</t>
        </is>
      </c>
      <c r="J39" s="2" t="inlineStr">
        <is>
          <t>Mejora de la accesibilidad en espacios públicos y renovación de la red de abastecimiento de agua potable</t>
        </is>
      </c>
      <c r="K39" s="2" t="inlineStr">
        <is>
          <t>15056/2026</t>
        </is>
      </c>
      <c r="L39" s="2" t="inlineStr">
        <is>
          <t>Abierto simplificado</t>
        </is>
      </c>
      <c r="M39" s="6" t="n">
        <v>5</v>
      </c>
      <c r="N39" s="2" t="n"/>
      <c r="O39" s="7" t="n">
        <v>0</v>
      </c>
      <c r="P39" s="2" t="inlineStr">
        <is>
          <t>Ampliación adicional plazo de garantía 10 | Baja económica en el tipo de licitación 20 | Conjunto de mejoras 70</t>
        </is>
      </c>
      <c r="Q39" s="2" t="inlineStr">
        <is>
          <t>definitiva 5%; complementaria 2%</t>
        </is>
      </c>
      <c r="R39" s="2" t="n"/>
      <c r="S39" s="4" t="n"/>
      <c r="T39" s="2" t="inlineStr">
        <is>
          <t>45200000</t>
        </is>
      </c>
      <c r="U39" s="8" t="inlineStr">
        <is>
          <t>PCAP</t>
        </is>
      </c>
      <c r="V39" s="8" t="inlineStr">
        <is>
          <t>PPT</t>
        </is>
      </c>
      <c r="W39" s="8" t="inlineStr">
        <is>
          <t>Ver</t>
        </is>
      </c>
      <c r="X39" s="9" t="n">
        <v>46310</v>
      </c>
      <c r="Y39" s="2" t="n"/>
    </row>
    <row r="40">
      <c r="A40" s="2" t="n"/>
      <c r="B40" s="3" t="n">
        <v>46329.99930555555</v>
      </c>
      <c r="C40" s="4">
        <f>IF(B40="","",INT(B40)-TODAY())</f>
        <v/>
      </c>
      <c r="D40" s="5" t="n">
        <v>1106611.57</v>
      </c>
      <c r="E40" s="5" t="n">
        <v>1106611.57</v>
      </c>
      <c r="F40" s="2" t="inlineStr">
        <is>
          <t>Andalucía</t>
        </is>
      </c>
      <c r="G40" s="2" t="inlineStr">
        <is>
          <t>Sevilla</t>
        </is>
      </c>
      <c r="H40" s="2" t="n"/>
      <c r="I40" s="2" t="inlineStr">
        <is>
          <t>Alcaldía del Ayuntamiento de Alcalá del Río</t>
        </is>
      </c>
      <c r="J40" s="2" t="inlineStr">
        <is>
          <t>Contrato de obras relativo al Proyecto básico y de ejecución de Reforma y Acondicionamiento de la Piscina Municipal y el entorno periférico</t>
        </is>
      </c>
      <c r="K40" s="2" t="inlineStr">
        <is>
          <t>P4100500J-2026/000021-PAAS</t>
        </is>
      </c>
      <c r="L40" s="2" t="inlineStr">
        <is>
          <t>Abierto simplificado</t>
        </is>
      </c>
      <c r="M40" s="6" t="n">
        <v>16</v>
      </c>
      <c r="N40" s="2" t="inlineStr">
        <is>
          <t>J2-2; C3-2; C*-2; J*-2</t>
        </is>
      </c>
      <c r="O40" s="7" t="n">
        <v>0</v>
      </c>
      <c r="P40" s="2" t="inlineStr">
        <is>
          <t>Aspecto Económico (precio) [1] 40 | Mejora 1 Nuevo sistema de Riego para las zonas de césped [2] 20 | Mejora 2 Retirada y renovación del césped [3] 40</t>
        </is>
      </c>
      <c r="Q40" s="2" t="n"/>
      <c r="R40" s="2" t="n"/>
      <c r="S40" s="4" t="n"/>
      <c r="T40" s="2" t="inlineStr">
        <is>
          <t>45212220</t>
        </is>
      </c>
      <c r="U40" s="8" t="inlineStr">
        <is>
          <t>PCAP</t>
        </is>
      </c>
      <c r="V40" s="8" t="inlineStr">
        <is>
          <t>PPT</t>
        </is>
      </c>
      <c r="W40" s="8" t="inlineStr">
        <is>
          <t>Ver</t>
        </is>
      </c>
      <c r="X40" s="9" t="n">
        <v>46310</v>
      </c>
      <c r="Y40" s="2" t="n"/>
    </row>
    <row r="41">
      <c r="A41" s="2" t="n"/>
      <c r="B41" s="3" t="n">
        <v>46329.99930555555</v>
      </c>
      <c r="C41" s="4">
        <f>IF(B41="","",INT(B41)-TODAY())</f>
        <v/>
      </c>
      <c r="D41" s="5" t="n">
        <v>3060580.6</v>
      </c>
      <c r="E41" s="5" t="n">
        <v>3060580.6</v>
      </c>
      <c r="F41" s="2" t="inlineStr">
        <is>
          <t>Andalucía</t>
        </is>
      </c>
      <c r="G41" s="2" t="inlineStr">
        <is>
          <t>Huelva</t>
        </is>
      </c>
      <c r="H41" s="2" t="n"/>
      <c r="I41" s="2" t="inlineStr">
        <is>
          <t>Pleno del Ayuntamiento de Punta umbría</t>
        </is>
      </c>
      <c r="J41" s="2" t="inlineStr">
        <is>
          <t>Ejecución de las obras para la renovación y mejora de la eficiencia energética de las instalaciones de alumbrado público exterior en el Municipio de Punta Umbría (Huelva)</t>
        </is>
      </c>
      <c r="K41" s="2" t="inlineStr">
        <is>
          <t>5163/2026</t>
        </is>
      </c>
      <c r="L41" s="2" t="inlineStr">
        <is>
          <t>Abierto</t>
        </is>
      </c>
      <c r="M41" s="6" t="n">
        <v>9</v>
      </c>
      <c r="N41" s="2" t="inlineStr">
        <is>
          <t>I1-4</t>
        </is>
      </c>
      <c r="O41" s="7" t="n">
        <v>0.25</v>
      </c>
      <c r="P41" s="2" t="inlineStr">
        <is>
          <t>Oferta económica 35 | Reducción de Plazos 20 | Experiencia Profesional 20 | Memoria Técnica 25 (JV)</t>
        </is>
      </c>
      <c r="Q41" s="2" t="inlineStr">
        <is>
          <t>definitiva 5%</t>
        </is>
      </c>
      <c r="R41" s="2" t="n"/>
      <c r="S41" s="4" t="n"/>
      <c r="T41" s="2" t="inlineStr">
        <is>
          <t>45316100; 34928500; 45315600</t>
        </is>
      </c>
      <c r="U41" s="8" t="inlineStr">
        <is>
          <t>PCAP</t>
        </is>
      </c>
      <c r="V41" s="8" t="inlineStr">
        <is>
          <t>PPT</t>
        </is>
      </c>
      <c r="W41" s="8" t="inlineStr">
        <is>
          <t>Ver</t>
        </is>
      </c>
      <c r="X41" s="9" t="n">
        <v>46310</v>
      </c>
      <c r="Y41" s="2" t="n"/>
    </row>
    <row r="42">
      <c r="A42" s="2" t="n"/>
      <c r="B42" s="3" t="n">
        <v>46329.99930555555</v>
      </c>
      <c r="C42" s="4">
        <f>IF(B42="","",INT(B42)-TODAY())</f>
        <v/>
      </c>
      <c r="D42" s="5" t="n">
        <v>2370624.52</v>
      </c>
      <c r="E42" s="5" t="n">
        <v>2844749.42</v>
      </c>
      <c r="F42" s="2" t="inlineStr">
        <is>
          <t>Andalucía</t>
        </is>
      </c>
      <c r="G42" s="2" t="inlineStr">
        <is>
          <t>Almería</t>
        </is>
      </c>
      <c r="H42" s="2" t="n"/>
      <c r="I42" s="2" t="inlineStr">
        <is>
          <t>Junta de Gobierno Local del Ayuntamiento de El Ejido</t>
        </is>
      </c>
      <c r="J4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2" s="2" t="inlineStr">
        <is>
          <t>2026 1137</t>
        </is>
      </c>
      <c r="L42" s="2" t="inlineStr">
        <is>
          <t>Abierto</t>
        </is>
      </c>
      <c r="M42" s="6" t="n">
        <v>6</v>
      </c>
      <c r="N42" s="2" t="n"/>
      <c r="O42" s="7" t="n">
        <v>0.25</v>
      </c>
      <c r="P42" s="2" t="inlineStr">
        <is>
          <t>Proposición económica 75 | Criterios evaluables mediante un juicio de valor 25 (JV)</t>
        </is>
      </c>
      <c r="Q42" s="2" t="inlineStr">
        <is>
          <t>provisional 5%</t>
        </is>
      </c>
      <c r="R42" s="2" t="n"/>
      <c r="S42" s="4" t="n"/>
      <c r="T42" s="2" t="inlineStr">
        <is>
          <t>45200000</t>
        </is>
      </c>
      <c r="U42" s="8" t="inlineStr">
        <is>
          <t>PCAP</t>
        </is>
      </c>
      <c r="V42" s="8" t="inlineStr">
        <is>
          <t>PPT</t>
        </is>
      </c>
      <c r="W42" s="8" t="inlineStr">
        <is>
          <t>Ver</t>
        </is>
      </c>
      <c r="X42" s="9" t="n">
        <v>46310</v>
      </c>
      <c r="Y42" s="2" t="n"/>
    </row>
    <row r="43">
      <c r="A43" s="2" t="n"/>
      <c r="B43" s="3" t="n">
        <v>46331.99930555555</v>
      </c>
      <c r="C43" s="4">
        <f>IF(B43="","",INT(B43)-TODAY())</f>
        <v/>
      </c>
      <c r="D43" s="5" t="n">
        <v>2543636.15</v>
      </c>
      <c r="E43" s="5" t="n">
        <v>2543636.15</v>
      </c>
      <c r="F43" s="2" t="inlineStr">
        <is>
          <t>Andalucía</t>
        </is>
      </c>
      <c r="G43" s="2" t="inlineStr">
        <is>
          <t>Sevilla</t>
        </is>
      </c>
      <c r="H43" s="2" t="n"/>
      <c r="I43" s="2" t="inlineStr">
        <is>
          <t>Presidencia de la Diputación Provincial de Sevilla</t>
        </is>
      </c>
      <c r="J43" s="2" t="inlineStr">
        <is>
          <t>Obra para la mejora de la estación de bombeo de agua potable al Consorcio de Aguas Sierra Sur, nuevo depósito y sistemas antiariete, Osuna</t>
        </is>
      </c>
      <c r="K43" s="2" t="inlineStr">
        <is>
          <t>2026/000697-PAA</t>
        </is>
      </c>
      <c r="L43" s="2" t="inlineStr">
        <is>
          <t>Abierto</t>
        </is>
      </c>
      <c r="M43" s="6" t="n">
        <v>8</v>
      </c>
      <c r="N43" s="2" t="inlineStr">
        <is>
          <t>E1-5</t>
        </is>
      </c>
      <c r="O43" s="7" t="n">
        <v>0.25</v>
      </c>
      <c r="P43" s="2" t="inlineStr">
        <is>
          <t>Calidad [1] 25 (JV) | Aspecto Económico (precio) [1] 75</t>
        </is>
      </c>
      <c r="Q43" s="2" t="n"/>
      <c r="R43" s="2" t="n"/>
      <c r="S43" s="4" t="n"/>
      <c r="T43" s="2" t="inlineStr">
        <is>
          <t>45213260; 45232152</t>
        </is>
      </c>
      <c r="U43" s="8" t="inlineStr">
        <is>
          <t>PCAP</t>
        </is>
      </c>
      <c r="V43" s="8" t="inlineStr">
        <is>
          <t>PPT</t>
        </is>
      </c>
      <c r="W43" s="8" t="inlineStr">
        <is>
          <t>Ver</t>
        </is>
      </c>
      <c r="X43" s="9" t="n">
        <v>46310</v>
      </c>
      <c r="Y43" s="2" t="n"/>
    </row>
    <row r="44">
      <c r="A44" s="2" t="n"/>
      <c r="B44" s="3" t="n">
        <v>46332.99930555555</v>
      </c>
      <c r="C44" s="4">
        <f>IF(B44="","",INT(B44)-TODAY())</f>
        <v/>
      </c>
      <c r="D44" s="5" t="n">
        <v>1089694.08</v>
      </c>
      <c r="E44" s="5" t="n">
        <v>1089694.08</v>
      </c>
      <c r="F44" s="2" t="inlineStr">
        <is>
          <t>Andalucía</t>
        </is>
      </c>
      <c r="G44" s="2" t="inlineStr">
        <is>
          <t>Sevilla</t>
        </is>
      </c>
      <c r="H44" s="2" t="n"/>
      <c r="I44" s="2" t="inlineStr">
        <is>
          <t>Alcaldia del Ayuntamiento de San Nicolás del Puerto</t>
        </is>
      </c>
      <c r="J44" s="2" t="inlineStr">
        <is>
          <t>PAS. Construcción de Piscina Municipal y de vesturarios en San Nicolás del Puerto. Plan ACTUA 2022 Diputación.</t>
        </is>
      </c>
      <c r="K44" s="2" t="inlineStr">
        <is>
          <t>P4108800F-2026/000032-PAAS</t>
        </is>
      </c>
      <c r="L44" s="2" t="inlineStr">
        <is>
          <t>Abierto simplificado</t>
        </is>
      </c>
      <c r="M44" s="6" t="n">
        <v>10</v>
      </c>
      <c r="N44" s="2" t="inlineStr">
        <is>
          <t>C6-6; C*-4; C4-4</t>
        </is>
      </c>
      <c r="O44" s="7" t="n">
        <v>0</v>
      </c>
      <c r="P44" s="2" t="inlineStr">
        <is>
          <t>Aspecto Económico (precio) [1] 100</t>
        </is>
      </c>
      <c r="Q44" s="2" t="n"/>
      <c r="R44" s="2" t="n"/>
      <c r="S44" s="4" t="n"/>
      <c r="T44" s="2" t="inlineStr">
        <is>
          <t>45000000</t>
        </is>
      </c>
      <c r="U44" s="8" t="inlineStr">
        <is>
          <t>PCAP</t>
        </is>
      </c>
      <c r="V44" s="8" t="inlineStr">
        <is>
          <t>PPT</t>
        </is>
      </c>
      <c r="W44" s="8" t="inlineStr">
        <is>
          <t>Ver</t>
        </is>
      </c>
      <c r="X44" s="9" t="n">
        <v>46310</v>
      </c>
      <c r="Y44" s="2" t="n"/>
    </row>
    <row r="45">
      <c r="A45" s="2" t="n"/>
      <c r="B45" s="3" t="n">
        <v>46335.99930555555</v>
      </c>
      <c r="C45" s="4">
        <f>IF(B45="","",INT(B45)-TODAY())</f>
        <v/>
      </c>
      <c r="D45" s="5" t="n">
        <v>929839.95</v>
      </c>
      <c r="E45" s="5" t="n">
        <v>929839.95</v>
      </c>
      <c r="F45" s="2" t="inlineStr">
        <is>
          <t>Andalucía</t>
        </is>
      </c>
      <c r="G45" s="2" t="inlineStr">
        <is>
          <t>Córdoba</t>
        </is>
      </c>
      <c r="H45" s="2" t="inlineStr">
        <is>
          <t>CABRA</t>
        </is>
      </c>
      <c r="I45" s="2" t="inlineStr">
        <is>
          <t>Alcaldía del Ayuntamiento de Cabra</t>
        </is>
      </c>
      <c r="J45"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45" s="2" t="inlineStr">
        <is>
          <t>2026/21080</t>
        </is>
      </c>
      <c r="L45" s="2" t="inlineStr">
        <is>
          <t>Abierto</t>
        </is>
      </c>
      <c r="M45" s="6" t="n">
        <v>12</v>
      </c>
      <c r="N45" s="2" t="n"/>
      <c r="O45" s="7" t="n">
        <v>0</v>
      </c>
      <c r="P45" s="2" t="inlineStr">
        <is>
          <t>Redacción proyecto en formato BIM 10 | Menor precio ofertado sobre el precio de licitación, hasta un máximo de 75 puntos. 75 | Compromiso de Ampliación de Plazo de Garantía 15</t>
        </is>
      </c>
      <c r="Q45" s="2" t="inlineStr">
        <is>
          <t>definitiva 5%</t>
        </is>
      </c>
      <c r="R45" s="2" t="n"/>
      <c r="S45" s="4" t="n"/>
      <c r="T45" s="2" t="inlineStr">
        <is>
          <t>45211000; 71200000</t>
        </is>
      </c>
      <c r="U45" s="8" t="inlineStr">
        <is>
          <t>PCAP</t>
        </is>
      </c>
      <c r="V45" s="8" t="inlineStr">
        <is>
          <t>PPT</t>
        </is>
      </c>
      <c r="W45" s="8" t="inlineStr">
        <is>
          <t>Ver</t>
        </is>
      </c>
      <c r="X45" s="9" t="n">
        <v>46310</v>
      </c>
      <c r="Y45" s="2" t="n"/>
    </row>
    <row r="46">
      <c r="A46" s="2" t="n"/>
      <c r="B46" s="3" t="n">
        <v>46335.99930555555</v>
      </c>
      <c r="C46" s="4">
        <f>IF(B46="","",INT(B46)-TODAY())</f>
        <v/>
      </c>
      <c r="D46" s="5" t="n">
        <v>4895758.65</v>
      </c>
      <c r="E46" s="5" t="n">
        <v>4895758.65</v>
      </c>
      <c r="F46" s="2" t="inlineStr">
        <is>
          <t>Comunitat Valenciana</t>
        </is>
      </c>
      <c r="G46" s="2" t="inlineStr">
        <is>
          <t>Valencia</t>
        </is>
      </c>
      <c r="H46" s="2" t="inlineStr">
        <is>
          <t>Estivella</t>
        </is>
      </c>
      <c r="I46" s="2" t="inlineStr">
        <is>
          <t>Pleno del Ayuntamiento de Estivella</t>
        </is>
      </c>
      <c r="J46" s="2" t="inlineStr">
        <is>
          <t>Demolició i reposició del CENTRE CEIP EL BRAÇAL en la mateixa parcel·la</t>
        </is>
      </c>
      <c r="K46" s="2" t="inlineStr">
        <is>
          <t>271/2026</t>
        </is>
      </c>
      <c r="L46" s="2" t="inlineStr">
        <is>
          <t>Abierto</t>
        </is>
      </c>
      <c r="M46" s="6" t="n">
        <v>18</v>
      </c>
      <c r="N46" s="2" t="inlineStr">
        <is>
          <t>C*-5</t>
        </is>
      </c>
      <c r="O46" s="7" t="n">
        <v>0.2</v>
      </c>
      <c r="P46"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46" s="2" t="inlineStr">
        <is>
          <t>definitiva 5%</t>
        </is>
      </c>
      <c r="R46" s="2" t="inlineStr">
        <is>
          <t>Conforme al artículo 10 del PCAP.</t>
        </is>
      </c>
      <c r="S46" s="4" t="n"/>
      <c r="T46" s="2" t="inlineStr">
        <is>
          <t>45214000</t>
        </is>
      </c>
      <c r="U46" s="8" t="inlineStr">
        <is>
          <t>PCAP</t>
        </is>
      </c>
      <c r="V46" s="8" t="inlineStr">
        <is>
          <t>PPT</t>
        </is>
      </c>
      <c r="W46" s="8" t="inlineStr">
        <is>
          <t>Ver</t>
        </is>
      </c>
      <c r="X46" s="9" t="n">
        <v>46310</v>
      </c>
      <c r="Y46" s="2" t="n"/>
    </row>
    <row r="47">
      <c r="A47" s="2" t="n"/>
      <c r="B47" s="3" t="n">
        <v>46335.99930555555</v>
      </c>
      <c r="C47" s="4">
        <f>IF(B47="","",INT(B47)-TODAY())</f>
        <v/>
      </c>
      <c r="D47" s="5" t="n">
        <v>4566296.26</v>
      </c>
      <c r="E47" s="5" t="n">
        <v>4566296.26</v>
      </c>
      <c r="F47" s="2" t="inlineStr">
        <is>
          <t>Andalucía</t>
        </is>
      </c>
      <c r="G47" s="2" t="inlineStr">
        <is>
          <t>Granada</t>
        </is>
      </c>
      <c r="H47" s="2" t="inlineStr">
        <is>
          <t>OGIJARES</t>
        </is>
      </c>
      <c r="I47" s="2" t="inlineStr">
        <is>
          <t>Presidencia de la Diputación Provincial de Granada</t>
        </is>
      </c>
      <c r="J47" s="2" t="inlineStr">
        <is>
          <t>Refundido final urbanización del Plan Especial "La Aurora" en Ogíjares.</t>
        </is>
      </c>
      <c r="K47" s="2" t="inlineStr">
        <is>
          <t>OB-037/26</t>
        </is>
      </c>
      <c r="L47" s="2" t="inlineStr">
        <is>
          <t>Abierto</t>
        </is>
      </c>
      <c r="M47" s="6" t="n">
        <v>18</v>
      </c>
      <c r="N47" s="2" t="inlineStr">
        <is>
          <t>I9-4; G6-5; E7-5</t>
        </is>
      </c>
      <c r="O47" s="7" t="n">
        <v>0</v>
      </c>
      <c r="P47" s="2" t="inlineStr">
        <is>
          <t>El precio más bajo 90 | Ampliación del plazo de garantía 10</t>
        </is>
      </c>
      <c r="Q47" s="2" t="inlineStr">
        <is>
          <t>definitiva 5%</t>
        </is>
      </c>
      <c r="R47" s="2" t="n"/>
      <c r="S47" s="4" t="n"/>
      <c r="T47" s="2" t="inlineStr">
        <is>
          <t>45220000; 45233140; 45232200; 45233252; 45232150; 45232410; 45316110</t>
        </is>
      </c>
      <c r="U47" s="8" t="inlineStr">
        <is>
          <t>PCAP</t>
        </is>
      </c>
      <c r="V47" s="8" t="inlineStr">
        <is>
          <t>PPT</t>
        </is>
      </c>
      <c r="W47" s="8" t="inlineStr">
        <is>
          <t>Ver</t>
        </is>
      </c>
      <c r="X47" s="9" t="n">
        <v>46310</v>
      </c>
      <c r="Y47" s="2" t="n"/>
    </row>
    <row r="48">
      <c r="A48" s="2" t="n"/>
      <c r="B48" s="3" t="n">
        <v>46335.99930555555</v>
      </c>
      <c r="C48" s="4">
        <f>IF(B48="","",INT(B48)-TODAY())</f>
        <v/>
      </c>
      <c r="D48" s="5" t="n">
        <v>1793227</v>
      </c>
      <c r="E48" s="5" t="n">
        <v>1793227</v>
      </c>
      <c r="F48" s="2" t="inlineStr">
        <is>
          <t>Andalucía</t>
        </is>
      </c>
      <c r="G48" s="2" t="inlineStr">
        <is>
          <t>Granada</t>
        </is>
      </c>
      <c r="H48" s="2" t="n"/>
      <c r="I48" s="2" t="inlineStr">
        <is>
          <t>Dirección Gerente de la Empresa Municipal de Abastecimiento y Saneamiento de Granada, S.A.</t>
        </is>
      </c>
      <c r="J48" s="2" t="inlineStr">
        <is>
          <t>Mejora de las infraestructuras y resiliencia hídrica en el ciclo integral del agua en la Avenida Don Bosco, entre la Avenida de Cádiz y la Avenida Fernando de los Ríos (Granada).</t>
        </is>
      </c>
      <c r="K48" s="2" t="inlineStr">
        <is>
          <t>Obra 2025-00017_3</t>
        </is>
      </c>
      <c r="L48" s="2" t="inlineStr">
        <is>
          <t>Abierto</t>
        </is>
      </c>
      <c r="M48" s="6" t="n">
        <v>144</v>
      </c>
      <c r="N48" s="2" t="inlineStr">
        <is>
          <t>E*-4</t>
        </is>
      </c>
      <c r="O48" s="7" t="n">
        <v>0.4</v>
      </c>
      <c r="P48" s="2" t="inlineStr">
        <is>
          <t>Oferta económica 60 | Oferta técnica 40 (JV)</t>
        </is>
      </c>
      <c r="Q48" s="2" t="n"/>
      <c r="R48" s="2" t="n"/>
      <c r="S48" s="4" t="n"/>
      <c r="T48" s="2" t="inlineStr">
        <is>
          <t>45232150</t>
        </is>
      </c>
      <c r="U48" s="8" t="inlineStr">
        <is>
          <t>PCAP</t>
        </is>
      </c>
      <c r="V48" s="8" t="inlineStr">
        <is>
          <t>PPT</t>
        </is>
      </c>
      <c r="W48" s="8" t="inlineStr">
        <is>
          <t>Ver</t>
        </is>
      </c>
      <c r="X48" s="9" t="n">
        <v>46310</v>
      </c>
      <c r="Y48" s="2" t="n"/>
    </row>
    <row r="49">
      <c r="A49" s="2" t="n"/>
      <c r="B49" s="3" t="n">
        <v>46350.45833333334</v>
      </c>
      <c r="C49" s="4">
        <f>IF(B49="","",INT(B49)-TODAY())</f>
        <v/>
      </c>
      <c r="D49" s="5" t="n">
        <v>3246355.87</v>
      </c>
      <c r="E49" s="5" t="n">
        <v>3246355.87</v>
      </c>
      <c r="F49" s="2" t="inlineStr">
        <is>
          <t>Andalucía</t>
        </is>
      </c>
      <c r="G49" s="2" t="inlineStr">
        <is>
          <t>Sevilla</t>
        </is>
      </c>
      <c r="H49" s="2" t="n"/>
      <c r="I49" s="2" t="inlineStr">
        <is>
          <t>Comisión Ejecutiva de la Gerencia de Urbanismo de Sevilla</t>
        </is>
      </c>
      <c r="J49" s="2" t="inlineStr">
        <is>
          <t>Obras del Proyecto básico y de ejecución para rehabilitación, consolidación y puesta en valor de la sala de Profundis y las viviendas anexas del Real Monasterio de Santa Clara.</t>
        </is>
      </c>
      <c r="K49" s="2" t="inlineStr">
        <is>
          <t>19/2026</t>
        </is>
      </c>
      <c r="L49" s="2" t="inlineStr">
        <is>
          <t>Abierto</t>
        </is>
      </c>
      <c r="M49" s="6" t="n">
        <v>18</v>
      </c>
      <c r="N49" s="2" t="inlineStr">
        <is>
          <t>K7-4</t>
        </is>
      </c>
      <c r="O49" s="7" t="n">
        <v>0</v>
      </c>
      <c r="P49"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49" s="2" t="inlineStr">
        <is>
          <t>definitiva 5%; complementaria 5%</t>
        </is>
      </c>
      <c r="R49" s="2" t="inlineStr">
        <is>
          <t>FÓRMULA 831. Obras de restauración de edificios.</t>
        </is>
      </c>
      <c r="S49" s="4" t="n"/>
      <c r="T49" s="2" t="inlineStr">
        <is>
          <t>45212300</t>
        </is>
      </c>
      <c r="U49" s="8" t="inlineStr">
        <is>
          <t>PCAP</t>
        </is>
      </c>
      <c r="V49" s="2" t="n"/>
      <c r="W49" s="8" t="inlineStr">
        <is>
          <t>Ver</t>
        </is>
      </c>
      <c r="X49" s="9" t="n">
        <v>46310</v>
      </c>
      <c r="Y49" s="2" t="n"/>
    </row>
    <row r="50">
      <c r="A50" s="2" t="n"/>
      <c r="B50" s="3" t="n">
        <v>48099.58333333334</v>
      </c>
      <c r="C50" s="4">
        <f>IF(B50="","",INT(B50)-TODAY())</f>
        <v/>
      </c>
      <c r="D50" s="5" t="n">
        <v>3000000</v>
      </c>
      <c r="E50" s="5" t="n">
        <v>3000000</v>
      </c>
      <c r="F50" s="2" t="inlineStr">
        <is>
          <t>Andalucía</t>
        </is>
      </c>
      <c r="G50" s="2" t="inlineStr">
        <is>
          <t>Córdoba</t>
        </is>
      </c>
      <c r="H50" s="2" t="inlineStr">
        <is>
          <t>Córdoba</t>
        </is>
      </c>
      <c r="I50" s="2" t="inlineStr">
        <is>
          <t>Consejo de Administración de la Empresa Municipal de Aguas de Córdoba, S.A. (EMACSA)</t>
        </is>
      </c>
      <c r="J50" s="2" t="inlineStr">
        <is>
          <t>Sistema dinámico de adquisición de obras en redes e instalaciones para la Empresa Municipal de Aguas de Córdoba, S.A.</t>
        </is>
      </c>
      <c r="K50" s="2" t="inlineStr">
        <is>
          <t>SDA32/2026</t>
        </is>
      </c>
      <c r="L50" s="2" t="inlineStr">
        <is>
          <t>Restringido</t>
        </is>
      </c>
      <c r="M50" s="6" t="n"/>
      <c r="N50" s="2" t="n"/>
      <c r="O50" s="7" t="n">
        <v>0</v>
      </c>
      <c r="P50" s="2" t="inlineStr">
        <is>
          <t>[lote 1] | Price 100</t>
        </is>
      </c>
      <c r="Q50" s="2" t="n"/>
      <c r="R50" s="2" t="n"/>
      <c r="S50" s="4" t="n">
        <v>2</v>
      </c>
      <c r="T50" s="2" t="inlineStr">
        <is>
          <t>45231110; 45232152; 45252100; 45231300; 45232423; 45232411; 45252120; 45232150; 45232400; 45232410; 45232151</t>
        </is>
      </c>
      <c r="U50" s="8" t="inlineStr">
        <is>
          <t>PCAP</t>
        </is>
      </c>
      <c r="V50" s="8" t="inlineStr">
        <is>
          <t>PPT</t>
        </is>
      </c>
      <c r="W50" s="8" t="inlineStr">
        <is>
          <t>Ver</t>
        </is>
      </c>
      <c r="X50" s="9" t="n">
        <v>46310</v>
      </c>
      <c r="Y50" s="2" t="n"/>
    </row>
  </sheetData>
  <conditionalFormatting sqref="C2:C50">
    <cfRule type="expression" priority="1" dxfId="0" stopIfTrue="1">
      <formula>AND(ISNUMBER(C2),C2&lt;=7)</formula>
    </cfRule>
    <cfRule type="expression" priority="2" dxfId="1" stopIfTrue="1">
      <formula>AND(ISNUMBER(C2),C2&lt;=14)</formula>
    </cfRule>
  </conditionalFormatting>
  <conditionalFormatting sqref="A2:A50">
    <cfRule type="expression" priority="3" dxfId="2">
      <formula>A2="SÍ"</formula>
    </cfRule>
  </conditionalFormatting>
  <conditionalFormatting sqref="Y2:Y50">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V8" r:id="rId20"/>
    <hyperlink xmlns:r="http://schemas.openxmlformats.org/officeDocument/2006/relationships" ref="W8" r:id="rId21"/>
    <hyperlink xmlns:r="http://schemas.openxmlformats.org/officeDocument/2006/relationships" ref="U9" r:id="rId22"/>
    <hyperlink xmlns:r="http://schemas.openxmlformats.org/officeDocument/2006/relationships" ref="V9" r:id="rId23"/>
    <hyperlink xmlns:r="http://schemas.openxmlformats.org/officeDocument/2006/relationships" ref="W9" r:id="rId24"/>
    <hyperlink xmlns:r="http://schemas.openxmlformats.org/officeDocument/2006/relationships" ref="U10" r:id="rId25"/>
    <hyperlink xmlns:r="http://schemas.openxmlformats.org/officeDocument/2006/relationships" ref="V10" r:id="rId26"/>
    <hyperlink xmlns:r="http://schemas.openxmlformats.org/officeDocument/2006/relationships" ref="W10" r:id="rId27"/>
    <hyperlink xmlns:r="http://schemas.openxmlformats.org/officeDocument/2006/relationships" ref="U11" r:id="rId28"/>
    <hyperlink xmlns:r="http://schemas.openxmlformats.org/officeDocument/2006/relationships" ref="V11" r:id="rId29"/>
    <hyperlink xmlns:r="http://schemas.openxmlformats.org/officeDocument/2006/relationships" ref="W11" r:id="rId30"/>
    <hyperlink xmlns:r="http://schemas.openxmlformats.org/officeDocument/2006/relationships" ref="U12" r:id="rId31"/>
    <hyperlink xmlns:r="http://schemas.openxmlformats.org/officeDocument/2006/relationships" ref="V12" r:id="rId32"/>
    <hyperlink xmlns:r="http://schemas.openxmlformats.org/officeDocument/2006/relationships" ref="W12" r:id="rId33"/>
    <hyperlink xmlns:r="http://schemas.openxmlformats.org/officeDocument/2006/relationships" ref="U13" r:id="rId34"/>
    <hyperlink xmlns:r="http://schemas.openxmlformats.org/officeDocument/2006/relationships" ref="V13" r:id="rId35"/>
    <hyperlink xmlns:r="http://schemas.openxmlformats.org/officeDocument/2006/relationships" ref="W13" r:id="rId36"/>
    <hyperlink xmlns:r="http://schemas.openxmlformats.org/officeDocument/2006/relationships" ref="U14" r:id="rId37"/>
    <hyperlink xmlns:r="http://schemas.openxmlformats.org/officeDocument/2006/relationships" ref="V14" r:id="rId38"/>
    <hyperlink xmlns:r="http://schemas.openxmlformats.org/officeDocument/2006/relationships" ref="W14" r:id="rId39"/>
    <hyperlink xmlns:r="http://schemas.openxmlformats.org/officeDocument/2006/relationships" ref="U15" r:id="rId40"/>
    <hyperlink xmlns:r="http://schemas.openxmlformats.org/officeDocument/2006/relationships" ref="V15" r:id="rId41"/>
    <hyperlink xmlns:r="http://schemas.openxmlformats.org/officeDocument/2006/relationships" ref="W15" r:id="rId42"/>
    <hyperlink xmlns:r="http://schemas.openxmlformats.org/officeDocument/2006/relationships" ref="U16" r:id="rId43"/>
    <hyperlink xmlns:r="http://schemas.openxmlformats.org/officeDocument/2006/relationships" ref="V16" r:id="rId44"/>
    <hyperlink xmlns:r="http://schemas.openxmlformats.org/officeDocument/2006/relationships" ref="W16" r:id="rId45"/>
    <hyperlink xmlns:r="http://schemas.openxmlformats.org/officeDocument/2006/relationships" ref="U17" r:id="rId46"/>
    <hyperlink xmlns:r="http://schemas.openxmlformats.org/officeDocument/2006/relationships" ref="V17" r:id="rId47"/>
    <hyperlink xmlns:r="http://schemas.openxmlformats.org/officeDocument/2006/relationships" ref="W17" r:id="rId48"/>
    <hyperlink xmlns:r="http://schemas.openxmlformats.org/officeDocument/2006/relationships" ref="U18" r:id="rId49"/>
    <hyperlink xmlns:r="http://schemas.openxmlformats.org/officeDocument/2006/relationships" ref="V18" r:id="rId50"/>
    <hyperlink xmlns:r="http://schemas.openxmlformats.org/officeDocument/2006/relationships" ref="W18" r:id="rId51"/>
    <hyperlink xmlns:r="http://schemas.openxmlformats.org/officeDocument/2006/relationships" ref="U19" r:id="rId52"/>
    <hyperlink xmlns:r="http://schemas.openxmlformats.org/officeDocument/2006/relationships" ref="V19" r:id="rId53"/>
    <hyperlink xmlns:r="http://schemas.openxmlformats.org/officeDocument/2006/relationships" ref="W19" r:id="rId54"/>
    <hyperlink xmlns:r="http://schemas.openxmlformats.org/officeDocument/2006/relationships" ref="U20" r:id="rId55"/>
    <hyperlink xmlns:r="http://schemas.openxmlformats.org/officeDocument/2006/relationships" ref="W20" r:id="rId56"/>
    <hyperlink xmlns:r="http://schemas.openxmlformats.org/officeDocument/2006/relationships" ref="U21" r:id="rId57"/>
    <hyperlink xmlns:r="http://schemas.openxmlformats.org/officeDocument/2006/relationships" ref="V21" r:id="rId58"/>
    <hyperlink xmlns:r="http://schemas.openxmlformats.org/officeDocument/2006/relationships" ref="W21" r:id="rId59"/>
    <hyperlink xmlns:r="http://schemas.openxmlformats.org/officeDocument/2006/relationships" ref="U22" r:id="rId60"/>
    <hyperlink xmlns:r="http://schemas.openxmlformats.org/officeDocument/2006/relationships" ref="V22" r:id="rId61"/>
    <hyperlink xmlns:r="http://schemas.openxmlformats.org/officeDocument/2006/relationships" ref="W22" r:id="rId62"/>
    <hyperlink xmlns:r="http://schemas.openxmlformats.org/officeDocument/2006/relationships" ref="U23" r:id="rId63"/>
    <hyperlink xmlns:r="http://schemas.openxmlformats.org/officeDocument/2006/relationships" ref="V23" r:id="rId64"/>
    <hyperlink xmlns:r="http://schemas.openxmlformats.org/officeDocument/2006/relationships" ref="W23" r:id="rId65"/>
    <hyperlink xmlns:r="http://schemas.openxmlformats.org/officeDocument/2006/relationships" ref="U24" r:id="rId66"/>
    <hyperlink xmlns:r="http://schemas.openxmlformats.org/officeDocument/2006/relationships" ref="V24" r:id="rId67"/>
    <hyperlink xmlns:r="http://schemas.openxmlformats.org/officeDocument/2006/relationships" ref="W24" r:id="rId68"/>
    <hyperlink xmlns:r="http://schemas.openxmlformats.org/officeDocument/2006/relationships" ref="U25" r:id="rId69"/>
    <hyperlink xmlns:r="http://schemas.openxmlformats.org/officeDocument/2006/relationships" ref="V25" r:id="rId70"/>
    <hyperlink xmlns:r="http://schemas.openxmlformats.org/officeDocument/2006/relationships" ref="W25" r:id="rId71"/>
    <hyperlink xmlns:r="http://schemas.openxmlformats.org/officeDocument/2006/relationships" ref="U26" r:id="rId72"/>
    <hyperlink xmlns:r="http://schemas.openxmlformats.org/officeDocument/2006/relationships" ref="V26" r:id="rId73"/>
    <hyperlink xmlns:r="http://schemas.openxmlformats.org/officeDocument/2006/relationships" ref="W26" r:id="rId74"/>
    <hyperlink xmlns:r="http://schemas.openxmlformats.org/officeDocument/2006/relationships" ref="U27" r:id="rId75"/>
    <hyperlink xmlns:r="http://schemas.openxmlformats.org/officeDocument/2006/relationships" ref="V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V31" r:id="rId88"/>
    <hyperlink xmlns:r="http://schemas.openxmlformats.org/officeDocument/2006/relationships" ref="W31" r:id="rId89"/>
    <hyperlink xmlns:r="http://schemas.openxmlformats.org/officeDocument/2006/relationships" ref="U32" r:id="rId90"/>
    <hyperlink xmlns:r="http://schemas.openxmlformats.org/officeDocument/2006/relationships" ref="V32" r:id="rId91"/>
    <hyperlink xmlns:r="http://schemas.openxmlformats.org/officeDocument/2006/relationships" ref="W32" r:id="rId92"/>
    <hyperlink xmlns:r="http://schemas.openxmlformats.org/officeDocument/2006/relationships" ref="U33" r:id="rId93"/>
    <hyperlink xmlns:r="http://schemas.openxmlformats.org/officeDocument/2006/relationships" ref="V33" r:id="rId94"/>
    <hyperlink xmlns:r="http://schemas.openxmlformats.org/officeDocument/2006/relationships" ref="W33" r:id="rId95"/>
    <hyperlink xmlns:r="http://schemas.openxmlformats.org/officeDocument/2006/relationships" ref="U34" r:id="rId96"/>
    <hyperlink xmlns:r="http://schemas.openxmlformats.org/officeDocument/2006/relationships" ref="V34" r:id="rId97"/>
    <hyperlink xmlns:r="http://schemas.openxmlformats.org/officeDocument/2006/relationships" ref="W34" r:id="rId98"/>
    <hyperlink xmlns:r="http://schemas.openxmlformats.org/officeDocument/2006/relationships" ref="U35" r:id="rId99"/>
    <hyperlink xmlns:r="http://schemas.openxmlformats.org/officeDocument/2006/relationships" ref="V35" r:id="rId100"/>
    <hyperlink xmlns:r="http://schemas.openxmlformats.org/officeDocument/2006/relationships" ref="W35" r:id="rId101"/>
    <hyperlink xmlns:r="http://schemas.openxmlformats.org/officeDocument/2006/relationships" ref="U36" r:id="rId102"/>
    <hyperlink xmlns:r="http://schemas.openxmlformats.org/officeDocument/2006/relationships" ref="V36" r:id="rId103"/>
    <hyperlink xmlns:r="http://schemas.openxmlformats.org/officeDocument/2006/relationships" ref="W36" r:id="rId104"/>
    <hyperlink xmlns:r="http://schemas.openxmlformats.org/officeDocument/2006/relationships" ref="U37" r:id="rId105"/>
    <hyperlink xmlns:r="http://schemas.openxmlformats.org/officeDocument/2006/relationships" ref="V37" r:id="rId106"/>
    <hyperlink xmlns:r="http://schemas.openxmlformats.org/officeDocument/2006/relationships" ref="W37" r:id="rId107"/>
    <hyperlink xmlns:r="http://schemas.openxmlformats.org/officeDocument/2006/relationships" ref="U38" r:id="rId108"/>
    <hyperlink xmlns:r="http://schemas.openxmlformats.org/officeDocument/2006/relationships" ref="V38" r:id="rId109"/>
    <hyperlink xmlns:r="http://schemas.openxmlformats.org/officeDocument/2006/relationships" ref="W38" r:id="rId110"/>
    <hyperlink xmlns:r="http://schemas.openxmlformats.org/officeDocument/2006/relationships" ref="U39" r:id="rId111"/>
    <hyperlink xmlns:r="http://schemas.openxmlformats.org/officeDocument/2006/relationships" ref="V39" r:id="rId112"/>
    <hyperlink xmlns:r="http://schemas.openxmlformats.org/officeDocument/2006/relationships" ref="W39" r:id="rId113"/>
    <hyperlink xmlns:r="http://schemas.openxmlformats.org/officeDocument/2006/relationships" ref="U40" r:id="rId114"/>
    <hyperlink xmlns:r="http://schemas.openxmlformats.org/officeDocument/2006/relationships" ref="V40" r:id="rId115"/>
    <hyperlink xmlns:r="http://schemas.openxmlformats.org/officeDocument/2006/relationships" ref="W40" r:id="rId116"/>
    <hyperlink xmlns:r="http://schemas.openxmlformats.org/officeDocument/2006/relationships" ref="U41" r:id="rId117"/>
    <hyperlink xmlns:r="http://schemas.openxmlformats.org/officeDocument/2006/relationships" ref="V41" r:id="rId118"/>
    <hyperlink xmlns:r="http://schemas.openxmlformats.org/officeDocument/2006/relationships" ref="W41" r:id="rId119"/>
    <hyperlink xmlns:r="http://schemas.openxmlformats.org/officeDocument/2006/relationships" ref="U42" r:id="rId120"/>
    <hyperlink xmlns:r="http://schemas.openxmlformats.org/officeDocument/2006/relationships" ref="V42" r:id="rId121"/>
    <hyperlink xmlns:r="http://schemas.openxmlformats.org/officeDocument/2006/relationships" ref="W42" r:id="rId122"/>
    <hyperlink xmlns:r="http://schemas.openxmlformats.org/officeDocument/2006/relationships" ref="U43" r:id="rId123"/>
    <hyperlink xmlns:r="http://schemas.openxmlformats.org/officeDocument/2006/relationships" ref="V43" r:id="rId124"/>
    <hyperlink xmlns:r="http://schemas.openxmlformats.org/officeDocument/2006/relationships" ref="W43" r:id="rId125"/>
    <hyperlink xmlns:r="http://schemas.openxmlformats.org/officeDocument/2006/relationships" ref="U44" r:id="rId126"/>
    <hyperlink xmlns:r="http://schemas.openxmlformats.org/officeDocument/2006/relationships" ref="V44" r:id="rId127"/>
    <hyperlink xmlns:r="http://schemas.openxmlformats.org/officeDocument/2006/relationships" ref="W44" r:id="rId128"/>
    <hyperlink xmlns:r="http://schemas.openxmlformats.org/officeDocument/2006/relationships" ref="U45" r:id="rId129"/>
    <hyperlink xmlns:r="http://schemas.openxmlformats.org/officeDocument/2006/relationships" ref="V45" r:id="rId130"/>
    <hyperlink xmlns:r="http://schemas.openxmlformats.org/officeDocument/2006/relationships" ref="W45" r:id="rId131"/>
    <hyperlink xmlns:r="http://schemas.openxmlformats.org/officeDocument/2006/relationships" ref="U46" r:id="rId132"/>
    <hyperlink xmlns:r="http://schemas.openxmlformats.org/officeDocument/2006/relationships" ref="V46" r:id="rId133"/>
    <hyperlink xmlns:r="http://schemas.openxmlformats.org/officeDocument/2006/relationships" ref="W46" r:id="rId134"/>
    <hyperlink xmlns:r="http://schemas.openxmlformats.org/officeDocument/2006/relationships" ref="U47" r:id="rId135"/>
    <hyperlink xmlns:r="http://schemas.openxmlformats.org/officeDocument/2006/relationships" ref="V47" r:id="rId136"/>
    <hyperlink xmlns:r="http://schemas.openxmlformats.org/officeDocument/2006/relationships" ref="W47" r:id="rId137"/>
    <hyperlink xmlns:r="http://schemas.openxmlformats.org/officeDocument/2006/relationships" ref="U48" r:id="rId138"/>
    <hyperlink xmlns:r="http://schemas.openxmlformats.org/officeDocument/2006/relationships" ref="V48" r:id="rId139"/>
    <hyperlink xmlns:r="http://schemas.openxmlformats.org/officeDocument/2006/relationships" ref="W48" r:id="rId140"/>
    <hyperlink xmlns:r="http://schemas.openxmlformats.org/officeDocument/2006/relationships" ref="U49" r:id="rId141"/>
    <hyperlink xmlns:r="http://schemas.openxmlformats.org/officeDocument/2006/relationships" ref="W49" r:id="rId142"/>
    <hyperlink xmlns:r="http://schemas.openxmlformats.org/officeDocument/2006/relationships" ref="U50" r:id="rId143"/>
    <hyperlink xmlns:r="http://schemas.openxmlformats.org/officeDocument/2006/relationships" ref="V50" r:id="rId144"/>
    <hyperlink xmlns:r="http://schemas.openxmlformats.org/officeDocument/2006/relationships" ref="W50" r:id="rId145"/>
  </hyperlinks>
  <pageMargins left="0.75" right="0.75" top="1" bottom="1" header="0.5" footer="0.5"/>
  <pageSetup orientation="landscape" paperSize="9" fitToHeight="0" fitToWidth="1"/>
  <tableParts count="1">
    <tablePart xmlns:r="http://schemas.openxmlformats.org/officeDocument/2006/relationships" r:id="rId146"/>
  </tableParts>
</worksheet>
</file>

<file path=xl/worksheets/sheet2.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46310.50722222222</v>
      </c>
    </row>
    <row r="4">
      <c r="A4" s="11" t="inlineStr">
        <is>
          <t>Ámbito (códigos NUTS)</t>
        </is>
      </c>
      <c r="B4" s="13" t="inlineStr">
        <is>
          <t>ES52, ES61</t>
        </is>
      </c>
    </row>
    <row r="5">
      <c r="A5" s="11" t="inlineStr">
        <is>
          <t>Rango de presupuesto base sin IVA</t>
        </is>
      </c>
      <c r="B5" s="13" t="inlineStr">
        <is>
          <t>entre 500.000,00 € y 10.000.000,00 €</t>
        </is>
      </c>
    </row>
    <row r="6">
      <c r="A6" s="11" t="inlineStr">
        <is>
          <t>Fuentes leídas</t>
        </is>
      </c>
      <c r="B6" s="13" t="inlineStr">
        <is>
          <t>0 fichero(s) mensual(es) + 7 página(s) del feed</t>
        </is>
      </c>
    </row>
    <row r="7">
      <c r="A7" s="11" t="inlineStr">
        <is>
          <t>Entradas leídas</t>
        </is>
      </c>
      <c r="B7" s="14" t="n">
        <v>3226</v>
      </c>
    </row>
    <row r="8">
      <c r="A8" s="11" t="inlineStr">
        <is>
          <t>Periodo cubierto en esta lectura</t>
        </is>
      </c>
      <c r="B8" s="13" t="inlineStr">
        <is>
          <t>13/10/2026 – 14/10/2026</t>
        </is>
      </c>
    </row>
    <row r="9">
      <c r="A9" s="11" t="inlineStr">
        <is>
          <t>Licitaciones en la base</t>
        </is>
      </c>
      <c r="B9" s="14" t="n">
        <v>977</v>
      </c>
    </row>
    <row r="10">
      <c r="A10" s="11" t="inlineStr">
        <is>
          <t>En plazo</t>
        </is>
      </c>
      <c r="B10" s="14">
        <f>COUNTA('En plazo'!$J$2:$J$50)</f>
        <v/>
      </c>
    </row>
    <row r="11">
      <c r="A11" s="11" t="inlineStr">
        <is>
          <t>Importe total en plazo</t>
        </is>
      </c>
      <c r="B11" s="15">
        <f>SUM('En plazo'!$D$2:$D$50)</f>
        <v/>
      </c>
    </row>
    <row r="12">
      <c r="A12" s="11" t="inlineStr">
        <is>
          <t>Nuevas desde la ejecución anterior</t>
        </is>
      </c>
      <c r="B12" s="14">
        <f>COUNTIF('En plazo'!$A$2:$A$50,"SÍ")</f>
        <v/>
      </c>
    </row>
    <row r="13">
      <c r="A13" s="11" t="inlineStr">
        <is>
          <t>Con cambios registrados</t>
        </is>
      </c>
      <c r="B13" s="14">
        <f>COUNTIF('En plazo'!$Y$2:$Y$50,"?*")</f>
        <v/>
      </c>
    </row>
    <row r="14">
      <c r="A14" s="11" t="inlineStr">
        <is>
          <t>Vencen en 7 días o menos</t>
        </is>
      </c>
      <c r="B14" s="14">
        <f>COUNTIFS('En plazo'!$C$2:$C$50,"&gt;=0",'En plazo'!$C$2:$C$50,"&lt;=7")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(sin provincia)</t>
        </is>
      </c>
      <c r="C18" s="18">
        <f>COUNTIFS('En plazo'!$F$2:$F$50,"Andalucía",'En plazo'!$G$2:$G$50,"")</f>
        <v/>
      </c>
      <c r="D18" s="5">
        <f>SUMIFS('En plazo'!$D$2:$D$50,'En plazo'!$F$2:$F$50,"Andalucía",'En plazo'!$G$2:$G$50,"")</f>
        <v/>
      </c>
      <c r="E18" s="18">
        <f>COUNTIFS('En plazo'!$F$2:$F$50,"Andalucía",'En plazo'!$G$2:$G$50,"",'En plazo'!$A$2:$A$50,"SÍ")</f>
        <v/>
      </c>
      <c r="F18" s="18">
        <f>COUNTIFS('En plazo'!$F$2:$F$50,"Andalucía",'En plazo'!$G$2:$G$50,"",'En plazo'!$C$2:$C$50,"&gt;=0",'En plazo'!$C$2:$C$50,"&lt;=7")</f>
        <v/>
      </c>
    </row>
    <row r="19">
      <c r="A19" s="2" t="inlineStr">
        <is>
          <t>Andalucía</t>
        </is>
      </c>
      <c r="B19" s="2" t="inlineStr">
        <is>
          <t>Almería</t>
        </is>
      </c>
      <c r="C19" s="18">
        <f>COUNTIFS('En plazo'!$F$2:$F$50,"Andalucía",'En plazo'!$G$2:$G$50,"Almería")</f>
        <v/>
      </c>
      <c r="D19" s="5">
        <f>SUMIFS('En plazo'!$D$2:$D$50,'En plazo'!$F$2:$F$50,"Andalucía",'En plazo'!$G$2:$G$50,"Almería")</f>
        <v/>
      </c>
      <c r="E19" s="18">
        <f>COUNTIFS('En plazo'!$F$2:$F$50,"Andalucía",'En plazo'!$G$2:$G$50,"Almería",'En plazo'!$A$2:$A$50,"SÍ")</f>
        <v/>
      </c>
      <c r="F19" s="18">
        <f>COUNTIFS('En plazo'!$F$2:$F$50,"Andalucía",'En plazo'!$G$2:$G$50,"Almería",'En plazo'!$C$2:$C$50,"&gt;=0",'En plazo'!$C$2:$C$50,"&lt;=7")</f>
        <v/>
      </c>
    </row>
    <row r="20">
      <c r="A20" s="2" t="inlineStr">
        <is>
          <t>Andalucía</t>
        </is>
      </c>
      <c r="B20" s="2" t="inlineStr">
        <is>
          <t>Cádiz</t>
        </is>
      </c>
      <c r="C20" s="18">
        <f>COUNTIFS('En plazo'!$F$2:$F$50,"Andalucía",'En plazo'!$G$2:$G$50,"Cádiz")</f>
        <v/>
      </c>
      <c r="D20" s="5">
        <f>SUMIFS('En plazo'!$D$2:$D$50,'En plazo'!$F$2:$F$50,"Andalucía",'En plazo'!$G$2:$G$50,"Cádiz")</f>
        <v/>
      </c>
      <c r="E20" s="18">
        <f>COUNTIFS('En plazo'!$F$2:$F$50,"Andalucía",'En plazo'!$G$2:$G$50,"Cádiz",'En plazo'!$A$2:$A$50,"SÍ")</f>
        <v/>
      </c>
      <c r="F20" s="18">
        <f>COUNTIFS('En plazo'!$F$2:$F$50,"Andalucía",'En plazo'!$G$2:$G$50,"Cádiz",'En plazo'!$C$2:$C$50,"&gt;=0",'En plazo'!$C$2:$C$50,"&lt;=7")</f>
        <v/>
      </c>
    </row>
    <row r="21">
      <c r="A21" s="2" t="inlineStr">
        <is>
          <t>Andalucía</t>
        </is>
      </c>
      <c r="B21" s="2" t="inlineStr">
        <is>
          <t>Córdoba</t>
        </is>
      </c>
      <c r="C21" s="18">
        <f>COUNTIFS('En plazo'!$F$2:$F$50,"Andalucía",'En plazo'!$G$2:$G$50,"Córdoba")</f>
        <v/>
      </c>
      <c r="D21" s="5">
        <f>SUMIFS('En plazo'!$D$2:$D$50,'En plazo'!$F$2:$F$50,"Andalucía",'En plazo'!$G$2:$G$50,"Córdoba")</f>
        <v/>
      </c>
      <c r="E21" s="18">
        <f>COUNTIFS('En plazo'!$F$2:$F$50,"Andalucía",'En plazo'!$G$2:$G$50,"Córdoba",'En plazo'!$A$2:$A$50,"SÍ")</f>
        <v/>
      </c>
      <c r="F21" s="18">
        <f>COUNTIFS('En plazo'!$F$2:$F$50,"Andalucía",'En plazo'!$G$2:$G$50,"Córdoba",'En plazo'!$C$2:$C$50,"&gt;=0",'En plazo'!$C$2:$C$50,"&lt;=7")</f>
        <v/>
      </c>
    </row>
    <row r="22">
      <c r="A22" s="2" t="inlineStr">
        <is>
          <t>Andalucía</t>
        </is>
      </c>
      <c r="B22" s="2" t="inlineStr">
        <is>
          <t>Granada</t>
        </is>
      </c>
      <c r="C22" s="18">
        <f>COUNTIFS('En plazo'!$F$2:$F$50,"Andalucía",'En plazo'!$G$2:$G$50,"Granada")</f>
        <v/>
      </c>
      <c r="D22" s="5">
        <f>SUMIFS('En plazo'!$D$2:$D$50,'En plazo'!$F$2:$F$50,"Andalucía",'En plazo'!$G$2:$G$50,"Granada")</f>
        <v/>
      </c>
      <c r="E22" s="18">
        <f>COUNTIFS('En plazo'!$F$2:$F$50,"Andalucía",'En plazo'!$G$2:$G$50,"Granada",'En plazo'!$A$2:$A$50,"SÍ")</f>
        <v/>
      </c>
      <c r="F22" s="18">
        <f>COUNTIFS('En plazo'!$F$2:$F$50,"Andalucía",'En plazo'!$G$2:$G$50,"Granada",'En plazo'!$C$2:$C$50,"&gt;=0",'En plazo'!$C$2:$C$50,"&lt;=7")</f>
        <v/>
      </c>
    </row>
    <row r="23">
      <c r="A23" s="2" t="inlineStr">
        <is>
          <t>Andalucía</t>
        </is>
      </c>
      <c r="B23" s="2" t="inlineStr">
        <is>
          <t>Huelva</t>
        </is>
      </c>
      <c r="C23" s="18">
        <f>COUNTIFS('En plazo'!$F$2:$F$50,"Andalucía",'En plazo'!$G$2:$G$50,"Huelva")</f>
        <v/>
      </c>
      <c r="D23" s="5">
        <f>SUMIFS('En plazo'!$D$2:$D$50,'En plazo'!$F$2:$F$50,"Andalucía",'En plazo'!$G$2:$G$50,"Huelva")</f>
        <v/>
      </c>
      <c r="E23" s="18">
        <f>COUNTIFS('En plazo'!$F$2:$F$50,"Andalucía",'En plazo'!$G$2:$G$50,"Huelva",'En plazo'!$A$2:$A$50,"SÍ")</f>
        <v/>
      </c>
      <c r="F23" s="18">
        <f>COUNTIFS('En plazo'!$F$2:$F$50,"Andalucía",'En plazo'!$G$2:$G$50,"Huelva",'En plazo'!$C$2:$C$50,"&gt;=0",'En plazo'!$C$2:$C$50,"&lt;=7")</f>
        <v/>
      </c>
    </row>
    <row r="24">
      <c r="A24" s="2" t="inlineStr">
        <is>
          <t>Andalucía</t>
        </is>
      </c>
      <c r="B24" s="2" t="inlineStr">
        <is>
          <t>Málaga</t>
        </is>
      </c>
      <c r="C24" s="18">
        <f>COUNTIFS('En plazo'!$F$2:$F$50,"Andalucía",'En plazo'!$G$2:$G$50,"Málaga")</f>
        <v/>
      </c>
      <c r="D24" s="5">
        <f>SUMIFS('En plazo'!$D$2:$D$50,'En plazo'!$F$2:$F$50,"Andalucía",'En plazo'!$G$2:$G$50,"Málaga")</f>
        <v/>
      </c>
      <c r="E24" s="18">
        <f>COUNTIFS('En plazo'!$F$2:$F$50,"Andalucía",'En plazo'!$G$2:$G$50,"Málaga",'En plazo'!$A$2:$A$50,"SÍ")</f>
        <v/>
      </c>
      <c r="F24" s="18">
        <f>COUNTIFS('En plazo'!$F$2:$F$50,"Andalucía",'En plazo'!$G$2:$G$50,"Málaga",'En plazo'!$C$2:$C$50,"&gt;=0",'En plazo'!$C$2:$C$50,"&lt;=7")</f>
        <v/>
      </c>
    </row>
    <row r="25">
      <c r="A25" s="2" t="inlineStr">
        <is>
          <t>Andalucía</t>
        </is>
      </c>
      <c r="B25" s="2" t="inlineStr">
        <is>
          <t>Sevilla</t>
        </is>
      </c>
      <c r="C25" s="18">
        <f>COUNTIFS('En plazo'!$F$2:$F$50,"Andalucía",'En plazo'!$G$2:$G$50,"Sevilla")</f>
        <v/>
      </c>
      <c r="D25" s="5">
        <f>SUMIFS('En plazo'!$D$2:$D$50,'En plazo'!$F$2:$F$50,"Andalucía",'En plazo'!$G$2:$G$50,"Sevilla")</f>
        <v/>
      </c>
      <c r="E25" s="18">
        <f>COUNTIFS('En plazo'!$F$2:$F$50,"Andalucía",'En plazo'!$G$2:$G$50,"Sevilla",'En plazo'!$A$2:$A$50,"SÍ")</f>
        <v/>
      </c>
      <c r="F25" s="18">
        <f>COUNTIFS('En plazo'!$F$2:$F$50,"Andalucía",'En plazo'!$G$2:$G$50,"Sevilla",'En plazo'!$C$2:$C$50,"&gt;=0",'En plazo'!$C$2:$C$50,"&lt;=7")</f>
        <v/>
      </c>
    </row>
    <row r="26">
      <c r="A26" s="2" t="inlineStr">
        <is>
          <t>Comunitat Valenciana</t>
        </is>
      </c>
      <c r="B26" s="2" t="inlineStr">
        <is>
          <t>(sin provincia)</t>
        </is>
      </c>
      <c r="C26" s="18">
        <f>COUNTIFS('En plazo'!$F$2:$F$50,"Comunitat Valenciana",'En plazo'!$G$2:$G$50,"")</f>
        <v/>
      </c>
      <c r="D26" s="5">
        <f>SUMIFS('En plazo'!$D$2:$D$50,'En plazo'!$F$2:$F$50,"Comunitat Valenciana",'En plazo'!$G$2:$G$50,"")</f>
        <v/>
      </c>
      <c r="E26" s="18">
        <f>COUNTIFS('En plazo'!$F$2:$F$50,"Comunitat Valenciana",'En plazo'!$G$2:$G$50,"",'En plazo'!$A$2:$A$50,"SÍ")</f>
        <v/>
      </c>
      <c r="F26" s="18">
        <f>COUNTIFS('En plazo'!$F$2:$F$50,"Comunitat Valenciana",'En plazo'!$G$2:$G$50,"",'En plazo'!$C$2:$C$50,"&gt;=0",'En plazo'!$C$2:$C$50,"&lt;=7")</f>
        <v/>
      </c>
    </row>
    <row r="27">
      <c r="A27" s="2" t="inlineStr">
        <is>
          <t>Comunitat Valenciana</t>
        </is>
      </c>
      <c r="B27" s="2" t="inlineStr">
        <is>
          <t>Alicante</t>
        </is>
      </c>
      <c r="C27" s="18">
        <f>COUNTIFS('En plazo'!$F$2:$F$50,"Comunitat Valenciana",'En plazo'!$G$2:$G$50,"Alicante")</f>
        <v/>
      </c>
      <c r="D27" s="5">
        <f>SUMIFS('En plazo'!$D$2:$D$50,'En plazo'!$F$2:$F$50,"Comunitat Valenciana",'En plazo'!$G$2:$G$50,"Alicante")</f>
        <v/>
      </c>
      <c r="E27" s="18">
        <f>COUNTIFS('En plazo'!$F$2:$F$50,"Comunitat Valenciana",'En plazo'!$G$2:$G$50,"Alicante",'En plazo'!$A$2:$A$50,"SÍ")</f>
        <v/>
      </c>
      <c r="F27" s="18">
        <f>COUNTIFS('En plazo'!$F$2:$F$50,"Comunitat Valenciana",'En plazo'!$G$2:$G$50,"Alicante",'En plazo'!$C$2:$C$50,"&gt;=0",'En plazo'!$C$2:$C$50,"&lt;=7")</f>
        <v/>
      </c>
    </row>
    <row r="28">
      <c r="A28" s="2" t="inlineStr">
        <is>
          <t>Comunitat Valenciana</t>
        </is>
      </c>
      <c r="B28" s="2" t="inlineStr">
        <is>
          <t>Valencia</t>
        </is>
      </c>
      <c r="C28" s="18">
        <f>COUNTIFS('En plazo'!$F$2:$F$50,"Comunitat Valenciana",'En plazo'!$G$2:$G$50,"Valencia")</f>
        <v/>
      </c>
      <c r="D28" s="5">
        <f>SUMIFS('En plazo'!$D$2:$D$50,'En plazo'!$F$2:$F$50,"Comunitat Valenciana",'En plazo'!$G$2:$G$50,"Valencia")</f>
        <v/>
      </c>
      <c r="E28" s="18">
        <f>COUNTIFS('En plazo'!$F$2:$F$50,"Comunitat Valenciana",'En plazo'!$G$2:$G$50,"Valencia",'En plazo'!$A$2:$A$50,"SÍ")</f>
        <v/>
      </c>
      <c r="F28" s="18">
        <f>COUNTIFS('En plazo'!$F$2:$F$50,"Comunitat Valenciana",'En plazo'!$G$2:$G$50,"Valencia",'En plazo'!$C$2:$C$50,"&gt;=0",'En plazo'!$C$2:$C$50,"&lt;=7")</f>
        <v/>
      </c>
    </row>
    <row r="29">
      <c r="A29" s="11" t="inlineStr">
        <is>
          <t>Total</t>
        </is>
      </c>
      <c r="C29" s="19">
        <f>SUM(C18:C28)</f>
        <v/>
      </c>
      <c r="D29" s="20">
        <f>SUM(D18:D28)</f>
        <v/>
      </c>
      <c r="E29" s="19">
        <f>SUM(E18:E28)</f>
        <v/>
      </c>
      <c r="F29" s="19">
        <f>SUM(F18:F28)</f>
        <v/>
      </c>
    </row>
    <row r="31">
      <c r="A31" s="21" t="inlineStr">
        <is>
          <t>Fuente: Plataforma de Contratación del Sector Público (feed ATOM licitacionesPerfilesContratanteCompleto3) y ficheros mensuales de datos abiertos del Ministerio de Hacienda.</t>
        </is>
      </c>
    </row>
    <row r="32">
      <c r="A32" s="21" t="inlineStr">
        <is>
          <t>Los días restantes y los vencimientos se recalculan con la fecha del día al abrir el libro.</t>
        </is>
      </c>
    </row>
    <row r="33">
      <c r="A33" s="21" t="inlineStr">
        <is>
          <t>Plazo de ejecución en meses: los plazos en días se dividen entre 30 y los de años se multiplican por 12.</t>
        </is>
      </c>
    </row>
    <row r="34">
      <c r="A34"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8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En plazo</t>
        </is>
      </c>
      <c r="B2" s="3" t="n">
        <v>46336.5</v>
      </c>
      <c r="C2" s="5" t="n">
        <v>366093.61</v>
      </c>
      <c r="D2" s="5" t="n">
        <v>366093.61</v>
      </c>
      <c r="E2" s="2" t="inlineStr">
        <is>
          <t>Comunitat Valenciana</t>
        </is>
      </c>
      <c r="F2" s="2" t="inlineStr">
        <is>
          <t>Valencia</t>
        </is>
      </c>
      <c r="G2" s="2" t="n"/>
      <c r="H2" s="2" t="inlineStr">
        <is>
          <t>Gerencia de Ferrocarrils de la Generalitat Valenciana</t>
        </is>
      </c>
      <c r="I2" s="2" t="inlineStr">
        <is>
          <t>Suministro y sustitución de cabinas de alta tensión en 20 KV en el Centro de Transformación de Benimaclet y en el Centro de entrega de energía de la subestación de Quart de FGV en Metrovalencia.</t>
        </is>
      </c>
      <c r="J2" s="2" t="inlineStr">
        <is>
          <t>26/054</t>
        </is>
      </c>
      <c r="K2" s="2" t="inlineStr">
        <is>
          <t>Abierto</t>
        </is>
      </c>
      <c r="L2" s="6" t="n">
        <v>9.300000000000001</v>
      </c>
      <c r="M2" s="2" t="inlineStr">
        <is>
          <t>D4-1</t>
        </is>
      </c>
      <c r="N2" s="7" t="n">
        <v>0.25</v>
      </c>
      <c r="O2" s="4" t="n">
        <v>2</v>
      </c>
      <c r="P2" s="2" t="inlineStr">
        <is>
          <t>45234170; 45315700; 45234181</t>
        </is>
      </c>
      <c r="Q2" s="8" t="inlineStr">
        <is>
          <t>Ver</t>
        </is>
      </c>
      <c r="R2" s="8" t="inlineStr">
        <is>
          <t>PCAP</t>
        </is>
      </c>
      <c r="S2" s="9" t="n">
        <v>46310</v>
      </c>
      <c r="T2" s="3" t="n">
        <v>46309.79041666666</v>
      </c>
      <c r="U2" s="2" t="n"/>
    </row>
    <row r="3">
      <c r="A3" s="2" t="inlineStr">
        <is>
          <t>Adjudicada</t>
        </is>
      </c>
      <c r="B3" s="3" t="n">
        <v>46233.99930555555</v>
      </c>
      <c r="C3" s="5" t="n">
        <v>112031.18</v>
      </c>
      <c r="D3" s="5" t="n">
        <v>112031.18</v>
      </c>
      <c r="E3" s="2" t="inlineStr">
        <is>
          <t>Andalucía</t>
        </is>
      </c>
      <c r="F3" s="2" t="inlineStr">
        <is>
          <t>Granada</t>
        </is>
      </c>
      <c r="G3" s="2" t="n"/>
      <c r="H3" s="2" t="inlineStr">
        <is>
          <t>Alcaldia del Ayuntamiento de Beas de Granada</t>
        </is>
      </c>
      <c r="I3" s="2" t="inlineStr">
        <is>
          <t>obras de reparación de los daños ocasionados por las borrascas «Leonardo» en caminos rurales e infraestructuras municipales de Beas de Granada, divididas en seis lotes</t>
        </is>
      </c>
      <c r="J3" s="2" t="inlineStr">
        <is>
          <t>259/2026</t>
        </is>
      </c>
      <c r="K3" s="2" t="inlineStr">
        <is>
          <t>Abierto simplificado</t>
        </is>
      </c>
      <c r="L3" s="6" t="n">
        <v>2</v>
      </c>
      <c r="M3" s="2" t="n"/>
      <c r="N3" s="7" t="n">
        <v>0</v>
      </c>
      <c r="O3" s="4" t="n">
        <v>6</v>
      </c>
      <c r="P3" s="2" t="inlineStr">
        <is>
          <t>45231000; 45000000; 45220000</t>
        </is>
      </c>
      <c r="Q3" s="8" t="inlineStr">
        <is>
          <t>Ver</t>
        </is>
      </c>
      <c r="R3" s="8" t="inlineStr">
        <is>
          <t>PCAP</t>
        </is>
      </c>
      <c r="S3" s="9" t="n">
        <v>46310</v>
      </c>
      <c r="T3" s="3" t="n">
        <v>46309.75333333333</v>
      </c>
      <c r="U3" s="2" t="n"/>
    </row>
    <row r="4">
      <c r="A4" s="2" t="inlineStr">
        <is>
          <t>Adjudicada</t>
        </is>
      </c>
      <c r="B4" s="3" t="n">
        <v>45940.99930555555</v>
      </c>
      <c r="C4" s="5" t="n">
        <v>73744.50999999999</v>
      </c>
      <c r="D4" s="5" t="n">
        <v>73744.50999999999</v>
      </c>
      <c r="E4" s="2" t="inlineStr">
        <is>
          <t>Andalucía</t>
        </is>
      </c>
      <c r="F4" s="2" t="inlineStr">
        <is>
          <t>Almería</t>
        </is>
      </c>
      <c r="G4" s="2" t="inlineStr">
        <is>
          <t>Turre</t>
        </is>
      </c>
      <c r="H4" s="2" t="inlineStr">
        <is>
          <t>Presidencia de la Mancomunidad de municipios del Levante Almeriense</t>
        </is>
      </c>
      <c r="I4"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4" s="2" t="inlineStr">
        <is>
          <t>63/2025</t>
        </is>
      </c>
      <c r="K4" s="2" t="inlineStr">
        <is>
          <t>Abierto simplificado</t>
        </is>
      </c>
      <c r="L4" s="6" t="n">
        <v>1.2</v>
      </c>
      <c r="M4" s="2" t="n"/>
      <c r="N4" s="7" t="n">
        <v>0</v>
      </c>
      <c r="O4" s="4" t="n"/>
      <c r="P4" s="2" t="inlineStr">
        <is>
          <t>45240000; 45246000; 45248200</t>
        </is>
      </c>
      <c r="Q4" s="8" t="inlineStr">
        <is>
          <t>Ver</t>
        </is>
      </c>
      <c r="R4" s="8" t="inlineStr">
        <is>
          <t>PCAP</t>
        </is>
      </c>
      <c r="S4" s="9" t="n">
        <v>46310</v>
      </c>
      <c r="T4" s="3" t="n">
        <v>46309.74974537037</v>
      </c>
      <c r="U4" s="2" t="n"/>
    </row>
    <row r="5">
      <c r="A5" s="2" t="inlineStr">
        <is>
          <t>Pendiente de adjudicación</t>
        </is>
      </c>
      <c r="B5" s="3" t="n">
        <v>46230.54166666666</v>
      </c>
      <c r="C5" s="5" t="n">
        <v>1539118.58</v>
      </c>
      <c r="D5" s="5" t="n">
        <v>1539118.58</v>
      </c>
      <c r="E5" s="2" t="inlineStr">
        <is>
          <t>Comunitat Valenciana</t>
        </is>
      </c>
      <c r="F5" s="2" t="inlineStr">
        <is>
          <t>Alicante</t>
        </is>
      </c>
      <c r="G5" s="2" t="n"/>
      <c r="H5" s="2" t="inlineStr">
        <is>
          <t>Consejo de Administración de Aigües i Sanejament d'Elx S.A.</t>
        </is>
      </c>
      <c r="I5" s="2" t="inlineStr">
        <is>
          <t>Obras de la Red de Ejecución del Coletor de Peña Águilas y Llano de San José. Enlaces Fases 1-4 con Colector Primario</t>
        </is>
      </c>
      <c r="J5" s="2" t="inlineStr">
        <is>
          <t>2026/0012/OB</t>
        </is>
      </c>
      <c r="K5" s="2" t="inlineStr">
        <is>
          <t>Abierto</t>
        </is>
      </c>
      <c r="L5" s="6" t="n">
        <v>7</v>
      </c>
      <c r="M5" s="2" t="n"/>
      <c r="N5" s="7" t="n">
        <v>0.45</v>
      </c>
      <c r="O5" s="4" t="n"/>
      <c r="P5" s="2" t="inlineStr">
        <is>
          <t>45231300</t>
        </is>
      </c>
      <c r="Q5" s="8" t="inlineStr">
        <is>
          <t>Ver</t>
        </is>
      </c>
      <c r="R5" s="8" t="inlineStr">
        <is>
          <t>PCAP</t>
        </is>
      </c>
      <c r="S5" s="9" t="n">
        <v>46310</v>
      </c>
      <c r="T5" s="3" t="n">
        <v>46309.74383101852</v>
      </c>
      <c r="U5" s="2" t="n"/>
    </row>
    <row r="6">
      <c r="A6" s="2" t="inlineStr">
        <is>
          <t>Pendiente de adjudicación</t>
        </is>
      </c>
      <c r="B6" s="3" t="n">
        <v>46280.99930555555</v>
      </c>
      <c r="C6" s="5" t="n">
        <v>269845.17</v>
      </c>
      <c r="D6" s="5" t="n">
        <v>269845.17</v>
      </c>
      <c r="E6" s="2" t="inlineStr">
        <is>
          <t>Andalucía</t>
        </is>
      </c>
      <c r="F6" s="2" t="inlineStr">
        <is>
          <t>Jaén</t>
        </is>
      </c>
      <c r="G6" s="2" t="inlineStr">
        <is>
          <t>Santiago-Pontones (Jaén)</t>
        </is>
      </c>
      <c r="H6" s="2" t="inlineStr">
        <is>
          <t>Alcaldía del Ayuntamiento de Santiago-Pontones</t>
        </is>
      </c>
      <c r="I6"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6" s="2" t="inlineStr">
        <is>
          <t>601/2024_CC</t>
        </is>
      </c>
      <c r="K6" s="2" t="inlineStr">
        <is>
          <t>Abierto simplificado</t>
        </is>
      </c>
      <c r="L6" s="6" t="n"/>
      <c r="M6" s="2" t="inlineStr">
        <is>
          <t>C8-1; C6-1; C5-1; C1-1; C9-1; C3-1; C7-1; C2-1; C4-1</t>
        </is>
      </c>
      <c r="N6" s="7" t="n">
        <v>0</v>
      </c>
      <c r="O6" s="4" t="n"/>
      <c r="P6" s="2" t="inlineStr">
        <is>
          <t>45211340; 45211300</t>
        </is>
      </c>
      <c r="Q6" s="8" t="inlineStr">
        <is>
          <t>Ver</t>
        </is>
      </c>
      <c r="R6" s="8" t="inlineStr">
        <is>
          <t>PCAP</t>
        </is>
      </c>
      <c r="S6" s="9" t="n">
        <v>46310</v>
      </c>
      <c r="T6" s="3" t="n">
        <v>46309.7028587963</v>
      </c>
      <c r="U6" s="2" t="n"/>
    </row>
    <row r="7">
      <c r="A7" s="2" t="inlineStr">
        <is>
          <t>Pendiente de adjudicación</t>
        </is>
      </c>
      <c r="B7" s="3" t="n">
        <v>46230.58333333334</v>
      </c>
      <c r="C7" s="5" t="n">
        <v>351818.26</v>
      </c>
      <c r="D7" s="5" t="n">
        <v>351818.26</v>
      </c>
      <c r="E7" s="2" t="inlineStr">
        <is>
          <t>Andalucía</t>
        </is>
      </c>
      <c r="F7" s="2" t="inlineStr">
        <is>
          <t>Málaga</t>
        </is>
      </c>
      <c r="G7" s="2" t="n"/>
      <c r="H7" s="2" t="inlineStr">
        <is>
          <t>Dirección General de Tráfico</t>
        </is>
      </c>
      <c r="I7" s="2" t="inlineStr">
        <is>
          <t>Obra de instalación de equipamiento ITS en la A-7 tramo desde enlace A-7/A-357 hasta enlace A-7/AP-7 (Torremolinos).</t>
        </is>
      </c>
      <c r="J7" s="2" t="inlineStr">
        <is>
          <t>3DGT6A000231</t>
        </is>
      </c>
      <c r="K7" s="2" t="inlineStr">
        <is>
          <t>Abierto simplificado</t>
        </is>
      </c>
      <c r="L7" s="6" t="n">
        <v>9</v>
      </c>
      <c r="M7" s="2" t="n"/>
      <c r="N7" s="7" t="n">
        <v>0.25</v>
      </c>
      <c r="O7" s="4" t="n"/>
      <c r="P7" s="2" t="inlineStr">
        <is>
          <t>45222300</t>
        </is>
      </c>
      <c r="Q7" s="8" t="inlineStr">
        <is>
          <t>Ver</t>
        </is>
      </c>
      <c r="R7" s="8" t="inlineStr">
        <is>
          <t>PCAP</t>
        </is>
      </c>
      <c r="S7" s="9" t="n">
        <v>46310</v>
      </c>
      <c r="T7" s="3" t="n">
        <v>46309.67</v>
      </c>
      <c r="U7" s="2" t="n"/>
    </row>
    <row r="8">
      <c r="A8" s="2" t="inlineStr">
        <is>
          <t>En plazo</t>
        </is>
      </c>
      <c r="B8" s="3" t="n">
        <v>46335.99930555555</v>
      </c>
      <c r="C8" s="5" t="n">
        <v>929839.95</v>
      </c>
      <c r="D8" s="5" t="n">
        <v>929839.95</v>
      </c>
      <c r="E8" s="2" t="inlineStr">
        <is>
          <t>Andalucía</t>
        </is>
      </c>
      <c r="F8" s="2" t="inlineStr">
        <is>
          <t>Córdoba</t>
        </is>
      </c>
      <c r="G8" s="2" t="inlineStr">
        <is>
          <t>CABRA</t>
        </is>
      </c>
      <c r="H8" s="2" t="inlineStr">
        <is>
          <t>Alcaldía del Ayuntamiento de Cabra</t>
        </is>
      </c>
      <c r="I8"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8" s="2" t="inlineStr">
        <is>
          <t>2026/21080</t>
        </is>
      </c>
      <c r="K8" s="2" t="inlineStr">
        <is>
          <t>Abierto</t>
        </is>
      </c>
      <c r="L8" s="6" t="n">
        <v>12</v>
      </c>
      <c r="M8" s="2" t="n"/>
      <c r="N8" s="7" t="n">
        <v>0</v>
      </c>
      <c r="O8" s="4" t="n"/>
      <c r="P8" s="2" t="inlineStr">
        <is>
          <t>45211000; 71200000</t>
        </is>
      </c>
      <c r="Q8" s="8" t="inlineStr">
        <is>
          <t>Ver</t>
        </is>
      </c>
      <c r="R8" s="8" t="inlineStr">
        <is>
          <t>PCAP</t>
        </is>
      </c>
      <c r="S8" s="9" t="n">
        <v>46310</v>
      </c>
      <c r="T8" s="3" t="n">
        <v>46309.63292824074</v>
      </c>
      <c r="U8" s="2" t="n"/>
    </row>
    <row r="9">
      <c r="A9" s="2" t="inlineStr">
        <is>
          <t>En plazo</t>
        </is>
      </c>
      <c r="B9" s="3" t="n">
        <v>46330.79166666666</v>
      </c>
      <c r="C9" s="5" t="n">
        <v>92561.98</v>
      </c>
      <c r="D9" s="5" t="n">
        <v>92561.98</v>
      </c>
      <c r="E9" s="2" t="inlineStr">
        <is>
          <t>Andalucía</t>
        </is>
      </c>
      <c r="F9" s="2" t="inlineStr">
        <is>
          <t>Málaga</t>
        </is>
      </c>
      <c r="G9" s="2" t="inlineStr">
        <is>
          <t>Yunquera</t>
        </is>
      </c>
      <c r="H9" s="2" t="inlineStr">
        <is>
          <t>Alcaldía del Ayuntamiento de Yunquera</t>
        </is>
      </c>
      <c r="I9" s="2" t="inlineStr">
        <is>
          <t>Adecuación Calle Calvario</t>
        </is>
      </c>
      <c r="J9" s="2" t="inlineStr">
        <is>
          <t>307/2026</t>
        </is>
      </c>
      <c r="K9" s="2" t="inlineStr">
        <is>
          <t>Abierto simplificado</t>
        </is>
      </c>
      <c r="L9" s="6" t="n">
        <v>6</v>
      </c>
      <c r="M9" s="2" t="n"/>
      <c r="N9" s="7" t="n">
        <v>0.2</v>
      </c>
      <c r="O9" s="4" t="n"/>
      <c r="P9" s="2" t="inlineStr">
        <is>
          <t>45233251</t>
        </is>
      </c>
      <c r="Q9" s="8" t="inlineStr">
        <is>
          <t>Ver</t>
        </is>
      </c>
      <c r="R9" s="8" t="inlineStr">
        <is>
          <t>PCAP</t>
        </is>
      </c>
      <c r="S9" s="9" t="n">
        <v>46310</v>
      </c>
      <c r="T9" s="3" t="n">
        <v>46309.63162037037</v>
      </c>
      <c r="U9" s="2" t="n"/>
    </row>
    <row r="10">
      <c r="A10" s="2" t="inlineStr">
        <is>
          <t>Pendiente de adjudicación</t>
        </is>
      </c>
      <c r="B10" s="3" t="n">
        <v>46267.58333333334</v>
      </c>
      <c r="C10" s="5" t="n">
        <v>74228.84</v>
      </c>
      <c r="D10" s="5" t="n">
        <v>74228.84</v>
      </c>
      <c r="E10" s="2" t="inlineStr">
        <is>
          <t>Andalucía</t>
        </is>
      </c>
      <c r="F10" s="2" t="inlineStr">
        <is>
          <t>Granada</t>
        </is>
      </c>
      <c r="G10" s="2" t="inlineStr">
        <is>
          <t>Albolote (Granada)</t>
        </is>
      </c>
      <c r="H10" s="2" t="inlineStr">
        <is>
          <t>Junta de Gobierno del Ayuntamiento de Albolote</t>
        </is>
      </c>
      <c r="I10" s="2" t="inlineStr">
        <is>
          <t>Obras de mejora del alumbrado publico en diversas calles de las urbanizaciones Loma Verde UE-21III y La Atalaya UE-23 de Albolote, en concreto las actuaciones sen van a llevar a cabo en dos urbanizaciones: Loma Verde y La Atalaya.</t>
        </is>
      </c>
      <c r="J10" s="2" t="inlineStr">
        <is>
          <t>2951/2026</t>
        </is>
      </c>
      <c r="K10" s="2" t="inlineStr">
        <is>
          <t>Abierto simplificado</t>
        </is>
      </c>
      <c r="L10" s="6" t="n">
        <v>2</v>
      </c>
      <c r="M10" s="2" t="inlineStr">
        <is>
          <t>I1-1</t>
        </is>
      </c>
      <c r="N10" s="7" t="n">
        <v>0</v>
      </c>
      <c r="O10" s="4" t="n"/>
      <c r="P10" s="2" t="inlineStr">
        <is>
          <t>45316000; 45316100; 45259000</t>
        </is>
      </c>
      <c r="Q10" s="8" t="inlineStr">
        <is>
          <t>Ver</t>
        </is>
      </c>
      <c r="R10" s="8" t="inlineStr">
        <is>
          <t>PCAP</t>
        </is>
      </c>
      <c r="S10" s="9" t="n">
        <v>46310</v>
      </c>
      <c r="T10" s="3" t="n">
        <v>46309.63023148148</v>
      </c>
      <c r="U10" s="2" t="n"/>
    </row>
    <row r="11">
      <c r="A11" s="2" t="inlineStr">
        <is>
          <t>Pendiente de adjudicación</t>
        </is>
      </c>
      <c r="B11" s="3" t="n">
        <v>46274.58333333334</v>
      </c>
      <c r="C11" s="5" t="n">
        <v>66207.45</v>
      </c>
      <c r="D11" s="5" t="n">
        <v>66207.45</v>
      </c>
      <c r="E11" s="2" t="inlineStr">
        <is>
          <t>Andalucía</t>
        </is>
      </c>
      <c r="F11" s="2" t="inlineStr">
        <is>
          <t>Granada</t>
        </is>
      </c>
      <c r="G11" s="2" t="inlineStr">
        <is>
          <t>Albolote (Granada)</t>
        </is>
      </c>
      <c r="H11" s="2" t="inlineStr">
        <is>
          <t>Junta de Gobierno del Ayuntamiento de Albolote</t>
        </is>
      </c>
      <c r="I11" s="2" t="inlineStr">
        <is>
          <t>Obras de reparación e impermeabilización de sótano de edificio de servicios múltiples de Albolote.</t>
        </is>
      </c>
      <c r="J11" s="2" t="inlineStr">
        <is>
          <t>2790/2026</t>
        </is>
      </c>
      <c r="K11" s="2" t="inlineStr">
        <is>
          <t>Abierto simplificado</t>
        </is>
      </c>
      <c r="L11" s="6" t="n">
        <v>2</v>
      </c>
      <c r="M11" s="2" t="inlineStr">
        <is>
          <t>C6-1</t>
        </is>
      </c>
      <c r="N11" s="7" t="n">
        <v>0</v>
      </c>
      <c r="O11" s="4" t="n"/>
      <c r="P11" s="2" t="inlineStr">
        <is>
          <t>45000000; 45321000; 45330000; 45262650; 45300000; 45320000; 45323000; 45430000; 45111100; 45262670; 45310000</t>
        </is>
      </c>
      <c r="Q11" s="8" t="inlineStr">
        <is>
          <t>Ver</t>
        </is>
      </c>
      <c r="R11" s="8" t="inlineStr">
        <is>
          <t>PCAP</t>
        </is>
      </c>
      <c r="S11" s="9" t="n">
        <v>46310</v>
      </c>
      <c r="T11" s="3" t="n">
        <v>46309.62342592593</v>
      </c>
      <c r="U11" s="2" t="n"/>
    </row>
    <row r="12">
      <c r="A12" s="2" t="inlineStr">
        <is>
          <t>Pendiente de adjudicación</t>
        </is>
      </c>
      <c r="B12" s="3" t="n">
        <v>46274.58333333334</v>
      </c>
      <c r="C12" s="5" t="n">
        <v>44855.65</v>
      </c>
      <c r="D12" s="5" t="n">
        <v>44855.65</v>
      </c>
      <c r="E12" s="2" t="inlineStr">
        <is>
          <t>Andalucía</t>
        </is>
      </c>
      <c r="F12" s="2" t="inlineStr">
        <is>
          <t>Granada</t>
        </is>
      </c>
      <c r="G12" s="2" t="inlineStr">
        <is>
          <t>Albolote (Granada)</t>
        </is>
      </c>
      <c r="H12" s="2" t="inlineStr">
        <is>
          <t>Junta de Gobierno del Ayuntamiento de Albolote</t>
        </is>
      </c>
      <c r="I12" s="2" t="inlineStr">
        <is>
          <t>Obras de reparación de daños producidos en el local municipal de ensayo de la banda de música de Albolote.</t>
        </is>
      </c>
      <c r="J12" s="2" t="inlineStr">
        <is>
          <t>2551/2026</t>
        </is>
      </c>
      <c r="K12" s="2" t="inlineStr">
        <is>
          <t>Abierto simplificado</t>
        </is>
      </c>
      <c r="L12" s="6" t="n">
        <v>1</v>
      </c>
      <c r="M12" s="2" t="inlineStr">
        <is>
          <t>C6-1</t>
        </is>
      </c>
      <c r="N12" s="7" t="n">
        <v>0</v>
      </c>
      <c r="O12" s="4" t="n"/>
      <c r="P12" s="2" t="inlineStr">
        <is>
          <t>45000000; 45300000; 45323000; 45310000; 45321000; 45430000; 45111100; 45262670; 45330000; 45262650; 45320000</t>
        </is>
      </c>
      <c r="Q12" s="8" t="inlineStr">
        <is>
          <t>Ver</t>
        </is>
      </c>
      <c r="R12" s="8" t="inlineStr">
        <is>
          <t>PCAP</t>
        </is>
      </c>
      <c r="S12" s="9" t="n">
        <v>46310</v>
      </c>
      <c r="T12" s="3" t="n">
        <v>46309.62094907407</v>
      </c>
      <c r="U12" s="2" t="n"/>
    </row>
    <row r="13">
      <c r="A13" s="2" t="inlineStr">
        <is>
          <t>Resuelta</t>
        </is>
      </c>
      <c r="B13" s="3" t="n">
        <v>46219.99930555555</v>
      </c>
      <c r="C13" s="5" t="n">
        <v>361903.75</v>
      </c>
      <c r="D13" s="5" t="n">
        <v>361903.75</v>
      </c>
      <c r="E13" s="2" t="inlineStr">
        <is>
          <t>Comunitat Valenciana</t>
        </is>
      </c>
      <c r="F13" s="2" t="inlineStr">
        <is>
          <t>Valencia</t>
        </is>
      </c>
      <c r="G13" s="2" t="n"/>
      <c r="H13" s="2" t="inlineStr">
        <is>
          <t>Concejalía Delegada de Contratación del Ajuntament de Tavernes de la Valldigna</t>
        </is>
      </c>
      <c r="I13" s="2" t="inlineStr">
        <is>
          <t>Finalización acondicionamiento ambiental vía ciclopeatonal río Vaca</t>
        </is>
      </c>
      <c r="J13" s="2" t="inlineStr">
        <is>
          <t>2862369N</t>
        </is>
      </c>
      <c r="K13" s="2" t="inlineStr">
        <is>
          <t>Negociado sin publicidad</t>
        </is>
      </c>
      <c r="L13" s="6" t="n">
        <v>6</v>
      </c>
      <c r="M13" s="2" t="n"/>
      <c r="N13" s="7" t="n">
        <v>0</v>
      </c>
      <c r="O13" s="4" t="n"/>
      <c r="P13" s="2" t="inlineStr">
        <is>
          <t>45000000</t>
        </is>
      </c>
      <c r="Q13" s="8" t="inlineStr">
        <is>
          <t>Ver</t>
        </is>
      </c>
      <c r="R13" s="8" t="inlineStr">
        <is>
          <t>PCAP</t>
        </is>
      </c>
      <c r="S13" s="9" t="n">
        <v>46310</v>
      </c>
      <c r="T13" s="3" t="n">
        <v>46309.61981481482</v>
      </c>
      <c r="U13" s="2" t="n"/>
    </row>
    <row r="14">
      <c r="A14" s="2" t="inlineStr">
        <is>
          <t>Resuelta</t>
        </is>
      </c>
      <c r="B14" s="3" t="n">
        <v>46290.99930555555</v>
      </c>
      <c r="C14" s="5" t="n">
        <v>47506.74</v>
      </c>
      <c r="D14" s="5" t="n">
        <v>57483.16</v>
      </c>
      <c r="E14" s="2" t="inlineStr">
        <is>
          <t>Andalucía</t>
        </is>
      </c>
      <c r="F14" s="2" t="inlineStr">
        <is>
          <t>Almería</t>
        </is>
      </c>
      <c r="G14" s="2" t="inlineStr">
        <is>
          <t>Pechina</t>
        </is>
      </c>
      <c r="H14" s="2" t="inlineStr">
        <is>
          <t>Alcaldía del Ayuntamiento de Pechina</t>
        </is>
      </c>
      <c r="I14" s="2" t="inlineStr">
        <is>
          <t>La ejecución de obras del "Proyecto de obra de adecuación de parcela a aparcamiento público", junto a Calle Turco nº 6 (zona de la Jarica) en Pechina (Almería)</t>
        </is>
      </c>
      <c r="J14" s="2" t="inlineStr">
        <is>
          <t>1382/2026</t>
        </is>
      </c>
      <c r="K14" s="2" t="inlineStr">
        <is>
          <t>Abierto simplificado</t>
        </is>
      </c>
      <c r="L14" s="6" t="n">
        <v>3</v>
      </c>
      <c r="M14" s="2" t="n"/>
      <c r="N14" s="7" t="n">
        <v>0</v>
      </c>
      <c r="O14" s="4" t="n"/>
      <c r="P14" s="2" t="inlineStr">
        <is>
          <t>45223320</t>
        </is>
      </c>
      <c r="Q14" s="8" t="inlineStr">
        <is>
          <t>Ver</t>
        </is>
      </c>
      <c r="R14" s="8" t="inlineStr">
        <is>
          <t>PCAP</t>
        </is>
      </c>
      <c r="S14" s="9" t="n">
        <v>46310</v>
      </c>
      <c r="T14" s="3" t="n">
        <v>46309.61863425926</v>
      </c>
      <c r="U14" s="2" t="n"/>
    </row>
    <row r="15">
      <c r="A15" s="2" t="inlineStr">
        <is>
          <t>Resuelta</t>
        </is>
      </c>
      <c r="B15" s="3" t="n">
        <v>46272.99930555555</v>
      </c>
      <c r="C15" s="5" t="n">
        <v>153266.31</v>
      </c>
      <c r="D15" s="5" t="n">
        <v>153266.31</v>
      </c>
      <c r="E15" s="2" t="inlineStr">
        <is>
          <t>Andalucía</t>
        </is>
      </c>
      <c r="F15" s="2" t="inlineStr">
        <is>
          <t>Huelva</t>
        </is>
      </c>
      <c r="G15" s="2" t="inlineStr">
        <is>
          <t>Punta Umbría</t>
        </is>
      </c>
      <c r="H15" s="2" t="inlineStr">
        <is>
          <t>Alcaldía del Ayuntamiento de Punta umbría</t>
        </is>
      </c>
      <c r="I15" s="2" t="inlineStr">
        <is>
          <t>Obras correspondientes al Proyecto de reposición de firmes de la Avda. Boulevar del Agua de Punta Umbría, incluido dentro del Programa de la Excma Provincial de Huelva: Tu Diputación actúa.</t>
        </is>
      </c>
      <c r="J15" s="2" t="inlineStr">
        <is>
          <t>4595/2026</t>
        </is>
      </c>
      <c r="K15" s="2" t="inlineStr">
        <is>
          <t>Abierto simplificado</t>
        </is>
      </c>
      <c r="L15" s="6" t="n">
        <v>2</v>
      </c>
      <c r="M15" s="2" t="n"/>
      <c r="N15" s="7" t="n">
        <v>0</v>
      </c>
      <c r="O15" s="4" t="n"/>
      <c r="P15" s="2" t="inlineStr">
        <is>
          <t>45233222; 45233223; 45233252</t>
        </is>
      </c>
      <c r="Q15" s="8" t="inlineStr">
        <is>
          <t>Ver</t>
        </is>
      </c>
      <c r="R15" s="8" t="inlineStr">
        <is>
          <t>PCAP</t>
        </is>
      </c>
      <c r="S15" s="9" t="n">
        <v>46310</v>
      </c>
      <c r="T15" s="3" t="n">
        <v>46309.61835648148</v>
      </c>
      <c r="U15" s="2" t="n"/>
    </row>
    <row r="16">
      <c r="A16" s="2" t="inlineStr">
        <is>
          <t>Pendiente de adjudicación</t>
        </is>
      </c>
      <c r="B16" s="3" t="n">
        <v>46308.99930555555</v>
      </c>
      <c r="C16" s="5" t="n">
        <v>49586.77</v>
      </c>
      <c r="D16" s="5" t="n">
        <v>49586.77</v>
      </c>
      <c r="E16" s="2" t="inlineStr">
        <is>
          <t>Andalucía</t>
        </is>
      </c>
      <c r="F16" s="2" t="inlineStr">
        <is>
          <t>Málaga</t>
        </is>
      </c>
      <c r="G16" s="2" t="n"/>
      <c r="H16" s="2" t="inlineStr">
        <is>
          <t>Alcaldía del Ayuntamiento de Cortes de la Frontera</t>
        </is>
      </c>
      <c r="I16" s="2" t="inlineStr">
        <is>
          <t>Ejecución de las obras correspondientes al proyecto de pavimentación y arreglo de vías publicas en Cortes de la Frontera,</t>
        </is>
      </c>
      <c r="J16" s="2" t="inlineStr">
        <is>
          <t>2026/580</t>
        </is>
      </c>
      <c r="K16" s="2" t="inlineStr">
        <is>
          <t>Abierto simplificado</t>
        </is>
      </c>
      <c r="L16" s="6" t="n">
        <v>1</v>
      </c>
      <c r="M16" s="2" t="n"/>
      <c r="N16" s="7" t="n">
        <v>0</v>
      </c>
      <c r="O16" s="4" t="n"/>
      <c r="P16" s="2" t="inlineStr">
        <is>
          <t>45233300; 45233252</t>
        </is>
      </c>
      <c r="Q16" s="8" t="inlineStr">
        <is>
          <t>Ver</t>
        </is>
      </c>
      <c r="R16" s="8" t="inlineStr">
        <is>
          <t>PCAP</t>
        </is>
      </c>
      <c r="S16" s="9" t="n">
        <v>46310</v>
      </c>
      <c r="T16" s="3" t="n">
        <v>46309.61712962963</v>
      </c>
      <c r="U16" s="2" t="n"/>
    </row>
    <row r="17">
      <c r="A17" s="2" t="inlineStr">
        <is>
          <t>Resuelta</t>
        </is>
      </c>
      <c r="B17" s="3" t="n">
        <v>46245.99930555555</v>
      </c>
      <c r="C17" s="5" t="n">
        <v>1307166.02</v>
      </c>
      <c r="D17" s="5" t="n">
        <v>1307166.02</v>
      </c>
      <c r="E17" s="2" t="inlineStr">
        <is>
          <t>Comunitat Valenciana</t>
        </is>
      </c>
      <c r="F17" s="2" t="inlineStr">
        <is>
          <t>Valencia</t>
        </is>
      </c>
      <c r="G17" s="2" t="inlineStr">
        <is>
          <t>Cullera</t>
        </is>
      </c>
      <c r="H17" s="2" t="inlineStr">
        <is>
          <t>Alcaldía del Ayuntamiento de Cullera</t>
        </is>
      </c>
      <c r="I17" s="2" t="inlineStr">
        <is>
          <t>Obras de Reurbanización de las calles:Dalt, San Francisco,Pl/Verdura, La Sèquia, Horts, Gils, Mare de Déu Bona Guia, Nou, San Vicente Ferrer, Ramón y Cajal y Santa Marta</t>
        </is>
      </c>
      <c r="J17" s="2" t="inlineStr">
        <is>
          <t>2743309C</t>
        </is>
      </c>
      <c r="K17" s="2" t="inlineStr">
        <is>
          <t>Abierto simplificado</t>
        </is>
      </c>
      <c r="L17" s="6" t="n">
        <v>8</v>
      </c>
      <c r="M17" s="2" t="inlineStr">
        <is>
          <t>G6-3; E1-3; A*-1</t>
        </is>
      </c>
      <c r="N17" s="7" t="n">
        <v>0.15</v>
      </c>
      <c r="O17" s="4" t="n"/>
      <c r="P17" s="2" t="inlineStr">
        <is>
          <t>45111000; 45432112; 45233223; 44162500; 45233140; 45316000; 45233293</t>
        </is>
      </c>
      <c r="Q17" s="8" t="inlineStr">
        <is>
          <t>Ver</t>
        </is>
      </c>
      <c r="R17" s="8" t="inlineStr">
        <is>
          <t>PCAP</t>
        </is>
      </c>
      <c r="S17" s="9" t="n">
        <v>46310</v>
      </c>
      <c r="T17" s="3" t="n">
        <v>46309.61641203704</v>
      </c>
      <c r="U17" s="2" t="n"/>
    </row>
    <row r="18">
      <c r="A18" s="2" t="inlineStr">
        <is>
          <t>Pendiente de adjudicación</t>
        </is>
      </c>
      <c r="B18" s="3" t="n">
        <v>46295.99930555555</v>
      </c>
      <c r="C18" s="5" t="n">
        <v>165448.79</v>
      </c>
      <c r="D18" s="5" t="n">
        <v>165448.79</v>
      </c>
      <c r="E18" s="2" t="inlineStr">
        <is>
          <t>Andalucía</t>
        </is>
      </c>
      <c r="F18" s="2" t="inlineStr">
        <is>
          <t>Córdoba</t>
        </is>
      </c>
      <c r="G18" s="2" t="inlineStr">
        <is>
          <t>ALDEA DE NACIMIENTO DE ZAMBRA</t>
        </is>
      </c>
      <c r="H18" s="2" t="inlineStr">
        <is>
          <t>Alcaldía del Ayuntamiento de Rute</t>
        </is>
      </c>
      <c r="I18" s="2" t="inlineStr">
        <is>
          <t>Ejecución del Proyecto de Reparación y Adecentamiento de la pista polideportiva de la Aldea de Nacimiento de Zambra de Rute</t>
        </is>
      </c>
      <c r="J18" s="2" t="inlineStr">
        <is>
          <t>3862_26 OBRAS PISTAS NAC ZAMBRA</t>
        </is>
      </c>
      <c r="K18" s="2" t="inlineStr">
        <is>
          <t>Abierto simplificado</t>
        </is>
      </c>
      <c r="L18" s="6" t="n">
        <v>4</v>
      </c>
      <c r="M18" s="2" t="n"/>
      <c r="N18" s="7" t="n">
        <v>0</v>
      </c>
      <c r="O18" s="4" t="n"/>
      <c r="P18" s="2" t="inlineStr">
        <is>
          <t>45212220; 45212290; 45212213</t>
        </is>
      </c>
      <c r="Q18" s="8" t="inlineStr">
        <is>
          <t>Ver</t>
        </is>
      </c>
      <c r="R18" s="8" t="inlineStr">
        <is>
          <t>PCAP</t>
        </is>
      </c>
      <c r="S18" s="9" t="n">
        <v>46310</v>
      </c>
      <c r="T18" s="3" t="n">
        <v>46309.60896990741</v>
      </c>
      <c r="U18" s="2" t="n"/>
    </row>
    <row r="19">
      <c r="A19" s="2" t="inlineStr">
        <is>
          <t>Pendiente de adjudicación</t>
        </is>
      </c>
      <c r="B19" s="3" t="n">
        <v>46308.99930555555</v>
      </c>
      <c r="C19" s="5" t="n">
        <v>544689.05</v>
      </c>
      <c r="D19" s="5" t="n">
        <v>544689.05</v>
      </c>
      <c r="E19" s="2" t="inlineStr">
        <is>
          <t>Andalucía</t>
        </is>
      </c>
      <c r="F19" s="2" t="inlineStr">
        <is>
          <t>Almería</t>
        </is>
      </c>
      <c r="G19" s="2" t="inlineStr">
        <is>
          <t>Según Pliegos</t>
        </is>
      </c>
      <c r="H19" s="2" t="inlineStr">
        <is>
          <t>Pleno del Ayuntamiento de Purchena</t>
        </is>
      </c>
      <c r="I19" s="2" t="inlineStr">
        <is>
          <t>Construcción de Casa de la Cultura-Biblioteca</t>
        </is>
      </c>
      <c r="J19" s="2" t="inlineStr">
        <is>
          <t>2026/407640/006-002/00002</t>
        </is>
      </c>
      <c r="K19" s="2" t="inlineStr">
        <is>
          <t>Abierto simplificado</t>
        </is>
      </c>
      <c r="L19" s="6" t="n">
        <v>12</v>
      </c>
      <c r="M19" s="2" t="inlineStr">
        <is>
          <t>C3-3</t>
        </is>
      </c>
      <c r="N19" s="7" t="n">
        <v>0</v>
      </c>
      <c r="O19" s="4" t="n"/>
      <c r="P19" s="2" t="inlineStr">
        <is>
          <t>45212330</t>
        </is>
      </c>
      <c r="Q19" s="8" t="inlineStr">
        <is>
          <t>Ver</t>
        </is>
      </c>
      <c r="R19" s="8" t="inlineStr">
        <is>
          <t>PCAP</t>
        </is>
      </c>
      <c r="S19" s="9" t="n">
        <v>46310</v>
      </c>
      <c r="T19" s="3" t="n">
        <v>46309.6058912037</v>
      </c>
      <c r="U19" s="2" t="n"/>
    </row>
    <row r="20">
      <c r="A20" s="2" t="inlineStr">
        <is>
          <t>En plazo</t>
        </is>
      </c>
      <c r="B20" s="3" t="n">
        <v>46329.99930555555</v>
      </c>
      <c r="C20" s="5" t="n">
        <v>128978.27</v>
      </c>
      <c r="D20" s="5" t="n">
        <v>128978.27</v>
      </c>
      <c r="E20" s="2" t="inlineStr">
        <is>
          <t>Andalucía</t>
        </is>
      </c>
      <c r="F20" s="2" t="inlineStr">
        <is>
          <t>Granada</t>
        </is>
      </c>
      <c r="G20" s="2" t="n"/>
      <c r="H20" s="2" t="inlineStr">
        <is>
          <t>Junta de Gobierno del Ayuntamiento de Huétor Vega</t>
        </is>
      </c>
      <c r="I20" s="2" t="inlineStr">
        <is>
          <t>Ejecución de las obras correspondientes al Pan de Pavimentación de Huétor Vega</t>
        </is>
      </c>
      <c r="J20" s="2" t="inlineStr">
        <is>
          <t>4894-2026</t>
        </is>
      </c>
      <c r="K20" s="2" t="inlineStr">
        <is>
          <t>Abierto simplificado</t>
        </is>
      </c>
      <c r="L20" s="6" t="n">
        <v>1</v>
      </c>
      <c r="M20" s="2" t="n"/>
      <c r="N20" s="7" t="n">
        <v>0</v>
      </c>
      <c r="O20" s="4" t="n"/>
      <c r="P20" s="2" t="inlineStr">
        <is>
          <t>45233222; 45233223</t>
        </is>
      </c>
      <c r="Q20" s="8" t="inlineStr">
        <is>
          <t>Ver</t>
        </is>
      </c>
      <c r="R20" s="8" t="inlineStr">
        <is>
          <t>PCAP</t>
        </is>
      </c>
      <c r="S20" s="9" t="n">
        <v>46310</v>
      </c>
      <c r="T20" s="3" t="n">
        <v>46309.6054050926</v>
      </c>
      <c r="U20" s="2" t="n"/>
    </row>
    <row r="21">
      <c r="A21" s="2" t="inlineStr">
        <is>
          <t>Pendiente de adjudicación</t>
        </is>
      </c>
      <c r="B21" s="3" t="n">
        <v>46276.99930555555</v>
      </c>
      <c r="C21" s="5" t="n">
        <v>130238.82</v>
      </c>
      <c r="D21" s="5" t="n">
        <v>143262.7</v>
      </c>
      <c r="E21" s="2" t="inlineStr">
        <is>
          <t>Andalucía</t>
        </is>
      </c>
      <c r="F21" s="2" t="inlineStr">
        <is>
          <t>Sevilla</t>
        </is>
      </c>
      <c r="G21" s="2" t="inlineStr">
        <is>
          <t>Sevilla</t>
        </is>
      </c>
      <c r="H21" s="2" t="inlineStr">
        <is>
          <t>Dirección Provincial del Servicio Público de Empleo Estatal en Sevilla</t>
        </is>
      </c>
      <c r="I21" s="2" t="inlineStr">
        <is>
          <t>Obra de sustitución de equipos de climatización en planta primera de Dirección Provincial de Sevilla del Servicio Público de Empleo Estatal</t>
        </is>
      </c>
      <c r="J21" s="2" t="inlineStr">
        <is>
          <t>41/SE-1 /2026</t>
        </is>
      </c>
      <c r="K21" s="2" t="inlineStr">
        <is>
          <t>Abierto simplificado</t>
        </is>
      </c>
      <c r="L21" s="6" t="n">
        <v>2</v>
      </c>
      <c r="M21" s="2" t="n"/>
      <c r="N21" s="7" t="n">
        <v>0</v>
      </c>
      <c r="O21" s="4" t="n"/>
      <c r="P21" s="2" t="inlineStr">
        <is>
          <t>45000000; 45331220</t>
        </is>
      </c>
      <c r="Q21" s="8" t="inlineStr">
        <is>
          <t>Ver</t>
        </is>
      </c>
      <c r="R21" s="8" t="inlineStr">
        <is>
          <t>PCAP</t>
        </is>
      </c>
      <c r="S21" s="9" t="n">
        <v>46310</v>
      </c>
      <c r="T21" s="3" t="n">
        <v>46309.60180555555</v>
      </c>
      <c r="U21" s="2" t="n"/>
    </row>
    <row r="22">
      <c r="A22" s="2" t="inlineStr">
        <is>
          <t>Resuelta</t>
        </is>
      </c>
      <c r="B22" s="3" t="n">
        <v>46167.99930555555</v>
      </c>
      <c r="C22" s="5" t="n">
        <v>451564.32</v>
      </c>
      <c r="D22" s="5" t="n">
        <v>451564.32</v>
      </c>
      <c r="E22" s="2" t="inlineStr">
        <is>
          <t>Comunitat Valenciana</t>
        </is>
      </c>
      <c r="F22" s="2" t="inlineStr">
        <is>
          <t>Valencia</t>
        </is>
      </c>
      <c r="G22" s="2" t="inlineStr">
        <is>
          <t>Valencia</t>
        </is>
      </c>
      <c r="H22" s="2" t="inlineStr">
        <is>
          <t>Rectorado de la Universitat Politècnica de València</t>
        </is>
      </c>
      <c r="I22" s="2" t="inlineStr">
        <is>
          <t>Obra de reparación de la cubierta de nivel 3 en el edificio 8B del campus de Vera de la Universitat Politècnica de València</t>
        </is>
      </c>
      <c r="J22" s="2" t="inlineStr">
        <is>
          <t>MY26/VICC/O/23</t>
        </is>
      </c>
      <c r="K22" s="2" t="inlineStr">
        <is>
          <t>Abierto</t>
        </is>
      </c>
      <c r="L22" s="6" t="n">
        <v>3.5</v>
      </c>
      <c r="M22" s="2" t="n"/>
      <c r="N22" s="7" t="n">
        <v>0.45</v>
      </c>
      <c r="O22" s="4" t="n"/>
      <c r="P22" s="2" t="inlineStr">
        <is>
          <t>45430000</t>
        </is>
      </c>
      <c r="Q22" s="8" t="inlineStr">
        <is>
          <t>Ver</t>
        </is>
      </c>
      <c r="R22" s="2" t="n"/>
      <c r="S22" s="9" t="n">
        <v>46310</v>
      </c>
      <c r="T22" s="3" t="n">
        <v>46309.5996875</v>
      </c>
      <c r="U22" s="2" t="n"/>
    </row>
    <row r="23">
      <c r="A23" s="2" t="inlineStr">
        <is>
          <t>Resuelta</t>
        </is>
      </c>
      <c r="B23" s="3" t="n">
        <v>46252.99930555555</v>
      </c>
      <c r="C23" s="5" t="n">
        <v>66287.97</v>
      </c>
      <c r="D23" s="5" t="n">
        <v>66287.97</v>
      </c>
      <c r="E23" s="2" t="inlineStr">
        <is>
          <t>Andalucía</t>
        </is>
      </c>
      <c r="F23" s="2" t="inlineStr">
        <is>
          <t>Jaén</t>
        </is>
      </c>
      <c r="G23" s="2" t="inlineStr">
        <is>
          <t>Castellar</t>
        </is>
      </c>
      <c r="H23" s="2" t="inlineStr">
        <is>
          <t>Alcaldía del Ayuntamiento de Castellar</t>
        </is>
      </c>
      <c r="I23" s="2" t="inlineStr">
        <is>
          <t>El objeto es regir la ejecución del contrato de obra REFORMA PARQUE INFANTIL.</t>
        </is>
      </c>
      <c r="J23" s="2" t="inlineStr">
        <is>
          <t>466/2025</t>
        </is>
      </c>
      <c r="K23" s="2" t="inlineStr">
        <is>
          <t>Abierto simplificado</t>
        </is>
      </c>
      <c r="L23" s="6" t="n">
        <v>3</v>
      </c>
      <c r="M23" s="2" t="n"/>
      <c r="N23" s="7" t="n">
        <v>0</v>
      </c>
      <c r="O23" s="4" t="n"/>
      <c r="P23" s="2" t="inlineStr">
        <is>
          <t>45432111; 37535200</t>
        </is>
      </c>
      <c r="Q23" s="8" t="inlineStr">
        <is>
          <t>Ver</t>
        </is>
      </c>
      <c r="R23" s="8" t="inlineStr">
        <is>
          <t>PCAP</t>
        </is>
      </c>
      <c r="S23" s="9" t="n">
        <v>46310</v>
      </c>
      <c r="T23" s="3" t="n">
        <v>46309.59966435185</v>
      </c>
      <c r="U23" s="2" t="n"/>
    </row>
    <row r="24">
      <c r="A24" s="2" t="inlineStr">
        <is>
          <t>Pendiente de adjudicación</t>
        </is>
      </c>
      <c r="B24" s="3" t="n">
        <v>46269.99930555555</v>
      </c>
      <c r="C24" s="5" t="n">
        <v>286340.66</v>
      </c>
      <c r="D24" s="5" t="n">
        <v>286340.66</v>
      </c>
      <c r="E24" s="2" t="inlineStr">
        <is>
          <t>Andalucía</t>
        </is>
      </c>
      <c r="F24" s="2" t="inlineStr">
        <is>
          <t>Sevilla</t>
        </is>
      </c>
      <c r="G24" s="2" t="n"/>
      <c r="H24" s="2" t="inlineStr">
        <is>
          <t>Presidencia de la Diputación Provincial de Sevilla</t>
        </is>
      </c>
      <c r="I24" s="2" t="inlineStr">
        <is>
          <t>Obras para mejora del puente sobre el Rio Yeguas en Casariche, Sevilla.</t>
        </is>
      </c>
      <c r="J24" s="2" t="inlineStr">
        <is>
          <t>2026/000583-PAAS</t>
        </is>
      </c>
      <c r="K24" s="2" t="inlineStr">
        <is>
          <t>Abierto simplificado</t>
        </is>
      </c>
      <c r="L24" s="6" t="n">
        <v>5</v>
      </c>
      <c r="M24" s="2" t="n"/>
      <c r="N24" s="7" t="n">
        <v>0.25</v>
      </c>
      <c r="O24" s="4" t="n"/>
      <c r="P24" s="2" t="inlineStr">
        <is>
          <t>45221119; 45262211; 45223200; 45262210</t>
        </is>
      </c>
      <c r="Q24" s="8" t="inlineStr">
        <is>
          <t>Ver</t>
        </is>
      </c>
      <c r="R24" s="8" t="inlineStr">
        <is>
          <t>PCAP</t>
        </is>
      </c>
      <c r="S24" s="9" t="n">
        <v>46310</v>
      </c>
      <c r="T24" s="3" t="n">
        <v>46309.59739583333</v>
      </c>
      <c r="U24" s="2" t="n"/>
    </row>
    <row r="25">
      <c r="A25" s="2" t="inlineStr">
        <is>
          <t>En plazo</t>
        </is>
      </c>
      <c r="B25" s="3" t="n">
        <v>46329.58333333334</v>
      </c>
      <c r="C25" s="5" t="n">
        <v>58905</v>
      </c>
      <c r="D25" s="5" t="n">
        <v>58905</v>
      </c>
      <c r="E25" s="2" t="inlineStr">
        <is>
          <t>Comunitat Valenciana</t>
        </is>
      </c>
      <c r="F25" s="2" t="inlineStr">
        <is>
          <t>Valencia</t>
        </is>
      </c>
      <c r="G25" s="2" t="inlineStr">
        <is>
          <t>REQUENA</t>
        </is>
      </c>
      <c r="H25" s="2" t="inlineStr">
        <is>
          <t>Alcaldía del Ayuntamiento de Requena</t>
        </is>
      </c>
      <c r="I25" s="2" t="inlineStr">
        <is>
          <t>Ampliacion de centro Social en El Derramador - Requena</t>
        </is>
      </c>
      <c r="J25" s="2" t="inlineStr">
        <is>
          <t>3022920A</t>
        </is>
      </c>
      <c r="K25" s="2" t="inlineStr">
        <is>
          <t>Abierto simplificado</t>
        </is>
      </c>
      <c r="L25" s="6" t="n">
        <v>6</v>
      </c>
      <c r="M25" s="2" t="n"/>
      <c r="N25" s="7" t="n">
        <v>0</v>
      </c>
      <c r="O25" s="4" t="n"/>
      <c r="P25" s="2" t="inlineStr">
        <is>
          <t>45000000</t>
        </is>
      </c>
      <c r="Q25" s="8" t="inlineStr">
        <is>
          <t>Ver</t>
        </is>
      </c>
      <c r="R25" s="8" t="inlineStr">
        <is>
          <t>PCAP</t>
        </is>
      </c>
      <c r="S25" s="9" t="n">
        <v>46310</v>
      </c>
      <c r="T25" s="3" t="n">
        <v>46309.59537037037</v>
      </c>
      <c r="U25" s="2" t="n"/>
    </row>
    <row r="26">
      <c r="A26" s="2" t="inlineStr">
        <is>
          <t>Resuelta</t>
        </is>
      </c>
      <c r="B26" s="3" t="n">
        <v>43487.45833333334</v>
      </c>
      <c r="C26" s="5" t="n">
        <v>7098032.62</v>
      </c>
      <c r="D26" s="5" t="n">
        <v>7098032.62</v>
      </c>
      <c r="E26" s="2" t="inlineStr">
        <is>
          <t>Comunitat Valenciana</t>
        </is>
      </c>
      <c r="F26" s="2" t="n"/>
      <c r="G26" s="2" t="n"/>
      <c r="H26" s="2" t="inlineStr">
        <is>
          <t>ADIF -Consejo de Administración</t>
        </is>
      </c>
      <c r="I26" s="2" t="inlineStr">
        <is>
          <t>Redaccion de proyecto y ejecucion de obra: instalacion de bloqueo por liberacion automatica en via unica de la linea xativa - alcoi. plan nucleo de cercanias valencia/castello (2017 - 2025).</t>
        </is>
      </c>
      <c r="J26" s="2" t="inlineStr">
        <is>
          <t>3.18/27507.0255</t>
        </is>
      </c>
      <c r="K26" s="2" t="inlineStr">
        <is>
          <t>Abierto</t>
        </is>
      </c>
      <c r="L26" s="6" t="n">
        <v>10</v>
      </c>
      <c r="M26" s="2" t="n"/>
      <c r="N26" s="7" t="n">
        <v>0.4</v>
      </c>
      <c r="O26" s="4" t="n"/>
      <c r="P26" s="2" t="inlineStr">
        <is>
          <t>45234115; 71300000</t>
        </is>
      </c>
      <c r="Q26" s="8" t="inlineStr">
        <is>
          <t>Ver</t>
        </is>
      </c>
      <c r="R26" s="8" t="inlineStr">
        <is>
          <t>PCAP</t>
        </is>
      </c>
      <c r="S26" s="9" t="n">
        <v>46310</v>
      </c>
      <c r="T26" s="3" t="n">
        <v>46309.59444444445</v>
      </c>
      <c r="U26" s="2" t="n"/>
    </row>
    <row r="27">
      <c r="A27" s="2" t="inlineStr">
        <is>
          <t>Pendiente de adjudicación</t>
        </is>
      </c>
      <c r="B27" s="3" t="n">
        <v>46262.99930555555</v>
      </c>
      <c r="C27" s="5" t="n">
        <v>781819.35</v>
      </c>
      <c r="D27" s="5" t="n">
        <v>781819.35</v>
      </c>
      <c r="E27" s="2" t="inlineStr">
        <is>
          <t>Andalucía</t>
        </is>
      </c>
      <c r="F27" s="2" t="inlineStr">
        <is>
          <t>Sevilla</t>
        </is>
      </c>
      <c r="G27" s="2" t="n"/>
      <c r="H27" s="2" t="inlineStr">
        <is>
          <t>Presidencia de la Diputación Provincial de Sevilla</t>
        </is>
      </c>
      <c r="I27" s="2" t="inlineStr">
        <is>
          <t>Obras para la ejecución del proyecto de implantación de prensa de rechazo en la planta de tratamiento de residuos del complejo medioambiental Campiña 2000. (Marchena).</t>
        </is>
      </c>
      <c r="J27" s="2" t="inlineStr">
        <is>
          <t>2026/000435-PAAS</t>
        </is>
      </c>
      <c r="K27" s="2" t="inlineStr">
        <is>
          <t>Abierto simplificado</t>
        </is>
      </c>
      <c r="L27" s="6" t="n">
        <v>4</v>
      </c>
      <c r="M27" s="2" t="inlineStr">
        <is>
          <t>J5-3</t>
        </is>
      </c>
      <c r="N27" s="7" t="n">
        <v>0.25</v>
      </c>
      <c r="O27" s="4" t="n"/>
      <c r="P27" s="2" t="inlineStr">
        <is>
          <t>45222100</t>
        </is>
      </c>
      <c r="Q27" s="8" t="inlineStr">
        <is>
          <t>Ver</t>
        </is>
      </c>
      <c r="R27" s="8" t="inlineStr">
        <is>
          <t>PCAP</t>
        </is>
      </c>
      <c r="S27" s="9" t="n">
        <v>46310</v>
      </c>
      <c r="T27" s="3" t="n">
        <v>46309.59226851852</v>
      </c>
      <c r="U27" s="2" t="n"/>
    </row>
    <row r="28">
      <c r="A28" s="2" t="inlineStr">
        <is>
          <t>Pendiente de adjudicación</t>
        </is>
      </c>
      <c r="B28" s="3" t="n">
        <v>46259.99930555555</v>
      </c>
      <c r="C28" s="5" t="n">
        <v>111113.32</v>
      </c>
      <c r="D28" s="5" t="n">
        <v>111113.32</v>
      </c>
      <c r="E28" s="2" t="inlineStr">
        <is>
          <t>Andalucía</t>
        </is>
      </c>
      <c r="F28" s="2" t="inlineStr">
        <is>
          <t>Córdoba</t>
        </is>
      </c>
      <c r="G28" s="2" t="n"/>
      <c r="H28" s="2" t="inlineStr">
        <is>
          <t>Alcaldía del Ayuntamiento de Rute</t>
        </is>
      </c>
      <c r="I28" s="2" t="inlineStr">
        <is>
          <t>Ejecución del Proyecto de Arreglo de la Pista Deportiva en CEIP Ruperto Fernandez Tenllado (Córdoba)</t>
        </is>
      </c>
      <c r="J28" s="2" t="inlineStr">
        <is>
          <t>2830_26 OBRAS PISTA POLID CEIP RUPERTO FDEZ</t>
        </is>
      </c>
      <c r="K28" s="2" t="inlineStr">
        <is>
          <t>Abierto simplificado</t>
        </is>
      </c>
      <c r="L28" s="6" t="n">
        <v>2.5</v>
      </c>
      <c r="M28" s="2" t="n"/>
      <c r="N28" s="7" t="n">
        <v>0</v>
      </c>
      <c r="O28" s="4" t="n"/>
      <c r="P28" s="2" t="inlineStr">
        <is>
          <t>45212220; 45200000</t>
        </is>
      </c>
      <c r="Q28" s="8" t="inlineStr">
        <is>
          <t>Ver</t>
        </is>
      </c>
      <c r="R28" s="8" t="inlineStr">
        <is>
          <t>PCAP</t>
        </is>
      </c>
      <c r="S28" s="9" t="n">
        <v>46310</v>
      </c>
      <c r="T28" s="3" t="n">
        <v>46309.59225694444</v>
      </c>
      <c r="U28" s="2" t="n"/>
    </row>
    <row r="29">
      <c r="A29" s="2" t="inlineStr">
        <is>
          <t>Pendiente de adjudicación</t>
        </is>
      </c>
      <c r="B29" s="3" t="n">
        <v>46276.54166666666</v>
      </c>
      <c r="C29" s="5" t="n">
        <v>3822619.52</v>
      </c>
      <c r="D29" s="5" t="n">
        <v>3822619.52</v>
      </c>
      <c r="E29" s="2" t="inlineStr">
        <is>
          <t>Comunitat Valenciana</t>
        </is>
      </c>
      <c r="F29" s="2" t="inlineStr">
        <is>
          <t>Alicante</t>
        </is>
      </c>
      <c r="G29" s="2" t="n"/>
      <c r="H29" s="2" t="inlineStr">
        <is>
          <t>ADIF - Presidencia</t>
        </is>
      </c>
      <c r="I29" s="2" t="inlineStr">
        <is>
          <t>Ejecución de las obras del proyecto constructivo para la supresión de los pasos a nivel del pk 25/600 y 25/797 de la línea Red Ferroviaria de Interés General 336 El Reguerón - Alacant - Terminal. Término municipal de Elche (Alicante)</t>
        </is>
      </c>
      <c r="J29" s="2" t="inlineStr">
        <is>
          <t>3.26/27507.0134</t>
        </is>
      </c>
      <c r="K29" s="2" t="inlineStr">
        <is>
          <t>Abierto</t>
        </is>
      </c>
      <c r="L29" s="6" t="n">
        <v>12</v>
      </c>
      <c r="M29" s="2" t="inlineStr">
        <is>
          <t>B2-5</t>
        </is>
      </c>
      <c r="N29" s="7" t="n">
        <v>0.49</v>
      </c>
      <c r="O29" s="4" t="n"/>
      <c r="P29" s="2" t="inlineStr">
        <is>
          <t>45221000</t>
        </is>
      </c>
      <c r="Q29" s="8" t="inlineStr">
        <is>
          <t>Ver</t>
        </is>
      </c>
      <c r="R29" s="8" t="inlineStr">
        <is>
          <t>PCAP</t>
        </is>
      </c>
      <c r="S29" s="9" t="n">
        <v>46310</v>
      </c>
      <c r="T29" s="3" t="n">
        <v>46309.59033564815</v>
      </c>
      <c r="U29" s="2" t="n"/>
    </row>
    <row r="30">
      <c r="A30" s="2" t="inlineStr">
        <is>
          <t>En plazo</t>
        </is>
      </c>
      <c r="B30" s="3" t="n">
        <v>46329.99930555555</v>
      </c>
      <c r="C30" s="5" t="n">
        <v>310701.71</v>
      </c>
      <c r="D30" s="5" t="n">
        <v>310701.71</v>
      </c>
      <c r="E30" s="2" t="inlineStr">
        <is>
          <t>Comunitat Valenciana</t>
        </is>
      </c>
      <c r="F30" s="2" t="inlineStr">
        <is>
          <t>Valencia</t>
        </is>
      </c>
      <c r="G30" s="2" t="inlineStr">
        <is>
          <t>Utiel</t>
        </is>
      </c>
      <c r="H30" s="2" t="inlineStr">
        <is>
          <t>Alcaldía del Ayuntamiento de Utiel</t>
        </is>
      </c>
      <c r="I30" s="2" t="inlineStr">
        <is>
          <t>Reurbanización de la C/ Beato Galvez de Utiel</t>
        </is>
      </c>
      <c r="J30" s="2" t="inlineStr">
        <is>
          <t>431/2026</t>
        </is>
      </c>
      <c r="K30" s="2" t="inlineStr">
        <is>
          <t>Abierto simplificado</t>
        </is>
      </c>
      <c r="L30" s="6" t="n">
        <v>5</v>
      </c>
      <c r="M30" s="2" t="n"/>
      <c r="N30" s="7" t="n">
        <v>0</v>
      </c>
      <c r="O30" s="4" t="n"/>
      <c r="P30" s="2" t="inlineStr">
        <is>
          <t>45233252</t>
        </is>
      </c>
      <c r="Q30" s="8" t="inlineStr">
        <is>
          <t>Ver</t>
        </is>
      </c>
      <c r="R30" s="8" t="inlineStr">
        <is>
          <t>PCAP</t>
        </is>
      </c>
      <c r="S30" s="9" t="n">
        <v>46310</v>
      </c>
      <c r="T30" s="3" t="n">
        <v>46309.58885416666</v>
      </c>
      <c r="U30" s="2" t="n"/>
    </row>
    <row r="31">
      <c r="A31" s="2" t="inlineStr">
        <is>
          <t>Resuelta</t>
        </is>
      </c>
      <c r="B31" s="3" t="n">
        <v>46308.625</v>
      </c>
      <c r="C31" s="5" t="n">
        <v>163682.17</v>
      </c>
      <c r="D31" s="5" t="n">
        <v>163682.17</v>
      </c>
      <c r="E31" s="2" t="inlineStr">
        <is>
          <t>Andalucía</t>
        </is>
      </c>
      <c r="F31" s="2" t="inlineStr">
        <is>
          <t>Córdoba</t>
        </is>
      </c>
      <c r="G31" s="2" t="n"/>
      <c r="H31" s="2" t="inlineStr">
        <is>
          <t>Jefatura de Intendencia de Asuntos Económicos Sur</t>
        </is>
      </c>
      <c r="I31" s="2" t="inlineStr">
        <is>
          <t>OBRA TC 204-21/25 de reparación y sustitución de la red de saneamiento y solería del patio/terraza, RLM Gran Capitán (Córdoba)</t>
        </is>
      </c>
      <c r="J31" s="2" t="inlineStr">
        <is>
          <t>2026/ETSAE0226/00007415E</t>
        </is>
      </c>
      <c r="K31" s="2" t="inlineStr">
        <is>
          <t>Abierto</t>
        </is>
      </c>
      <c r="L31" s="6" t="n">
        <v>3</v>
      </c>
      <c r="M31" s="2" t="n"/>
      <c r="N31" s="7" t="n">
        <v>0</v>
      </c>
      <c r="O31" s="4" t="n"/>
      <c r="P31" s="2" t="inlineStr">
        <is>
          <t>45232410</t>
        </is>
      </c>
      <c r="Q31" s="8" t="inlineStr">
        <is>
          <t>Ver</t>
        </is>
      </c>
      <c r="R31" s="8" t="inlineStr">
        <is>
          <t>PCAP</t>
        </is>
      </c>
      <c r="S31" s="9" t="n">
        <v>46310</v>
      </c>
      <c r="T31" s="3" t="n">
        <v>46309.58866898148</v>
      </c>
      <c r="U31" s="2" t="n"/>
    </row>
    <row r="32">
      <c r="A32" s="2" t="inlineStr">
        <is>
          <t>En plazo</t>
        </is>
      </c>
      <c r="B32" s="3" t="n">
        <v>46338.99930555555</v>
      </c>
      <c r="C32" s="5" t="n">
        <v>145132.82</v>
      </c>
      <c r="D32" s="5" t="n">
        <v>145132.82</v>
      </c>
      <c r="E32" s="2" t="inlineStr">
        <is>
          <t>Andalucía</t>
        </is>
      </c>
      <c r="F32" s="2" t="inlineStr">
        <is>
          <t>Jaén</t>
        </is>
      </c>
      <c r="G32" s="2" t="n"/>
      <c r="H32" s="2" t="inlineStr">
        <is>
          <t>Alcaldía del Ayuntamiento de Jamilena</t>
        </is>
      </c>
      <c r="I32" s="2" t="inlineStr">
        <is>
          <t>Construcción de Rotonda a la entrada del municipio de Jamilena</t>
        </is>
      </c>
      <c r="J32" s="2" t="inlineStr">
        <is>
          <t>1137/2026</t>
        </is>
      </c>
      <c r="K32" s="2" t="inlineStr">
        <is>
          <t>Abierto simplificado</t>
        </is>
      </c>
      <c r="L32" s="6" t="n">
        <v>6</v>
      </c>
      <c r="M32" s="2" t="n"/>
      <c r="N32" s="7" t="n">
        <v>0</v>
      </c>
      <c r="O32" s="4" t="n"/>
      <c r="P32" s="2" t="inlineStr">
        <is>
          <t>45233128</t>
        </is>
      </c>
      <c r="Q32" s="8" t="inlineStr">
        <is>
          <t>Ver</t>
        </is>
      </c>
      <c r="R32" s="8" t="inlineStr">
        <is>
          <t>PCAP</t>
        </is>
      </c>
      <c r="S32" s="9" t="n">
        <v>46310</v>
      </c>
      <c r="T32" s="3" t="n">
        <v>46309.58770833333</v>
      </c>
      <c r="U32" s="2" t="n"/>
    </row>
    <row r="33">
      <c r="A33" s="2" t="inlineStr">
        <is>
          <t>En plazo</t>
        </is>
      </c>
      <c r="B33" s="3" t="n">
        <v>46323.99930555555</v>
      </c>
      <c r="C33" s="5" t="n">
        <v>79995.87</v>
      </c>
      <c r="D33" s="5" t="n">
        <v>79995.87</v>
      </c>
      <c r="E33" s="2" t="inlineStr">
        <is>
          <t>Comunitat Valenciana</t>
        </is>
      </c>
      <c r="F33" s="2" t="inlineStr">
        <is>
          <t>Alicante</t>
        </is>
      </c>
      <c r="G33" s="2" t="n"/>
      <c r="H33" s="2" t="inlineStr">
        <is>
          <t>Junta de Gobierno del Ayuntamiento de Mutxamel</t>
        </is>
      </c>
      <c r="I33" s="2" t="inlineStr">
        <is>
          <t>Obras de nuevas cimentaciones y traslado de farolas de la Avda. Carlos Soler y adyacentes</t>
        </is>
      </c>
      <c r="J33" s="2" t="inlineStr">
        <is>
          <t>47/26 MTX</t>
        </is>
      </c>
      <c r="K33" s="2" t="inlineStr">
        <is>
          <t>Abierto simplificado</t>
        </is>
      </c>
      <c r="L33" s="6" t="n">
        <v>3</v>
      </c>
      <c r="M33" s="2" t="n"/>
      <c r="N33" s="7" t="n">
        <v>0</v>
      </c>
      <c r="O33" s="4" t="n"/>
      <c r="P33" s="2" t="inlineStr">
        <is>
          <t>45316100; 45262210</t>
        </is>
      </c>
      <c r="Q33" s="8" t="inlineStr">
        <is>
          <t>Ver</t>
        </is>
      </c>
      <c r="R33" s="8" t="inlineStr">
        <is>
          <t>PCAP</t>
        </is>
      </c>
      <c r="S33" s="9" t="n">
        <v>46310</v>
      </c>
      <c r="T33" s="3" t="n">
        <v>46309.58753472222</v>
      </c>
      <c r="U33" s="2" t="n"/>
    </row>
    <row r="34">
      <c r="A34" s="2" t="inlineStr">
        <is>
          <t>Resuelta</t>
        </is>
      </c>
      <c r="B34" s="3" t="n">
        <v>46302.375</v>
      </c>
      <c r="C34" s="5" t="n">
        <v>165289.26</v>
      </c>
      <c r="D34" s="5" t="n">
        <v>165289.26</v>
      </c>
      <c r="E34" s="2" t="inlineStr">
        <is>
          <t>Andalucía</t>
        </is>
      </c>
      <c r="F34" s="2" t="inlineStr">
        <is>
          <t>Granada</t>
        </is>
      </c>
      <c r="G34" s="2" t="inlineStr">
        <is>
          <t>Armilla</t>
        </is>
      </c>
      <c r="H34" s="2" t="inlineStr">
        <is>
          <t>Jefatura de la Sección Económico Administrativa 24 de la Base Aérea de Morón</t>
        </is>
      </c>
      <c r="I34" s="2" t="inlineStr">
        <is>
          <t>2216/GRUAPO/INFRA Reparación mediante trabajos de altura en la Base Aérea de Armilla</t>
        </is>
      </c>
      <c r="J34" s="2" t="inlineStr">
        <is>
          <t>2026/EA24/00002306E</t>
        </is>
      </c>
      <c r="K34" s="2" t="inlineStr">
        <is>
          <t>Abierto</t>
        </is>
      </c>
      <c r="L34" s="6" t="n">
        <v>1.5</v>
      </c>
      <c r="M34" s="2" t="n"/>
      <c r="N34" s="7" t="n">
        <v>0</v>
      </c>
      <c r="O34" s="4" t="n"/>
      <c r="P34" s="2" t="inlineStr">
        <is>
          <t>45259000; 45261900</t>
        </is>
      </c>
      <c r="Q34" s="8" t="inlineStr">
        <is>
          <t>Ver</t>
        </is>
      </c>
      <c r="R34" s="8" t="inlineStr">
        <is>
          <t>PCAP</t>
        </is>
      </c>
      <c r="S34" s="9" t="n">
        <v>46310</v>
      </c>
      <c r="T34" s="3" t="n">
        <v>46309.58673611111</v>
      </c>
      <c r="U34" s="2" t="n"/>
    </row>
    <row r="35">
      <c r="A35" s="2" t="inlineStr">
        <is>
          <t>Adjudicada</t>
        </is>
      </c>
      <c r="B35" s="3" t="n">
        <v>46279.99930555555</v>
      </c>
      <c r="C35" s="5" t="n">
        <v>279230.28</v>
      </c>
      <c r="D35" s="5" t="n">
        <v>279230.28</v>
      </c>
      <c r="E35" s="2" t="inlineStr">
        <is>
          <t>Andalucía</t>
        </is>
      </c>
      <c r="F35" s="2" t="inlineStr">
        <is>
          <t>Almería</t>
        </is>
      </c>
      <c r="G35" s="2" t="inlineStr">
        <is>
          <t>VÍCAR</t>
        </is>
      </c>
      <c r="H35" s="2" t="inlineStr">
        <is>
          <t>JUNTA DE GOBIERNO LOCAL AYUNTAMIENTO DE VÍCAR</t>
        </is>
      </c>
      <c r="I35" s="2" t="inlineStr">
        <is>
          <t>Centro Social LLanos de Vícar (Almería), Act.nº15.1 Operación 4 del PAI-Vícar, Ciudad Verde, cofinanciado con un 85% por el Fondo Europeo de Desarrollo Regional (FEDER-PLAN EDIL), en el marco programa plurirregional de España del2021-2027</t>
        </is>
      </c>
      <c r="J35" s="2" t="inlineStr">
        <is>
          <t>8532/2026</t>
        </is>
      </c>
      <c r="K35" s="2" t="inlineStr">
        <is>
          <t>Abierto simplificado</t>
        </is>
      </c>
      <c r="L35" s="6" t="n">
        <v>5</v>
      </c>
      <c r="M35" s="2" t="n"/>
      <c r="N35" s="7" t="n">
        <v>0.25</v>
      </c>
      <c r="O35" s="4" t="n"/>
      <c r="P35" s="2" t="inlineStr">
        <is>
          <t>45215200; 45262700; 45453000</t>
        </is>
      </c>
      <c r="Q35" s="8" t="inlineStr">
        <is>
          <t>Ver</t>
        </is>
      </c>
      <c r="R35" s="8" t="inlineStr">
        <is>
          <t>PCAP</t>
        </is>
      </c>
      <c r="S35" s="9" t="n">
        <v>46310</v>
      </c>
      <c r="T35" s="3" t="n">
        <v>46309.58424768518</v>
      </c>
      <c r="U35" s="2" t="n"/>
    </row>
    <row r="36">
      <c r="A36" s="2" t="inlineStr">
        <is>
          <t>Resuelta</t>
        </is>
      </c>
      <c r="B36" s="3" t="n">
        <v>46296.375</v>
      </c>
      <c r="C36" s="5" t="n">
        <v>95612.73</v>
      </c>
      <c r="D36" s="5" t="n">
        <v>95612.73</v>
      </c>
      <c r="E36" s="2" t="inlineStr">
        <is>
          <t>Andalucía</t>
        </is>
      </c>
      <c r="F36" s="2" t="inlineStr">
        <is>
          <t>Cádiz</t>
        </is>
      </c>
      <c r="G36" s="2" t="n"/>
      <c r="H36" s="2" t="inlineStr">
        <is>
          <t>Intendente de San Fernando</t>
        </is>
      </c>
      <c r="I36" s="2" t="inlineStr">
        <is>
          <t>INFRA26-061 CB Reparación de carpinterías en la Escuela de Suboficiales. Lote 1</t>
        </is>
      </c>
      <c r="J36" s="2" t="inlineStr">
        <is>
          <t>2026/AR43U/00002517E</t>
        </is>
      </c>
      <c r="K36" s="2" t="inlineStr">
        <is>
          <t>Abierto</t>
        </is>
      </c>
      <c r="L36" s="6" t="n">
        <v>2.3</v>
      </c>
      <c r="M36" s="2" t="n"/>
      <c r="N36" s="7" t="n">
        <v>0</v>
      </c>
      <c r="O36" s="4" t="n"/>
      <c r="P36" s="2" t="inlineStr">
        <is>
          <t>45000000</t>
        </is>
      </c>
      <c r="Q36" s="8" t="inlineStr">
        <is>
          <t>Ver</t>
        </is>
      </c>
      <c r="R36" s="8" t="inlineStr">
        <is>
          <t>PCAP</t>
        </is>
      </c>
      <c r="S36" s="9" t="n">
        <v>46310</v>
      </c>
      <c r="T36" s="3" t="n">
        <v>46309.58381944444</v>
      </c>
      <c r="U36" s="2" t="n"/>
    </row>
    <row r="37">
      <c r="A37" s="2" t="inlineStr">
        <is>
          <t>Resuelta</t>
        </is>
      </c>
      <c r="B37" s="3" t="n">
        <v>46295.375</v>
      </c>
      <c r="C37" s="5" t="n">
        <v>339283.53</v>
      </c>
      <c r="D37" s="5" t="n">
        <v>339283.53</v>
      </c>
      <c r="E37" s="2" t="inlineStr">
        <is>
          <t>Andalucía</t>
        </is>
      </c>
      <c r="F37" s="2" t="inlineStr">
        <is>
          <t>Cádiz</t>
        </is>
      </c>
      <c r="G37" s="2" t="n"/>
      <c r="H37" s="2" t="inlineStr">
        <is>
          <t>Intendente de San Fernando</t>
        </is>
      </c>
      <c r="I37" s="2" t="inlineStr">
        <is>
          <t>INFRA 26-050 CB Obras de reparación y conservación cantina edif 2º camp Tear Lote 1</t>
        </is>
      </c>
      <c r="J37" s="2" t="inlineStr">
        <is>
          <t>2026/AR43U/00002549E</t>
        </is>
      </c>
      <c r="K37" s="2" t="inlineStr">
        <is>
          <t>Abierto</t>
        </is>
      </c>
      <c r="L37" s="6" t="n">
        <v>2</v>
      </c>
      <c r="M37" s="2" t="n"/>
      <c r="N37" s="7" t="n">
        <v>0</v>
      </c>
      <c r="O37" s="4" t="n"/>
      <c r="P37" s="2" t="inlineStr">
        <is>
          <t>45400000</t>
        </is>
      </c>
      <c r="Q37" s="8" t="inlineStr">
        <is>
          <t>Ver</t>
        </is>
      </c>
      <c r="R37" s="8" t="inlineStr">
        <is>
          <t>PCAP</t>
        </is>
      </c>
      <c r="S37" s="9" t="n">
        <v>46310</v>
      </c>
      <c r="T37" s="3" t="n">
        <v>46309.58148148148</v>
      </c>
      <c r="U37" s="2" t="n"/>
    </row>
    <row r="38">
      <c r="A38" s="2" t="inlineStr">
        <is>
          <t>En plazo</t>
        </is>
      </c>
      <c r="B38" s="3" t="n">
        <v>46328.99930555555</v>
      </c>
      <c r="C38" s="5" t="n">
        <v>209438.33</v>
      </c>
      <c r="D38" s="5" t="n">
        <v>209438.33</v>
      </c>
      <c r="E38" s="2" t="inlineStr">
        <is>
          <t>Andalucía</t>
        </is>
      </c>
      <c r="F38" s="2" t="inlineStr">
        <is>
          <t>Almería</t>
        </is>
      </c>
      <c r="G38" s="2" t="n"/>
      <c r="H38" s="2" t="inlineStr">
        <is>
          <t>Junta de Gobierno del Ayuntamiento de Serón</t>
        </is>
      </c>
      <c r="I38" s="2" t="inlineStr">
        <is>
          <t>Fase 2 ejecución de la nave 1 del proyecto de cuatro naves industriales de promoción municipal sin uso específico octubre 2026</t>
        </is>
      </c>
      <c r="J38" s="2" t="inlineStr">
        <is>
          <t>2026/408340/006-002/00003</t>
        </is>
      </c>
      <c r="K38" s="2" t="inlineStr">
        <is>
          <t>Abierto simplificado</t>
        </is>
      </c>
      <c r="L38" s="6" t="n">
        <v>12</v>
      </c>
      <c r="M38" s="2" t="n"/>
      <c r="N38" s="7" t="n">
        <v>0.25</v>
      </c>
      <c r="O38" s="4" t="n"/>
      <c r="P38" s="2" t="inlineStr">
        <is>
          <t>45213250; 45213251</t>
        </is>
      </c>
      <c r="Q38" s="8" t="inlineStr">
        <is>
          <t>Ver</t>
        </is>
      </c>
      <c r="R38" s="8" t="inlineStr">
        <is>
          <t>PCAP</t>
        </is>
      </c>
      <c r="S38" s="9" t="n">
        <v>46310</v>
      </c>
      <c r="T38" s="3" t="n">
        <v>46309.57907407408</v>
      </c>
      <c r="U38" s="2" t="n"/>
    </row>
    <row r="39">
      <c r="A39" s="2" t="inlineStr">
        <is>
          <t>Resuelta</t>
        </is>
      </c>
      <c r="B39" s="3" t="n">
        <v>46190.95833333334</v>
      </c>
      <c r="C39" s="5" t="n">
        <v>996058.12</v>
      </c>
      <c r="D39" s="5" t="n">
        <v>1195264.74</v>
      </c>
      <c r="E39" s="2" t="inlineStr">
        <is>
          <t>Comunitat Valenciana</t>
        </is>
      </c>
      <c r="F39" s="2" t="inlineStr">
        <is>
          <t>Valencia</t>
        </is>
      </c>
      <c r="G39" s="2" t="n"/>
      <c r="H39" s="2" t="inlineStr">
        <is>
          <t>Consejo de Administración de la Societat Valenciana FIRA València S.A.</t>
        </is>
      </c>
      <c r="I39" s="2" t="inlineStr">
        <is>
          <t>La renovación del sistema de detección de incendios y detección de CO del Parking de Societat Valenciana Fira València S.A</t>
        </is>
      </c>
      <c r="J39" s="2" t="inlineStr">
        <is>
          <t>CMAYOR/2026/FIRAV/0028</t>
        </is>
      </c>
      <c r="K39" s="2" t="inlineStr">
        <is>
          <t>Abierto</t>
        </is>
      </c>
      <c r="L39" s="6" t="n">
        <v>5</v>
      </c>
      <c r="M39" s="2" t="inlineStr">
        <is>
          <t>K9-4</t>
        </is>
      </c>
      <c r="N39" s="7" t="n">
        <v>0.45</v>
      </c>
      <c r="O39" s="4" t="n"/>
      <c r="P39" s="2" t="inlineStr">
        <is>
          <t>45343000; 71321000; 45310000; 45331210; 31625100</t>
        </is>
      </c>
      <c r="Q39" s="8" t="inlineStr">
        <is>
          <t>Ver</t>
        </is>
      </c>
      <c r="R39" s="8" t="inlineStr">
        <is>
          <t>PCAP</t>
        </is>
      </c>
      <c r="S39" s="9" t="n">
        <v>46310</v>
      </c>
      <c r="T39" s="3" t="n">
        <v>46309.5781712963</v>
      </c>
      <c r="U39" s="2" t="n"/>
    </row>
    <row r="40">
      <c r="A40" s="2" t="inlineStr">
        <is>
          <t>Resuelta</t>
        </is>
      </c>
      <c r="B40" s="3" t="n">
        <v>46296.375</v>
      </c>
      <c r="C40" s="5" t="n">
        <v>39789.66</v>
      </c>
      <c r="D40" s="5" t="n">
        <v>39789.66</v>
      </c>
      <c r="E40" s="2" t="inlineStr">
        <is>
          <t>Andalucía</t>
        </is>
      </c>
      <c r="F40" s="2" t="inlineStr">
        <is>
          <t>Cádiz</t>
        </is>
      </c>
      <c r="G40" s="2" t="n"/>
      <c r="H40" s="2" t="inlineStr">
        <is>
          <t>Intendente de San Fernando</t>
        </is>
      </c>
      <c r="I40" s="2" t="inlineStr">
        <is>
          <t>Reparaciones de carpinterias en los batallones del segundo campamento del TEAR Lote 7</t>
        </is>
      </c>
      <c r="J40" s="2" t="inlineStr">
        <is>
          <t>2026/AR43U/00002521E</t>
        </is>
      </c>
      <c r="K40" s="2" t="inlineStr">
        <is>
          <t>Abierto</t>
        </is>
      </c>
      <c r="L40" s="6" t="n">
        <v>1.9</v>
      </c>
      <c r="M40" s="2" t="n"/>
      <c r="N40" s="7" t="n">
        <v>0</v>
      </c>
      <c r="O40" s="4" t="n"/>
      <c r="P40" s="2" t="inlineStr">
        <is>
          <t>45421100</t>
        </is>
      </c>
      <c r="Q40" s="8" t="inlineStr">
        <is>
          <t>Ver</t>
        </is>
      </c>
      <c r="R40" s="8" t="inlineStr">
        <is>
          <t>PCAP</t>
        </is>
      </c>
      <c r="S40" s="9" t="n">
        <v>46310</v>
      </c>
      <c r="T40" s="3" t="n">
        <v>46309.57776620371</v>
      </c>
      <c r="U40" s="2" t="n"/>
    </row>
    <row r="41">
      <c r="A41" s="2" t="inlineStr">
        <is>
          <t>En plazo</t>
        </is>
      </c>
      <c r="B41" s="3" t="n">
        <v>46323.99930555555</v>
      </c>
      <c r="C41" s="5" t="n">
        <v>3936</v>
      </c>
      <c r="D41" s="5" t="n">
        <v>3936</v>
      </c>
      <c r="E41" s="2" t="inlineStr">
        <is>
          <t>Andalucía</t>
        </is>
      </c>
      <c r="F41" s="2" t="inlineStr">
        <is>
          <t>Córdoba</t>
        </is>
      </c>
      <c r="G41" s="2" t="n"/>
      <c r="H41" s="2" t="inlineStr">
        <is>
          <t>Diputado delegado de Infraestructuras, Sostenibilidad y Agricultura</t>
        </is>
      </c>
      <c r="I41" s="2" t="inlineStr">
        <is>
          <t>Contratación de la obra Remodelación de la instalación eléctrica de edificio para Consultorio Médico en la Aldea de Ojuelos Altos, en Fuente Obejuna (Córdoba). Obra incluida en el Plan de Aldeas 2024-2027.</t>
        </is>
      </c>
      <c r="J41" s="2" t="inlineStr">
        <is>
          <t>714/26</t>
        </is>
      </c>
      <c r="K41" s="2" t="inlineStr">
        <is>
          <t>Abierto simplificado</t>
        </is>
      </c>
      <c r="L41" s="6" t="n">
        <v>1</v>
      </c>
      <c r="M41" s="2" t="n"/>
      <c r="N41" s="7" t="n">
        <v>0</v>
      </c>
      <c r="O41" s="4" t="n"/>
      <c r="P41" s="2" t="inlineStr">
        <is>
          <t>45310000</t>
        </is>
      </c>
      <c r="Q41" s="8" t="inlineStr">
        <is>
          <t>Ver</t>
        </is>
      </c>
      <c r="R41" s="8" t="inlineStr">
        <is>
          <t>PCAP</t>
        </is>
      </c>
      <c r="S41" s="9" t="n">
        <v>46310</v>
      </c>
      <c r="T41" s="3" t="n">
        <v>46309.57608796296</v>
      </c>
      <c r="U41" s="2" t="n"/>
    </row>
    <row r="42">
      <c r="A42" s="2" t="inlineStr">
        <is>
          <t>Pendiente de adjudicación</t>
        </is>
      </c>
      <c r="B42" s="3" t="n">
        <v>46289.99930555555</v>
      </c>
      <c r="C42" s="5" t="n">
        <v>96015.91</v>
      </c>
      <c r="D42" s="5" t="n">
        <v>96015.91</v>
      </c>
      <c r="E42" s="2" t="inlineStr">
        <is>
          <t>Andalucía</t>
        </is>
      </c>
      <c r="F42" s="2" t="inlineStr">
        <is>
          <t>Córdoba</t>
        </is>
      </c>
      <c r="G42" s="2" t="n"/>
      <c r="H42" s="2" t="inlineStr">
        <is>
          <t>Alcaldía del Ayuntamiento de Rute</t>
        </is>
      </c>
      <c r="I42" s="2" t="inlineStr">
        <is>
          <t>Ejecución del Proyecto de Construcción de Depósito Metálico de Almacenamiento de Agua para Uso Agrícola en el Término Municipal de Rute (Córdoba).</t>
        </is>
      </c>
      <c r="J42" s="2" t="inlineStr">
        <is>
          <t>8017_26 OBRAS DEPOSITO AGUA AGRICOLA</t>
        </is>
      </c>
      <c r="K42" s="2" t="inlineStr">
        <is>
          <t>Abierto simplificado</t>
        </is>
      </c>
      <c r="L42" s="6" t="n">
        <v>2.5</v>
      </c>
      <c r="M42" s="2" t="n"/>
      <c r="N42" s="7" t="n">
        <v>0</v>
      </c>
      <c r="O42" s="4" t="n"/>
      <c r="P42" s="2" t="inlineStr">
        <is>
          <t>45000000; 45247270</t>
        </is>
      </c>
      <c r="Q42" s="8" t="inlineStr">
        <is>
          <t>Ver</t>
        </is>
      </c>
      <c r="R42" s="8" t="inlineStr">
        <is>
          <t>PCAP</t>
        </is>
      </c>
      <c r="S42" s="9" t="n">
        <v>46310</v>
      </c>
      <c r="T42" s="3" t="n">
        <v>46309.57556712963</v>
      </c>
      <c r="U42" s="2" t="n"/>
    </row>
    <row r="43">
      <c r="A43" s="2" t="inlineStr">
        <is>
          <t>Resuelta</t>
        </is>
      </c>
      <c r="B43" s="3" t="n">
        <v>46216.99930555555</v>
      </c>
      <c r="C43" s="5" t="n">
        <v>598148.76</v>
      </c>
      <c r="D43" s="5" t="n">
        <v>598148.76</v>
      </c>
      <c r="E43" s="2" t="inlineStr">
        <is>
          <t>Andalucía</t>
        </is>
      </c>
      <c r="F43" s="2" t="inlineStr">
        <is>
          <t>Córdoba</t>
        </is>
      </c>
      <c r="G43" s="2" t="n"/>
      <c r="H43" s="2" t="inlineStr">
        <is>
          <t>Junta de Gobierno de la Diputación Provincial de Córdoba</t>
        </is>
      </c>
      <c r="I43" s="2" t="inlineStr">
        <is>
          <t>Contrato de obra de Terminación del Centro Cultural, 3ª fase, en Espejo (Córdoba) (352/26)</t>
        </is>
      </c>
      <c r="J43" s="2" t="inlineStr">
        <is>
          <t>352/26</t>
        </is>
      </c>
      <c r="K43" s="2" t="inlineStr">
        <is>
          <t>Abierto</t>
        </is>
      </c>
      <c r="L43" s="6" t="n">
        <v>10</v>
      </c>
      <c r="M43" s="2" t="inlineStr">
        <is>
          <t>C6-2; C4-1; C7-1; C9-1</t>
        </is>
      </c>
      <c r="N43" s="7" t="n">
        <v>0.25</v>
      </c>
      <c r="O43" s="4" t="n"/>
      <c r="P43" s="2" t="inlineStr">
        <is>
          <t>45212322; 45210000</t>
        </is>
      </c>
      <c r="Q43" s="8" t="inlineStr">
        <is>
          <t>Ver</t>
        </is>
      </c>
      <c r="R43" s="8" t="inlineStr">
        <is>
          <t>PCAP</t>
        </is>
      </c>
      <c r="S43" s="9" t="n">
        <v>46310</v>
      </c>
      <c r="T43" s="3" t="n">
        <v>46309.57240740741</v>
      </c>
      <c r="U43" s="2" t="n"/>
    </row>
    <row r="44">
      <c r="A44" s="2" t="inlineStr">
        <is>
          <t>Pendiente de adjudicación</t>
        </is>
      </c>
      <c r="B44" s="3" t="n">
        <v>46287.58333333334</v>
      </c>
      <c r="C44" s="5" t="n">
        <v>523679.39</v>
      </c>
      <c r="D44" s="5" t="n">
        <v>523679.39</v>
      </c>
      <c r="E44" s="2" t="inlineStr">
        <is>
          <t>Comunitat Valenciana</t>
        </is>
      </c>
      <c r="F44" s="2" t="inlineStr">
        <is>
          <t>Valencia</t>
        </is>
      </c>
      <c r="G44" s="2" t="n"/>
      <c r="H44" s="2" t="inlineStr">
        <is>
          <t>Pleno del Ayuntamiento de Macastre</t>
        </is>
      </c>
      <c r="I44" s="2" t="inlineStr">
        <is>
          <t>Contrato de obras de protección de desprendimientos en la ladera entre Calle Dula y el Castillo de Macastre.</t>
        </is>
      </c>
      <c r="J44" s="2" t="inlineStr">
        <is>
          <t>883/2026</t>
        </is>
      </c>
      <c r="K44" s="2" t="inlineStr">
        <is>
          <t>Abierto simplificado</t>
        </is>
      </c>
      <c r="L44" s="6" t="n">
        <v>4</v>
      </c>
      <c r="M44" s="2" t="inlineStr">
        <is>
          <t>K2-3</t>
        </is>
      </c>
      <c r="N44" s="7" t="n">
        <v>0</v>
      </c>
      <c r="O44" s="4" t="n"/>
      <c r="P44" s="2" t="inlineStr">
        <is>
          <t>45111230</t>
        </is>
      </c>
      <c r="Q44" s="8" t="inlineStr">
        <is>
          <t>Ver</t>
        </is>
      </c>
      <c r="R44" s="8" t="inlineStr">
        <is>
          <t>PCAP</t>
        </is>
      </c>
      <c r="S44" s="9" t="n">
        <v>46310</v>
      </c>
      <c r="T44" s="3" t="n">
        <v>46309.57148148148</v>
      </c>
      <c r="U44" s="2" t="n"/>
    </row>
    <row r="45">
      <c r="A45" s="2" t="inlineStr">
        <is>
          <t>Resuelta</t>
        </is>
      </c>
      <c r="B45" s="3" t="n">
        <v>45397.99930555555</v>
      </c>
      <c r="C45" s="5" t="n">
        <v>20699296.23</v>
      </c>
      <c r="D45" s="5" t="n">
        <v>24839155.48</v>
      </c>
      <c r="E45" s="2" t="inlineStr">
        <is>
          <t>Comunitat Valenciana</t>
        </is>
      </c>
      <c r="F45" s="2" t="inlineStr">
        <is>
          <t>Valencia</t>
        </is>
      </c>
      <c r="G45" s="2" t="inlineStr">
        <is>
          <t>Valencia</t>
        </is>
      </c>
      <c r="H45" s="2" t="inlineStr">
        <is>
          <t>Rectorado de la Universitat de València</t>
        </is>
      </c>
      <c r="I45" s="2" t="inlineStr">
        <is>
          <t>Construcción de Aulari Oest 2 en el Campus de Tarongers de la Universitat de València</t>
        </is>
      </c>
      <c r="J45" s="2" t="inlineStr">
        <is>
          <t>2024OB00001</t>
        </is>
      </c>
      <c r="K45" s="2" t="inlineStr">
        <is>
          <t>Abierto</t>
        </is>
      </c>
      <c r="L45" s="6" t="n">
        <v>20</v>
      </c>
      <c r="M45" s="2" t="inlineStr">
        <is>
          <t>C*-6</t>
        </is>
      </c>
      <c r="N45" s="7" t="n">
        <v>0.3</v>
      </c>
      <c r="O45" s="4" t="n"/>
      <c r="P45" s="2" t="inlineStr">
        <is>
          <t>45214400</t>
        </is>
      </c>
      <c r="Q45" s="8" t="inlineStr">
        <is>
          <t>Ver</t>
        </is>
      </c>
      <c r="R45" s="8" t="inlineStr">
        <is>
          <t>PCAP</t>
        </is>
      </c>
      <c r="S45" s="9" t="n">
        <v>46310</v>
      </c>
      <c r="T45" s="3" t="n">
        <v>46309.57094907408</v>
      </c>
      <c r="U45" s="2" t="n"/>
    </row>
    <row r="46">
      <c r="A46" s="2" t="inlineStr">
        <is>
          <t>Resuelta</t>
        </is>
      </c>
      <c r="B46" s="3" t="n">
        <v>46174.99930555555</v>
      </c>
      <c r="C46" s="5" t="n">
        <v>120603.83</v>
      </c>
      <c r="D46" s="5" t="n">
        <v>132664.21</v>
      </c>
      <c r="E46" s="2" t="inlineStr">
        <is>
          <t>Comunitat Valenciana</t>
        </is>
      </c>
      <c r="F46" s="2" t="inlineStr">
        <is>
          <t>Valencia</t>
        </is>
      </c>
      <c r="G46" s="2" t="n"/>
      <c r="H46" s="2" t="inlineStr">
        <is>
          <t>Junta de Gobierno del Ayuntamiento de Silla</t>
        </is>
      </c>
      <c r="I46" s="2" t="inlineStr">
        <is>
          <t>Obra «Renovación y mejora del viario urbano: Calle Mare de Deu dels Desemparats, Avenida de la Generalitat y Avenida Ausiás March de Silla», incluida en el Plan Abierto de Inversiones 2024-2027 de la Diputación de Valencia</t>
        </is>
      </c>
      <c r="J46" s="2" t="inlineStr">
        <is>
          <t>2793104M</t>
        </is>
      </c>
      <c r="K46" s="2" t="inlineStr">
        <is>
          <t>Abierto simplificado</t>
        </is>
      </c>
      <c r="L46" s="6" t="n">
        <v>6</v>
      </c>
      <c r="M46" s="2" t="n"/>
      <c r="N46" s="7" t="n">
        <v>0</v>
      </c>
      <c r="O46" s="4" t="n">
        <v>3</v>
      </c>
      <c r="P46" s="2" t="inlineStr">
        <is>
          <t>45233140; 45233221; 45112700</t>
        </is>
      </c>
      <c r="Q46" s="8" t="inlineStr">
        <is>
          <t>Ver</t>
        </is>
      </c>
      <c r="R46" s="8" t="inlineStr">
        <is>
          <t>PCAP</t>
        </is>
      </c>
      <c r="S46" s="9" t="n">
        <v>46310</v>
      </c>
      <c r="T46" s="3" t="n">
        <v>46309.56876157408</v>
      </c>
      <c r="U46" s="2" t="n"/>
    </row>
    <row r="47">
      <c r="A47" s="2" t="inlineStr">
        <is>
          <t>Adjudicada</t>
        </is>
      </c>
      <c r="B47" s="3" t="n">
        <v>46255.99930555555</v>
      </c>
      <c r="C47" s="5" t="n">
        <v>70067.99000000001</v>
      </c>
      <c r="D47" s="5" t="n">
        <v>70067.99000000001</v>
      </c>
      <c r="E47" s="2" t="inlineStr">
        <is>
          <t>Andalucía</t>
        </is>
      </c>
      <c r="F47" s="2" t="inlineStr">
        <is>
          <t>Córdoba</t>
        </is>
      </c>
      <c r="G47" s="2" t="n"/>
      <c r="H47" s="2" t="inlineStr">
        <is>
          <t>Alcaldia del Ayuntamiento de Palma del Río</t>
        </is>
      </c>
      <c r="I47" s="2" t="inlineStr">
        <is>
          <t>Obras para el acondicionamiento y pintura fachadas del C.E.I.P. El Parque de Palma del Río (Córdoba), subvención excepcional de la Diputación Provincial de Córdoba</t>
        </is>
      </c>
      <c r="J47" s="2" t="inlineStr">
        <is>
          <t>OB-05/2025</t>
        </is>
      </c>
      <c r="K47" s="2" t="inlineStr">
        <is>
          <t>Abierto simplificado</t>
        </is>
      </c>
      <c r="L47" s="6" t="n">
        <v>1.6</v>
      </c>
      <c r="M47" s="2" t="n"/>
      <c r="N47" s="7" t="n">
        <v>0</v>
      </c>
      <c r="O47" s="4" t="n"/>
      <c r="P47" s="2" t="inlineStr">
        <is>
          <t>45440000</t>
        </is>
      </c>
      <c r="Q47" s="8" t="inlineStr">
        <is>
          <t>Ver</t>
        </is>
      </c>
      <c r="R47" s="8" t="inlineStr">
        <is>
          <t>PCAP</t>
        </is>
      </c>
      <c r="S47" s="9" t="n">
        <v>46310</v>
      </c>
      <c r="T47" s="3" t="n">
        <v>46309.56763888889</v>
      </c>
      <c r="U47" s="2" t="n"/>
    </row>
    <row r="48">
      <c r="A48" s="2" t="inlineStr">
        <is>
          <t>Pendiente de adjudicación</t>
        </is>
      </c>
      <c r="B48" s="3" t="n">
        <v>46296.58333333334</v>
      </c>
      <c r="C48" s="5" t="n">
        <v>97574.17999999999</v>
      </c>
      <c r="D48" s="5" t="n">
        <v>97574.17999999999</v>
      </c>
      <c r="E48" s="2" t="inlineStr">
        <is>
          <t>Comunitat Valenciana</t>
        </is>
      </c>
      <c r="F48" s="2" t="inlineStr">
        <is>
          <t>Valencia</t>
        </is>
      </c>
      <c r="G48" s="2" t="n"/>
      <c r="H48" s="2" t="inlineStr">
        <is>
          <t>Concejalía Delegada de Contratación del Ayuntamiento de Gandía</t>
        </is>
      </c>
      <c r="I48" s="2" t="inlineStr">
        <is>
          <t>Contrato de obra consistente en mejora, modernización y dotación de infraestructuras y servicios en el polígono Benieto, IVACE Ejercicios 2025-2026.</t>
        </is>
      </c>
      <c r="J48" s="2" t="inlineStr">
        <is>
          <t>CONT-060/2026 (41988/2026)</t>
        </is>
      </c>
      <c r="K48" s="2" t="inlineStr">
        <is>
          <t>Abierto simplificado</t>
        </is>
      </c>
      <c r="L48" s="6" t="n">
        <v>2</v>
      </c>
      <c r="M48" s="2" t="n"/>
      <c r="N48" s="7" t="n">
        <v>0</v>
      </c>
      <c r="O48" s="4" t="n"/>
      <c r="P48" s="2" t="inlineStr">
        <is>
          <t>45233200; 45316100; 45112710</t>
        </is>
      </c>
      <c r="Q48" s="8" t="inlineStr">
        <is>
          <t>Ver</t>
        </is>
      </c>
      <c r="R48" s="8" t="inlineStr">
        <is>
          <t>PCAP</t>
        </is>
      </c>
      <c r="S48" s="9" t="n">
        <v>46310</v>
      </c>
      <c r="T48" s="3" t="n">
        <v>46309.56658564815</v>
      </c>
      <c r="U48" s="2" t="n"/>
    </row>
    <row r="49">
      <c r="A49" s="2" t="inlineStr">
        <is>
          <t>En plazo</t>
        </is>
      </c>
      <c r="B49" s="3" t="n">
        <v>46329.99930555555</v>
      </c>
      <c r="C49" s="5" t="n">
        <v>102588.44</v>
      </c>
      <c r="D49" s="5" t="n">
        <v>102588.44</v>
      </c>
      <c r="E49" s="2" t="inlineStr">
        <is>
          <t>Andalucía</t>
        </is>
      </c>
      <c r="F49" s="2" t="inlineStr">
        <is>
          <t>Granada</t>
        </is>
      </c>
      <c r="G49" s="2" t="inlineStr">
        <is>
          <t>Santa Fe</t>
        </is>
      </c>
      <c r="H49" s="2" t="inlineStr">
        <is>
          <t>Junta de Gobierno del Ayuntamiento de Santa Fe</t>
        </is>
      </c>
      <c r="I49" s="2" t="inlineStr">
        <is>
          <t>Contrato administrativo de obras para la renovación del pavimento asfaltico en la calle Mariana Pineda de Santa Fe (Granada), financiada por la Administración General del Estado, a través del Ministerio de Política Territorial y Memoria Democrática.</t>
        </is>
      </c>
      <c r="J49" s="2" t="inlineStr">
        <is>
          <t>5139/2026</t>
        </is>
      </c>
      <c r="K49" s="2" t="inlineStr">
        <is>
          <t>Abierto simplificado</t>
        </is>
      </c>
      <c r="L49" s="6" t="n">
        <v>1</v>
      </c>
      <c r="M49" s="2" t="n"/>
      <c r="N49" s="7" t="n">
        <v>0</v>
      </c>
      <c r="O49" s="4" t="n"/>
      <c r="P49" s="2" t="inlineStr">
        <is>
          <t>45233252</t>
        </is>
      </c>
      <c r="Q49" s="8" t="inlineStr">
        <is>
          <t>Ver</t>
        </is>
      </c>
      <c r="R49" s="8" t="inlineStr">
        <is>
          <t>PCAP</t>
        </is>
      </c>
      <c r="S49" s="9" t="n">
        <v>46310</v>
      </c>
      <c r="T49" s="3" t="n">
        <v>46309.56608796296</v>
      </c>
      <c r="U49" s="2" t="n"/>
    </row>
    <row r="50">
      <c r="A50" s="2" t="inlineStr">
        <is>
          <t>Resuelta</t>
        </is>
      </c>
      <c r="B50" s="3" t="n">
        <v>46280.99930555555</v>
      </c>
      <c r="C50" s="5" t="n">
        <v>371900.83</v>
      </c>
      <c r="D50" s="5" t="n">
        <v>371900.83</v>
      </c>
      <c r="E50" s="2" t="inlineStr">
        <is>
          <t>Andalucía</t>
        </is>
      </c>
      <c r="F50" s="2" t="inlineStr">
        <is>
          <t>Córdoba</t>
        </is>
      </c>
      <c r="G50" s="2" t="inlineStr">
        <is>
          <t>Bujalance</t>
        </is>
      </c>
      <c r="H50" s="2" t="inlineStr">
        <is>
          <t>Junta de Gobierno de la Diputación Provincial de Córdoba</t>
        </is>
      </c>
      <c r="I50" s="2" t="inlineStr">
        <is>
          <t>Contratación de la obra reforma del Teatro Español en Bujalance(Córdoba), obra incluida en los Planes Provinciales de Obras y Servicios 2024-2027 (bienio 2026-2027).</t>
        </is>
      </c>
      <c r="J50" s="2" t="inlineStr">
        <is>
          <t>627/26</t>
        </is>
      </c>
      <c r="K50" s="2" t="inlineStr">
        <is>
          <t>Abierto</t>
        </is>
      </c>
      <c r="L50" s="6" t="n">
        <v>6</v>
      </c>
      <c r="M50" s="2" t="n"/>
      <c r="N50" s="7" t="n">
        <v>0.25</v>
      </c>
      <c r="O50" s="4" t="n"/>
      <c r="P50" s="2" t="inlineStr">
        <is>
          <t>45220000</t>
        </is>
      </c>
      <c r="Q50" s="8" t="inlineStr">
        <is>
          <t>Ver</t>
        </is>
      </c>
      <c r="R50" s="8" t="inlineStr">
        <is>
          <t>PCAP</t>
        </is>
      </c>
      <c r="S50" s="9" t="n">
        <v>46310</v>
      </c>
      <c r="T50" s="3" t="n">
        <v>46309.56577546296</v>
      </c>
      <c r="U50" s="2" t="n"/>
    </row>
    <row r="51">
      <c r="A51" s="2" t="inlineStr">
        <is>
          <t>Adjudicada</t>
        </is>
      </c>
      <c r="B51" s="3" t="n">
        <v>46280.99930555555</v>
      </c>
      <c r="C51" s="5" t="n">
        <v>93422.45</v>
      </c>
      <c r="D51" s="5" t="n">
        <v>93422.45</v>
      </c>
      <c r="E51" s="2" t="inlineStr">
        <is>
          <t>Andalucía</t>
        </is>
      </c>
      <c r="F51" s="2" t="inlineStr">
        <is>
          <t>Málaga</t>
        </is>
      </c>
      <c r="G51" s="2" t="n"/>
      <c r="H51" s="2" t="inlineStr">
        <is>
          <t>Alcaldía del Ayuntamiento de Álora</t>
        </is>
      </c>
      <c r="I51" s="2" t="inlineStr">
        <is>
          <t>Estabilización deslizamiento en Calle Uriquí y Santa Argentea</t>
        </is>
      </c>
      <c r="J51" s="2" t="inlineStr">
        <is>
          <t>9/2026</t>
        </is>
      </c>
      <c r="K51" s="2" t="inlineStr">
        <is>
          <t>Abierto</t>
        </is>
      </c>
      <c r="L51" s="6" t="n">
        <v>4</v>
      </c>
      <c r="M51" s="2" t="n"/>
      <c r="N51" s="7" t="n">
        <v>0</v>
      </c>
      <c r="O51" s="4" t="n"/>
      <c r="P51" s="2" t="inlineStr">
        <is>
          <t>45262620; 45262311</t>
        </is>
      </c>
      <c r="Q51" s="8" t="inlineStr">
        <is>
          <t>Ver</t>
        </is>
      </c>
      <c r="R51" s="8" t="inlineStr">
        <is>
          <t>PCAP</t>
        </is>
      </c>
      <c r="S51" s="9" t="n">
        <v>46310</v>
      </c>
      <c r="T51" s="3" t="n">
        <v>46309.56518518519</v>
      </c>
      <c r="U51" s="2" t="n"/>
    </row>
    <row r="52">
      <c r="A52" s="2" t="inlineStr">
        <is>
          <t>Pendiente de adjudicación</t>
        </is>
      </c>
      <c r="B52" s="3" t="n">
        <v>46231.58333333334</v>
      </c>
      <c r="C52" s="5" t="n">
        <v>11298571.19</v>
      </c>
      <c r="D52" s="5" t="n">
        <v>11298571.19</v>
      </c>
      <c r="E52" s="2" t="inlineStr">
        <is>
          <t>Comunitat Valenciana</t>
        </is>
      </c>
      <c r="F52" s="2" t="inlineStr">
        <is>
          <t>Valencia</t>
        </is>
      </c>
      <c r="G52" s="2" t="n"/>
      <c r="H52" s="2" t="inlineStr">
        <is>
          <t>Presidencia de la Entidad Valenciana de Vivienda y Suelo</t>
        </is>
      </c>
      <c r="I52" s="2" t="inlineStr">
        <is>
          <t>Obras de Edificio de 69 Viviendas de Protección Pública, y 77 Plazas de Aparcamiento, en la confluencia de las calles Vicente Alexandre y San Pedro Poveda, de Alicante.</t>
        </is>
      </c>
      <c r="J52" s="2" t="inlineStr">
        <is>
          <t>CMAYOR/2026/EVHA/0006</t>
        </is>
      </c>
      <c r="K52" s="2" t="inlineStr">
        <is>
          <t>Abierto</t>
        </is>
      </c>
      <c r="L52" s="6" t="n">
        <v>24</v>
      </c>
      <c r="M52" s="2" t="inlineStr">
        <is>
          <t>C6-6; C*-6; C2-6</t>
        </is>
      </c>
      <c r="N52" s="7" t="n">
        <v>0.3</v>
      </c>
      <c r="O52" s="4" t="n"/>
      <c r="P52" s="2" t="inlineStr">
        <is>
          <t>45211340</t>
        </is>
      </c>
      <c r="Q52" s="8" t="inlineStr">
        <is>
          <t>Ver</t>
        </is>
      </c>
      <c r="R52" s="8" t="inlineStr">
        <is>
          <t>PCAP</t>
        </is>
      </c>
      <c r="S52" s="9" t="n">
        <v>46310</v>
      </c>
      <c r="T52" s="3" t="n">
        <v>46309.56424768519</v>
      </c>
      <c r="U52" s="2" t="n"/>
    </row>
    <row r="53">
      <c r="A53" s="2" t="inlineStr">
        <is>
          <t>En plazo</t>
        </is>
      </c>
      <c r="B53" s="3" t="n">
        <v>46329.99930555555</v>
      </c>
      <c r="C53" s="5" t="n">
        <v>176395.44</v>
      </c>
      <c r="D53" s="5" t="n">
        <v>176395.44</v>
      </c>
      <c r="E53" s="2" t="inlineStr">
        <is>
          <t>Comunitat Valenciana</t>
        </is>
      </c>
      <c r="F53" s="2" t="inlineStr">
        <is>
          <t>Valencia</t>
        </is>
      </c>
      <c r="G53" s="2" t="inlineStr">
        <is>
          <t>La Font de la Figuera</t>
        </is>
      </c>
      <c r="H53" s="2" t="inlineStr">
        <is>
          <t>Alcaldía del Ayuntamiento de La Font de la Figuera</t>
        </is>
      </c>
      <c r="I53" s="2" t="inlineStr">
        <is>
          <t>Obras de ampliación del pabellón municipal de La Font de la Figuera</t>
        </is>
      </c>
      <c r="J53" s="2" t="inlineStr">
        <is>
          <t>458/2026</t>
        </is>
      </c>
      <c r="K53" s="2" t="inlineStr">
        <is>
          <t>Abierto simplificado</t>
        </is>
      </c>
      <c r="L53" s="6" t="n">
        <v>4</v>
      </c>
      <c r="M53" s="2" t="n"/>
      <c r="N53" s="7" t="n">
        <v>0</v>
      </c>
      <c r="O53" s="4" t="n"/>
      <c r="P53" s="2" t="inlineStr">
        <is>
          <t>45212600; 45212200</t>
        </is>
      </c>
      <c r="Q53" s="8" t="inlineStr">
        <is>
          <t>Ver</t>
        </is>
      </c>
      <c r="R53" s="8" t="inlineStr">
        <is>
          <t>PCAP</t>
        </is>
      </c>
      <c r="S53" s="9" t="n">
        <v>46310</v>
      </c>
      <c r="T53" s="3" t="n">
        <v>46309.56390046296</v>
      </c>
      <c r="U53" s="2" t="n"/>
    </row>
    <row r="54">
      <c r="A54" s="2" t="inlineStr">
        <is>
          <t>En plazo</t>
        </is>
      </c>
      <c r="B54" s="3" t="n">
        <v>46329.99930555555</v>
      </c>
      <c r="C54" s="5" t="n">
        <v>326532.3</v>
      </c>
      <c r="D54" s="5" t="n">
        <v>326532.3</v>
      </c>
      <c r="E54" s="2" t="inlineStr">
        <is>
          <t>Comunitat Valenciana</t>
        </is>
      </c>
      <c r="F54" s="2" t="inlineStr">
        <is>
          <t>Valencia</t>
        </is>
      </c>
      <c r="G54" s="2" t="inlineStr">
        <is>
          <t>Utiel</t>
        </is>
      </c>
      <c r="H54" s="2" t="inlineStr">
        <is>
          <t>Alcaldía del Ayuntamiento de Utiel</t>
        </is>
      </c>
      <c r="I54" s="2" t="inlineStr">
        <is>
          <t>Sede de banda de música de la Aldea de Las Cuevas de Utiel,</t>
        </is>
      </c>
      <c r="J54" s="2" t="inlineStr">
        <is>
          <t>894/2026</t>
        </is>
      </c>
      <c r="K54" s="2" t="inlineStr">
        <is>
          <t>Abierto simplificado</t>
        </is>
      </c>
      <c r="L54" s="6" t="n">
        <v>12</v>
      </c>
      <c r="M54" s="2" t="n"/>
      <c r="N54" s="7" t="n">
        <v>0</v>
      </c>
      <c r="O54" s="4" t="n"/>
      <c r="P54" s="2" t="inlineStr">
        <is>
          <t>45210000</t>
        </is>
      </c>
      <c r="Q54" s="8" t="inlineStr">
        <is>
          <t>Ver</t>
        </is>
      </c>
      <c r="R54" s="8" t="inlineStr">
        <is>
          <t>PCAP</t>
        </is>
      </c>
      <c r="S54" s="9" t="n">
        <v>46310</v>
      </c>
      <c r="T54" s="3" t="n">
        <v>46309.56297453704</v>
      </c>
      <c r="U54" s="2" t="n"/>
    </row>
    <row r="55">
      <c r="A55" s="2" t="inlineStr">
        <is>
          <t>Resuelta</t>
        </is>
      </c>
      <c r="B55" s="3" t="n">
        <v>46273.99930555555</v>
      </c>
      <c r="C55" s="5" t="n">
        <v>78512.39</v>
      </c>
      <c r="D55" s="5" t="n">
        <v>86363.63</v>
      </c>
      <c r="E55" s="2" t="inlineStr">
        <is>
          <t>Comunitat Valenciana</t>
        </is>
      </c>
      <c r="F55" s="2" t="inlineStr">
        <is>
          <t>Alicante</t>
        </is>
      </c>
      <c r="G55" s="2" t="inlineStr">
        <is>
          <t>Ondara</t>
        </is>
      </c>
      <c r="H55" s="2" t="inlineStr">
        <is>
          <t>Junta de Gobierno del Ayuntamiento de Ondara</t>
        </is>
      </c>
      <c r="I55" s="2" t="inlineStr">
        <is>
          <t>Millores a l'avinguda Marina Alta. Pla Inversions 2026 IFS</t>
        </is>
      </c>
      <c r="J55" s="2" t="inlineStr">
        <is>
          <t>2637/2026</t>
        </is>
      </c>
      <c r="K55" s="2" t="inlineStr">
        <is>
          <t>Abierto simplificado</t>
        </is>
      </c>
      <c r="L55" s="6" t="n"/>
      <c r="M55" s="2" t="n"/>
      <c r="N55" s="7" t="n">
        <v>0</v>
      </c>
      <c r="O55" s="4" t="n"/>
      <c r="P55" s="2" t="inlineStr">
        <is>
          <t>45211360; 45316100</t>
        </is>
      </c>
      <c r="Q55" s="8" t="inlineStr">
        <is>
          <t>Ver</t>
        </is>
      </c>
      <c r="R55" s="8" t="inlineStr">
        <is>
          <t>PCAP</t>
        </is>
      </c>
      <c r="S55" s="9" t="n">
        <v>46310</v>
      </c>
      <c r="T55" s="3" t="n">
        <v>46309.55842592593</v>
      </c>
      <c r="U55" s="2" t="n"/>
    </row>
    <row r="56">
      <c r="A56" s="2" t="inlineStr">
        <is>
          <t>Adjudicada</t>
        </is>
      </c>
      <c r="B56" s="3" t="n">
        <v>46190.99930555555</v>
      </c>
      <c r="C56" s="5" t="n">
        <v>232231.4</v>
      </c>
      <c r="D56" s="5" t="n">
        <v>232231.4</v>
      </c>
      <c r="E56" s="2" t="inlineStr">
        <is>
          <t>Andalucía</t>
        </is>
      </c>
      <c r="F56" s="2" t="inlineStr">
        <is>
          <t>Almería</t>
        </is>
      </c>
      <c r="G56" s="2" t="n"/>
      <c r="H56" s="2" t="inlineStr">
        <is>
          <t>Junta de Gobierno de la Diputación Provincial de Almería</t>
        </is>
      </c>
      <c r="I56" s="2" t="inlineStr">
        <is>
          <t>Mejora De Acceso A La Entrada A Alcontar 81PPOS24-27BI</t>
        </is>
      </c>
      <c r="J56" s="2" t="inlineStr">
        <is>
          <t>2025/D31000/006-013/00201</t>
        </is>
      </c>
      <c r="K56" s="2" t="inlineStr">
        <is>
          <t>Abierto simplificado</t>
        </is>
      </c>
      <c r="L56" s="6" t="n">
        <v>4.1</v>
      </c>
      <c r="M56" s="2" t="n"/>
      <c r="N56" s="7" t="n">
        <v>0.25</v>
      </c>
      <c r="O56" s="4" t="n"/>
      <c r="P56" s="2" t="inlineStr">
        <is>
          <t>45233340</t>
        </is>
      </c>
      <c r="Q56" s="8" t="inlineStr">
        <is>
          <t>Ver</t>
        </is>
      </c>
      <c r="R56" s="8" t="inlineStr">
        <is>
          <t>PCAP</t>
        </is>
      </c>
      <c r="S56" s="9" t="n">
        <v>46310</v>
      </c>
      <c r="T56" s="3" t="n">
        <v>46309.5565162037</v>
      </c>
      <c r="U56" s="2" t="n"/>
    </row>
    <row r="57">
      <c r="A57" s="2" t="inlineStr">
        <is>
          <t>En plazo</t>
        </is>
      </c>
      <c r="B57" s="3" t="n">
        <v>46323.99930555555</v>
      </c>
      <c r="C57" s="5" t="n">
        <v>49586.78</v>
      </c>
      <c r="D57" s="5" t="n">
        <v>49586.78</v>
      </c>
      <c r="E57" s="2" t="inlineStr">
        <is>
          <t>Andalucía</t>
        </is>
      </c>
      <c r="F57" s="2" t="inlineStr">
        <is>
          <t>Cádiz</t>
        </is>
      </c>
      <c r="G57" s="2" t="n"/>
      <c r="H57" s="2" t="inlineStr">
        <is>
          <t>Alcaldía del Ayuntamiento de Trebujena</t>
        </is>
      </c>
      <c r="I57"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7" s="2" t="inlineStr">
        <is>
          <t>2026/2364/02</t>
        </is>
      </c>
      <c r="K57" s="2" t="inlineStr">
        <is>
          <t>Abierto simplificado</t>
        </is>
      </c>
      <c r="L57" s="6" t="n">
        <v>5</v>
      </c>
      <c r="M57" s="2" t="n"/>
      <c r="N57" s="7" t="n">
        <v>0</v>
      </c>
      <c r="O57" s="4" t="n"/>
      <c r="P57" s="2" t="inlineStr">
        <is>
          <t>45443000</t>
        </is>
      </c>
      <c r="Q57" s="8" t="inlineStr">
        <is>
          <t>Ver</t>
        </is>
      </c>
      <c r="R57" s="8" t="inlineStr">
        <is>
          <t>PCAP</t>
        </is>
      </c>
      <c r="S57" s="9" t="n">
        <v>46310</v>
      </c>
      <c r="T57" s="3" t="n">
        <v>46309.55476851852</v>
      </c>
      <c r="U57" s="2" t="n"/>
    </row>
    <row r="58">
      <c r="A58" s="2" t="inlineStr">
        <is>
          <t>En plazo</t>
        </is>
      </c>
      <c r="B58" s="3" t="n">
        <v>46329.99930555555</v>
      </c>
      <c r="C58" s="5" t="n">
        <v>255330.58</v>
      </c>
      <c r="D58" s="5" t="n">
        <v>255330.58</v>
      </c>
      <c r="E58" s="2" t="inlineStr">
        <is>
          <t>Andalucía</t>
        </is>
      </c>
      <c r="F58" s="2" t="inlineStr">
        <is>
          <t>Granada</t>
        </is>
      </c>
      <c r="G58" s="2" t="inlineStr">
        <is>
          <t>Santa Fe</t>
        </is>
      </c>
      <c r="H58" s="2" t="inlineStr">
        <is>
          <t>Junta de Gobierno del Ayuntamiento de Santa Fe</t>
        </is>
      </c>
      <c r="I58" s="2" t="inlineStr">
        <is>
          <t>Contrato administrativo de obras para la ejecución del Plan de Asfaltado 2026 del municipio de Santa Fe (Granada)</t>
        </is>
      </c>
      <c r="J58" s="2" t="inlineStr">
        <is>
          <t>4654/2026</t>
        </is>
      </c>
      <c r="K58" s="2" t="inlineStr">
        <is>
          <t>Abierto simplificado</t>
        </is>
      </c>
      <c r="L58" s="6" t="n">
        <v>2</v>
      </c>
      <c r="M58" s="2" t="n"/>
      <c r="N58" s="7" t="n">
        <v>0</v>
      </c>
      <c r="O58" s="4" t="n"/>
      <c r="P58" s="2" t="inlineStr">
        <is>
          <t>45233252</t>
        </is>
      </c>
      <c r="Q58" s="8" t="inlineStr">
        <is>
          <t>Ver</t>
        </is>
      </c>
      <c r="R58" s="8" t="inlineStr">
        <is>
          <t>PCAP</t>
        </is>
      </c>
      <c r="S58" s="9" t="n">
        <v>46310</v>
      </c>
      <c r="T58" s="3" t="n">
        <v>46309.55333333334</v>
      </c>
      <c r="U58" s="2" t="n"/>
    </row>
    <row r="59">
      <c r="A59" s="2" t="inlineStr">
        <is>
          <t>Pendiente de adjudicación</t>
        </is>
      </c>
      <c r="B59" s="3" t="n">
        <v>46195.99930555555</v>
      </c>
      <c r="C59" s="5" t="n">
        <v>650987.6</v>
      </c>
      <c r="D59" s="5" t="n">
        <v>650987.6</v>
      </c>
      <c r="E59" s="2" t="inlineStr">
        <is>
          <t>Andalucía</t>
        </is>
      </c>
      <c r="F59" s="2" t="inlineStr">
        <is>
          <t>Málaga</t>
        </is>
      </c>
      <c r="G59" s="2" t="n"/>
      <c r="H59" s="2" t="inlineStr">
        <is>
          <t>Junta de Gobierno del Ayuntamiento de Marbella</t>
        </is>
      </c>
      <c r="I59" s="2" t="inlineStr">
        <is>
          <t>Contratación de la Obra Ejecución de Acerados en calle Incosol tramos numerados de 4 al 8, desde la comunidad Monte Salma en Avenida Ángel de Miguel hasta la comunidad Lomas de Río Real en avenida Alcudia. T.M. Marbella Málaga)</t>
        </is>
      </c>
      <c r="J59" s="2" t="inlineStr">
        <is>
          <t>OB 185/26</t>
        </is>
      </c>
      <c r="K59" s="2" t="inlineStr">
        <is>
          <t>Abierto</t>
        </is>
      </c>
      <c r="L59" s="6" t="n">
        <v>5</v>
      </c>
      <c r="M59" s="2" t="n"/>
      <c r="N59" s="7" t="n">
        <v>0.45</v>
      </c>
      <c r="O59" s="4" t="n"/>
      <c r="P59" s="2" t="inlineStr">
        <is>
          <t>45233140; 45233340</t>
        </is>
      </c>
      <c r="Q59" s="8" t="inlineStr">
        <is>
          <t>Ver</t>
        </is>
      </c>
      <c r="R59" s="8" t="inlineStr">
        <is>
          <t>PCAP</t>
        </is>
      </c>
      <c r="S59" s="9" t="n">
        <v>46310</v>
      </c>
      <c r="T59" s="3" t="n">
        <v>46309.55333333334</v>
      </c>
      <c r="U59" s="2" t="n"/>
    </row>
    <row r="60">
      <c r="A60" s="2" t="inlineStr">
        <is>
          <t>Resuelta</t>
        </is>
      </c>
      <c r="B60" s="3" t="n">
        <v>46293.99930555555</v>
      </c>
      <c r="C60" s="5" t="n">
        <v>4000</v>
      </c>
      <c r="D60" s="5" t="n">
        <v>4000</v>
      </c>
      <c r="E60" s="2" t="inlineStr">
        <is>
          <t>Comunitat Valenciana</t>
        </is>
      </c>
      <c r="F60" s="2" t="inlineStr">
        <is>
          <t>Valencia</t>
        </is>
      </c>
      <c r="G60" s="2" t="n"/>
      <c r="H60" s="2" t="inlineStr">
        <is>
          <t>Junta de Gobierno del Ayuntamiento de Alzira</t>
        </is>
      </c>
      <c r="I60" s="2" t="inlineStr">
        <is>
          <t>Mantenimiento de las instalaciones eléctricas de baja tensión y de alumbrado exterior</t>
        </is>
      </c>
      <c r="J60" s="2" t="inlineStr">
        <is>
          <t>OC-7560/26 (BSDA)</t>
        </is>
      </c>
      <c r="K60" s="2" t="inlineStr">
        <is>
          <t>Restringido</t>
        </is>
      </c>
      <c r="L60" s="6" t="n">
        <v>12</v>
      </c>
      <c r="M60" s="2" t="n"/>
      <c r="N60" s="7" t="n">
        <v>0</v>
      </c>
      <c r="O60" s="4" t="n">
        <v>1</v>
      </c>
      <c r="P60" s="2" t="inlineStr">
        <is>
          <t>45262520; 45316000</t>
        </is>
      </c>
      <c r="Q60" s="8" t="inlineStr">
        <is>
          <t>Ver</t>
        </is>
      </c>
      <c r="R60" s="8" t="inlineStr">
        <is>
          <t>PCAP</t>
        </is>
      </c>
      <c r="S60" s="9" t="n">
        <v>46310</v>
      </c>
      <c r="T60" s="3" t="n">
        <v>46309.55318287037</v>
      </c>
      <c r="U60" s="2" t="n"/>
    </row>
    <row r="61">
      <c r="A61" s="2" t="inlineStr">
        <is>
          <t>Pendiente de adjudicación</t>
        </is>
      </c>
      <c r="B61" s="3" t="n">
        <v>46286.99930555555</v>
      </c>
      <c r="C61" s="5" t="n">
        <v>345942.39</v>
      </c>
      <c r="D61" s="5" t="n">
        <v>345942.39</v>
      </c>
      <c r="E61" s="2" t="inlineStr">
        <is>
          <t>Comunitat Valenciana</t>
        </is>
      </c>
      <c r="F61" s="2" t="inlineStr">
        <is>
          <t>Valencia</t>
        </is>
      </c>
      <c r="G61" s="2" t="inlineStr">
        <is>
          <t>GESTALGAR</t>
        </is>
      </c>
      <c r="H61" s="2" t="inlineStr">
        <is>
          <t>Alcaldía del Ayuntamiento de Gestalgar</t>
        </is>
      </c>
      <c r="I61" s="2" t="inlineStr">
        <is>
          <t>Contrato de obras del proyecto de emergencia de red viaria de Gestalgar (Valencia) subvencionado por el Ministerio de Política Territorial y Memoria Democrática.</t>
        </is>
      </c>
      <c r="J61" s="2" t="inlineStr">
        <is>
          <t>2998008A</t>
        </is>
      </c>
      <c r="K61" s="2" t="inlineStr">
        <is>
          <t>Abierto simplificado</t>
        </is>
      </c>
      <c r="L61" s="6" t="n">
        <v>5</v>
      </c>
      <c r="M61" s="2" t="n"/>
      <c r="N61" s="7" t="n">
        <v>0</v>
      </c>
      <c r="O61" s="4" t="n"/>
      <c r="P61" s="2" t="inlineStr">
        <is>
          <t>45233142; 45233140</t>
        </is>
      </c>
      <c r="Q61" s="8" t="inlineStr">
        <is>
          <t>Ver</t>
        </is>
      </c>
      <c r="R61" s="8" t="inlineStr">
        <is>
          <t>PCAP</t>
        </is>
      </c>
      <c r="S61" s="9" t="n">
        <v>46310</v>
      </c>
      <c r="T61" s="3" t="n">
        <v>46309.553125</v>
      </c>
      <c r="U61" s="2" t="n"/>
    </row>
    <row r="62">
      <c r="A62" s="2" t="inlineStr">
        <is>
          <t>Anuncio previo</t>
        </is>
      </c>
      <c r="B62" s="3" t="n">
        <v>46329.99930555555</v>
      </c>
      <c r="C62" s="5" t="n">
        <v>80251.53</v>
      </c>
      <c r="D62" s="5" t="n">
        <v>80251.53</v>
      </c>
      <c r="E62" s="2" t="inlineStr">
        <is>
          <t>Andalucía</t>
        </is>
      </c>
      <c r="F62" s="2" t="inlineStr">
        <is>
          <t>Jaén</t>
        </is>
      </c>
      <c r="G62" s="2" t="inlineStr">
        <is>
          <t>TORREPEROGIL</t>
        </is>
      </c>
      <c r="H62" s="2" t="inlineStr">
        <is>
          <t>Alcaldía del Ayuntamiento de Torreperogil</t>
        </is>
      </c>
      <c r="I62" s="2" t="inlineStr">
        <is>
          <t>Repavimentación de acerados de la C/. Río Guadiana en Torreperogil</t>
        </is>
      </c>
      <c r="J62" s="2" t="inlineStr">
        <is>
          <t>2415/2026</t>
        </is>
      </c>
      <c r="K62" s="2" t="inlineStr">
        <is>
          <t>Abierto simplificado</t>
        </is>
      </c>
      <c r="L62" s="6" t="n">
        <v>6</v>
      </c>
      <c r="M62" s="2" t="n"/>
      <c r="N62" s="7" t="n">
        <v>0</v>
      </c>
      <c r="O62" s="4" t="n"/>
      <c r="P62" s="2" t="inlineStr">
        <is>
          <t>45233252</t>
        </is>
      </c>
      <c r="Q62" s="8" t="inlineStr">
        <is>
          <t>Ver</t>
        </is>
      </c>
      <c r="R62" s="2" t="n"/>
      <c r="S62" s="9" t="n">
        <v>46310</v>
      </c>
      <c r="T62" s="3" t="n">
        <v>46309.55180555556</v>
      </c>
      <c r="U62" s="2" t="n"/>
    </row>
    <row r="63">
      <c r="A63" s="2" t="inlineStr">
        <is>
          <t>Pendiente de adjudicación</t>
        </is>
      </c>
      <c r="B63" s="3" t="n">
        <v>46286.99930555555</v>
      </c>
      <c r="C63" s="5" t="n">
        <v>389400.52</v>
      </c>
      <c r="D63" s="5" t="n">
        <v>389400.52</v>
      </c>
      <c r="E63" s="2" t="inlineStr">
        <is>
          <t>Comunitat Valenciana</t>
        </is>
      </c>
      <c r="F63" s="2" t="inlineStr">
        <is>
          <t>Valencia</t>
        </is>
      </c>
      <c r="G63" s="2" t="inlineStr">
        <is>
          <t>GESTALGAR</t>
        </is>
      </c>
      <c r="H63" s="2" t="inlineStr">
        <is>
          <t>Alcaldía del Ayuntamiento de Gestalgar</t>
        </is>
      </c>
      <c r="I63" s="2" t="inlineStr">
        <is>
          <t>Contrato de obras de reposición y reparación de elementos del antiguo polideportivo municipal para el nuevo parque de ocio para la juventud en Gestalgar (Valencia) subvencionado por el Ministerio de Política Territorial y Memoria Democrática.</t>
        </is>
      </c>
      <c r="J63" s="2" t="inlineStr">
        <is>
          <t>2993993Z</t>
        </is>
      </c>
      <c r="K63" s="2" t="inlineStr">
        <is>
          <t>Abierto simplificado</t>
        </is>
      </c>
      <c r="L63" s="6" t="n">
        <v>6</v>
      </c>
      <c r="M63" s="2" t="n"/>
      <c r="N63" s="7" t="n">
        <v>0</v>
      </c>
      <c r="O63" s="4" t="n"/>
      <c r="P63" s="2" t="inlineStr">
        <is>
          <t>45112720</t>
        </is>
      </c>
      <c r="Q63" s="8" t="inlineStr">
        <is>
          <t>Ver</t>
        </is>
      </c>
      <c r="R63" s="8" t="inlineStr">
        <is>
          <t>PCAP</t>
        </is>
      </c>
      <c r="S63" s="9" t="n">
        <v>46310</v>
      </c>
      <c r="T63" s="3" t="n">
        <v>46309.55096064815</v>
      </c>
      <c r="U63" s="2" t="n"/>
    </row>
    <row r="64">
      <c r="A64" s="2" t="inlineStr">
        <is>
          <t>Resuelta</t>
        </is>
      </c>
      <c r="B64" s="3" t="n">
        <v>46257.99930555555</v>
      </c>
      <c r="C64" s="5" t="n">
        <v>1071532.4</v>
      </c>
      <c r="D64" s="5" t="n">
        <v>1071532.4</v>
      </c>
      <c r="E64" s="2" t="inlineStr">
        <is>
          <t>Comunitat Valenciana</t>
        </is>
      </c>
      <c r="F64" s="2" t="inlineStr">
        <is>
          <t>Valencia</t>
        </is>
      </c>
      <c r="G64" s="2" t="inlineStr">
        <is>
          <t>GESTALGAR</t>
        </is>
      </c>
      <c r="H64" s="2" t="inlineStr">
        <is>
          <t>Alcaldía del Ayuntamiento de Gestalgar</t>
        </is>
      </c>
      <c r="I64" s="2" t="inlineStr">
        <is>
          <t>Contratación. Subvención orden TMD/101/2025.Obras Restitución de daños tras la DANA en ladera Alto Gaspar en Gestalgar(Valencia).</t>
        </is>
      </c>
      <c r="J64" s="2" t="inlineStr">
        <is>
          <t>2933943X</t>
        </is>
      </c>
      <c r="K64" s="2" t="inlineStr">
        <is>
          <t>Abierto simplificado</t>
        </is>
      </c>
      <c r="L64" s="6" t="n">
        <v>8</v>
      </c>
      <c r="M64" s="2" t="n"/>
      <c r="N64" s="7" t="n">
        <v>0</v>
      </c>
      <c r="O64" s="4" t="n"/>
      <c r="P64" s="2" t="inlineStr">
        <is>
          <t>45111230</t>
        </is>
      </c>
      <c r="Q64" s="8" t="inlineStr">
        <is>
          <t>Ver</t>
        </is>
      </c>
      <c r="R64" s="8" t="inlineStr">
        <is>
          <t>PCAP</t>
        </is>
      </c>
      <c r="S64" s="9" t="n">
        <v>46310</v>
      </c>
      <c r="T64" s="3" t="n">
        <v>46309.54679398148</v>
      </c>
      <c r="U64" s="2" t="n"/>
    </row>
    <row r="65">
      <c r="A65" s="2" t="inlineStr">
        <is>
          <t>Resuelta</t>
        </is>
      </c>
      <c r="B65" s="3" t="n">
        <v>46297.99930555555</v>
      </c>
      <c r="C65" s="5" t="n">
        <v>150000</v>
      </c>
      <c r="D65" s="5" t="n">
        <v>150000</v>
      </c>
      <c r="E65" s="2" t="inlineStr">
        <is>
          <t>Andalucía</t>
        </is>
      </c>
      <c r="F65" s="2" t="inlineStr">
        <is>
          <t>Sevilla</t>
        </is>
      </c>
      <c r="G65" s="2" t="inlineStr">
        <is>
          <t>Carmona</t>
        </is>
      </c>
      <c r="H65" s="2" t="inlineStr">
        <is>
          <t>Consejo de Administración de Limpieza y Mantenimiento de Carmona, S.L.U.</t>
        </is>
      </c>
      <c r="I65" s="2" t="inlineStr">
        <is>
          <t>Trabajos para limpieza de cauces de arroyos a su paso por urbanizaciones y áreas de influencia, en función de las necesidades.</t>
        </is>
      </c>
      <c r="J65" s="2" t="inlineStr">
        <is>
          <t>2026-L2-CB2</t>
        </is>
      </c>
      <c r="K65" s="2" t="inlineStr">
        <is>
          <t>Abierto</t>
        </is>
      </c>
      <c r="L65" s="6" t="n">
        <v>8</v>
      </c>
      <c r="M65" s="2" t="n"/>
      <c r="N65" s="7" t="n">
        <v>0</v>
      </c>
      <c r="O65" s="4" t="n"/>
      <c r="P65" s="2" t="inlineStr">
        <is>
          <t>45520000; 44110000; 44113100</t>
        </is>
      </c>
      <c r="Q65" s="8" t="inlineStr">
        <is>
          <t>Ver</t>
        </is>
      </c>
      <c r="R65" s="2" t="n"/>
      <c r="S65" s="9" t="n">
        <v>46310</v>
      </c>
      <c r="T65" s="3" t="n">
        <v>46309.54519675926</v>
      </c>
      <c r="U65" s="2" t="n"/>
    </row>
    <row r="66">
      <c r="A66" s="2" t="inlineStr">
        <is>
          <t>Pendiente de adjudicación</t>
        </is>
      </c>
      <c r="B66" s="3" t="n">
        <v>46308.5</v>
      </c>
      <c r="C66" s="5" t="n">
        <v>88488.39999999999</v>
      </c>
      <c r="D66" s="5" t="n">
        <v>88488.39999999999</v>
      </c>
      <c r="E66" s="2" t="inlineStr">
        <is>
          <t>Comunitat Valenciana</t>
        </is>
      </c>
      <c r="F66" s="2" t="inlineStr">
        <is>
          <t>Castellón</t>
        </is>
      </c>
      <c r="G66" s="2" t="inlineStr">
        <is>
          <t>Alfondeguilla</t>
        </is>
      </c>
      <c r="H66" s="2" t="inlineStr">
        <is>
          <t>Pleno del Ayuntamiento de Alfondeguilla</t>
        </is>
      </c>
      <c r="I66" s="2" t="inlineStr">
        <is>
          <t>Obra "acondicionamiento del acceso a la piscina municipal y casal jove de Alfondeguilla”</t>
        </is>
      </c>
      <c r="J66" s="2" t="inlineStr">
        <is>
          <t>310/2026</t>
        </is>
      </c>
      <c r="K66" s="2" t="inlineStr">
        <is>
          <t>Abierto simplificado</t>
        </is>
      </c>
      <c r="L66" s="6" t="n">
        <v>3</v>
      </c>
      <c r="M66" s="2" t="n"/>
      <c r="N66" s="7" t="n">
        <v>0</v>
      </c>
      <c r="O66" s="4" t="n"/>
      <c r="P66" s="2" t="inlineStr">
        <is>
          <t>45233252; 45212000; 45200000</t>
        </is>
      </c>
      <c r="Q66" s="8" t="inlineStr">
        <is>
          <t>Ver</t>
        </is>
      </c>
      <c r="R66" s="8" t="inlineStr">
        <is>
          <t>PCAP</t>
        </is>
      </c>
      <c r="S66" s="9" t="n">
        <v>46310</v>
      </c>
      <c r="T66" s="3" t="n">
        <v>46309.5439699074</v>
      </c>
      <c r="U66" s="2" t="n"/>
    </row>
    <row r="67">
      <c r="A67" s="2" t="inlineStr">
        <is>
          <t>Pendiente de adjudicación</t>
        </is>
      </c>
      <c r="B67" s="3" t="n">
        <v>46272.99930555555</v>
      </c>
      <c r="C67" s="5" t="n">
        <v>21280</v>
      </c>
      <c r="D67" s="5" t="n">
        <v>21280</v>
      </c>
      <c r="E67" s="2" t="inlineStr">
        <is>
          <t>Andalucía</t>
        </is>
      </c>
      <c r="F67" s="2" t="inlineStr">
        <is>
          <t>Sevilla</t>
        </is>
      </c>
      <c r="G67" s="2" t="inlineStr">
        <is>
          <t>Los Palacios y Villafranca</t>
        </is>
      </c>
      <c r="H67" s="2" t="inlineStr">
        <is>
          <t>Alcaldia del Ayuntamiento de Los Palacios y Villafranca</t>
        </is>
      </c>
      <c r="I67"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67" s="2" t="inlineStr">
        <is>
          <t>18179/2026</t>
        </is>
      </c>
      <c r="K67" s="2" t="inlineStr">
        <is>
          <t>Abierto simplificado</t>
        </is>
      </c>
      <c r="L67" s="6" t="n">
        <v>4</v>
      </c>
      <c r="M67" s="2" t="n"/>
      <c r="N67" s="7" t="n">
        <v>0</v>
      </c>
      <c r="O67" s="4" t="n"/>
      <c r="P67" s="2" t="inlineStr">
        <is>
          <t>45500000; 60181000</t>
        </is>
      </c>
      <c r="Q67" s="8" t="inlineStr">
        <is>
          <t>Ver</t>
        </is>
      </c>
      <c r="R67" s="8" t="inlineStr">
        <is>
          <t>PCAP</t>
        </is>
      </c>
      <c r="S67" s="9" t="n">
        <v>46310</v>
      </c>
      <c r="T67" s="3" t="n">
        <v>46309.5432175926</v>
      </c>
      <c r="U67" s="2" t="n"/>
    </row>
    <row r="68">
      <c r="A68" s="2" t="inlineStr">
        <is>
          <t>Pendiente de adjudicación</t>
        </is>
      </c>
      <c r="B68" s="3" t="n">
        <v>46308.99930555555</v>
      </c>
      <c r="C68" s="5" t="n">
        <v>111494.92</v>
      </c>
      <c r="D68" s="5" t="n">
        <v>111494.92</v>
      </c>
      <c r="E68" s="2" t="inlineStr">
        <is>
          <t>Comunitat Valenciana</t>
        </is>
      </c>
      <c r="F68" s="2" t="inlineStr">
        <is>
          <t>Alicante</t>
        </is>
      </c>
      <c r="G68" s="2" t="n"/>
      <c r="H68" s="2" t="inlineStr">
        <is>
          <t>Junta de Gobierno del Ayuntamiento de Elche</t>
        </is>
      </c>
      <c r="I68" s="2" t="inlineStr">
        <is>
          <t>Obras de derribo del edificio sito en la calle Ginés García Esquitino nº 101, de Elche.</t>
        </is>
      </c>
      <c r="J68" s="2" t="inlineStr">
        <is>
          <t>OBR/ABR_SMPL/2026000146</t>
        </is>
      </c>
      <c r="K68" s="2" t="inlineStr">
        <is>
          <t>Abierto simplificado</t>
        </is>
      </c>
      <c r="L68" s="6" t="n">
        <v>3</v>
      </c>
      <c r="M68" s="2" t="inlineStr">
        <is>
          <t>C1-1</t>
        </is>
      </c>
      <c r="N68" s="7" t="n">
        <v>0.2</v>
      </c>
      <c r="O68" s="4" t="n"/>
      <c r="P68" s="2" t="inlineStr">
        <is>
          <t>45110000</t>
        </is>
      </c>
      <c r="Q68" s="8" t="inlineStr">
        <is>
          <t>Ver</t>
        </is>
      </c>
      <c r="R68" s="8" t="inlineStr">
        <is>
          <t>PCAP</t>
        </is>
      </c>
      <c r="S68" s="9" t="n">
        <v>46310</v>
      </c>
      <c r="T68" s="3" t="n">
        <v>46309.54293981481</v>
      </c>
      <c r="U68" s="2" t="n"/>
    </row>
    <row r="69">
      <c r="A69" s="2" t="inlineStr">
        <is>
          <t>Pendiente de adjudicación</t>
        </is>
      </c>
      <c r="B69" s="3" t="n">
        <v>46161.75</v>
      </c>
      <c r="C69" s="5" t="n">
        <v>661156.38</v>
      </c>
      <c r="D69" s="5" t="n">
        <v>661156.38</v>
      </c>
      <c r="E69" s="2" t="inlineStr">
        <is>
          <t>Andalucía</t>
        </is>
      </c>
      <c r="F69" s="2" t="inlineStr">
        <is>
          <t>Cádiz</t>
        </is>
      </c>
      <c r="G69" s="2" t="inlineStr">
        <is>
          <t>Conil de la Frontera</t>
        </is>
      </c>
      <c r="H69" s="2" t="inlineStr">
        <is>
          <t>Alcaldia del Ayuntamiento de Conil de la Frontera</t>
        </is>
      </c>
      <c r="I6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69" s="2" t="inlineStr">
        <is>
          <t>1445/2026</t>
        </is>
      </c>
      <c r="K69" s="2" t="inlineStr">
        <is>
          <t>Abierto simplificado</t>
        </is>
      </c>
      <c r="L69" s="6" t="n">
        <v>8</v>
      </c>
      <c r="M69" s="2" t="n"/>
      <c r="N69" s="7" t="n">
        <v>0</v>
      </c>
      <c r="O69" s="4" t="n"/>
      <c r="P69" s="2" t="inlineStr">
        <is>
          <t>45100000; 45212220</t>
        </is>
      </c>
      <c r="Q69" s="8" t="inlineStr">
        <is>
          <t>Ver</t>
        </is>
      </c>
      <c r="R69" s="8" t="inlineStr">
        <is>
          <t>PCAP</t>
        </is>
      </c>
      <c r="S69" s="9" t="n">
        <v>46310</v>
      </c>
      <c r="T69" s="3" t="n">
        <v>46309.54258101852</v>
      </c>
      <c r="U69" s="2" t="n"/>
    </row>
    <row r="70">
      <c r="A70" s="2" t="inlineStr">
        <is>
          <t>Adjudicada</t>
        </is>
      </c>
      <c r="B70" s="3" t="n">
        <v>46041.54166666666</v>
      </c>
      <c r="C70" s="5" t="n">
        <v>55995.53</v>
      </c>
      <c r="D70" s="5" t="n">
        <v>55995.53</v>
      </c>
      <c r="E70" s="2" t="inlineStr">
        <is>
          <t>Comunitat Valenciana</t>
        </is>
      </c>
      <c r="F70" s="2" t="inlineStr">
        <is>
          <t>Alicante</t>
        </is>
      </c>
      <c r="G70" s="2" t="n"/>
      <c r="H70" s="2" t="inlineStr">
        <is>
          <t>Junta de Gobierno Local del Ayuntamiento de Alicante</t>
        </is>
      </c>
      <c r="I70" s="2" t="inlineStr">
        <is>
          <t>Remodelación pistas deportivas de la calle Barítono Paco La Torre - Barrio Juan XXIII</t>
        </is>
      </c>
      <c r="J70" s="2" t="inlineStr">
        <is>
          <t>128/25</t>
        </is>
      </c>
      <c r="K70" s="2" t="inlineStr">
        <is>
          <t>Abierto simplificado</t>
        </is>
      </c>
      <c r="L70" s="6" t="n">
        <v>2</v>
      </c>
      <c r="M70" s="2" t="n"/>
      <c r="N70" s="7" t="n">
        <v>0</v>
      </c>
      <c r="O70" s="4" t="n"/>
      <c r="P70" s="2" t="inlineStr">
        <is>
          <t>45236119</t>
        </is>
      </c>
      <c r="Q70" s="8" t="inlineStr">
        <is>
          <t>Ver</t>
        </is>
      </c>
      <c r="R70" s="8" t="inlineStr">
        <is>
          <t>PCAP</t>
        </is>
      </c>
      <c r="S70" s="9" t="n">
        <v>46310</v>
      </c>
      <c r="T70" s="3" t="n">
        <v>46309.54101851852</v>
      </c>
      <c r="U70" s="2" t="n"/>
    </row>
    <row r="71">
      <c r="A71" s="2" t="inlineStr">
        <is>
          <t>Pendiente de adjudicación</t>
        </is>
      </c>
      <c r="B71" s="3" t="n">
        <v>46308.99930555555</v>
      </c>
      <c r="C71" s="5" t="n">
        <v>269136.45</v>
      </c>
      <c r="D71" s="5" t="n">
        <v>269136.45</v>
      </c>
      <c r="E71" s="2" t="inlineStr">
        <is>
          <t>Comunitat Valenciana</t>
        </is>
      </c>
      <c r="F71" s="2" t="inlineStr">
        <is>
          <t>Alicante</t>
        </is>
      </c>
      <c r="G71" s="2" t="n"/>
      <c r="H71" s="2" t="inlineStr">
        <is>
          <t>Junta de Gobierno del Ayuntamiento de Elche</t>
        </is>
      </c>
      <c r="I71" s="2" t="inlineStr">
        <is>
          <t>Obras de mantenimiento de espacios públicos peatonales en los distritos urbanos y rurales 2026 (aceras distritos)</t>
        </is>
      </c>
      <c r="J71" s="2" t="inlineStr">
        <is>
          <t>OBR/ABR_SMPL/2026000147</t>
        </is>
      </c>
      <c r="K71" s="2" t="inlineStr">
        <is>
          <t>Abierto simplificado</t>
        </is>
      </c>
      <c r="L71" s="6" t="n">
        <v>12</v>
      </c>
      <c r="M71" s="2" t="n"/>
      <c r="N71" s="7" t="n">
        <v>0.25</v>
      </c>
      <c r="O71" s="4" t="n"/>
      <c r="P71" s="2" t="inlineStr">
        <is>
          <t>45233140</t>
        </is>
      </c>
      <c r="Q71" s="8" t="inlineStr">
        <is>
          <t>Ver</t>
        </is>
      </c>
      <c r="R71" s="8" t="inlineStr">
        <is>
          <t>PCAP</t>
        </is>
      </c>
      <c r="S71" s="9" t="n">
        <v>46310</v>
      </c>
      <c r="T71" s="3" t="n">
        <v>46309.53923611111</v>
      </c>
      <c r="U71" s="2" t="n"/>
    </row>
    <row r="72">
      <c r="A72" s="2" t="inlineStr">
        <is>
          <t>En plazo</t>
        </is>
      </c>
      <c r="B72" s="3" t="n">
        <v>46329.99930555555</v>
      </c>
      <c r="C72" s="5" t="n">
        <v>120661.16</v>
      </c>
      <c r="D72" s="5" t="n">
        <v>120661.16</v>
      </c>
      <c r="E72" s="2" t="inlineStr">
        <is>
          <t>Andalucía</t>
        </is>
      </c>
      <c r="F72" s="2" t="inlineStr">
        <is>
          <t>Jaén</t>
        </is>
      </c>
      <c r="G72" s="2" t="n"/>
      <c r="H72" s="2" t="inlineStr">
        <is>
          <t>Alcaldía del Ayuntamiento de Úbeda</t>
        </is>
      </c>
      <c r="I72" s="2" t="inlineStr">
        <is>
          <t>"Adecuación de apeadero para autobuses turísticos en el Mirador de San Francisco de Úbeda"</t>
        </is>
      </c>
      <c r="J72" s="2" t="inlineStr">
        <is>
          <t>OBR7476/2026</t>
        </is>
      </c>
      <c r="K72" s="2" t="inlineStr">
        <is>
          <t>Abierto simplificado</t>
        </is>
      </c>
      <c r="L72" s="6" t="n">
        <v>4</v>
      </c>
      <c r="M72" s="2" t="n"/>
      <c r="N72" s="7" t="n">
        <v>0</v>
      </c>
      <c r="O72" s="4" t="n"/>
      <c r="P72" s="2" t="inlineStr">
        <is>
          <t>45233200</t>
        </is>
      </c>
      <c r="Q72" s="8" t="inlineStr">
        <is>
          <t>Ver</t>
        </is>
      </c>
      <c r="R72" s="8" t="inlineStr">
        <is>
          <t>PCAP</t>
        </is>
      </c>
      <c r="S72" s="9" t="n">
        <v>46310</v>
      </c>
      <c r="T72" s="3" t="n">
        <v>46309.53690972222</v>
      </c>
      <c r="U72" s="2" t="n"/>
    </row>
    <row r="73">
      <c r="A73" s="2" t="inlineStr">
        <is>
          <t>Resuelta</t>
        </is>
      </c>
      <c r="B73" s="3" t="n">
        <v>46188.75</v>
      </c>
      <c r="C73" s="5" t="n">
        <v>365638.97</v>
      </c>
      <c r="D73" s="5" t="n">
        <v>365638.97</v>
      </c>
      <c r="E73" s="2" t="inlineStr">
        <is>
          <t>Andalucía</t>
        </is>
      </c>
      <c r="F73" s="2" t="inlineStr">
        <is>
          <t>Almería</t>
        </is>
      </c>
      <c r="G73" s="2" t="inlineStr">
        <is>
          <t>Almería</t>
        </is>
      </c>
      <c r="H73" s="2" t="inlineStr">
        <is>
          <t>Presidencia de la Autoridad Portuaria de Almería</t>
        </is>
      </c>
      <c r="I73" s="2" t="inlineStr">
        <is>
          <t>Obras de Mejora y Rehabilitación del Edificio OTP (Organización de Trabajadores Portuarios)</t>
        </is>
      </c>
      <c r="J73" s="2" t="inlineStr">
        <is>
          <t>21/O/AS/AL26</t>
        </is>
      </c>
      <c r="K73" s="2" t="inlineStr">
        <is>
          <t>Abierto simplificado</t>
        </is>
      </c>
      <c r="L73" s="6" t="n">
        <v>8</v>
      </c>
      <c r="M73" s="2" t="n"/>
      <c r="N73" s="7" t="n">
        <v>0.25</v>
      </c>
      <c r="O73" s="4" t="n"/>
      <c r="P73" s="2" t="inlineStr">
        <is>
          <t>45200000</t>
        </is>
      </c>
      <c r="Q73" s="8" t="inlineStr">
        <is>
          <t>Ver</t>
        </is>
      </c>
      <c r="R73" s="2" t="n"/>
      <c r="S73" s="9" t="n">
        <v>46310</v>
      </c>
      <c r="T73" s="3" t="n">
        <v>46309.53686342593</v>
      </c>
      <c r="U73" s="2" t="n"/>
    </row>
    <row r="74">
      <c r="A74" s="2" t="inlineStr">
        <is>
          <t>En plazo</t>
        </is>
      </c>
      <c r="B74" s="3" t="n">
        <v>46316.625</v>
      </c>
      <c r="C74" s="5" t="n">
        <v>35537.19</v>
      </c>
      <c r="D74" s="5" t="n">
        <v>35537.19</v>
      </c>
      <c r="E74" s="2" t="inlineStr">
        <is>
          <t>Andalucía</t>
        </is>
      </c>
      <c r="F74" s="2" t="inlineStr">
        <is>
          <t>Málaga</t>
        </is>
      </c>
      <c r="G74" s="2" t="inlineStr">
        <is>
          <t>fuente de piedra</t>
        </is>
      </c>
      <c r="H74" s="2" t="inlineStr">
        <is>
          <t>Junta de Gobierno Local del Ayuntamiento de Fuente de Piedra</t>
        </is>
      </c>
      <c r="I7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74" s="2" t="inlineStr">
        <is>
          <t>986/2024</t>
        </is>
      </c>
      <c r="K74" s="2" t="inlineStr">
        <is>
          <t>Abierto simplificado</t>
        </is>
      </c>
      <c r="L74" s="6" t="n">
        <v>3</v>
      </c>
      <c r="M74" s="2" t="n"/>
      <c r="N74" s="7" t="n">
        <v>0</v>
      </c>
      <c r="O74" s="4" t="n"/>
      <c r="P74" s="2" t="inlineStr">
        <is>
          <t>45233222</t>
        </is>
      </c>
      <c r="Q74" s="8" t="inlineStr">
        <is>
          <t>Ver</t>
        </is>
      </c>
      <c r="R74" s="8" t="inlineStr">
        <is>
          <t>PCAP</t>
        </is>
      </c>
      <c r="S74" s="9" t="n">
        <v>46310</v>
      </c>
      <c r="T74" s="3" t="n">
        <v>46309.53685185185</v>
      </c>
      <c r="U74" s="2" t="n"/>
    </row>
    <row r="75">
      <c r="A75" s="2" t="inlineStr">
        <is>
          <t>En plazo</t>
        </is>
      </c>
      <c r="B75" s="3" t="n">
        <v>46330.99930555555</v>
      </c>
      <c r="C75" s="5" t="n">
        <v>127657.69</v>
      </c>
      <c r="D75" s="5" t="n">
        <v>127657.69</v>
      </c>
      <c r="E75" s="2" t="inlineStr">
        <is>
          <t>Comunitat Valenciana</t>
        </is>
      </c>
      <c r="F75" s="2" t="inlineStr">
        <is>
          <t>Valencia</t>
        </is>
      </c>
      <c r="G75" s="2" t="n"/>
      <c r="H75" s="2" t="inlineStr">
        <is>
          <t>Alcaldía del Ayuntamiento de Alginet</t>
        </is>
      </c>
      <c r="I75" s="2" t="inlineStr">
        <is>
          <t>Obra de cubrición del patio del almacén municipal d'Alginet consistente en una estructura metálica y cubierta ligera</t>
        </is>
      </c>
      <c r="J75" s="2" t="inlineStr">
        <is>
          <t>2927457N</t>
        </is>
      </c>
      <c r="K75" s="2" t="inlineStr">
        <is>
          <t>Abierto simplificado</t>
        </is>
      </c>
      <c r="L75" s="6" t="n">
        <v>3</v>
      </c>
      <c r="M75" s="2" t="n"/>
      <c r="N75" s="7" t="n">
        <v>0</v>
      </c>
      <c r="O75" s="4" t="n"/>
      <c r="P75" s="2" t="inlineStr">
        <is>
          <t>45213221; 45223220; 45223110; 45261210</t>
        </is>
      </c>
      <c r="Q75" s="8" t="inlineStr">
        <is>
          <t>Ver</t>
        </is>
      </c>
      <c r="R75" s="8" t="inlineStr">
        <is>
          <t>PCAP</t>
        </is>
      </c>
      <c r="S75" s="9" t="n">
        <v>46310</v>
      </c>
      <c r="T75" s="3" t="n">
        <v>46309.53657407407</v>
      </c>
      <c r="U75" s="2" t="n"/>
    </row>
    <row r="76">
      <c r="A76" s="2" t="inlineStr">
        <is>
          <t>Adjudicada</t>
        </is>
      </c>
      <c r="B76" s="3" t="n">
        <v>46230.99930555555</v>
      </c>
      <c r="C76" s="5" t="n">
        <v>297520.66</v>
      </c>
      <c r="D76" s="5" t="n">
        <v>297520.66</v>
      </c>
      <c r="E76" s="2" t="inlineStr">
        <is>
          <t>Andalucía</t>
        </is>
      </c>
      <c r="F76" s="2" t="inlineStr">
        <is>
          <t>Almería</t>
        </is>
      </c>
      <c r="G76" s="2" t="n"/>
      <c r="H76" s="2" t="inlineStr">
        <is>
          <t>Junta de Gobierno de la Diputación Provincial de Almería</t>
        </is>
      </c>
      <c r="I76" s="2" t="inlineStr">
        <is>
          <t>Rehabilitación Del Firme Y Mejora En C.p. Al-6300: De La A-7 A La A-1175 Por La Alquería De Adra 20RVP2025-2026</t>
        </is>
      </c>
      <c r="J76" s="2" t="inlineStr">
        <is>
          <t>2026/D31000/006-013/00037</t>
        </is>
      </c>
      <c r="K76" s="2" t="inlineStr">
        <is>
          <t>Abierto simplificado</t>
        </is>
      </c>
      <c r="L76" s="6" t="n">
        <v>4</v>
      </c>
      <c r="M76" s="2" t="n"/>
      <c r="N76" s="7" t="n">
        <v>0.25</v>
      </c>
      <c r="O76" s="4" t="n"/>
      <c r="P76" s="2" t="inlineStr">
        <is>
          <t>45233220</t>
        </is>
      </c>
      <c r="Q76" s="8" t="inlineStr">
        <is>
          <t>Ver</t>
        </is>
      </c>
      <c r="R76" s="8" t="inlineStr">
        <is>
          <t>PCAP</t>
        </is>
      </c>
      <c r="S76" s="9" t="n">
        <v>46310</v>
      </c>
      <c r="T76" s="3" t="n">
        <v>46309.5358912037</v>
      </c>
      <c r="U76" s="2" t="n"/>
    </row>
    <row r="77">
      <c r="A77" s="2" t="inlineStr">
        <is>
          <t>Resuelta</t>
        </is>
      </c>
      <c r="B77" s="3" t="n">
        <v>46076.99930555555</v>
      </c>
      <c r="C77" s="5" t="n">
        <v>220661.16</v>
      </c>
      <c r="D77" s="5" t="n">
        <v>220661.16</v>
      </c>
      <c r="E77" s="2" t="inlineStr">
        <is>
          <t>Comunitat Valenciana</t>
        </is>
      </c>
      <c r="F77" s="2" t="inlineStr">
        <is>
          <t>Valencia</t>
        </is>
      </c>
      <c r="G77" s="2" t="n"/>
      <c r="H77" s="2" t="inlineStr">
        <is>
          <t>Junta de Gobierno del Ayuntamiento de Paiporta</t>
        </is>
      </c>
      <c r="I7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77" s="2" t="inlineStr">
        <is>
          <t>2582938P</t>
        </is>
      </c>
      <c r="K77" s="2" t="inlineStr">
        <is>
          <t>Abierto simplificado</t>
        </is>
      </c>
      <c r="L77" s="6" t="n">
        <v>2</v>
      </c>
      <c r="M77" s="2" t="n"/>
      <c r="N77" s="7" t="n">
        <v>0</v>
      </c>
      <c r="O77" s="4" t="n"/>
      <c r="P77" s="2" t="inlineStr">
        <is>
          <t>45233161; 45233294; 45111000; 45233270; 45233221; 45233222; 45233293; 45233251</t>
        </is>
      </c>
      <c r="Q77" s="8" t="inlineStr">
        <is>
          <t>Ver</t>
        </is>
      </c>
      <c r="R77" s="8" t="inlineStr">
        <is>
          <t>PCAP</t>
        </is>
      </c>
      <c r="S77" s="9" t="n">
        <v>46310</v>
      </c>
      <c r="T77" s="3" t="n">
        <v>46309.53554398148</v>
      </c>
      <c r="U77" s="2" t="n"/>
    </row>
    <row r="78">
      <c r="A78" s="2" t="inlineStr">
        <is>
          <t>Pendiente de adjudicación</t>
        </is>
      </c>
      <c r="B78" s="3" t="n">
        <v>46296.99930555555</v>
      </c>
      <c r="C78" s="5" t="n">
        <v>8348036.8</v>
      </c>
      <c r="D78" s="5" t="n">
        <v>8348036.8</v>
      </c>
      <c r="E78" s="2" t="inlineStr">
        <is>
          <t>Comunitat Valenciana</t>
        </is>
      </c>
      <c r="F78" s="2" t="inlineStr">
        <is>
          <t>Alicante</t>
        </is>
      </c>
      <c r="G78" s="2" t="n"/>
      <c r="H78" s="2" t="inlineStr">
        <is>
          <t>Junta de Gobierno del Ayuntamiento de Elche</t>
        </is>
      </c>
      <c r="I78" s="2" t="inlineStr">
        <is>
          <t>Contrato de obras de Rehabilitación del Convento de la Merced</t>
        </is>
      </c>
      <c r="J78" s="2" t="inlineStr">
        <is>
          <t>OBR/ABR/2026000130</t>
        </is>
      </c>
      <c r="K78" s="2" t="inlineStr">
        <is>
          <t>Abierto</t>
        </is>
      </c>
      <c r="L78" s="6" t="n">
        <v>36</v>
      </c>
      <c r="M78" s="2" t="inlineStr">
        <is>
          <t>C7-5; C4-5; C8-5; K7-4</t>
        </is>
      </c>
      <c r="N78" s="7" t="n">
        <v>0.4</v>
      </c>
      <c r="O78" s="4" t="n"/>
      <c r="P78" s="2" t="inlineStr">
        <is>
          <t>45000000; 45200000</t>
        </is>
      </c>
      <c r="Q78" s="8" t="inlineStr">
        <is>
          <t>Ver</t>
        </is>
      </c>
      <c r="R78" s="8" t="inlineStr">
        <is>
          <t>PCAP</t>
        </is>
      </c>
      <c r="S78" s="9" t="n">
        <v>46310</v>
      </c>
      <c r="T78" s="3" t="n">
        <v>46309.53474537037</v>
      </c>
      <c r="U78" s="2" t="n"/>
    </row>
    <row r="79">
      <c r="A79" s="2" t="inlineStr">
        <is>
          <t>Adjudicada</t>
        </is>
      </c>
      <c r="B79" s="3" t="n">
        <v>46216.99930555555</v>
      </c>
      <c r="C79" s="5" t="n">
        <v>214876.03</v>
      </c>
      <c r="D79" s="5" t="n">
        <v>214876.03</v>
      </c>
      <c r="E79" s="2" t="inlineStr">
        <is>
          <t>Andalucía</t>
        </is>
      </c>
      <c r="F79" s="2" t="inlineStr">
        <is>
          <t>Almería</t>
        </is>
      </c>
      <c r="G79" s="2" t="n"/>
      <c r="H79" s="2" t="inlineStr">
        <is>
          <t>Junta de Gobierno de la Diputación Provincial de Almería</t>
        </is>
      </c>
      <c r="I79" s="2" t="inlineStr">
        <is>
          <t>Rehabilitación Y Mejora Del Firme En C.p. Al-6107, De La A-1100 En Albanchez A La A-1101 En Rambla Aljibe De Lubrín Por Los Molinas 34RVP2025-2026</t>
        </is>
      </c>
      <c r="J79" s="2" t="inlineStr">
        <is>
          <t>2026/D31000/006-013/00032</t>
        </is>
      </c>
      <c r="K79" s="2" t="inlineStr">
        <is>
          <t>Abierto simplificado</t>
        </is>
      </c>
      <c r="L79" s="6" t="n">
        <v>3</v>
      </c>
      <c r="M79" s="2" t="n"/>
      <c r="N79" s="7" t="n">
        <v>0.25</v>
      </c>
      <c r="O79" s="4" t="n"/>
      <c r="P79" s="2" t="inlineStr">
        <is>
          <t>45233220</t>
        </is>
      </c>
      <c r="Q79" s="8" t="inlineStr">
        <is>
          <t>Ver</t>
        </is>
      </c>
      <c r="R79" s="8" t="inlineStr">
        <is>
          <t>PCAP</t>
        </is>
      </c>
      <c r="S79" s="9" t="n">
        <v>46310</v>
      </c>
      <c r="T79" s="3" t="n">
        <v>46309.5347337963</v>
      </c>
      <c r="U79" s="2" t="n"/>
    </row>
    <row r="80">
      <c r="A80" s="2" t="inlineStr">
        <is>
          <t>Adjudicada</t>
        </is>
      </c>
      <c r="B80" s="3" t="n">
        <v>46274.99930555555</v>
      </c>
      <c r="C80" s="5" t="n">
        <v>95041.32000000001</v>
      </c>
      <c r="D80" s="5" t="n">
        <v>95041.32000000001</v>
      </c>
      <c r="E80" s="2" t="inlineStr">
        <is>
          <t>Andalucía</t>
        </is>
      </c>
      <c r="F80" s="2" t="inlineStr">
        <is>
          <t>Almería</t>
        </is>
      </c>
      <c r="G80" s="2" t="n"/>
      <c r="H80" s="2" t="inlineStr">
        <is>
          <t>Junta de Gobierno de la Diputación Provincial de Almería</t>
        </is>
      </c>
      <c r="I80" s="2" t="inlineStr">
        <is>
          <t>Rehabilitación Del Firme Camino Gacia Alto-royo Morera. Tt.mm. De Sorbas Y Turre 57PG2025</t>
        </is>
      </c>
      <c r="J80" s="2" t="inlineStr">
        <is>
          <t>2026/D31000/006-013/00028</t>
        </is>
      </c>
      <c r="K80" s="2" t="inlineStr">
        <is>
          <t>Abierto simplificado</t>
        </is>
      </c>
      <c r="L80" s="6" t="n">
        <v>2</v>
      </c>
      <c r="M80" s="2" t="n"/>
      <c r="N80" s="7" t="n">
        <v>0.25</v>
      </c>
      <c r="O80" s="4" t="n"/>
      <c r="P80" s="2" t="inlineStr">
        <is>
          <t>45233220</t>
        </is>
      </c>
      <c r="Q80" s="8" t="inlineStr">
        <is>
          <t>Ver</t>
        </is>
      </c>
      <c r="R80" s="8" t="inlineStr">
        <is>
          <t>PCAP</t>
        </is>
      </c>
      <c r="S80" s="9" t="n">
        <v>46310</v>
      </c>
      <c r="T80" s="3" t="n">
        <v>46309.53273148148</v>
      </c>
      <c r="U80" s="2" t="n"/>
    </row>
    <row r="81">
      <c r="A81" s="2" t="inlineStr">
        <is>
          <t>En plazo</t>
        </is>
      </c>
      <c r="B81" s="3" t="n">
        <v>46329.99930555555</v>
      </c>
      <c r="C81" s="5" t="n">
        <v>564012.4</v>
      </c>
      <c r="D81" s="5" t="n">
        <v>564012.4</v>
      </c>
      <c r="E81" s="2" t="inlineStr">
        <is>
          <t>Comunitat Valenciana</t>
        </is>
      </c>
      <c r="F81" s="2" t="n"/>
      <c r="G81" s="2" t="inlineStr">
        <is>
          <t>Oliva</t>
        </is>
      </c>
      <c r="H81" s="2" t="inlineStr">
        <is>
          <t>Concejal de Contratación del Ayuntamiento de Oliva</t>
        </is>
      </c>
      <c r="I81" s="2" t="inlineStr">
        <is>
          <t>Mejora de la accesibilidad en espacios públicos y renovación de la red de abastecimiento de agua potable</t>
        </is>
      </c>
      <c r="J81" s="2" t="inlineStr">
        <is>
          <t>15056/2026</t>
        </is>
      </c>
      <c r="K81" s="2" t="inlineStr">
        <is>
          <t>Abierto simplificado</t>
        </is>
      </c>
      <c r="L81" s="6" t="n">
        <v>5</v>
      </c>
      <c r="M81" s="2" t="n"/>
      <c r="N81" s="7" t="n">
        <v>0</v>
      </c>
      <c r="O81" s="4" t="n"/>
      <c r="P81" s="2" t="inlineStr">
        <is>
          <t>45200000</t>
        </is>
      </c>
      <c r="Q81" s="8" t="inlineStr">
        <is>
          <t>Ver</t>
        </is>
      </c>
      <c r="R81" s="8" t="inlineStr">
        <is>
          <t>PCAP</t>
        </is>
      </c>
      <c r="S81" s="9" t="n">
        <v>46310</v>
      </c>
      <c r="T81" s="3" t="n">
        <v>46309.53194444445</v>
      </c>
      <c r="U81" s="2" t="n"/>
    </row>
    <row r="82">
      <c r="A82" s="2" t="inlineStr">
        <is>
          <t>Adjudicada</t>
        </is>
      </c>
      <c r="B82" s="3" t="n">
        <v>46157.83333333334</v>
      </c>
      <c r="C82" s="5" t="n">
        <v>823639.89</v>
      </c>
      <c r="D82" s="5" t="n">
        <v>823639.89</v>
      </c>
      <c r="E82" s="2" t="inlineStr">
        <is>
          <t>Andalucía</t>
        </is>
      </c>
      <c r="F82" s="2" t="inlineStr">
        <is>
          <t>Málaga</t>
        </is>
      </c>
      <c r="G82" s="2" t="n"/>
      <c r="H82" s="2" t="inlineStr">
        <is>
          <t>Consejería delegada de ACOSOL, S.A.U.</t>
        </is>
      </c>
      <c r="I82" s="2" t="inlineStr">
        <is>
          <t>Contratación del proyecto constructivo y la ejecución de las obras de las instalaciones de almacenamiento de productos químicos (APQ) y de protección contra incendios (PCI) de la ETAP de Río Verde, T.M de Marbella</t>
        </is>
      </c>
      <c r="J82" s="2" t="inlineStr">
        <is>
          <t>27-26</t>
        </is>
      </c>
      <c r="K82" s="2" t="inlineStr">
        <is>
          <t>Abierto</t>
        </is>
      </c>
      <c r="L82" s="6" t="n">
        <v>8</v>
      </c>
      <c r="M82" s="2" t="inlineStr">
        <is>
          <t>E1-6</t>
        </is>
      </c>
      <c r="N82" s="7" t="n">
        <v>0.49</v>
      </c>
      <c r="O82" s="4" t="n"/>
      <c r="P82" s="2" t="inlineStr">
        <is>
          <t>45213200; 71200000; 45210000</t>
        </is>
      </c>
      <c r="Q82" s="8" t="inlineStr">
        <is>
          <t>Ver</t>
        </is>
      </c>
      <c r="R82" s="8" t="inlineStr">
        <is>
          <t>PCAP</t>
        </is>
      </c>
      <c r="S82" s="9" t="n">
        <v>46310</v>
      </c>
      <c r="T82" s="3" t="n">
        <v>46309.53013888889</v>
      </c>
      <c r="U82" s="2" t="n"/>
    </row>
    <row r="83">
      <c r="A83" s="2" t="inlineStr">
        <is>
          <t>Pendiente de adjudicación</t>
        </is>
      </c>
      <c r="B83" s="3" t="n">
        <v>46294.75</v>
      </c>
      <c r="C83" s="5" t="n">
        <v>64420.77</v>
      </c>
      <c r="D83" s="5" t="n">
        <v>66420.77</v>
      </c>
      <c r="E83" s="2" t="inlineStr">
        <is>
          <t>Comunitat Valenciana</t>
        </is>
      </c>
      <c r="F83" s="2" t="inlineStr">
        <is>
          <t>Alicante</t>
        </is>
      </c>
      <c r="G83" s="2" t="inlineStr">
        <is>
          <t>Alicante (Alacant)</t>
        </is>
      </c>
      <c r="H83" s="2" t="inlineStr">
        <is>
          <t>Junta de Gobierno del Ayuntamiento de Santa Pola</t>
        </is>
      </c>
      <c r="I83" s="2" t="inlineStr">
        <is>
          <t>Licitación para las obras de rehabilitación de la cubierta del Pabellón Virgen de Loreto</t>
        </is>
      </c>
      <c r="J83" s="2" t="inlineStr">
        <is>
          <t>13646/2026</t>
        </is>
      </c>
      <c r="K83" s="2" t="inlineStr">
        <is>
          <t>Abierto simplificado</t>
        </is>
      </c>
      <c r="L83" s="6" t="n">
        <v>2</v>
      </c>
      <c r="M83" s="2" t="n"/>
      <c r="N83" s="7" t="n">
        <v>0.4</v>
      </c>
      <c r="O83" s="4" t="n"/>
      <c r="P83" s="2" t="inlineStr">
        <is>
          <t>45261000; 45261900; 45261300; 45261310; 45261420; 45261410</t>
        </is>
      </c>
      <c r="Q83" s="8" t="inlineStr">
        <is>
          <t>Ver</t>
        </is>
      </c>
      <c r="R83" s="8" t="inlineStr">
        <is>
          <t>PCAP</t>
        </is>
      </c>
      <c r="S83" s="9" t="n">
        <v>46310</v>
      </c>
      <c r="T83" s="3" t="n">
        <v>46309.53</v>
      </c>
      <c r="U83" s="2" t="n"/>
    </row>
    <row r="84">
      <c r="A84" s="2" t="inlineStr">
        <is>
          <t>Pendiente de adjudicación</t>
        </is>
      </c>
      <c r="B84" s="3" t="n">
        <v>46289.99930555555</v>
      </c>
      <c r="C84" s="5" t="n">
        <v>398450.06</v>
      </c>
      <c r="D84" s="5" t="n">
        <v>398450.06</v>
      </c>
      <c r="E84" s="2" t="inlineStr">
        <is>
          <t>Andalucía</t>
        </is>
      </c>
      <c r="F84" s="2" t="inlineStr">
        <is>
          <t>Sevilla</t>
        </is>
      </c>
      <c r="G84" s="2" t="inlineStr">
        <is>
          <t>SAN JUAN DE AZNALFARACHE</t>
        </is>
      </c>
      <c r="H84" s="2" t="inlineStr">
        <is>
          <t>Junta de Gobierno del Ayuntamiento San Juan de Aznalfarache</t>
        </is>
      </c>
      <c r="I84" s="2" t="inlineStr">
        <is>
          <t>ejecución de las obras contempladas en el “Proyecto de Ejecución de Glorieta de organización de tráfico sobre plataforma de cubrición de la Autovía A-8058”</t>
        </is>
      </c>
      <c r="J84" s="2" t="inlineStr">
        <is>
          <t>5434/2026</t>
        </is>
      </c>
      <c r="K84" s="2" t="inlineStr">
        <is>
          <t>Abierto simplificado</t>
        </is>
      </c>
      <c r="L84" s="6" t="n">
        <v>6</v>
      </c>
      <c r="M84" s="2" t="n"/>
      <c r="N84" s="7" t="n">
        <v>0</v>
      </c>
      <c r="O84" s="4" t="n"/>
      <c r="P84" s="2" t="inlineStr">
        <is>
          <t>45000000</t>
        </is>
      </c>
      <c r="Q84" s="8" t="inlineStr">
        <is>
          <t>Ver</t>
        </is>
      </c>
      <c r="R84" s="8" t="inlineStr">
        <is>
          <t>PCAP</t>
        </is>
      </c>
      <c r="S84" s="9" t="n">
        <v>46310</v>
      </c>
      <c r="T84" s="3" t="n">
        <v>46309.5287962963</v>
      </c>
      <c r="U84" s="2" t="n"/>
    </row>
    <row r="85">
      <c r="A85" s="2" t="inlineStr">
        <is>
          <t>Pendiente de adjudicación</t>
        </is>
      </c>
      <c r="B85" s="3" t="n">
        <v>46308.58333333334</v>
      </c>
      <c r="C85" s="5" t="n">
        <v>45059.74</v>
      </c>
      <c r="D85" s="5" t="n">
        <v>54071.69</v>
      </c>
      <c r="E85" s="2" t="inlineStr">
        <is>
          <t>Comunitat Valenciana</t>
        </is>
      </c>
      <c r="F85" s="2" t="inlineStr">
        <is>
          <t>Valencia</t>
        </is>
      </c>
      <c r="G85" s="2" t="n"/>
      <c r="H85" s="2" t="inlineStr">
        <is>
          <t>Dirección General de la Ciudad de las Artes y de las Ciencias S.A.</t>
        </is>
      </c>
      <c r="I85" s="2" t="inlineStr">
        <is>
          <t>Contratación de la ejecución de las obras de cableado de comunicaciones, adecuación del centro de proceso de datos en Museo de las Ciencias y tendido de fibra óptica hasta cpd Oceanogràfic</t>
        </is>
      </c>
      <c r="J85" s="2" t="inlineStr">
        <is>
          <t>0076-26</t>
        </is>
      </c>
      <c r="K85" s="2" t="inlineStr">
        <is>
          <t>Restringido</t>
        </is>
      </c>
      <c r="L85" s="6" t="n">
        <v>1.5</v>
      </c>
      <c r="M85" s="2" t="n"/>
      <c r="N85" s="7" t="n">
        <v>0.45</v>
      </c>
      <c r="O85" s="4" t="n">
        <v>1</v>
      </c>
      <c r="P85" s="2" t="inlineStr">
        <is>
          <t>45314320</t>
        </is>
      </c>
      <c r="Q85" s="8" t="inlineStr">
        <is>
          <t>Ver</t>
        </is>
      </c>
      <c r="R85" s="8" t="inlineStr">
        <is>
          <t>PCAP</t>
        </is>
      </c>
      <c r="S85" s="9" t="n">
        <v>46310</v>
      </c>
      <c r="T85" s="3" t="n">
        <v>46309.5284375</v>
      </c>
      <c r="U85" s="2" t="n"/>
    </row>
    <row r="86">
      <c r="A86" s="2" t="inlineStr">
        <is>
          <t>Resuelta</t>
        </is>
      </c>
      <c r="B86" s="3" t="n">
        <v>46216.99930555555</v>
      </c>
      <c r="C86" s="5" t="n">
        <v>326811.56</v>
      </c>
      <c r="D86" s="5" t="n">
        <v>326811.56</v>
      </c>
      <c r="E86" s="2" t="inlineStr">
        <is>
          <t>Andalucía</t>
        </is>
      </c>
      <c r="F86" s="2" t="inlineStr">
        <is>
          <t>Córdoba</t>
        </is>
      </c>
      <c r="G86" s="2" t="n"/>
      <c r="H86" s="2" t="inlineStr">
        <is>
          <t>Junta de Gobierno de la Diputación Provincial de Córdoba</t>
        </is>
      </c>
      <c r="I86" s="2" t="inlineStr">
        <is>
          <t>Contratación de la obra Remodelación de la Plaza de Andalucía y su entorno, en Villaviciosa de Córdoba, obra incluida en los Planes Provinciales de Obras y Servicios 2024-2027 (bienio 2026-2027).</t>
        </is>
      </c>
      <c r="J86" s="2" t="inlineStr">
        <is>
          <t>443/26</t>
        </is>
      </c>
      <c r="K86" s="2" t="inlineStr">
        <is>
          <t>Abierto</t>
        </is>
      </c>
      <c r="L86" s="6" t="n">
        <v>10</v>
      </c>
      <c r="M86" s="2" t="n"/>
      <c r="N86" s="7" t="n">
        <v>0.25</v>
      </c>
      <c r="O86" s="4" t="n"/>
      <c r="P86" s="2" t="inlineStr">
        <is>
          <t>45233252; 45233200</t>
        </is>
      </c>
      <c r="Q86" s="8" t="inlineStr">
        <is>
          <t>Ver</t>
        </is>
      </c>
      <c r="R86" s="8" t="inlineStr">
        <is>
          <t>PCAP</t>
        </is>
      </c>
      <c r="S86" s="9" t="n">
        <v>46310</v>
      </c>
      <c r="T86" s="3" t="n">
        <v>46309.52806712963</v>
      </c>
      <c r="U86" s="2" t="n"/>
    </row>
    <row r="87">
      <c r="A87" s="2" t="inlineStr">
        <is>
          <t>Resuelta</t>
        </is>
      </c>
      <c r="B87" s="3" t="n">
        <v>46272.58333333334</v>
      </c>
      <c r="C87" s="5" t="n">
        <v>121309.02</v>
      </c>
      <c r="D87" s="5" t="n">
        <v>121309.02</v>
      </c>
      <c r="E87" s="2" t="inlineStr">
        <is>
          <t>Andalucía</t>
        </is>
      </c>
      <c r="F87" s="2" t="inlineStr">
        <is>
          <t>Córdoba</t>
        </is>
      </c>
      <c r="G87" s="2" t="inlineStr">
        <is>
          <t>Hinojosa del Duque</t>
        </is>
      </c>
      <c r="H87" s="2" t="inlineStr">
        <is>
          <t>Alcaldía del Ayuntamiento de Hinojosa del Duque</t>
        </is>
      </c>
      <c r="I87" s="2" t="inlineStr">
        <is>
          <t>Realización de las obras necesarias para la renovación del alumbrado ornamental y monumental de la Plaza de la Catedral de Hinojosa del Duque y de los edificios históricos asociados al ámbito de actuación</t>
        </is>
      </c>
      <c r="J87" s="2" t="inlineStr">
        <is>
          <t>GEX 2640/2026</t>
        </is>
      </c>
      <c r="K87" s="2" t="inlineStr">
        <is>
          <t>Abierto simplificado</t>
        </is>
      </c>
      <c r="L87" s="6" t="n">
        <v>1</v>
      </c>
      <c r="M87" s="2" t="n"/>
      <c r="N87" s="7" t="n">
        <v>0</v>
      </c>
      <c r="O87" s="4" t="n"/>
      <c r="P87" s="2" t="inlineStr">
        <is>
          <t>45310000; 45316100</t>
        </is>
      </c>
      <c r="Q87" s="8" t="inlineStr">
        <is>
          <t>Ver</t>
        </is>
      </c>
      <c r="R87" s="8" t="inlineStr">
        <is>
          <t>PCAP</t>
        </is>
      </c>
      <c r="S87" s="9" t="n">
        <v>46310</v>
      </c>
      <c r="T87" s="3" t="n">
        <v>46309.52577546296</v>
      </c>
      <c r="U87" s="2" t="n"/>
    </row>
    <row r="88">
      <c r="A88" s="2" t="inlineStr">
        <is>
          <t>Pendiente de adjudicación</t>
        </is>
      </c>
      <c r="B88" s="3" t="n">
        <v>46202.58263888889</v>
      </c>
      <c r="C88" s="5" t="n">
        <v>1776382.99</v>
      </c>
      <c r="D88" s="5" t="n">
        <v>1776382.99</v>
      </c>
      <c r="E88" s="2" t="inlineStr">
        <is>
          <t>Comunitat Valenciana</t>
        </is>
      </c>
      <c r="F88" s="2" t="inlineStr">
        <is>
          <t>Valencia</t>
        </is>
      </c>
      <c r="G88" s="2" t="n"/>
      <c r="H88" s="2" t="inlineStr">
        <is>
          <t>Vicepresidente Tercero y Conseller de Medio Ambiente, Infraestructuras, Territorio y de la Recuperación</t>
        </is>
      </c>
      <c r="I88" s="2" t="inlineStr">
        <is>
          <t>Nuevo itinerario ciclo-peatonal entre Xilxes y la playa de Xilxes (Castellón)</t>
        </is>
      </c>
      <c r="J88" s="2" t="inlineStr">
        <is>
          <t>CMAYOR/2022/03Y05/134</t>
        </is>
      </c>
      <c r="K88" s="2" t="inlineStr">
        <is>
          <t>Abierto</t>
        </is>
      </c>
      <c r="L88" s="6" t="n">
        <v>12</v>
      </c>
      <c r="M88" s="2" t="inlineStr">
        <is>
          <t>G4-4</t>
        </is>
      </c>
      <c r="N88" s="7" t="n">
        <v>0.4</v>
      </c>
      <c r="O88" s="4" t="n"/>
      <c r="P88" s="2" t="inlineStr">
        <is>
          <t>45233162</t>
        </is>
      </c>
      <c r="Q88" s="8" t="inlineStr">
        <is>
          <t>Ver</t>
        </is>
      </c>
      <c r="R88" s="8" t="inlineStr">
        <is>
          <t>PCAP</t>
        </is>
      </c>
      <c r="S88" s="9" t="n">
        <v>46310</v>
      </c>
      <c r="T88" s="3" t="n">
        <v>46309.52369212963</v>
      </c>
      <c r="U88" s="2" t="n"/>
    </row>
    <row r="89">
      <c r="A89" s="2" t="inlineStr">
        <is>
          <t>En plazo</t>
        </is>
      </c>
      <c r="B89" s="3" t="n">
        <v>46329.99930555555</v>
      </c>
      <c r="C89" s="5" t="n">
        <v>272433.83</v>
      </c>
      <c r="D89" s="5" t="n">
        <v>272433.83</v>
      </c>
      <c r="E89" s="2" t="inlineStr">
        <is>
          <t>Comunitat Valenciana</t>
        </is>
      </c>
      <c r="F89" s="2" t="inlineStr">
        <is>
          <t>Valencia</t>
        </is>
      </c>
      <c r="G89" s="2" t="n"/>
      <c r="H89" s="2" t="inlineStr">
        <is>
          <t>Junta de Gobierno del Ayuntamiento de Alzira</t>
        </is>
      </c>
      <c r="I89" s="2" t="inlineStr">
        <is>
          <t>Obras de regeneración urbana y creación de espacio público en plaza Luis Suñer de Alzira</t>
        </is>
      </c>
      <c r="J89" s="2" t="inlineStr">
        <is>
          <t>OC-6413/26</t>
        </is>
      </c>
      <c r="K89" s="2" t="inlineStr">
        <is>
          <t>Abierto simplificado</t>
        </is>
      </c>
      <c r="L89" s="6" t="n">
        <v>5</v>
      </c>
      <c r="M89" s="2" t="n"/>
      <c r="N89" s="7" t="n">
        <v>0</v>
      </c>
      <c r="O89" s="4" t="n"/>
      <c r="P89" s="2" t="inlineStr">
        <is>
          <t>45233262</t>
        </is>
      </c>
      <c r="Q89" s="8" t="inlineStr">
        <is>
          <t>Ver</t>
        </is>
      </c>
      <c r="R89" s="8" t="inlineStr">
        <is>
          <t>PCAP</t>
        </is>
      </c>
      <c r="S89" s="9" t="n">
        <v>46310</v>
      </c>
      <c r="T89" s="3" t="n">
        <v>46309.52288194445</v>
      </c>
      <c r="U89" s="2" t="n"/>
    </row>
    <row r="90">
      <c r="A90" s="2" t="inlineStr">
        <is>
          <t>Pendiente de adjudicación</t>
        </is>
      </c>
      <c r="B90" s="3" t="n">
        <v>46265.58333333334</v>
      </c>
      <c r="C90" s="5" t="n">
        <v>115119.79</v>
      </c>
      <c r="D90" s="5" t="n">
        <v>115119.79</v>
      </c>
      <c r="E90" s="2" t="inlineStr">
        <is>
          <t>Andalucía</t>
        </is>
      </c>
      <c r="F90" s="2" t="inlineStr">
        <is>
          <t>Sevilla</t>
        </is>
      </c>
      <c r="G90" s="2" t="n"/>
      <c r="H90" s="2" t="inlineStr">
        <is>
          <t>Junta de Gobierno Local del Ayuntamiento de Osuna</t>
        </is>
      </c>
      <c r="I90" s="2" t="inlineStr">
        <is>
          <t>Renovación del pavimento de seguridad y adecuación de áreas de juegos infantiles en diversos parques municipales, incluyendo suministro e instalación de elementos de juego. Diputación provincial de Sevilla</t>
        </is>
      </c>
      <c r="J90" s="2" t="inlineStr">
        <is>
          <t>1452/2026</t>
        </is>
      </c>
      <c r="K90" s="2" t="inlineStr">
        <is>
          <t>Abierto simplificado</t>
        </is>
      </c>
      <c r="L90" s="6" t="n">
        <v>6</v>
      </c>
      <c r="M90" s="2" t="n"/>
      <c r="N90" s="7" t="n">
        <v>0.25</v>
      </c>
      <c r="O90" s="4" t="n"/>
      <c r="P90" s="2" t="inlineStr">
        <is>
          <t>45233293; 34928400</t>
        </is>
      </c>
      <c r="Q90" s="8" t="inlineStr">
        <is>
          <t>Ver</t>
        </is>
      </c>
      <c r="R90" s="8" t="inlineStr">
        <is>
          <t>PCAP</t>
        </is>
      </c>
      <c r="S90" s="9" t="n">
        <v>46310</v>
      </c>
      <c r="T90" s="3" t="n">
        <v>46309.52138888889</v>
      </c>
      <c r="U90" s="2" t="n"/>
    </row>
    <row r="91">
      <c r="A91" s="2" t="inlineStr">
        <is>
          <t>Adjudicada</t>
        </is>
      </c>
      <c r="B91" s="3" t="n">
        <v>46260.99930555555</v>
      </c>
      <c r="C91" s="5" t="n">
        <v>249741.95</v>
      </c>
      <c r="D91" s="5" t="n">
        <v>249741.95</v>
      </c>
      <c r="E91" s="2" t="inlineStr">
        <is>
          <t>Andalucía</t>
        </is>
      </c>
      <c r="F91" s="2" t="inlineStr">
        <is>
          <t>Sevilla</t>
        </is>
      </c>
      <c r="G91" s="2" t="inlineStr">
        <is>
          <t>Écija</t>
        </is>
      </c>
      <c r="H91" s="2" t="inlineStr">
        <is>
          <t>Junta de Gobierno del Ayuntamiento de Ecija</t>
        </is>
      </c>
      <c r="I91" s="2" t="inlineStr">
        <is>
          <t>Obras consistentes en "Renovación de equipos de climatización del Mercado Municipal de Abastos situado en Calle Compañía, 6". Financiado con cargo al Plan de Cooperación General "Sevilla 107" de la Excma. Diputación Provincial de Sevilla.</t>
        </is>
      </c>
      <c r="J91" s="2" t="inlineStr">
        <is>
          <t>1824/2026</t>
        </is>
      </c>
      <c r="K91" s="2" t="inlineStr">
        <is>
          <t>Abierto simplificado</t>
        </is>
      </c>
      <c r="L91" s="6" t="n">
        <v>3</v>
      </c>
      <c r="M91" s="2" t="n"/>
      <c r="N91" s="7" t="n">
        <v>0</v>
      </c>
      <c r="O91" s="4" t="n"/>
      <c r="P91" s="2" t="inlineStr">
        <is>
          <t>45331000</t>
        </is>
      </c>
      <c r="Q91" s="8" t="inlineStr">
        <is>
          <t>Ver</t>
        </is>
      </c>
      <c r="R91" s="8" t="inlineStr">
        <is>
          <t>PCAP</t>
        </is>
      </c>
      <c r="S91" s="9" t="n">
        <v>46310</v>
      </c>
      <c r="T91" s="3" t="n">
        <v>46309.51921296296</v>
      </c>
      <c r="U91" s="2" t="n"/>
    </row>
    <row r="92">
      <c r="A92" s="2" t="inlineStr">
        <is>
          <t>En plazo</t>
        </is>
      </c>
      <c r="B92" s="3" t="n">
        <v>46314.99930555555</v>
      </c>
      <c r="C92" s="5" t="n">
        <v>11548</v>
      </c>
      <c r="D92" s="5" t="n">
        <v>11548</v>
      </c>
      <c r="E92" s="2" t="inlineStr">
        <is>
          <t>Comunitat Valenciana</t>
        </is>
      </c>
      <c r="F92" s="2" t="inlineStr">
        <is>
          <t>Alicante</t>
        </is>
      </c>
      <c r="G92" s="2" t="inlineStr">
        <is>
          <t>Pego</t>
        </is>
      </c>
      <c r="H92" s="2" t="inlineStr">
        <is>
          <t>Alcaldía del Ayuntamiento de Pego</t>
        </is>
      </c>
      <c r="I92" s="2" t="inlineStr">
        <is>
          <t>Contrato de obras para la mejora, modernización y dotación de infraestructuras y servicios en el Polígono Industrial Sector 2 de Pego.</t>
        </is>
      </c>
      <c r="J92" s="2" t="inlineStr">
        <is>
          <t>3040/2026</t>
        </is>
      </c>
      <c r="K92" s="2" t="inlineStr">
        <is>
          <t>Abierto simplificado</t>
        </is>
      </c>
      <c r="L92" s="6" t="n">
        <v>1</v>
      </c>
      <c r="M92" s="2" t="inlineStr">
        <is>
          <t>O6-2</t>
        </is>
      </c>
      <c r="N92" s="7" t="n">
        <v>0</v>
      </c>
      <c r="O92" s="4" t="n"/>
      <c r="P92" s="2" t="inlineStr">
        <is>
          <t>45000000; 34928200</t>
        </is>
      </c>
      <c r="Q92" s="8" t="inlineStr">
        <is>
          <t>Ver</t>
        </is>
      </c>
      <c r="R92" s="8" t="inlineStr">
        <is>
          <t>PCAP</t>
        </is>
      </c>
      <c r="S92" s="9" t="n">
        <v>46310</v>
      </c>
      <c r="T92" s="3" t="n">
        <v>46309.51768518519</v>
      </c>
      <c r="U92" s="2" t="n"/>
    </row>
    <row r="93">
      <c r="A93" s="2" t="inlineStr">
        <is>
          <t>Resuelta</t>
        </is>
      </c>
      <c r="B93" s="3" t="n">
        <v>46107.99930555555</v>
      </c>
      <c r="C93" s="5" t="n">
        <v>1937847.78</v>
      </c>
      <c r="D93" s="5" t="n">
        <v>1937847.78</v>
      </c>
      <c r="E93" s="2" t="inlineStr">
        <is>
          <t>Comunitat Valenciana</t>
        </is>
      </c>
      <c r="F93" s="2" t="inlineStr">
        <is>
          <t>Alicante</t>
        </is>
      </c>
      <c r="G93" s="2" t="n"/>
      <c r="H93" s="2" t="inlineStr">
        <is>
          <t>Junta de Gobierno del Ayuntamiento de Orihuela</t>
        </is>
      </c>
      <c r="I93" s="2" t="inlineStr">
        <is>
          <t>Ejecución del proyecto de nuevo depósito en complejo El Canal en Orihuela costa (Alicante)</t>
        </is>
      </c>
      <c r="J93" s="2" t="inlineStr">
        <is>
          <t>24110/2024</t>
        </is>
      </c>
      <c r="K93" s="2" t="inlineStr">
        <is>
          <t>Abierto simplificado</t>
        </is>
      </c>
      <c r="L93" s="6" t="n">
        <v>8</v>
      </c>
      <c r="M93" s="2" t="inlineStr">
        <is>
          <t>E1-4</t>
        </is>
      </c>
      <c r="N93" s="7" t="n">
        <v>0</v>
      </c>
      <c r="O93" s="4" t="n"/>
      <c r="P93" s="2" t="inlineStr">
        <is>
          <t>45000000; 45232150; 45220000; 45232000; 43328000; 45240000</t>
        </is>
      </c>
      <c r="Q93" s="8" t="inlineStr">
        <is>
          <t>Ver</t>
        </is>
      </c>
      <c r="R93" s="8" t="inlineStr">
        <is>
          <t>PCAP</t>
        </is>
      </c>
      <c r="S93" s="9" t="n">
        <v>46310</v>
      </c>
      <c r="T93" s="3" t="n">
        <v>46309.51763888889</v>
      </c>
      <c r="U93" s="2" t="n"/>
    </row>
    <row r="94">
      <c r="A94" s="2" t="inlineStr">
        <is>
          <t>Pendiente de adjudicación</t>
        </is>
      </c>
      <c r="B94" s="3" t="n">
        <v>46083.58333333334</v>
      </c>
      <c r="C94" s="5" t="n">
        <v>5138402.04</v>
      </c>
      <c r="D94" s="5" t="n">
        <v>5138402.04</v>
      </c>
      <c r="E94" s="2" t="inlineStr">
        <is>
          <t>Andalucía</t>
        </is>
      </c>
      <c r="F94" s="2" t="inlineStr">
        <is>
          <t>Sevilla</t>
        </is>
      </c>
      <c r="G94" s="2" t="n"/>
      <c r="H94" s="2" t="inlineStr">
        <is>
          <t>Empresa de Transformación Agraria S.A.,S.M.E., M.P., (TRAGSA)</t>
        </is>
      </c>
      <c r="I94"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94" s="2" t="inlineStr">
        <is>
          <t>TSA0082730</t>
        </is>
      </c>
      <c r="K94" s="2" t="inlineStr">
        <is>
          <t>Abierto</t>
        </is>
      </c>
      <c r="L94" s="6" t="n">
        <v>5</v>
      </c>
      <c r="M94" s="2" t="inlineStr">
        <is>
          <t>I5-4</t>
        </is>
      </c>
      <c r="N94" s="7" t="n">
        <v>0</v>
      </c>
      <c r="O94" s="4" t="n"/>
      <c r="P94" s="2" t="inlineStr">
        <is>
          <t>45231400</t>
        </is>
      </c>
      <c r="Q94" s="8" t="inlineStr">
        <is>
          <t>Ver</t>
        </is>
      </c>
      <c r="R94" s="8" t="inlineStr">
        <is>
          <t>PCAP</t>
        </is>
      </c>
      <c r="S94" s="9" t="n">
        <v>46310</v>
      </c>
      <c r="T94" s="3" t="n">
        <v>46309.51635416667</v>
      </c>
      <c r="U94" s="2" t="n"/>
    </row>
    <row r="95">
      <c r="A95" s="2" t="inlineStr">
        <is>
          <t>Resuelta</t>
        </is>
      </c>
      <c r="B95" s="3" t="n">
        <v>46029.75</v>
      </c>
      <c r="C95" s="5" t="n">
        <v>69031.34</v>
      </c>
      <c r="D95" s="5" t="n">
        <v>69031.34</v>
      </c>
      <c r="E95" s="2" t="inlineStr">
        <is>
          <t>Andalucía</t>
        </is>
      </c>
      <c r="F95" s="2" t="inlineStr">
        <is>
          <t>Cádiz</t>
        </is>
      </c>
      <c r="G95" s="2" t="inlineStr">
        <is>
          <t>Conil de la Frontera</t>
        </is>
      </c>
      <c r="H95" s="2" t="inlineStr">
        <is>
          <t>Alcaldia del Ayuntamiento de Conil de la Frontera</t>
        </is>
      </c>
      <c r="I95" s="2" t="inlineStr">
        <is>
          <t>Obras de Rehabilitación de cubierta y pintado de fachada casa de La Cultura en Conil de la Frontera</t>
        </is>
      </c>
      <c r="J95" s="2" t="inlineStr">
        <is>
          <t>9307/2025</t>
        </is>
      </c>
      <c r="K95" s="2" t="inlineStr">
        <is>
          <t>Abierto simplificado</t>
        </is>
      </c>
      <c r="L95" s="6" t="n">
        <v>3</v>
      </c>
      <c r="M95" s="2" t="inlineStr">
        <is>
          <t>K4-1</t>
        </is>
      </c>
      <c r="N95" s="7" t="n">
        <v>0</v>
      </c>
      <c r="O95" s="4" t="n"/>
      <c r="P95" s="2" t="inlineStr">
        <is>
          <t>45261200; 45261420; 45261410; 45442110; 45442100; 45261400; 45261210; 45261220; 45261221</t>
        </is>
      </c>
      <c r="Q95" s="8" t="inlineStr">
        <is>
          <t>Ver</t>
        </is>
      </c>
      <c r="R95" s="8" t="inlineStr">
        <is>
          <t>PCAP</t>
        </is>
      </c>
      <c r="S95" s="9" t="n">
        <v>46310</v>
      </c>
      <c r="T95" s="3" t="n">
        <v>46309.51241898148</v>
      </c>
      <c r="U95" s="2" t="n"/>
    </row>
    <row r="96">
      <c r="A96" s="2" t="inlineStr">
        <is>
          <t>Adjudicada</t>
        </is>
      </c>
      <c r="B96" s="3" t="n">
        <v>46304.99930555555</v>
      </c>
      <c r="C96" s="5" t="n">
        <v>41322.31</v>
      </c>
      <c r="D96" s="5" t="n">
        <v>41322.31</v>
      </c>
      <c r="E96" s="2" t="inlineStr">
        <is>
          <t>Andalucía</t>
        </is>
      </c>
      <c r="F96" s="2" t="inlineStr">
        <is>
          <t>Cádiz</t>
        </is>
      </c>
      <c r="G96" s="2" t="inlineStr">
        <is>
          <t>Algodonales</t>
        </is>
      </c>
      <c r="H96" s="2" t="inlineStr">
        <is>
          <t>Alcaldía del Ayuntamiento de Algodonales</t>
        </is>
      </c>
      <c r="I96" s="2" t="inlineStr">
        <is>
          <t>Se trata de la creación de Acerado Publico en la calle Fuenta Alta</t>
        </is>
      </c>
      <c r="J96" s="2" t="inlineStr">
        <is>
          <t>2026_11005_COAS_00001</t>
        </is>
      </c>
      <c r="K96" s="2" t="inlineStr">
        <is>
          <t>Abierto simplificado</t>
        </is>
      </c>
      <c r="L96" s="6" t="n">
        <v>6</v>
      </c>
      <c r="M96" s="2" t="n"/>
      <c r="N96" s="7" t="n">
        <v>0</v>
      </c>
      <c r="O96" s="4" t="n"/>
      <c r="P96" s="2" t="inlineStr">
        <is>
          <t>45000000</t>
        </is>
      </c>
      <c r="Q96" s="8" t="inlineStr">
        <is>
          <t>Ver</t>
        </is>
      </c>
      <c r="R96" s="8" t="inlineStr">
        <is>
          <t>PCAP</t>
        </is>
      </c>
      <c r="S96" s="9" t="n">
        <v>46310</v>
      </c>
      <c r="T96" s="3" t="n">
        <v>46309.51239583334</v>
      </c>
      <c r="U96" s="2" t="n"/>
    </row>
    <row r="97">
      <c r="A97" s="2" t="inlineStr">
        <is>
          <t>Pendiente de adjudicación</t>
        </is>
      </c>
      <c r="B97" s="3" t="n">
        <v>46304.99930555555</v>
      </c>
      <c r="C97" s="5" t="n">
        <v>1954072.38</v>
      </c>
      <c r="D97" s="5" t="n">
        <v>1954072.38</v>
      </c>
      <c r="E97" s="2" t="inlineStr">
        <is>
          <t>Andalucía</t>
        </is>
      </c>
      <c r="F97" s="2" t="inlineStr">
        <is>
          <t>Málaga</t>
        </is>
      </c>
      <c r="G97" s="2" t="inlineStr">
        <is>
          <t>Marbella (Málaga).</t>
        </is>
      </c>
      <c r="H97" s="2" t="inlineStr">
        <is>
          <t>Consejería delegada de ACOSOL, S.A.U.</t>
        </is>
      </c>
      <c r="I97" s="2" t="inlineStr">
        <is>
          <t>Contratación de la Obra de Dotación de Infraestructuras Hidráulicas a Urb. RICMAR, T.M. Marbella</t>
        </is>
      </c>
      <c r="J97" s="2" t="inlineStr">
        <is>
          <t>73-26 (5390)</t>
        </is>
      </c>
      <c r="K97" s="2" t="inlineStr">
        <is>
          <t>Abierto</t>
        </is>
      </c>
      <c r="L97" s="6" t="n">
        <v>8</v>
      </c>
      <c r="M97" s="2" t="n"/>
      <c r="N97" s="7" t="n">
        <v>0.49</v>
      </c>
      <c r="O97" s="4" t="n"/>
      <c r="P97" s="2" t="inlineStr">
        <is>
          <t>45231300; 45000000</t>
        </is>
      </c>
      <c r="Q97" s="8" t="inlineStr">
        <is>
          <t>Ver</t>
        </is>
      </c>
      <c r="R97" s="8" t="inlineStr">
        <is>
          <t>PCAP</t>
        </is>
      </c>
      <c r="S97" s="9" t="n">
        <v>46310</v>
      </c>
      <c r="T97" s="3" t="n">
        <v>46309.5120949074</v>
      </c>
      <c r="U97" s="2" t="n"/>
    </row>
    <row r="98">
      <c r="A98" s="2" t="inlineStr">
        <is>
          <t>Pendiente de adjudicación</t>
        </is>
      </c>
      <c r="B98" s="3" t="n">
        <v>46230.99930555555</v>
      </c>
      <c r="C98" s="5" t="n">
        <v>443565.99</v>
      </c>
      <c r="D98" s="5" t="n">
        <v>443565.99</v>
      </c>
      <c r="E98" s="2" t="inlineStr">
        <is>
          <t>Andalucía</t>
        </is>
      </c>
      <c r="F98" s="2" t="inlineStr">
        <is>
          <t>Granada</t>
        </is>
      </c>
      <c r="G98" s="2" t="inlineStr">
        <is>
          <t>Armilla</t>
        </is>
      </c>
      <c r="H98" s="2" t="inlineStr">
        <is>
          <t>Junta de Gobierno del Ayuntamiento de Armilla</t>
        </is>
      </c>
      <c r="I98" s="2" t="inlineStr">
        <is>
          <t>Ejecución de Obras de Sustitución de la iluminación en el Complejo Deportivo "Rafael Machado Villar" de Armilla (Granada)</t>
        </is>
      </c>
      <c r="J98" s="2" t="inlineStr">
        <is>
          <t>2026-7548</t>
        </is>
      </c>
      <c r="K98" s="2" t="inlineStr">
        <is>
          <t>Abierto simplificado</t>
        </is>
      </c>
      <c r="L98" s="6" t="n">
        <v>2.8</v>
      </c>
      <c r="M98" s="2" t="n"/>
      <c r="N98" s="7" t="n">
        <v>0</v>
      </c>
      <c r="O98" s="4" t="n"/>
      <c r="P98" s="2" t="inlineStr">
        <is>
          <t>45316000; 31520000; 31500000; 31527200; 31681410</t>
        </is>
      </c>
      <c r="Q98" s="8" t="inlineStr">
        <is>
          <t>Ver</t>
        </is>
      </c>
      <c r="R98" s="8" t="inlineStr">
        <is>
          <t>PCAP</t>
        </is>
      </c>
      <c r="S98" s="9" t="n">
        <v>46310</v>
      </c>
      <c r="T98" s="3" t="n">
        <v>46309.51179398148</v>
      </c>
      <c r="U98" s="2" t="n"/>
    </row>
    <row r="99">
      <c r="A99" s="2" t="inlineStr">
        <is>
          <t>Resuelta</t>
        </is>
      </c>
      <c r="B99" s="3" t="n">
        <v>46280.41666666666</v>
      </c>
      <c r="C99" s="5" t="n">
        <v>106398</v>
      </c>
      <c r="D99" s="5" t="n">
        <v>106398</v>
      </c>
      <c r="E99" s="2" t="inlineStr">
        <is>
          <t>Andalucía</t>
        </is>
      </c>
      <c r="F99" s="2" t="inlineStr">
        <is>
          <t>Almería</t>
        </is>
      </c>
      <c r="G99" s="2" t="n"/>
      <c r="H99" s="2" t="inlineStr">
        <is>
          <t>Empresa de Transformación Agraria S.A.,S.M.E., M.P., (TRAGSA)</t>
        </is>
      </c>
      <c r="I9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9" s="2" t="inlineStr">
        <is>
          <t>TSA0078977-354</t>
        </is>
      </c>
      <c r="K99" s="2" t="inlineStr">
        <is>
          <t>Abierto</t>
        </is>
      </c>
      <c r="L99" s="6" t="n">
        <v>6</v>
      </c>
      <c r="M99" s="2" t="n"/>
      <c r="N99" s="7" t="n">
        <v>0</v>
      </c>
      <c r="O99" s="4" t="n"/>
      <c r="P99" s="2" t="inlineStr">
        <is>
          <t>45500000</t>
        </is>
      </c>
      <c r="Q99" s="8" t="inlineStr">
        <is>
          <t>Ver</t>
        </is>
      </c>
      <c r="R99" s="8" t="inlineStr">
        <is>
          <t>PCAP</t>
        </is>
      </c>
      <c r="S99" s="9" t="n">
        <v>46310</v>
      </c>
      <c r="T99" s="3" t="n">
        <v>46309.50898148148</v>
      </c>
      <c r="U99" s="2" t="n"/>
    </row>
    <row r="100">
      <c r="A100" s="2" t="inlineStr">
        <is>
          <t>Resuelta</t>
        </is>
      </c>
      <c r="B100" s="3" t="n">
        <v>46248.99930555555</v>
      </c>
      <c r="C100" s="5" t="n">
        <v>29482.66</v>
      </c>
      <c r="D100" s="5" t="n">
        <v>29482.66</v>
      </c>
      <c r="E100" s="2" t="inlineStr">
        <is>
          <t>Andalucía</t>
        </is>
      </c>
      <c r="F100" s="2" t="inlineStr">
        <is>
          <t>Cádiz</t>
        </is>
      </c>
      <c r="G100" s="2" t="inlineStr">
        <is>
          <t>Medina Sidonia</t>
        </is>
      </c>
      <c r="H100" s="2" t="inlineStr">
        <is>
          <t>Consejería Delegada de Medina Global S.L.</t>
        </is>
      </c>
      <c r="I100" s="2" t="inlineStr">
        <is>
          <t>Fabricación, suministro y colocación de estructura metálica para cubierta a cuatro aguas.</t>
        </is>
      </c>
      <c r="J100" s="2" t="inlineStr">
        <is>
          <t>1.61M ESTRUCTURA METALICA 4 AGUAS</t>
        </is>
      </c>
      <c r="K100" s="2" t="inlineStr">
        <is>
          <t>Abierto simplificado</t>
        </is>
      </c>
      <c r="L100" s="6" t="n">
        <v>1</v>
      </c>
      <c r="M100" s="2" t="n"/>
      <c r="N100" s="7" t="n">
        <v>0</v>
      </c>
      <c r="O100" s="4" t="n"/>
      <c r="P100" s="2" t="inlineStr">
        <is>
          <t>45262410; 45262420</t>
        </is>
      </c>
      <c r="Q100" s="8" t="inlineStr">
        <is>
          <t>Ver</t>
        </is>
      </c>
      <c r="R100" s="8" t="inlineStr">
        <is>
          <t>PCAP</t>
        </is>
      </c>
      <c r="S100" s="9" t="n">
        <v>46310</v>
      </c>
      <c r="T100" s="3" t="n">
        <v>46309.50774305555</v>
      </c>
      <c r="U100" s="2" t="n"/>
    </row>
    <row r="101">
      <c r="A101" s="2" t="inlineStr">
        <is>
          <t>Pendiente de adjudicación</t>
        </is>
      </c>
      <c r="B101" s="3" t="n">
        <v>46230.99930555555</v>
      </c>
      <c r="C101" s="5" t="n">
        <v>326813.47</v>
      </c>
      <c r="D101" s="5" t="n">
        <v>326813.47</v>
      </c>
      <c r="E101" s="2" t="inlineStr">
        <is>
          <t>Andalucía</t>
        </is>
      </c>
      <c r="F101" s="2" t="inlineStr">
        <is>
          <t>Córdoba</t>
        </is>
      </c>
      <c r="G101" s="2" t="n"/>
      <c r="H101" s="2" t="inlineStr">
        <is>
          <t>Junta de Gobierno del Ayuntamiento de Córdoba</t>
        </is>
      </c>
      <c r="I101" s="2" t="inlineStr">
        <is>
          <t>Obras de remodelación en la calle de Las Lomas (2ª Fase)</t>
        </is>
      </c>
      <c r="J101" s="2" t="inlineStr">
        <is>
          <t>2026/049</t>
        </is>
      </c>
      <c r="K101" s="2" t="inlineStr">
        <is>
          <t>Abierto</t>
        </is>
      </c>
      <c r="L101" s="6" t="n">
        <v>6</v>
      </c>
      <c r="M101" s="2" t="n"/>
      <c r="N101" s="7" t="n">
        <v>0</v>
      </c>
      <c r="O101" s="4" t="n"/>
      <c r="P101" s="2" t="inlineStr">
        <is>
          <t>45233252; 45233222</t>
        </is>
      </c>
      <c r="Q101" s="8" t="inlineStr">
        <is>
          <t>Ver</t>
        </is>
      </c>
      <c r="R101" s="8" t="inlineStr">
        <is>
          <t>PCAP</t>
        </is>
      </c>
      <c r="S101" s="9" t="n">
        <v>46310</v>
      </c>
      <c r="T101" s="3" t="n">
        <v>46309.50704861111</v>
      </c>
      <c r="U101" s="2" t="n"/>
    </row>
    <row r="102">
      <c r="A102" s="2" t="inlineStr">
        <is>
          <t>Resuelta</t>
        </is>
      </c>
      <c r="B102" s="3" t="n">
        <v>46280.41666666666</v>
      </c>
      <c r="C102" s="5" t="n">
        <v>106398</v>
      </c>
      <c r="D102" s="5" t="n">
        <v>106398</v>
      </c>
      <c r="E102" s="2" t="inlineStr">
        <is>
          <t>Andalucía</t>
        </is>
      </c>
      <c r="F102" s="2" t="inlineStr">
        <is>
          <t>Almería</t>
        </is>
      </c>
      <c r="G102" s="2" t="n"/>
      <c r="H102" s="2" t="inlineStr">
        <is>
          <t>Empresa de Transformación Agraria S.A.,S.M.E., M.P., (TRAGSA)</t>
        </is>
      </c>
      <c r="I10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2" s="2" t="inlineStr">
        <is>
          <t>TSA0078977-355</t>
        </is>
      </c>
      <c r="K102" s="2" t="inlineStr">
        <is>
          <t>Abierto</t>
        </is>
      </c>
      <c r="L102" s="6" t="n">
        <v>6</v>
      </c>
      <c r="M102" s="2" t="n"/>
      <c r="N102" s="7" t="n">
        <v>0</v>
      </c>
      <c r="O102" s="4" t="n"/>
      <c r="P102" s="2" t="inlineStr">
        <is>
          <t>45500000</t>
        </is>
      </c>
      <c r="Q102" s="8" t="inlineStr">
        <is>
          <t>Ver</t>
        </is>
      </c>
      <c r="R102" s="8" t="inlineStr">
        <is>
          <t>PCAP</t>
        </is>
      </c>
      <c r="S102" s="9" t="n">
        <v>46310</v>
      </c>
      <c r="T102" s="3" t="n">
        <v>46309.50686342592</v>
      </c>
      <c r="U102" s="2" t="n"/>
    </row>
    <row r="103">
      <c r="A103" s="2" t="inlineStr">
        <is>
          <t>Pendiente de adjudicación</t>
        </is>
      </c>
      <c r="B103" s="3" t="n">
        <v>46308.99930555555</v>
      </c>
      <c r="C103" s="5" t="n">
        <v>110375.57</v>
      </c>
      <c r="D103" s="5" t="n">
        <v>110375.57</v>
      </c>
      <c r="E103" s="2" t="inlineStr">
        <is>
          <t>Andalucía</t>
        </is>
      </c>
      <c r="F103" s="2" t="inlineStr">
        <is>
          <t>Jaén</t>
        </is>
      </c>
      <c r="G103" s="2" t="inlineStr">
        <is>
          <t>Torreblascopedro, Jaén</t>
        </is>
      </c>
      <c r="H103" s="2" t="inlineStr">
        <is>
          <t>Alcaldía del Ayuntamiento de Torreblascopedro</t>
        </is>
      </c>
      <c r="I103"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103" s="2" t="inlineStr">
        <is>
          <t>286/2026</t>
        </is>
      </c>
      <c r="K103" s="2" t="inlineStr">
        <is>
          <t>Abierto simplificado</t>
        </is>
      </c>
      <c r="L103" s="6" t="n">
        <v>4</v>
      </c>
      <c r="M103" s="2" t="inlineStr">
        <is>
          <t>C7-1</t>
        </is>
      </c>
      <c r="N103" s="7" t="n">
        <v>0</v>
      </c>
      <c r="O103" s="4" t="n"/>
      <c r="P103" s="2" t="inlineStr">
        <is>
          <t>45261900; 45450000; 45261410; 45261420</t>
        </is>
      </c>
      <c r="Q103" s="8" t="inlineStr">
        <is>
          <t>Ver</t>
        </is>
      </c>
      <c r="R103" s="8" t="inlineStr">
        <is>
          <t>PCAP</t>
        </is>
      </c>
      <c r="S103" s="9" t="n">
        <v>46310</v>
      </c>
      <c r="T103" s="3" t="n">
        <v>46309.50657407408</v>
      </c>
      <c r="U103" s="2" t="n"/>
    </row>
    <row r="104">
      <c r="A104" s="2" t="inlineStr">
        <is>
          <t>Adjudicada</t>
        </is>
      </c>
      <c r="B104" s="3" t="n">
        <v>46258.99930555555</v>
      </c>
      <c r="C104" s="5" t="n">
        <v>331235.36</v>
      </c>
      <c r="D104" s="5" t="n">
        <v>331235.36</v>
      </c>
      <c r="E104" s="2" t="inlineStr">
        <is>
          <t>Andalucía</t>
        </is>
      </c>
      <c r="F104" s="2" t="inlineStr">
        <is>
          <t>Sevilla</t>
        </is>
      </c>
      <c r="G104" s="2" t="n"/>
      <c r="H104" s="2" t="inlineStr">
        <is>
          <t>Junta de Gobierno del Ayuntamiento de Ecija</t>
        </is>
      </c>
      <c r="I104" s="2" t="inlineStr">
        <is>
          <t>Contrato de obras de creación de nuevo acceso a Plaza de Toros Municipal en Calle Empedrada, subvencionado en el marco del Programa de Cooperación General del Plan Provincial MÁS SEVILLA de la Excelentísima Diputación Provincial de Sevilla.</t>
        </is>
      </c>
      <c r="J104" s="2" t="inlineStr">
        <is>
          <t>1505/2025</t>
        </is>
      </c>
      <c r="K104" s="2" t="inlineStr">
        <is>
          <t>Abierto simplificado</t>
        </is>
      </c>
      <c r="L104" s="6" t="n">
        <v>3</v>
      </c>
      <c r="M104" s="2" t="n"/>
      <c r="N104" s="7" t="n">
        <v>0</v>
      </c>
      <c r="O104" s="4" t="n"/>
      <c r="P104" s="2" t="inlineStr">
        <is>
          <t>45223110; 45223500; 45316100; 45432210</t>
        </is>
      </c>
      <c r="Q104" s="8" t="inlineStr">
        <is>
          <t>Ver</t>
        </is>
      </c>
      <c r="R104" s="8" t="inlineStr">
        <is>
          <t>PCAP</t>
        </is>
      </c>
      <c r="S104" s="9" t="n">
        <v>46310</v>
      </c>
      <c r="T104" s="3" t="n">
        <v>46309.50613425926</v>
      </c>
      <c r="U104" s="2" t="n"/>
    </row>
    <row r="105">
      <c r="A105" s="2" t="inlineStr">
        <is>
          <t>Pendiente de adjudicación</t>
        </is>
      </c>
      <c r="B105" s="3" t="n">
        <v>46321.99930555555</v>
      </c>
      <c r="C105" s="5" t="n">
        <v>30696.58</v>
      </c>
      <c r="D105" s="5" t="n">
        <v>30696.58</v>
      </c>
      <c r="E105" s="2" t="inlineStr">
        <is>
          <t>Andalucía</t>
        </is>
      </c>
      <c r="F105" s="2" t="inlineStr">
        <is>
          <t>Granada</t>
        </is>
      </c>
      <c r="G105" s="2" t="inlineStr">
        <is>
          <t>Vegas del Genil</t>
        </is>
      </c>
      <c r="H105" s="2" t="inlineStr">
        <is>
          <t>Alcaldía del Ayuntamiento de Vegas del Genil</t>
        </is>
      </c>
      <c r="I105" s="2" t="inlineStr">
        <is>
          <t>Remodelación del parque Atenea (Ambroz)</t>
        </is>
      </c>
      <c r="J105" s="2" t="inlineStr">
        <is>
          <t>3844/2026</t>
        </is>
      </c>
      <c r="K105" s="2" t="inlineStr">
        <is>
          <t>Negociado sin publicidad</t>
        </is>
      </c>
      <c r="L105" s="6" t="n">
        <v>4</v>
      </c>
      <c r="M105" s="2" t="n"/>
      <c r="N105" s="7" t="n">
        <v>0</v>
      </c>
      <c r="O105" s="4" t="n"/>
      <c r="P105" s="2" t="inlineStr">
        <is>
          <t>45112711; 45000000</t>
        </is>
      </c>
      <c r="Q105" s="8" t="inlineStr">
        <is>
          <t>Ver</t>
        </is>
      </c>
      <c r="R105" s="8" t="inlineStr">
        <is>
          <t>PCAP</t>
        </is>
      </c>
      <c r="S105" s="9" t="n">
        <v>46310</v>
      </c>
      <c r="T105" s="3" t="n">
        <v>46309.50552083334</v>
      </c>
      <c r="U105" s="2" t="n"/>
    </row>
    <row r="106">
      <c r="A106" s="2" t="inlineStr">
        <is>
          <t>Pendiente de adjudicación</t>
        </is>
      </c>
      <c r="B106" s="3" t="n">
        <v>46280.99930555555</v>
      </c>
      <c r="C106" s="5" t="n">
        <v>527001.48</v>
      </c>
      <c r="D106" s="5" t="n">
        <v>527001.48</v>
      </c>
      <c r="E106" s="2" t="inlineStr">
        <is>
          <t>Andalucía</t>
        </is>
      </c>
      <c r="F106" s="2" t="inlineStr">
        <is>
          <t>Córdoba</t>
        </is>
      </c>
      <c r="G106" s="2" t="n"/>
      <c r="H106" s="2" t="inlineStr">
        <is>
          <t>Junta de Gobierno del Ayuntamiento de Córdoba</t>
        </is>
      </c>
      <c r="I106" s="2" t="inlineStr">
        <is>
          <t>Obra de remodelación de la calle Rey Don Pelayo</t>
        </is>
      </c>
      <c r="J106" s="2" t="inlineStr">
        <is>
          <t>2026/050</t>
        </is>
      </c>
      <c r="K106" s="2" t="inlineStr">
        <is>
          <t>Abierto</t>
        </is>
      </c>
      <c r="L106" s="6" t="n">
        <v>6</v>
      </c>
      <c r="M106" s="2" t="inlineStr">
        <is>
          <t>G4-3</t>
        </is>
      </c>
      <c r="N106" s="7" t="n">
        <v>0</v>
      </c>
      <c r="O106" s="4" t="n"/>
      <c r="P106" s="2" t="inlineStr">
        <is>
          <t>45233222</t>
        </is>
      </c>
      <c r="Q106" s="8" t="inlineStr">
        <is>
          <t>Ver</t>
        </is>
      </c>
      <c r="R106" s="8" t="inlineStr">
        <is>
          <t>PCAP</t>
        </is>
      </c>
      <c r="S106" s="9" t="n">
        <v>46310</v>
      </c>
      <c r="T106" s="3" t="n">
        <v>46309.50479166667</v>
      </c>
      <c r="U106" s="2" t="n"/>
    </row>
    <row r="107">
      <c r="A107" s="2" t="inlineStr">
        <is>
          <t>Pendiente de adjudicación</t>
        </is>
      </c>
      <c r="B107" s="3" t="n">
        <v>46303.99930555555</v>
      </c>
      <c r="C107" s="5" t="n">
        <v>227421.11</v>
      </c>
      <c r="D107" s="5" t="n">
        <v>227421.11</v>
      </c>
      <c r="E107" s="2" t="inlineStr">
        <is>
          <t>Andalucía</t>
        </is>
      </c>
      <c r="F107" s="2" t="inlineStr">
        <is>
          <t>Almería</t>
        </is>
      </c>
      <c r="G107" s="2" t="inlineStr">
        <is>
          <t>Viator</t>
        </is>
      </c>
      <c r="H107" s="2" t="inlineStr">
        <is>
          <t>Junta De Gobierno Local del Ayuntamiento de Viator</t>
        </is>
      </c>
      <c r="I107" s="2" t="inlineStr">
        <is>
          <t>Obras de mejora de dotaciones recreativas en la Ciudad Deportiva de Viator</t>
        </is>
      </c>
      <c r="J107" s="2" t="inlineStr">
        <is>
          <t>855/2026</t>
        </is>
      </c>
      <c r="K107" s="2" t="inlineStr">
        <is>
          <t>Abierto simplificado</t>
        </is>
      </c>
      <c r="L107" s="6" t="n">
        <v>4</v>
      </c>
      <c r="M107" s="2" t="n"/>
      <c r="N107" s="7" t="n">
        <v>0.2</v>
      </c>
      <c r="O107" s="4" t="n"/>
      <c r="P107" s="2" t="inlineStr">
        <is>
          <t>45212200</t>
        </is>
      </c>
      <c r="Q107" s="8" t="inlineStr">
        <is>
          <t>Ver</t>
        </is>
      </c>
      <c r="R107" s="8" t="inlineStr">
        <is>
          <t>PCAP</t>
        </is>
      </c>
      <c r="S107" s="9" t="n">
        <v>46310</v>
      </c>
      <c r="T107" s="3" t="n">
        <v>46309.50364583333</v>
      </c>
      <c r="U107" s="2" t="n"/>
    </row>
    <row r="108">
      <c r="A108" s="2" t="inlineStr">
        <is>
          <t>Resuelta</t>
        </is>
      </c>
      <c r="B108" s="3" t="n">
        <v>46296.375</v>
      </c>
      <c r="C108" s="5" t="n">
        <v>38906.26</v>
      </c>
      <c r="D108" s="5" t="n">
        <v>38906.26</v>
      </c>
      <c r="E108" s="2" t="inlineStr">
        <is>
          <t>Andalucía</t>
        </is>
      </c>
      <c r="F108" s="2" t="inlineStr">
        <is>
          <t>Cádiz</t>
        </is>
      </c>
      <c r="G108" s="2" t="n"/>
      <c r="H108" s="2" t="inlineStr">
        <is>
          <t>Intendente de San Fernando</t>
        </is>
      </c>
      <c r="I108" s="2" t="inlineStr">
        <is>
          <t>INFRA26-061 CB Resanado y reparación de la puerta de acceso al helipuerto de la PMSC. Lote 7</t>
        </is>
      </c>
      <c r="J108" s="2" t="inlineStr">
        <is>
          <t>2026/AR43U/00002529E</t>
        </is>
      </c>
      <c r="K108" s="2" t="inlineStr">
        <is>
          <t>Abierto</t>
        </is>
      </c>
      <c r="L108" s="6" t="n">
        <v>1.2</v>
      </c>
      <c r="M108" s="2" t="n"/>
      <c r="N108" s="7" t="n">
        <v>0</v>
      </c>
      <c r="O108" s="4" t="n"/>
      <c r="P108" s="2" t="inlineStr">
        <is>
          <t>45421160</t>
        </is>
      </c>
      <c r="Q108" s="8" t="inlineStr">
        <is>
          <t>Ver</t>
        </is>
      </c>
      <c r="R108" s="8" t="inlineStr">
        <is>
          <t>PCAP</t>
        </is>
      </c>
      <c r="S108" s="9" t="n">
        <v>46310</v>
      </c>
      <c r="T108" s="3" t="n">
        <v>46309.5032175926</v>
      </c>
      <c r="U108" s="2" t="n"/>
    </row>
    <row r="109">
      <c r="A109" s="2" t="inlineStr">
        <is>
          <t>Resuelta</t>
        </is>
      </c>
      <c r="B109" s="3" t="n">
        <v>46280.41666666666</v>
      </c>
      <c r="C109" s="5" t="n">
        <v>106398</v>
      </c>
      <c r="D109" s="5" t="n">
        <v>106398</v>
      </c>
      <c r="E109" s="2" t="inlineStr">
        <is>
          <t>Andalucía</t>
        </is>
      </c>
      <c r="F109" s="2" t="inlineStr">
        <is>
          <t>Almería</t>
        </is>
      </c>
      <c r="G109" s="2" t="n"/>
      <c r="H109" s="2" t="inlineStr">
        <is>
          <t>Empresa de Transformación Agraria S.A.,S.M.E., M.P., (TRAGSA)</t>
        </is>
      </c>
      <c r="I1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9" s="2" t="inlineStr">
        <is>
          <t>TSA0078977-356</t>
        </is>
      </c>
      <c r="K109" s="2" t="inlineStr">
        <is>
          <t>Abierto</t>
        </is>
      </c>
      <c r="L109" s="6" t="n">
        <v>6</v>
      </c>
      <c r="M109" s="2" t="n"/>
      <c r="N109" s="7" t="n">
        <v>0</v>
      </c>
      <c r="O109" s="4" t="n"/>
      <c r="P109" s="2" t="inlineStr">
        <is>
          <t>45500000</t>
        </is>
      </c>
      <c r="Q109" s="8" t="inlineStr">
        <is>
          <t>Ver</t>
        </is>
      </c>
      <c r="R109" s="8" t="inlineStr">
        <is>
          <t>PCAP</t>
        </is>
      </c>
      <c r="S109" s="9" t="n">
        <v>46310</v>
      </c>
      <c r="T109" s="3" t="n">
        <v>46309.50185185186</v>
      </c>
      <c r="U109" s="2" t="n"/>
    </row>
    <row r="110">
      <c r="A110" s="2" t="inlineStr">
        <is>
          <t>En plazo</t>
        </is>
      </c>
      <c r="B110" s="3" t="n">
        <v>46329.99930555555</v>
      </c>
      <c r="C110" s="5" t="n">
        <v>221400</v>
      </c>
      <c r="D110" s="5" t="n">
        <v>221400</v>
      </c>
      <c r="E110" s="2" t="inlineStr">
        <is>
          <t>Comunitat Valenciana</t>
        </is>
      </c>
      <c r="F110" s="2" t="inlineStr">
        <is>
          <t>Valencia</t>
        </is>
      </c>
      <c r="G110" s="2" t="inlineStr">
        <is>
          <t>Utiel</t>
        </is>
      </c>
      <c r="H110" s="2" t="inlineStr">
        <is>
          <t>Alcaldía del Ayuntamiento de Utiel</t>
        </is>
      </c>
      <c r="I110" s="2" t="inlineStr">
        <is>
          <t>Restauración del refugio antiaéreo de la Guerra Civil</t>
        </is>
      </c>
      <c r="J110" s="2" t="inlineStr">
        <is>
          <t>366/2026</t>
        </is>
      </c>
      <c r="K110" s="2" t="inlineStr">
        <is>
          <t>Abierto simplificado</t>
        </is>
      </c>
      <c r="L110" s="6" t="n">
        <v>9</v>
      </c>
      <c r="M110" s="2" t="n"/>
      <c r="N110" s="7" t="n">
        <v>0</v>
      </c>
      <c r="O110" s="4" t="n"/>
      <c r="P110" s="2" t="inlineStr">
        <is>
          <t>45454100</t>
        </is>
      </c>
      <c r="Q110" s="8" t="inlineStr">
        <is>
          <t>Ver</t>
        </is>
      </c>
      <c r="R110" s="8" t="inlineStr">
        <is>
          <t>PCAP</t>
        </is>
      </c>
      <c r="S110" s="9" t="n">
        <v>46310</v>
      </c>
      <c r="T110" s="3" t="n">
        <v>46309.5012037037</v>
      </c>
      <c r="U110" s="2" t="n"/>
    </row>
    <row r="111">
      <c r="A111" s="2" t="inlineStr">
        <is>
          <t>Resuelta</t>
        </is>
      </c>
      <c r="B111" s="3" t="n">
        <v>46280.41666666666</v>
      </c>
      <c r="C111" s="5" t="n">
        <v>106398</v>
      </c>
      <c r="D111" s="5" t="n">
        <v>106398</v>
      </c>
      <c r="E111" s="2" t="inlineStr">
        <is>
          <t>Andalucía</t>
        </is>
      </c>
      <c r="F111" s="2" t="inlineStr">
        <is>
          <t>Almería</t>
        </is>
      </c>
      <c r="G111" s="2" t="n"/>
      <c r="H111" s="2" t="inlineStr">
        <is>
          <t>Empresa de Transformación Agraria S.A.,S.M.E., M.P., (TRAGSA)</t>
        </is>
      </c>
      <c r="I11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11" s="2" t="inlineStr">
        <is>
          <t>TSA0078977-357</t>
        </is>
      </c>
      <c r="K111" s="2" t="inlineStr">
        <is>
          <t>Abierto</t>
        </is>
      </c>
      <c r="L111" s="6" t="n">
        <v>6</v>
      </c>
      <c r="M111" s="2" t="n"/>
      <c r="N111" s="7" t="n">
        <v>0</v>
      </c>
      <c r="O111" s="4" t="n"/>
      <c r="P111" s="2" t="inlineStr">
        <is>
          <t>45500000</t>
        </is>
      </c>
      <c r="Q111" s="8" t="inlineStr">
        <is>
          <t>Ver</t>
        </is>
      </c>
      <c r="R111" s="8" t="inlineStr">
        <is>
          <t>PCAP</t>
        </is>
      </c>
      <c r="S111" s="9" t="n">
        <v>46310</v>
      </c>
      <c r="T111" s="3" t="n">
        <v>46309.50025462963</v>
      </c>
      <c r="U111" s="2" t="n"/>
    </row>
    <row r="112">
      <c r="A112" s="2" t="inlineStr">
        <is>
          <t>Resuelta</t>
        </is>
      </c>
      <c r="B112" s="3" t="n">
        <v>46266.41666666666</v>
      </c>
      <c r="C112" s="5" t="n">
        <v>153680</v>
      </c>
      <c r="D112" s="5" t="n">
        <v>153680</v>
      </c>
      <c r="E112" s="2" t="inlineStr">
        <is>
          <t>Andalucía</t>
        </is>
      </c>
      <c r="F112" s="2" t="inlineStr">
        <is>
          <t>Córdoba</t>
        </is>
      </c>
      <c r="G112" s="2" t="n"/>
      <c r="H112" s="2" t="inlineStr">
        <is>
          <t>Empresa de Transformación Agraria S.A.,S.M.E., M.P., (TRAGSA)</t>
        </is>
      </c>
      <c r="I11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2" s="2" t="inlineStr">
        <is>
          <t>TSA0079529-137</t>
        </is>
      </c>
      <c r="K112" s="2" t="inlineStr">
        <is>
          <t>Abierto</t>
        </is>
      </c>
      <c r="L112" s="6" t="n">
        <v>12</v>
      </c>
      <c r="M112" s="2" t="n"/>
      <c r="N112" s="7" t="n">
        <v>0</v>
      </c>
      <c r="O112" s="4" t="n"/>
      <c r="P112" s="2" t="inlineStr">
        <is>
          <t>45500000</t>
        </is>
      </c>
      <c r="Q112" s="8" t="inlineStr">
        <is>
          <t>Ver</t>
        </is>
      </c>
      <c r="R112" s="8" t="inlineStr">
        <is>
          <t>PCAP</t>
        </is>
      </c>
      <c r="S112" s="9" t="n">
        <v>46310</v>
      </c>
      <c r="T112" s="3" t="n">
        <v>46309.49840277778</v>
      </c>
      <c r="U112" s="2" t="n"/>
    </row>
    <row r="113">
      <c r="A113" s="2" t="inlineStr">
        <is>
          <t>Adjudicada</t>
        </is>
      </c>
      <c r="B113" s="3" t="n">
        <v>46224.79166666666</v>
      </c>
      <c r="C113" s="5" t="n">
        <v>161512.96</v>
      </c>
      <c r="D113" s="5" t="n">
        <v>161512.96</v>
      </c>
      <c r="E113" s="2" t="inlineStr">
        <is>
          <t>Comunitat Valenciana</t>
        </is>
      </c>
      <c r="F113" s="2" t="inlineStr">
        <is>
          <t>Alicante</t>
        </is>
      </c>
      <c r="G113" s="2" t="n"/>
      <c r="H113" s="2" t="inlineStr">
        <is>
          <t>Comité de Contratación de Aguas Municipalizadas de Alicante, Empresa Mixta</t>
        </is>
      </c>
      <c r="I113" s="2" t="inlineStr">
        <is>
          <t>Reforma, electrodomésticos y mobiliario en Aureliano Ibarra por Aguas Municipalizadas de Alicante, EM.</t>
        </is>
      </c>
      <c r="J113" s="2" t="inlineStr">
        <is>
          <t>OB004/2026</t>
        </is>
      </c>
      <c r="K113" s="2" t="inlineStr">
        <is>
          <t>Abierto simplificado</t>
        </is>
      </c>
      <c r="L113" s="6" t="n">
        <v>4</v>
      </c>
      <c r="M113" s="2" t="n"/>
      <c r="N113" s="7" t="n">
        <v>0</v>
      </c>
      <c r="O113" s="4" t="n">
        <v>3</v>
      </c>
      <c r="P113" s="2" t="inlineStr">
        <is>
          <t>45000000; 39000000</t>
        </is>
      </c>
      <c r="Q113" s="8" t="inlineStr">
        <is>
          <t>Ver</t>
        </is>
      </c>
      <c r="R113" s="8" t="inlineStr">
        <is>
          <t>PCAP</t>
        </is>
      </c>
      <c r="S113" s="9" t="n">
        <v>46310</v>
      </c>
      <c r="T113" s="3" t="n">
        <v>46309.49826388889</v>
      </c>
      <c r="U113" s="2" t="n"/>
    </row>
    <row r="114">
      <c r="A114" s="2" t="inlineStr">
        <is>
          <t>Resuelta</t>
        </is>
      </c>
      <c r="B114" s="3" t="n">
        <v>46293.375</v>
      </c>
      <c r="C114" s="5" t="n">
        <v>39798.51</v>
      </c>
      <c r="D114" s="5" t="n">
        <v>39798.51</v>
      </c>
      <c r="E114" s="2" t="inlineStr">
        <is>
          <t>Andalucía</t>
        </is>
      </c>
      <c r="F114" s="2" t="inlineStr">
        <is>
          <t>Cádiz</t>
        </is>
      </c>
      <c r="G114" s="2" t="n"/>
      <c r="H114" s="2" t="inlineStr">
        <is>
          <t>Intendente de San Fernando</t>
        </is>
      </c>
      <c r="I114" s="2" t="inlineStr">
        <is>
          <t>INFRA26-061 Reparación de aseo y aulas de catequesis en la iglesia vaticana y castrense de San Francisco. Lote 7.</t>
        </is>
      </c>
      <c r="J114" s="2" t="inlineStr">
        <is>
          <t>2026/AR43U/00002520E</t>
        </is>
      </c>
      <c r="K114" s="2" t="inlineStr">
        <is>
          <t>Abierto</t>
        </is>
      </c>
      <c r="L114" s="6" t="n">
        <v>2</v>
      </c>
      <c r="M114" s="2" t="n"/>
      <c r="N114" s="7" t="n">
        <v>0</v>
      </c>
      <c r="O114" s="4" t="n"/>
      <c r="P114" s="2" t="inlineStr">
        <is>
          <t>45000000</t>
        </is>
      </c>
      <c r="Q114" s="8" t="inlineStr">
        <is>
          <t>Ver</t>
        </is>
      </c>
      <c r="R114" s="8" t="inlineStr">
        <is>
          <t>PCAP</t>
        </is>
      </c>
      <c r="S114" s="9" t="n">
        <v>46310</v>
      </c>
      <c r="T114" s="3" t="n">
        <v>46309.49704861111</v>
      </c>
      <c r="U114" s="2" t="n"/>
    </row>
    <row r="115">
      <c r="A115" s="2" t="inlineStr">
        <is>
          <t>En plazo</t>
        </is>
      </c>
      <c r="B115" s="3" t="n">
        <v>46329.58333333334</v>
      </c>
      <c r="C115" s="5" t="n">
        <v>988010.83</v>
      </c>
      <c r="D115" s="5" t="n">
        <v>988010.83</v>
      </c>
      <c r="E115" s="2" t="inlineStr">
        <is>
          <t>Andalucía</t>
        </is>
      </c>
      <c r="F115" s="2" t="inlineStr">
        <is>
          <t>Sevilla</t>
        </is>
      </c>
      <c r="G115" s="2" t="inlineStr">
        <is>
          <t>Gines</t>
        </is>
      </c>
      <c r="H115" s="2" t="inlineStr">
        <is>
          <t>Junta de Gobierno Local del Ayuntamiento de Gines</t>
        </is>
      </c>
      <c r="I115" s="2" t="inlineStr">
        <is>
          <t>Obras de rehabilitación y adecuación de inmueble municipal en plantas baja y sótano para aparcamiento público municipal y locales de usos culturales y sociales.</t>
        </is>
      </c>
      <c r="J115" s="2" t="inlineStr">
        <is>
          <t>6859/2026</t>
        </is>
      </c>
      <c r="K115" s="2" t="inlineStr">
        <is>
          <t>Abierto simplificado</t>
        </is>
      </c>
      <c r="L115" s="6" t="n">
        <v>6</v>
      </c>
      <c r="M115" s="2" t="inlineStr">
        <is>
          <t>C*-2</t>
        </is>
      </c>
      <c r="N115" s="7" t="n">
        <v>0.25</v>
      </c>
      <c r="O115" s="4" t="n"/>
      <c r="P115" s="2" t="inlineStr">
        <is>
          <t>45453100; 45313100; 45331210</t>
        </is>
      </c>
      <c r="Q115" s="8" t="inlineStr">
        <is>
          <t>Ver</t>
        </is>
      </c>
      <c r="R115" s="8" t="inlineStr">
        <is>
          <t>PCAP</t>
        </is>
      </c>
      <c r="S115" s="9" t="n">
        <v>46310</v>
      </c>
      <c r="T115" s="3" t="n">
        <v>46309.49670138889</v>
      </c>
      <c r="U115" s="2" t="n"/>
    </row>
    <row r="116">
      <c r="A116" s="2" t="inlineStr">
        <is>
          <t>Resuelta</t>
        </is>
      </c>
      <c r="B116" s="3" t="n">
        <v>46266.41666666666</v>
      </c>
      <c r="C116" s="5" t="n">
        <v>30200</v>
      </c>
      <c r="D116" s="5" t="n">
        <v>30200</v>
      </c>
      <c r="E116" s="2" t="inlineStr">
        <is>
          <t>Andalucía</t>
        </is>
      </c>
      <c r="F116" s="2" t="inlineStr">
        <is>
          <t>Córdoba</t>
        </is>
      </c>
      <c r="G116" s="2" t="n"/>
      <c r="H116" s="2" t="inlineStr">
        <is>
          <t>Empresa de Transformación Agraria S.A.,S.M.E., M.P., (TRAGSA)</t>
        </is>
      </c>
      <c r="I11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6" s="2" t="inlineStr">
        <is>
          <t>TSA0079529-138</t>
        </is>
      </c>
      <c r="K116" s="2" t="inlineStr">
        <is>
          <t>Abierto</t>
        </is>
      </c>
      <c r="L116" s="6" t="n">
        <v>7</v>
      </c>
      <c r="M116" s="2" t="n"/>
      <c r="N116" s="7" t="n">
        <v>0</v>
      </c>
      <c r="O116" s="4" t="n"/>
      <c r="P116" s="2" t="inlineStr">
        <is>
          <t>45500000</t>
        </is>
      </c>
      <c r="Q116" s="8" t="inlineStr">
        <is>
          <t>Ver</t>
        </is>
      </c>
      <c r="R116" s="8" t="inlineStr">
        <is>
          <t>PCAP</t>
        </is>
      </c>
      <c r="S116" s="9" t="n">
        <v>46310</v>
      </c>
      <c r="T116" s="3" t="n">
        <v>46309.4966087963</v>
      </c>
      <c r="U116" s="2" t="n"/>
    </row>
    <row r="117">
      <c r="A117" s="2" t="inlineStr">
        <is>
          <t>Resuelta</t>
        </is>
      </c>
      <c r="B117" s="3" t="n">
        <v>46296.375</v>
      </c>
      <c r="C117" s="5" t="n">
        <v>35660.39</v>
      </c>
      <c r="D117" s="5" t="n">
        <v>35660.39</v>
      </c>
      <c r="E117" s="2" t="inlineStr">
        <is>
          <t>Andalucía</t>
        </is>
      </c>
      <c r="F117" s="2" t="inlineStr">
        <is>
          <t>Cádiz</t>
        </is>
      </c>
      <c r="G117" s="2" t="n"/>
      <c r="H117" s="2" t="inlineStr">
        <is>
          <t>Intendente de San Fernando</t>
        </is>
      </c>
      <c r="I117" s="2" t="inlineStr">
        <is>
          <t>INFRA 26-061 Reparación aseos cámara oficiales BN Carraca.</t>
        </is>
      </c>
      <c r="J117" s="2" t="inlineStr">
        <is>
          <t>2026/AR43U/00002480E</t>
        </is>
      </c>
      <c r="K117" s="2" t="inlineStr">
        <is>
          <t>Abierto</t>
        </is>
      </c>
      <c r="L117" s="6" t="n">
        <v>1.7</v>
      </c>
      <c r="M117" s="2" t="n"/>
      <c r="N117" s="7" t="n">
        <v>0</v>
      </c>
      <c r="O117" s="4" t="n"/>
      <c r="P117" s="2" t="inlineStr">
        <is>
          <t>45000000</t>
        </is>
      </c>
      <c r="Q117" s="8" t="inlineStr">
        <is>
          <t>Ver</t>
        </is>
      </c>
      <c r="R117" s="8" t="inlineStr">
        <is>
          <t>PCAP</t>
        </is>
      </c>
      <c r="S117" s="9" t="n">
        <v>46310</v>
      </c>
      <c r="T117" s="3" t="n">
        <v>46309.49472222223</v>
      </c>
      <c r="U117" s="2" t="n"/>
    </row>
    <row r="118">
      <c r="A118" s="2" t="inlineStr">
        <is>
          <t>Pendiente de adjudicación</t>
        </is>
      </c>
      <c r="B118" s="3" t="n">
        <v>46261.99930555555</v>
      </c>
      <c r="C118" s="5" t="n">
        <v>182182.1</v>
      </c>
      <c r="D118" s="5" t="n">
        <v>182182.1</v>
      </c>
      <c r="E118" s="2" t="inlineStr">
        <is>
          <t>Andalucía</t>
        </is>
      </c>
      <c r="F118" s="2" t="inlineStr">
        <is>
          <t>Granada</t>
        </is>
      </c>
      <c r="G118" s="2" t="n"/>
      <c r="H118" s="2" t="inlineStr">
        <is>
          <t>Alcaldia del Ayuntamiento de Peligros</t>
        </is>
      </c>
      <c r="I118"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18" s="2" t="inlineStr">
        <is>
          <t>2733/2026</t>
        </is>
      </c>
      <c r="K118" s="2" t="inlineStr">
        <is>
          <t>Abierto simplificado</t>
        </is>
      </c>
      <c r="L118" s="6" t="n">
        <v>2</v>
      </c>
      <c r="M118" s="2" t="n"/>
      <c r="N118" s="7" t="n">
        <v>0</v>
      </c>
      <c r="O118" s="4" t="n"/>
      <c r="P118" s="2" t="inlineStr">
        <is>
          <t>45316000; 45316100</t>
        </is>
      </c>
      <c r="Q118" s="8" t="inlineStr">
        <is>
          <t>Ver</t>
        </is>
      </c>
      <c r="R118" s="8" t="inlineStr">
        <is>
          <t>PCAP</t>
        </is>
      </c>
      <c r="S118" s="9" t="n">
        <v>46310</v>
      </c>
      <c r="T118" s="3" t="n">
        <v>46309.49315972222</v>
      </c>
      <c r="U118" s="2" t="n"/>
    </row>
    <row r="119">
      <c r="A119" s="2" t="inlineStr">
        <is>
          <t>Resuelta</t>
        </is>
      </c>
      <c r="B119" s="3" t="n">
        <v>46296.375</v>
      </c>
      <c r="C119" s="5" t="n">
        <v>16272.85</v>
      </c>
      <c r="D119" s="5" t="n">
        <v>16272.85</v>
      </c>
      <c r="E119" s="2" t="inlineStr">
        <is>
          <t>Andalucía</t>
        </is>
      </c>
      <c r="F119" s="2" t="inlineStr">
        <is>
          <t>Cádiz</t>
        </is>
      </c>
      <c r="G119" s="2" t="n"/>
      <c r="H119" s="2" t="inlineStr">
        <is>
          <t>Intendente de San Fernando</t>
        </is>
      </c>
      <c r="I119" s="2" t="inlineStr">
        <is>
          <t>NFRA26-061 CB Reparación y pintado de la fachada trasera del cine de la BNC. Lote 7.</t>
        </is>
      </c>
      <c r="J119" s="2" t="inlineStr">
        <is>
          <t>2026/AR43U/00002533E</t>
        </is>
      </c>
      <c r="K119" s="2" t="inlineStr">
        <is>
          <t>Abierto</t>
        </is>
      </c>
      <c r="L119" s="6" t="n">
        <v>1.7</v>
      </c>
      <c r="M119" s="2" t="n"/>
      <c r="N119" s="7" t="n">
        <v>0</v>
      </c>
      <c r="O119" s="4" t="n"/>
      <c r="P119" s="2" t="inlineStr">
        <is>
          <t>45000000</t>
        </is>
      </c>
      <c r="Q119" s="8" t="inlineStr">
        <is>
          <t>Ver</t>
        </is>
      </c>
      <c r="R119" s="8" t="inlineStr">
        <is>
          <t>PCAP</t>
        </is>
      </c>
      <c r="S119" s="9" t="n">
        <v>46310</v>
      </c>
      <c r="T119" s="3" t="n">
        <v>46309.493125</v>
      </c>
      <c r="U119" s="2" t="n"/>
    </row>
    <row r="120">
      <c r="A120" s="2" t="inlineStr">
        <is>
          <t>Resuelta</t>
        </is>
      </c>
      <c r="B120" s="3" t="n">
        <v>46280.41666666666</v>
      </c>
      <c r="C120" s="5" t="n">
        <v>148800</v>
      </c>
      <c r="D120" s="5" t="n">
        <v>148800</v>
      </c>
      <c r="E120" s="2" t="inlineStr">
        <is>
          <t>Andalucía</t>
        </is>
      </c>
      <c r="F120" s="2" t="inlineStr">
        <is>
          <t>Córdoba</t>
        </is>
      </c>
      <c r="G120" s="2" t="n"/>
      <c r="H120" s="2" t="inlineStr">
        <is>
          <t>Empresa de Transformación Agraria S.A.,S.M.E., M.P., (TRAGSA)</t>
        </is>
      </c>
      <c r="I1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20" s="2" t="inlineStr">
        <is>
          <t>TSA0079529-139</t>
        </is>
      </c>
      <c r="K120" s="2" t="inlineStr">
        <is>
          <t>Abierto</t>
        </is>
      </c>
      <c r="L120" s="6" t="n">
        <v>9</v>
      </c>
      <c r="M120" s="2" t="n"/>
      <c r="N120" s="7" t="n">
        <v>0</v>
      </c>
      <c r="O120" s="4" t="n"/>
      <c r="P120" s="2" t="inlineStr">
        <is>
          <t>45500000</t>
        </is>
      </c>
      <c r="Q120" s="8" t="inlineStr">
        <is>
          <t>Ver</t>
        </is>
      </c>
      <c r="R120" s="8" t="inlineStr">
        <is>
          <t>PCAP</t>
        </is>
      </c>
      <c r="S120" s="9" t="n">
        <v>46310</v>
      </c>
      <c r="T120" s="3" t="n">
        <v>46309.49226851852</v>
      </c>
      <c r="U120" s="2" t="n"/>
    </row>
    <row r="121">
      <c r="A121" s="2" t="inlineStr">
        <is>
          <t>Resuelta</t>
        </is>
      </c>
      <c r="B121" s="3" t="n">
        <v>46267.99930555555</v>
      </c>
      <c r="C121" s="5" t="n">
        <v>195410.55</v>
      </c>
      <c r="D121" s="5" t="n">
        <v>214951.6</v>
      </c>
      <c r="E121" s="2" t="inlineStr">
        <is>
          <t>Comunitat Valenciana</t>
        </is>
      </c>
      <c r="F121" s="2" t="inlineStr">
        <is>
          <t>Alicante</t>
        </is>
      </c>
      <c r="G121" s="2" t="inlineStr">
        <is>
          <t>Cocentaina</t>
        </is>
      </c>
      <c r="H121" s="2" t="inlineStr">
        <is>
          <t>Alcaldía del Ayuntamiento de Cocentaina</t>
        </is>
      </c>
      <c r="I121" s="2" t="inlineStr">
        <is>
          <t>Construcción de nuevos nichos en el cementerio municipal de Cocentaina</t>
        </is>
      </c>
      <c r="J121" s="2" t="inlineStr">
        <is>
          <t>6363/2025</t>
        </is>
      </c>
      <c r="K121" s="2" t="inlineStr">
        <is>
          <t>Abierto simplificado</t>
        </is>
      </c>
      <c r="L121" s="6" t="n">
        <v>3</v>
      </c>
      <c r="M121" s="2" t="n"/>
      <c r="N121" s="7" t="n">
        <v>0</v>
      </c>
      <c r="O121" s="4" t="n"/>
      <c r="P121" s="2" t="inlineStr">
        <is>
          <t>45215400</t>
        </is>
      </c>
      <c r="Q121" s="8" t="inlineStr">
        <is>
          <t>Ver</t>
        </is>
      </c>
      <c r="R121" s="8" t="inlineStr">
        <is>
          <t>PCAP</t>
        </is>
      </c>
      <c r="S121" s="9" t="n">
        <v>46310</v>
      </c>
      <c r="T121" s="3" t="n">
        <v>46309.48913194444</v>
      </c>
      <c r="U121" s="2" t="n"/>
    </row>
    <row r="122">
      <c r="A122" s="2" t="inlineStr">
        <is>
          <t>En plazo</t>
        </is>
      </c>
      <c r="B122" s="3" t="n">
        <v>46329.99930555555</v>
      </c>
      <c r="C122" s="5" t="n">
        <v>335475.99</v>
      </c>
      <c r="D122" s="5" t="n">
        <v>335475.99</v>
      </c>
      <c r="E122" s="2" t="inlineStr">
        <is>
          <t>Andalucía</t>
        </is>
      </c>
      <c r="F122" s="2" t="inlineStr">
        <is>
          <t>Málaga</t>
        </is>
      </c>
      <c r="G122" s="2" t="n"/>
      <c r="H122" s="2" t="inlineStr">
        <is>
          <t>Alcaldía del Ayuntamiento de Jubrique</t>
        </is>
      </c>
      <c r="I122" s="2" t="inlineStr">
        <is>
          <t>El objeto del presente proyecto es la construccion de un aparcamiento en superficie, que permita dotar al entorno urbano de nuevas plazas de estacionamiento mediante una solución funcional.</t>
        </is>
      </c>
      <c r="J122" s="2" t="inlineStr">
        <is>
          <t>CONTRATO_99/2026</t>
        </is>
      </c>
      <c r="K122" s="2" t="inlineStr">
        <is>
          <t>Abierto simplificado</t>
        </is>
      </c>
      <c r="L122" s="6" t="n">
        <v>8</v>
      </c>
      <c r="M122" s="2" t="inlineStr">
        <is>
          <t>G6-2</t>
        </is>
      </c>
      <c r="N122" s="7" t="n">
        <v>0.25</v>
      </c>
      <c r="O122" s="4" t="n"/>
      <c r="P122" s="2" t="inlineStr">
        <is>
          <t>45223300; 45111000; 45233252</t>
        </is>
      </c>
      <c r="Q122" s="8" t="inlineStr">
        <is>
          <t>Ver</t>
        </is>
      </c>
      <c r="R122" s="8" t="inlineStr">
        <is>
          <t>PCAP</t>
        </is>
      </c>
      <c r="S122" s="9" t="n">
        <v>46310</v>
      </c>
      <c r="T122" s="3" t="n">
        <v>46309.48856481481</v>
      </c>
      <c r="U122" s="2" t="n"/>
    </row>
    <row r="123">
      <c r="A123" s="2" t="inlineStr">
        <is>
          <t>Pendiente de adjudicación</t>
        </is>
      </c>
      <c r="B123" s="3" t="n">
        <v>46308.99930555555</v>
      </c>
      <c r="C123" s="5" t="n">
        <v>261800</v>
      </c>
      <c r="D123" s="5" t="n">
        <v>261800</v>
      </c>
      <c r="E123" s="2" t="inlineStr">
        <is>
          <t>Comunitat Valenciana</t>
        </is>
      </c>
      <c r="F123" s="2" t="inlineStr">
        <is>
          <t>Valencia</t>
        </is>
      </c>
      <c r="G123" s="2" t="n"/>
      <c r="H123" s="2" t="inlineStr">
        <is>
          <t>Alcaldía del Ayuntamiento de Foios</t>
        </is>
      </c>
      <c r="I123" s="2" t="inlineStr">
        <is>
          <t>Segunda fase de la Sala Polivalente del Polideportivo Municipal de Foios</t>
        </is>
      </c>
      <c r="J123" s="2" t="inlineStr">
        <is>
          <t>2026/2426</t>
        </is>
      </c>
      <c r="K123" s="2" t="inlineStr">
        <is>
          <t>Abierto simplificado</t>
        </is>
      </c>
      <c r="L123" s="6" t="n">
        <v>6</v>
      </c>
      <c r="M123" s="2" t="n"/>
      <c r="N123" s="7" t="n">
        <v>0</v>
      </c>
      <c r="O123" s="4" t="n"/>
      <c r="P123" s="2" t="inlineStr">
        <is>
          <t>45210000</t>
        </is>
      </c>
      <c r="Q123" s="8" t="inlineStr">
        <is>
          <t>Ver</t>
        </is>
      </c>
      <c r="R123" s="8" t="inlineStr">
        <is>
          <t>PCAP</t>
        </is>
      </c>
      <c r="S123" s="9" t="n">
        <v>46310</v>
      </c>
      <c r="T123" s="3" t="n">
        <v>46309.48741898148</v>
      </c>
      <c r="U123" s="2" t="n"/>
    </row>
    <row r="124">
      <c r="A124" s="2" t="inlineStr">
        <is>
          <t>En plazo</t>
        </is>
      </c>
      <c r="B124" s="3" t="n">
        <v>46323.79166666666</v>
      </c>
      <c r="C124" s="5" t="n">
        <v>446558.15</v>
      </c>
      <c r="D124" s="5" t="n">
        <v>446558.15</v>
      </c>
      <c r="E124" s="2" t="inlineStr">
        <is>
          <t>Andalucía</t>
        </is>
      </c>
      <c r="F124" s="2" t="inlineStr">
        <is>
          <t>Córdoba</t>
        </is>
      </c>
      <c r="G124" s="2" t="inlineStr">
        <is>
          <t>Córdoba</t>
        </is>
      </c>
      <c r="H124" s="2" t="inlineStr">
        <is>
          <t>Presidencia del Consejo de Administración de la Empresa Provincial de Aguas de Córdoba S.A.</t>
        </is>
      </c>
      <c r="I124" s="2" t="inlineStr">
        <is>
          <t>Obra de Renovación de las Redes de Abastecimiento y Saneamiento y Reurbanización mediante Plataforma Única en la Calle Horno de Puente Genil.</t>
        </is>
      </c>
      <c r="J124" s="2" t="inlineStr">
        <is>
          <t>CC 54/2026</t>
        </is>
      </c>
      <c r="K124" s="2" t="inlineStr">
        <is>
          <t>Abierto simplificado</t>
        </is>
      </c>
      <c r="L124" s="6" t="n">
        <v>5</v>
      </c>
      <c r="M124" s="2" t="n"/>
      <c r="N124" s="7" t="n"/>
      <c r="O124" s="4" t="n"/>
      <c r="P124" s="2" t="inlineStr">
        <is>
          <t>45232151; 45232410; 45232400</t>
        </is>
      </c>
      <c r="Q124" s="8" t="inlineStr">
        <is>
          <t>Ver</t>
        </is>
      </c>
      <c r="R124" s="8" t="inlineStr">
        <is>
          <t>PCAP</t>
        </is>
      </c>
      <c r="S124" s="9" t="n">
        <v>46310</v>
      </c>
      <c r="T124" s="3" t="n">
        <v>46309.4846412037</v>
      </c>
      <c r="U124" s="2" t="n"/>
    </row>
    <row r="125">
      <c r="A125" s="2" t="inlineStr">
        <is>
          <t>Resuelta</t>
        </is>
      </c>
      <c r="B125" s="3" t="n">
        <v>46230.99930555555</v>
      </c>
      <c r="C125" s="5" t="n">
        <v>148760.33</v>
      </c>
      <c r="D125" s="5" t="n">
        <v>148760.33</v>
      </c>
      <c r="E125" s="2" t="inlineStr">
        <is>
          <t>Andalucía</t>
        </is>
      </c>
      <c r="F125" s="2" t="inlineStr">
        <is>
          <t>Almería</t>
        </is>
      </c>
      <c r="G125" s="2" t="n"/>
      <c r="H125" s="2" t="inlineStr">
        <is>
          <t>Junta de Gobierno de la Diputación Provincial de Almería</t>
        </is>
      </c>
      <c r="I125" s="2" t="inlineStr">
        <is>
          <t>Rehabilitación Del Firme Y Mejora En C.p. Al-3111: De La A-7 A Campohermoso Por San Isidro De Níjar 4RVP2025-2026</t>
        </is>
      </c>
      <c r="J125" s="2" t="inlineStr">
        <is>
          <t>2026/D31000/006-013/00036</t>
        </is>
      </c>
      <c r="K125" s="2" t="inlineStr">
        <is>
          <t>Abierto simplificado</t>
        </is>
      </c>
      <c r="L125" s="6" t="n">
        <v>2</v>
      </c>
      <c r="M125" s="2" t="n"/>
      <c r="N125" s="7" t="n">
        <v>0.25</v>
      </c>
      <c r="O125" s="4" t="n"/>
      <c r="P125" s="2" t="inlineStr">
        <is>
          <t>45233220</t>
        </is>
      </c>
      <c r="Q125" s="8" t="inlineStr">
        <is>
          <t>Ver</t>
        </is>
      </c>
      <c r="R125" s="8" t="inlineStr">
        <is>
          <t>PCAP</t>
        </is>
      </c>
      <c r="S125" s="9" t="n">
        <v>46310</v>
      </c>
      <c r="T125" s="3" t="n">
        <v>46309.484375</v>
      </c>
      <c r="U125" s="2" t="n"/>
    </row>
    <row r="126">
      <c r="A126" s="2" t="inlineStr">
        <is>
          <t>Adjudicada</t>
        </is>
      </c>
      <c r="B126" s="3" t="n">
        <v>46212.99930555555</v>
      </c>
      <c r="C126" s="5" t="n">
        <v>81502.66</v>
      </c>
      <c r="D126" s="5" t="n">
        <v>89652.92999999999</v>
      </c>
      <c r="E126" s="2" t="inlineStr">
        <is>
          <t>Andalucía</t>
        </is>
      </c>
      <c r="F126" s="2" t="inlineStr">
        <is>
          <t>Málaga</t>
        </is>
      </c>
      <c r="G126" s="2" t="n"/>
      <c r="H126" s="2" t="inlineStr">
        <is>
          <t>Teniente de Alcalde de Contratación del Ayuntamiento de Antequera</t>
        </is>
      </c>
      <c r="I126" s="2" t="inlineStr">
        <is>
          <t>Obra de renovación del parque infantil del barrio de los Remedios</t>
        </is>
      </c>
      <c r="J126" s="2" t="inlineStr">
        <is>
          <t>2026CONTRA000070</t>
        </is>
      </c>
      <c r="K126" s="2" t="inlineStr">
        <is>
          <t>Abierto simplificado</t>
        </is>
      </c>
      <c r="L126" s="6" t="n">
        <v>3</v>
      </c>
      <c r="M126" s="2" t="n"/>
      <c r="N126" s="7" t="n">
        <v>0.25</v>
      </c>
      <c r="O126" s="4" t="n"/>
      <c r="P126" s="2" t="inlineStr">
        <is>
          <t>45212100</t>
        </is>
      </c>
      <c r="Q126" s="8" t="inlineStr">
        <is>
          <t>Ver</t>
        </is>
      </c>
      <c r="R126" s="8" t="inlineStr">
        <is>
          <t>PCAP</t>
        </is>
      </c>
      <c r="S126" s="9" t="n">
        <v>46310</v>
      </c>
      <c r="T126" s="3" t="n">
        <v>46309.48315972222</v>
      </c>
      <c r="U126" s="2" t="n"/>
    </row>
    <row r="127">
      <c r="A127" s="2" t="inlineStr">
        <is>
          <t>En plazo</t>
        </is>
      </c>
      <c r="B127" s="3" t="n">
        <v>46323.5</v>
      </c>
      <c r="C127" s="5" t="n">
        <v>794991.59</v>
      </c>
      <c r="D127" s="5" t="n">
        <v>794991.59</v>
      </c>
      <c r="E127" s="2" t="inlineStr">
        <is>
          <t>Andalucía</t>
        </is>
      </c>
      <c r="F127" s="2" t="inlineStr">
        <is>
          <t>Málaga</t>
        </is>
      </c>
      <c r="G127" s="2" t="inlineStr">
        <is>
          <t>Málaga</t>
        </is>
      </c>
      <c r="H127" s="2" t="inlineStr">
        <is>
          <t>Aena. Dirección del Aeropuerto de Málaga-Costa del Sol</t>
        </is>
      </c>
      <c r="I127" s="2" t="inlineStr">
        <is>
          <t>Ampliación Y Adecuación De Aseo 208 En El Aeropuerto De Málaga ¿ Costa Del Sol</t>
        </is>
      </c>
      <c r="J127" s="2" t="inlineStr">
        <is>
          <t>AGP-147/2026</t>
        </is>
      </c>
      <c r="K127" s="2" t="inlineStr">
        <is>
          <t>Normas internas</t>
        </is>
      </c>
      <c r="L127" s="6" t="n">
        <v>14</v>
      </c>
      <c r="M127" s="2" t="n"/>
      <c r="N127" s="7" t="n">
        <v>0</v>
      </c>
      <c r="O127" s="4" t="n"/>
      <c r="P127" s="2" t="inlineStr">
        <is>
          <t>45211310</t>
        </is>
      </c>
      <c r="Q127" s="8" t="inlineStr">
        <is>
          <t>Ver</t>
        </is>
      </c>
      <c r="R127" s="8" t="inlineStr">
        <is>
          <t>PCAP</t>
        </is>
      </c>
      <c r="S127" s="9" t="n">
        <v>46310</v>
      </c>
      <c r="T127" s="3" t="n">
        <v>46309.48135416667</v>
      </c>
      <c r="U127" s="2" t="n"/>
    </row>
    <row r="128">
      <c r="A128" s="2" t="inlineStr">
        <is>
          <t>En plazo</t>
        </is>
      </c>
      <c r="B128" s="3" t="n">
        <v>46329.79166666666</v>
      </c>
      <c r="C128" s="5" t="n">
        <v>669122.0600000001</v>
      </c>
      <c r="D128" s="5" t="n">
        <v>669122.0600000001</v>
      </c>
      <c r="E128" s="2" t="inlineStr">
        <is>
          <t>Andalucía</t>
        </is>
      </c>
      <c r="F128" s="2" t="inlineStr">
        <is>
          <t>Córdoba</t>
        </is>
      </c>
      <c r="G128" s="2" t="inlineStr">
        <is>
          <t>Córdoba</t>
        </is>
      </c>
      <c r="H128" s="2" t="inlineStr">
        <is>
          <t>Presidencia del Consejo de Administración de la Empresa Provincial de Aguas de Córdoba S.A.</t>
        </is>
      </c>
      <c r="I128" s="2" t="inlineStr">
        <is>
          <t>Obra de Red de Abastecimiento Aldea del Villar (Fuente Palmera).</t>
        </is>
      </c>
      <c r="J128" s="2" t="inlineStr">
        <is>
          <t>CC 55/2026</t>
        </is>
      </c>
      <c r="K128" s="2" t="inlineStr">
        <is>
          <t>Abierto</t>
        </is>
      </c>
      <c r="L128" s="6" t="n">
        <v>12</v>
      </c>
      <c r="M128" s="2" t="inlineStr">
        <is>
          <t>E1-3</t>
        </is>
      </c>
      <c r="N128" s="7" t="n">
        <v>0.5</v>
      </c>
      <c r="O128" s="4" t="n"/>
      <c r="P128" s="2" t="inlineStr">
        <is>
          <t>45240000</t>
        </is>
      </c>
      <c r="Q128" s="8" t="inlineStr">
        <is>
          <t>Ver</t>
        </is>
      </c>
      <c r="R128" s="8" t="inlineStr">
        <is>
          <t>PCAP</t>
        </is>
      </c>
      <c r="S128" s="9" t="n">
        <v>46310</v>
      </c>
      <c r="T128" s="3" t="n">
        <v>46309.48126157407</v>
      </c>
      <c r="U128" s="2" t="n"/>
    </row>
    <row r="129">
      <c r="A129" s="2" t="inlineStr">
        <is>
          <t>En plazo</t>
        </is>
      </c>
      <c r="B129" s="3" t="n">
        <v>46335.99930555555</v>
      </c>
      <c r="C129" s="5" t="n">
        <v>89256.2</v>
      </c>
      <c r="D129" s="5" t="n">
        <v>89256.2</v>
      </c>
      <c r="E129" s="2" t="inlineStr">
        <is>
          <t>Andalucía</t>
        </is>
      </c>
      <c r="F129" s="2" t="inlineStr">
        <is>
          <t>Córdoba</t>
        </is>
      </c>
      <c r="G129" s="2" t="n"/>
      <c r="H129" s="2" t="inlineStr">
        <is>
          <t>Diputado delegado de Infraestructuras, Sostenibilidad y Agricultura</t>
        </is>
      </c>
      <c r="I129" s="2" t="inlineStr">
        <is>
          <t>Contrato de obra de Contrucción de Pasarela en Cruce Arroyo de la Fuente en Valsequillo (Córdoba). Obra incluida en el Plan de Humanización de Entornos Urbanos y Agenda Rural 2024-2027</t>
        </is>
      </c>
      <c r="J129" s="2" t="inlineStr">
        <is>
          <t>687/26</t>
        </is>
      </c>
      <c r="K129" s="2" t="inlineStr">
        <is>
          <t>Abierto</t>
        </is>
      </c>
      <c r="L129" s="6" t="n">
        <v>3</v>
      </c>
      <c r="M129" s="2" t="n"/>
      <c r="N129" s="7" t="n">
        <v>0.4</v>
      </c>
      <c r="O129" s="4" t="n"/>
      <c r="P129" s="2" t="inlineStr">
        <is>
          <t>45221113; 45233161</t>
        </is>
      </c>
      <c r="Q129" s="8" t="inlineStr">
        <is>
          <t>Ver</t>
        </is>
      </c>
      <c r="R129" s="8" t="inlineStr">
        <is>
          <t>PCAP</t>
        </is>
      </c>
      <c r="S129" s="9" t="n">
        <v>46310</v>
      </c>
      <c r="T129" s="3" t="n">
        <v>46309.47818287037</v>
      </c>
      <c r="U129" s="2" t="n"/>
    </row>
    <row r="130">
      <c r="A130" s="2" t="inlineStr">
        <is>
          <t>Adjudicada</t>
        </is>
      </c>
      <c r="B130" s="3" t="n">
        <v>46269.99930555555</v>
      </c>
      <c r="C130" s="5" t="n">
        <v>40082.64</v>
      </c>
      <c r="D130" s="5" t="n">
        <v>40082.64</v>
      </c>
      <c r="E130" s="2" t="inlineStr">
        <is>
          <t>Comunitat Valenciana</t>
        </is>
      </c>
      <c r="F130" s="2" t="inlineStr">
        <is>
          <t>Alicante</t>
        </is>
      </c>
      <c r="G130" s="2" t="n"/>
      <c r="H130" s="2" t="inlineStr">
        <is>
          <t>Presidencia de la Diputación Provincial de Alicante</t>
        </is>
      </c>
      <c r="I130" s="2" t="inlineStr">
        <is>
          <t>Obras de restauación de zona degradada por vertido incontrolado de residuos en parcela municipal en el entorno Casa Tejada, TM de Los Monesinos Alicante.</t>
        </is>
      </c>
      <c r="J130" s="2" t="inlineStr">
        <is>
          <t>O4SS-142/2026</t>
        </is>
      </c>
      <c r="K130" s="2" t="inlineStr">
        <is>
          <t>Abierto simplificado</t>
        </is>
      </c>
      <c r="L130" s="6" t="n">
        <v>1</v>
      </c>
      <c r="M130" s="2" t="n"/>
      <c r="N130" s="7" t="n">
        <v>0</v>
      </c>
      <c r="O130" s="4" t="n"/>
      <c r="P130" s="2" t="inlineStr">
        <is>
          <t>45111213</t>
        </is>
      </c>
      <c r="Q130" s="8" t="inlineStr">
        <is>
          <t>Ver</t>
        </is>
      </c>
      <c r="R130" s="8" t="inlineStr">
        <is>
          <t>PCAP</t>
        </is>
      </c>
      <c r="S130" s="9" t="n">
        <v>46310</v>
      </c>
      <c r="T130" s="3" t="n">
        <v>46309.4733912037</v>
      </c>
      <c r="U130" s="2" t="n"/>
    </row>
    <row r="131">
      <c r="A131" s="2" t="inlineStr">
        <is>
          <t>Resuelta</t>
        </is>
      </c>
      <c r="B131" s="3" t="n">
        <v>46259.41666666666</v>
      </c>
      <c r="C131" s="5" t="n">
        <v>29400</v>
      </c>
      <c r="D131" s="5" t="n">
        <v>29400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31" s="2" t="inlineStr">
        <is>
          <t>TSA0080057-243</t>
        </is>
      </c>
      <c r="K131" s="2" t="inlineStr">
        <is>
          <t>Abierto</t>
        </is>
      </c>
      <c r="L131" s="6" t="n">
        <v>4</v>
      </c>
      <c r="M131" s="2" t="n"/>
      <c r="N131" s="7" t="n">
        <v>0</v>
      </c>
      <c r="O131" s="4" t="n"/>
      <c r="P131" s="2" t="inlineStr">
        <is>
          <t>45500000</t>
        </is>
      </c>
      <c r="Q131" s="8" t="inlineStr">
        <is>
          <t>Ver</t>
        </is>
      </c>
      <c r="R131" s="8" t="inlineStr">
        <is>
          <t>PCAP</t>
        </is>
      </c>
      <c r="S131" s="9" t="n">
        <v>46310</v>
      </c>
      <c r="T131" s="3" t="n">
        <v>46309.47085648148</v>
      </c>
      <c r="U131" s="2" t="n"/>
    </row>
    <row r="132">
      <c r="A132" s="2" t="inlineStr">
        <is>
          <t>Resuelta</t>
        </is>
      </c>
      <c r="B132" s="3" t="n">
        <v>46294.41666666666</v>
      </c>
      <c r="C132" s="5" t="n">
        <v>63000</v>
      </c>
      <c r="D132" s="5" t="n">
        <v>63000</v>
      </c>
      <c r="E132" s="2" t="inlineStr">
        <is>
          <t>Andalucía</t>
        </is>
      </c>
      <c r="F132" s="2" t="inlineStr">
        <is>
          <t>Huelva</t>
        </is>
      </c>
      <c r="G132" s="2" t="n"/>
      <c r="H132" s="2" t="inlineStr">
        <is>
          <t>Empresa de Transformación Agraria S.A.,S.M.E., M.P., (TRAGSA)</t>
        </is>
      </c>
      <c r="I1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 s="2" t="inlineStr">
        <is>
          <t>TSA0080057-254</t>
        </is>
      </c>
      <c r="K132" s="2" t="inlineStr">
        <is>
          <t>Abierto</t>
        </is>
      </c>
      <c r="L132" s="6" t="n">
        <v>8</v>
      </c>
      <c r="M132" s="2" t="n"/>
      <c r="N132" s="7" t="n">
        <v>0</v>
      </c>
      <c r="O132" s="4" t="n"/>
      <c r="P132" s="2" t="inlineStr">
        <is>
          <t>45500000</t>
        </is>
      </c>
      <c r="Q132" s="8" t="inlineStr">
        <is>
          <t>Ver</t>
        </is>
      </c>
      <c r="R132" s="8" t="inlineStr">
        <is>
          <t>PCAP</t>
        </is>
      </c>
      <c r="S132" s="9" t="n">
        <v>46310</v>
      </c>
      <c r="T132" s="3" t="n">
        <v>46309.46873842592</v>
      </c>
      <c r="U132" s="2" t="n"/>
    </row>
    <row r="133">
      <c r="A133" s="2" t="inlineStr">
        <is>
          <t>Resuelta</t>
        </is>
      </c>
      <c r="B133" s="3" t="n">
        <v>46216.99930555555</v>
      </c>
      <c r="C133" s="5" t="n">
        <v>110711.3</v>
      </c>
      <c r="D133" s="5" t="n">
        <v>110711.3</v>
      </c>
      <c r="E133" s="2" t="inlineStr">
        <is>
          <t>Andalucía</t>
        </is>
      </c>
      <c r="F133" s="2" t="inlineStr">
        <is>
          <t>Córdoba</t>
        </is>
      </c>
      <c r="G133" s="2" t="n"/>
      <c r="H133" s="2" t="inlineStr">
        <is>
          <t>Diputado delegado de Infraestructuras, Sostenibilidad y Agricultura</t>
        </is>
      </c>
      <c r="I133" s="2" t="inlineStr">
        <is>
          <t>Contrato de obra de Mejora del tramo central de la calle Cervantes en la Aldea de Piconcillo, en Fuente Obejuna (Córdoba). Obra incluida en el Plan de Aldeas 2024-2027.</t>
        </is>
      </c>
      <c r="J133" s="2" t="inlineStr">
        <is>
          <t>547/26</t>
        </is>
      </c>
      <c r="K133" s="2" t="inlineStr">
        <is>
          <t>Abierto</t>
        </is>
      </c>
      <c r="L133" s="6" t="n">
        <v>4</v>
      </c>
      <c r="M133" s="2" t="n"/>
      <c r="N133" s="7" t="n">
        <v>0</v>
      </c>
      <c r="O133" s="4" t="n"/>
      <c r="P133" s="2" t="inlineStr">
        <is>
          <t>45233340; 45233252</t>
        </is>
      </c>
      <c r="Q133" s="8" t="inlineStr">
        <is>
          <t>Ver</t>
        </is>
      </c>
      <c r="R133" s="8" t="inlineStr">
        <is>
          <t>PCAP</t>
        </is>
      </c>
      <c r="S133" s="9" t="n">
        <v>46310</v>
      </c>
      <c r="T133" s="3" t="n">
        <v>46309.46826388889</v>
      </c>
      <c r="U133" s="2" t="n"/>
    </row>
    <row r="134">
      <c r="A134" s="2" t="inlineStr">
        <is>
          <t>Resuelta</t>
        </is>
      </c>
      <c r="B134" s="3" t="n">
        <v>46295.375</v>
      </c>
      <c r="C134" s="5" t="n">
        <v>165289.26</v>
      </c>
      <c r="D134" s="5" t="n">
        <v>165289.26</v>
      </c>
      <c r="E134" s="2" t="inlineStr">
        <is>
          <t>Andalucía</t>
        </is>
      </c>
      <c r="F134" s="2" t="inlineStr">
        <is>
          <t>Granada</t>
        </is>
      </c>
      <c r="G134" s="2" t="inlineStr">
        <is>
          <t>Armilla</t>
        </is>
      </c>
      <c r="H134" s="2" t="inlineStr">
        <is>
          <t>Jefatura de la Sección Económico Administrativa 24 de la Base Aérea de Morón</t>
        </is>
      </c>
      <c r="I134" s="2" t="inlineStr">
        <is>
          <t>2216/GRUAPO/INFRA Reparación de daños no estructurales ocasionados por seísmos</t>
        </is>
      </c>
      <c r="J134" s="2" t="inlineStr">
        <is>
          <t>2026/EA24/00002210E</t>
        </is>
      </c>
      <c r="K134" s="2" t="inlineStr">
        <is>
          <t>Abierto</t>
        </is>
      </c>
      <c r="L134" s="6" t="n">
        <v>1.5</v>
      </c>
      <c r="M134" s="2" t="n"/>
      <c r="N134" s="7" t="n">
        <v>0</v>
      </c>
      <c r="O134" s="4" t="n"/>
      <c r="P134" s="2" t="inlineStr">
        <is>
          <t>45262690</t>
        </is>
      </c>
      <c r="Q134" s="8" t="inlineStr">
        <is>
          <t>Ver</t>
        </is>
      </c>
      <c r="R134" s="8" t="inlineStr">
        <is>
          <t>PCAP</t>
        </is>
      </c>
      <c r="S134" s="9" t="n">
        <v>46310</v>
      </c>
      <c r="T134" s="3" t="n">
        <v>46309.46813657408</v>
      </c>
      <c r="U134" s="2" t="n"/>
    </row>
    <row r="135">
      <c r="A135" s="2" t="inlineStr">
        <is>
          <t>Pendiente de adjudicación</t>
        </is>
      </c>
      <c r="B135" s="3" t="n">
        <v>46301.58333333334</v>
      </c>
      <c r="C135" s="5" t="n">
        <v>48114.04</v>
      </c>
      <c r="D135" s="5" t="n">
        <v>48114.04</v>
      </c>
      <c r="E135" s="2" t="inlineStr">
        <is>
          <t>Comunitat Valenciana</t>
        </is>
      </c>
      <c r="F135" s="2" t="inlineStr">
        <is>
          <t>Alicante</t>
        </is>
      </c>
      <c r="G135" s="2" t="n"/>
      <c r="H135" s="2" t="inlineStr">
        <is>
          <t>Empresa de Transformación Agraria S.A.,S.M.E., M.P., (TRAGSA)</t>
        </is>
      </c>
      <c r="I135"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35" s="2" t="inlineStr">
        <is>
          <t>TSA0084097</t>
        </is>
      </c>
      <c r="K135" s="2" t="inlineStr">
        <is>
          <t>Abierto simplificado</t>
        </is>
      </c>
      <c r="L135" s="6" t="n">
        <v>2</v>
      </c>
      <c r="M135" s="2" t="n"/>
      <c r="N135" s="7" t="n">
        <v>0</v>
      </c>
      <c r="O135" s="4" t="n"/>
      <c r="P135" s="2" t="inlineStr">
        <is>
          <t>45233222</t>
        </is>
      </c>
      <c r="Q135" s="8" t="inlineStr">
        <is>
          <t>Ver</t>
        </is>
      </c>
      <c r="R135" s="8" t="inlineStr">
        <is>
          <t>PCAP</t>
        </is>
      </c>
      <c r="S135" s="9" t="n">
        <v>46310</v>
      </c>
      <c r="T135" s="3" t="n">
        <v>46309.46556712963</v>
      </c>
      <c r="U135" s="2" t="n"/>
    </row>
    <row r="136">
      <c r="A136" s="2" t="inlineStr">
        <is>
          <t>Pendiente de adjudicación</t>
        </is>
      </c>
      <c r="B136" s="3" t="n">
        <v>46308.99930555555</v>
      </c>
      <c r="C136" s="5" t="n">
        <v>330742.15</v>
      </c>
      <c r="D136" s="5" t="n">
        <v>330742.15</v>
      </c>
      <c r="E136" s="2" t="inlineStr">
        <is>
          <t>Andalucía</t>
        </is>
      </c>
      <c r="F136" s="2" t="inlineStr">
        <is>
          <t>Córdoba</t>
        </is>
      </c>
      <c r="G136" s="2" t="n"/>
      <c r="H136" s="2" t="inlineStr">
        <is>
          <t>Junta de Gobierno de la Diputación Provincial de Córdoba</t>
        </is>
      </c>
      <c r="I136" s="2" t="inlineStr">
        <is>
          <t>Remodelación viaria calle Gran Capitán entorno Plaza Andalucía y calle La Plata, en Monturque (Córdoba) obra incluida en el Plan Provincial de Obras y Servicios 2024-2027</t>
        </is>
      </c>
      <c r="J136" s="2" t="inlineStr">
        <is>
          <t>665/26</t>
        </is>
      </c>
      <c r="K136" s="2" t="inlineStr">
        <is>
          <t>Abierto</t>
        </is>
      </c>
      <c r="L136" s="6" t="n">
        <v>10</v>
      </c>
      <c r="M136" s="2" t="n"/>
      <c r="N136" s="7" t="n">
        <v>0.4</v>
      </c>
      <c r="O136" s="4" t="n"/>
      <c r="P136" s="2" t="inlineStr">
        <is>
          <t>45233252</t>
        </is>
      </c>
      <c r="Q136" s="8" t="inlineStr">
        <is>
          <t>Ver</t>
        </is>
      </c>
      <c r="R136" s="8" t="inlineStr">
        <is>
          <t>PCAP</t>
        </is>
      </c>
      <c r="S136" s="9" t="n">
        <v>46310</v>
      </c>
      <c r="T136" s="3" t="n">
        <v>46309.46518518519</v>
      </c>
      <c r="U136" s="2" t="n"/>
    </row>
    <row r="137">
      <c r="A137" s="2" t="inlineStr">
        <is>
          <t>Pendiente de adjudicación</t>
        </is>
      </c>
      <c r="B137" s="3" t="n">
        <v>46301.58333333334</v>
      </c>
      <c r="C137" s="5" t="n">
        <v>979516.1800000001</v>
      </c>
      <c r="D137" s="5" t="n">
        <v>979516.1800000001</v>
      </c>
      <c r="E137" s="2" t="inlineStr">
        <is>
          <t>Andalucía</t>
        </is>
      </c>
      <c r="F137" s="2" t="inlineStr">
        <is>
          <t>Almería</t>
        </is>
      </c>
      <c r="G137" s="2" t="n"/>
      <c r="H137" s="2" t="inlineStr">
        <is>
          <t>Presidencia del Consejo de Administración de la Sociedad Estatal de Infraestructuras del Transporte Terrestre, S.M.E., S.A.</t>
        </is>
      </c>
      <c r="I137" s="2" t="inlineStr">
        <is>
          <t>Contrato de obras del proyecto de construcción de "actuaciones de reparación en la estructura AP-0007-0909+665 (A06-AP7-0003-VI) de la autopista AP-7 Cartagena-Vera". CLAVE 38-AL-0048.</t>
        </is>
      </c>
      <c r="J137" s="2" t="inlineStr">
        <is>
          <t>20261053-C</t>
        </is>
      </c>
      <c r="K137" s="2" t="inlineStr">
        <is>
          <t>Abierto</t>
        </is>
      </c>
      <c r="L137" s="6" t="n">
        <v>15</v>
      </c>
      <c r="M137" s="2" t="inlineStr">
        <is>
          <t>B2-2; G6-3</t>
        </is>
      </c>
      <c r="N137" s="7" t="n">
        <v>0.3</v>
      </c>
      <c r="O137" s="4" t="n"/>
      <c r="P137" s="2" t="inlineStr">
        <is>
          <t>45233000</t>
        </is>
      </c>
      <c r="Q137" s="8" t="inlineStr">
        <is>
          <t>Ver</t>
        </is>
      </c>
      <c r="R137" s="8" t="inlineStr">
        <is>
          <t>PCAP</t>
        </is>
      </c>
      <c r="S137" s="9" t="n">
        <v>46310</v>
      </c>
      <c r="T137" s="3" t="n">
        <v>46309.46357638889</v>
      </c>
      <c r="U137" s="2" t="n"/>
    </row>
    <row r="138">
      <c r="A138" s="2" t="inlineStr">
        <is>
          <t>En plazo</t>
        </is>
      </c>
      <c r="B138" s="3" t="n">
        <v>46316.99930555555</v>
      </c>
      <c r="C138" s="5" t="n">
        <v>1556552.43</v>
      </c>
      <c r="D138" s="5" t="n">
        <v>1556552.43</v>
      </c>
      <c r="E138" s="2" t="inlineStr">
        <is>
          <t>Andalucía</t>
        </is>
      </c>
      <c r="F138" s="2" t="inlineStr">
        <is>
          <t>Sevilla</t>
        </is>
      </c>
      <c r="G138" s="2" t="inlineStr">
        <is>
          <t>Brenes (Sevilla)</t>
        </is>
      </c>
      <c r="H138" s="2" t="inlineStr">
        <is>
          <t>Pleno del Ayuntamiento de Brenes</t>
        </is>
      </c>
      <c r="I138" s="2" t="inlineStr">
        <is>
          <t>Obras contempladas en el proyecto de Teatro Municipal (Adecuación de salón de usos múltiples a teatro)</t>
        </is>
      </c>
      <c r="J138" s="2" t="inlineStr">
        <is>
          <t>3206/2026</t>
        </is>
      </c>
      <c r="K138" s="2" t="inlineStr">
        <is>
          <t>Abierto simplificado</t>
        </is>
      </c>
      <c r="L138" s="6" t="n">
        <v>24</v>
      </c>
      <c r="M138" s="2" t="n"/>
      <c r="N138" s="7" t="n">
        <v>0</v>
      </c>
      <c r="O138" s="4" t="n"/>
      <c r="P138" s="2" t="inlineStr">
        <is>
          <t>45212322; 45212300; 45454000</t>
        </is>
      </c>
      <c r="Q138" s="8" t="inlineStr">
        <is>
          <t>Ver</t>
        </is>
      </c>
      <c r="R138" s="8" t="inlineStr">
        <is>
          <t>PCAP</t>
        </is>
      </c>
      <c r="S138" s="9" t="n">
        <v>46310</v>
      </c>
      <c r="T138" s="3" t="n">
        <v>46309.46034722222</v>
      </c>
      <c r="U138" s="2" t="n"/>
    </row>
    <row r="139">
      <c r="A139" s="2" t="inlineStr">
        <is>
          <t>En plazo</t>
        </is>
      </c>
      <c r="B139" s="3" t="n">
        <v>46335.99930555555</v>
      </c>
      <c r="C139" s="5" t="n">
        <v>4895758.65</v>
      </c>
      <c r="D139" s="5" t="n">
        <v>4895758.65</v>
      </c>
      <c r="E139" s="2" t="inlineStr">
        <is>
          <t>Comunitat Valenciana</t>
        </is>
      </c>
      <c r="F139" s="2" t="inlineStr">
        <is>
          <t>Valencia</t>
        </is>
      </c>
      <c r="G139" s="2" t="inlineStr">
        <is>
          <t>Estivella</t>
        </is>
      </c>
      <c r="H139" s="2" t="inlineStr">
        <is>
          <t>Pleno del Ayuntamiento de Estivella</t>
        </is>
      </c>
      <c r="I139" s="2" t="inlineStr">
        <is>
          <t>Demolició i reposició del CENTRE CEIP EL BRAÇAL en la mateixa parcel·la</t>
        </is>
      </c>
      <c r="J139" s="2" t="inlineStr">
        <is>
          <t>271/2026</t>
        </is>
      </c>
      <c r="K139" s="2" t="inlineStr">
        <is>
          <t>Abierto</t>
        </is>
      </c>
      <c r="L139" s="6" t="n">
        <v>18</v>
      </c>
      <c r="M139" s="2" t="inlineStr">
        <is>
          <t>C*-5</t>
        </is>
      </c>
      <c r="N139" s="7" t="n">
        <v>0.2</v>
      </c>
      <c r="O139" s="4" t="n"/>
      <c r="P139" s="2" t="inlineStr">
        <is>
          <t>45214000</t>
        </is>
      </c>
      <c r="Q139" s="8" t="inlineStr">
        <is>
          <t>Ver</t>
        </is>
      </c>
      <c r="R139" s="8" t="inlineStr">
        <is>
          <t>PCAP</t>
        </is>
      </c>
      <c r="S139" s="9" t="n">
        <v>46310</v>
      </c>
      <c r="T139" s="3" t="n">
        <v>46309.45815972222</v>
      </c>
      <c r="U139" s="2" t="n"/>
    </row>
    <row r="140">
      <c r="A140" s="2" t="inlineStr">
        <is>
          <t>En plazo</t>
        </is>
      </c>
      <c r="B140" s="3" t="n">
        <v>46329.99930555555</v>
      </c>
      <c r="C140" s="5" t="n">
        <v>424043.96</v>
      </c>
      <c r="D140" s="5" t="n">
        <v>424043.96</v>
      </c>
      <c r="E140" s="2" t="inlineStr">
        <is>
          <t>Andalucía</t>
        </is>
      </c>
      <c r="F140" s="2" t="inlineStr">
        <is>
          <t>Huelva</t>
        </is>
      </c>
      <c r="G140" s="2" t="n"/>
      <c r="H140" s="2" t="inlineStr">
        <is>
          <t>Junta de Gobierno del Ayuntamiento de Almonte</t>
        </is>
      </c>
      <c r="I140" s="2" t="inlineStr">
        <is>
          <t>Ejecución de obras correspondientes al proyecto de plan de asfalto de varias calles del núcleo urbano de Almonte</t>
        </is>
      </c>
      <c r="J140" s="2" t="inlineStr">
        <is>
          <t>11049/2026</t>
        </is>
      </c>
      <c r="K140" s="2" t="inlineStr">
        <is>
          <t>Abierto simplificado</t>
        </is>
      </c>
      <c r="L140" s="6" t="n">
        <v>2.3</v>
      </c>
      <c r="M140" s="2" t="n"/>
      <c r="N140" s="7" t="n">
        <v>0.2</v>
      </c>
      <c r="O140" s="4" t="n"/>
      <c r="P140" s="2" t="inlineStr">
        <is>
          <t>45233222; 45233223</t>
        </is>
      </c>
      <c r="Q140" s="8" t="inlineStr">
        <is>
          <t>Ver</t>
        </is>
      </c>
      <c r="R140" s="8" t="inlineStr">
        <is>
          <t>PCAP</t>
        </is>
      </c>
      <c r="S140" s="9" t="n">
        <v>46310</v>
      </c>
      <c r="T140" s="3" t="n">
        <v>46309.45793981481</v>
      </c>
      <c r="U140" s="2" t="n"/>
    </row>
    <row r="141">
      <c r="A141" s="2" t="inlineStr">
        <is>
          <t>Pendiente de adjudicación</t>
        </is>
      </c>
      <c r="B141" s="3" t="n">
        <v>46302.99930555555</v>
      </c>
      <c r="C141" s="5" t="n">
        <v>74380.16</v>
      </c>
      <c r="D141" s="5" t="n">
        <v>74380.16</v>
      </c>
      <c r="E141" s="2" t="inlineStr">
        <is>
          <t>Andalucía</t>
        </is>
      </c>
      <c r="F141" s="2" t="inlineStr">
        <is>
          <t>Sevilla</t>
        </is>
      </c>
      <c r="G141" s="2" t="inlineStr">
        <is>
          <t>MAIRENA DEL ALCOR</t>
        </is>
      </c>
      <c r="H141"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41" s="2" t="inlineStr">
        <is>
          <t>Obras de Mejora de Eficiencia Energética en la Villa del Conocimiento y Las Artes de Mairena del Alcor para la Instalación de Planta Solar Fotovoltaica-Plan +Sevilla</t>
        </is>
      </c>
      <c r="J141" s="2" t="inlineStr">
        <is>
          <t>1280/2026</t>
        </is>
      </c>
      <c r="K141" s="2" t="inlineStr">
        <is>
          <t>Abierto simplificado</t>
        </is>
      </c>
      <c r="L141" s="6" t="n">
        <v>3</v>
      </c>
      <c r="M141" s="2" t="n"/>
      <c r="N141" s="7" t="n">
        <v>0</v>
      </c>
      <c r="O141" s="4" t="n"/>
      <c r="P141" s="2" t="inlineStr">
        <is>
          <t>45261215</t>
        </is>
      </c>
      <c r="Q141" s="8" t="inlineStr">
        <is>
          <t>Ver</t>
        </is>
      </c>
      <c r="R141" s="8" t="inlineStr">
        <is>
          <t>PCAP</t>
        </is>
      </c>
      <c r="S141" s="9" t="n">
        <v>46310</v>
      </c>
      <c r="T141" s="3" t="n">
        <v>46309.45524305556</v>
      </c>
      <c r="U141" s="2" t="n"/>
    </row>
    <row r="142">
      <c r="A142" s="2" t="inlineStr">
        <is>
          <t>En plazo</t>
        </is>
      </c>
      <c r="B142" s="3" t="n">
        <v>46329.99930555555</v>
      </c>
      <c r="C142" s="5" t="n">
        <v>166600</v>
      </c>
      <c r="D142" s="5" t="n">
        <v>166600</v>
      </c>
      <c r="E142" s="2" t="inlineStr">
        <is>
          <t>Comunitat Valenciana</t>
        </is>
      </c>
      <c r="F142" s="2" t="inlineStr">
        <is>
          <t>Valencia</t>
        </is>
      </c>
      <c r="G142" s="2" t="inlineStr">
        <is>
          <t>Xeresa</t>
        </is>
      </c>
      <c r="H142" s="2" t="inlineStr">
        <is>
          <t>Alcaldía del Ayuntamiento de Xeresa</t>
        </is>
      </c>
      <c r="I142" s="2" t="inlineStr">
        <is>
          <t>bras de construcción de almacén municipal para la brigada de obras en la calle Casals n. 16 de Xeresa.</t>
        </is>
      </c>
      <c r="J142" s="2" t="inlineStr">
        <is>
          <t>798/2026</t>
        </is>
      </c>
      <c r="K142" s="2" t="inlineStr">
        <is>
          <t>Abierto simplificado</t>
        </is>
      </c>
      <c r="L142" s="6" t="n">
        <v>7</v>
      </c>
      <c r="M142" s="2" t="n"/>
      <c r="N142" s="7" t="n">
        <v>0.25</v>
      </c>
      <c r="O142" s="4" t="n"/>
      <c r="P142" s="2" t="inlineStr">
        <is>
          <t>45213221</t>
        </is>
      </c>
      <c r="Q142" s="8" t="inlineStr">
        <is>
          <t>Ver</t>
        </is>
      </c>
      <c r="R142" s="8" t="inlineStr">
        <is>
          <t>PCAP</t>
        </is>
      </c>
      <c r="S142" s="9" t="n">
        <v>46310</v>
      </c>
      <c r="T142" s="3" t="n">
        <v>46309.45056712963</v>
      </c>
      <c r="U142" s="2" t="n"/>
    </row>
    <row r="143">
      <c r="A143" s="2" t="inlineStr">
        <is>
          <t>Resuelta</t>
        </is>
      </c>
      <c r="B143" s="3" t="n">
        <v>46287.41666666666</v>
      </c>
      <c r="C143" s="5" t="n">
        <v>4405</v>
      </c>
      <c r="D143" s="5" t="n">
        <v>4405</v>
      </c>
      <c r="E143" s="2" t="inlineStr">
        <is>
          <t>Andalucía</t>
        </is>
      </c>
      <c r="F143" s="2" t="inlineStr">
        <is>
          <t>Granada</t>
        </is>
      </c>
      <c r="G143" s="2" t="n"/>
      <c r="H143" s="2" t="inlineStr">
        <is>
          <t>Empresa de Transformación Agraria S.A.,S.M.E., M.P., (TRAGSA)</t>
        </is>
      </c>
      <c r="I14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3" s="2" t="inlineStr">
        <is>
          <t>TSA0077561-335</t>
        </is>
      </c>
      <c r="K143" s="2" t="inlineStr">
        <is>
          <t>Abierto</t>
        </is>
      </c>
      <c r="L143" s="6" t="n">
        <v>2</v>
      </c>
      <c r="M143" s="2" t="n"/>
      <c r="N143" s="7" t="n">
        <v>0</v>
      </c>
      <c r="O143" s="4" t="n"/>
      <c r="P143" s="2" t="inlineStr">
        <is>
          <t>45500000</t>
        </is>
      </c>
      <c r="Q143" s="8" t="inlineStr">
        <is>
          <t>Ver</t>
        </is>
      </c>
      <c r="R143" s="8" t="inlineStr">
        <is>
          <t>PCAP</t>
        </is>
      </c>
      <c r="S143" s="9" t="n">
        <v>46310</v>
      </c>
      <c r="T143" s="3" t="n">
        <v>46309.44982638889</v>
      </c>
      <c r="U143" s="2" t="n"/>
    </row>
    <row r="144">
      <c r="A144" s="2" t="inlineStr">
        <is>
          <t>Pendiente de adjudicación</t>
        </is>
      </c>
      <c r="B144" s="3" t="n">
        <v>46296.75</v>
      </c>
      <c r="C144" s="5" t="n">
        <v>299958.91</v>
      </c>
      <c r="D144" s="5" t="n">
        <v>299958.91</v>
      </c>
      <c r="E144" s="2" t="inlineStr">
        <is>
          <t>Comunitat Valenciana</t>
        </is>
      </c>
      <c r="F144" s="2" t="inlineStr">
        <is>
          <t>Valencia</t>
        </is>
      </c>
      <c r="G144" s="2" t="inlineStr">
        <is>
          <t>Algemesí</t>
        </is>
      </c>
      <c r="H144" s="2" t="inlineStr">
        <is>
          <t>Junta de Gobierno del Ayuntamiento de Algemesí</t>
        </is>
      </c>
      <c r="I144" s="2" t="inlineStr">
        <is>
          <t>Ejecución de las obras de derribo del Velódromo Municipal de Algemesí</t>
        </is>
      </c>
      <c r="J144" s="2" t="inlineStr">
        <is>
          <t>6059/2026</t>
        </is>
      </c>
      <c r="K144" s="2" t="inlineStr">
        <is>
          <t>Abierto simplificado</t>
        </is>
      </c>
      <c r="L144" s="6" t="n">
        <v>2</v>
      </c>
      <c r="M144" s="2" t="n"/>
      <c r="N144" s="7" t="n">
        <v>0</v>
      </c>
      <c r="O144" s="4" t="n"/>
      <c r="P144" s="2" t="inlineStr">
        <is>
          <t>45111000</t>
        </is>
      </c>
      <c r="Q144" s="8" t="inlineStr">
        <is>
          <t>Ver</t>
        </is>
      </c>
      <c r="R144" s="8" t="inlineStr">
        <is>
          <t>PCAP</t>
        </is>
      </c>
      <c r="S144" s="9" t="n">
        <v>46310</v>
      </c>
      <c r="T144" s="3" t="n">
        <v>46309.44890046296</v>
      </c>
      <c r="U144" s="2" t="n"/>
    </row>
    <row r="145">
      <c r="A145" s="2" t="inlineStr">
        <is>
          <t>Resuelta</t>
        </is>
      </c>
      <c r="B145" s="3" t="n">
        <v>46280.41666666666</v>
      </c>
      <c r="C145" s="5" t="n">
        <v>27250</v>
      </c>
      <c r="D145" s="5" t="n">
        <v>27250</v>
      </c>
      <c r="E145" s="2" t="inlineStr">
        <is>
          <t>Andalucía</t>
        </is>
      </c>
      <c r="F145" s="2" t="inlineStr">
        <is>
          <t>Granada</t>
        </is>
      </c>
      <c r="G145" s="2" t="n"/>
      <c r="H145" s="2" t="inlineStr">
        <is>
          <t>Empresa de Transformación Agraria S.A.,S.M.E., M.P., (TRAGSA)</t>
        </is>
      </c>
      <c r="I14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5" s="2" t="inlineStr">
        <is>
          <t>TSA0077561-334</t>
        </is>
      </c>
      <c r="K145" s="2" t="inlineStr">
        <is>
          <t>Abierto</t>
        </is>
      </c>
      <c r="L145" s="6" t="n">
        <v>3</v>
      </c>
      <c r="M145" s="2" t="n"/>
      <c r="N145" s="7" t="n">
        <v>0</v>
      </c>
      <c r="O145" s="4" t="n"/>
      <c r="P145" s="2" t="inlineStr">
        <is>
          <t>45500000</t>
        </is>
      </c>
      <c r="Q145" s="8" t="inlineStr">
        <is>
          <t>Ver</t>
        </is>
      </c>
      <c r="R145" s="8" t="inlineStr">
        <is>
          <t>PCAP</t>
        </is>
      </c>
      <c r="S145" s="9" t="n">
        <v>46310</v>
      </c>
      <c r="T145" s="3" t="n">
        <v>46309.44859953703</v>
      </c>
      <c r="U145" s="2" t="n"/>
    </row>
    <row r="146">
      <c r="A146" s="2" t="inlineStr">
        <is>
          <t>Resuelta</t>
        </is>
      </c>
      <c r="B146" s="3" t="n">
        <v>46233.99930555555</v>
      </c>
      <c r="C146" s="5" t="n">
        <v>142480.99</v>
      </c>
      <c r="D146" s="5" t="n">
        <v>142480.99</v>
      </c>
      <c r="E146" s="2" t="inlineStr">
        <is>
          <t>Andalucía</t>
        </is>
      </c>
      <c r="F146" s="2" t="inlineStr">
        <is>
          <t>Jaén</t>
        </is>
      </c>
      <c r="G146" s="2" t="n"/>
      <c r="H146" s="2" t="inlineStr">
        <is>
          <t>Alcaldía del Ayuntamiento de Santiago-Pontones</t>
        </is>
      </c>
      <c r="I146" s="2" t="inlineStr">
        <is>
          <t>Contrato de obra para la ejecución de la Red de Senderos Verdes de Santiago-Pontones - Camino de San Juan de la Cruz, promovido por el Ayuntamiento de Santiago-Pontones</t>
        </is>
      </c>
      <c r="J146" s="2" t="inlineStr">
        <is>
          <t>1071/2025_</t>
        </is>
      </c>
      <c r="K146" s="2" t="inlineStr">
        <is>
          <t>Abierto simplificado</t>
        </is>
      </c>
      <c r="L146" s="6" t="n">
        <v>4</v>
      </c>
      <c r="M146" s="2" t="inlineStr">
        <is>
          <t>A1-2</t>
        </is>
      </c>
      <c r="N146" s="7" t="n">
        <v>0</v>
      </c>
      <c r="O146" s="4" t="n"/>
      <c r="P146" s="2" t="inlineStr">
        <is>
          <t>45221113; 45233293; 34928470</t>
        </is>
      </c>
      <c r="Q146" s="8" t="inlineStr">
        <is>
          <t>Ver</t>
        </is>
      </c>
      <c r="R146" s="8" t="inlineStr">
        <is>
          <t>PCAP</t>
        </is>
      </c>
      <c r="S146" s="9" t="n">
        <v>46310</v>
      </c>
      <c r="T146" s="3" t="n">
        <v>46309.44826388889</v>
      </c>
      <c r="U146" s="2" t="n"/>
    </row>
    <row r="147">
      <c r="A147" s="2" t="inlineStr">
        <is>
          <t>Adjudicada</t>
        </is>
      </c>
      <c r="B147" s="3" t="n">
        <v>46276.41666666666</v>
      </c>
      <c r="C147" s="5" t="n">
        <v>66690.36</v>
      </c>
      <c r="D147" s="5" t="n">
        <v>66690.36</v>
      </c>
      <c r="E147" s="2" t="inlineStr">
        <is>
          <t>Andalucía</t>
        </is>
      </c>
      <c r="F147" s="2" t="inlineStr">
        <is>
          <t>Sevilla</t>
        </is>
      </c>
      <c r="G147" s="2" t="n"/>
      <c r="H147" s="2" t="inlineStr">
        <is>
          <t>Jefatura de la Sección Económico Administrativa 24 de la Base Aérea de Morón</t>
        </is>
      </c>
      <c r="I147" s="2" t="inlineStr">
        <is>
          <t>2204/GRUAPO/ESLLA.Infraestructura. Saneamiento estructural y renovación de la cubierta de vehículos pesados de la Base Aérea de Morón y Ala 11.</t>
        </is>
      </c>
      <c r="J147" s="2" t="inlineStr">
        <is>
          <t>2026/EA24/00001958E</t>
        </is>
      </c>
      <c r="K147" s="2" t="inlineStr">
        <is>
          <t>Abierto simplificado</t>
        </is>
      </c>
      <c r="L147" s="6" t="n">
        <v>3</v>
      </c>
      <c r="M147" s="2" t="n"/>
      <c r="N147" s="7" t="n">
        <v>0</v>
      </c>
      <c r="O147" s="4" t="n"/>
      <c r="P147" s="2" t="inlineStr">
        <is>
          <t>45223300</t>
        </is>
      </c>
      <c r="Q147" s="8" t="inlineStr">
        <is>
          <t>Ver</t>
        </is>
      </c>
      <c r="R147" s="8" t="inlineStr">
        <is>
          <t>PCAP</t>
        </is>
      </c>
      <c r="S147" s="9" t="n">
        <v>46310</v>
      </c>
      <c r="T147" s="3" t="n">
        <v>46309.448125</v>
      </c>
      <c r="U147" s="2" t="n"/>
    </row>
    <row r="148">
      <c r="A148" s="2" t="inlineStr">
        <is>
          <t>Resuelta</t>
        </is>
      </c>
      <c r="B148" s="3" t="n">
        <v>46218.5625</v>
      </c>
      <c r="C148" s="5" t="n">
        <v>126221.63</v>
      </c>
      <c r="D148" s="5" t="n">
        <v>126221.63</v>
      </c>
      <c r="E148" s="2" t="inlineStr">
        <is>
          <t>Andalucía</t>
        </is>
      </c>
      <c r="F148" s="2" t="inlineStr">
        <is>
          <t>Cádiz</t>
        </is>
      </c>
      <c r="G148" s="2" t="n"/>
      <c r="H148" s="2" t="inlineStr">
        <is>
          <t>Junta de Gobierno del Ayuntamiento de Chiclana de la Frontera</t>
        </is>
      </c>
      <c r="I148" s="2" t="inlineStr">
        <is>
          <t>Obras de ejecución de nuevo muro de contención en Residencial Huerta Alta.</t>
        </is>
      </c>
      <c r="J148" s="2" t="inlineStr">
        <is>
          <t>28/2026</t>
        </is>
      </c>
      <c r="K148" s="2" t="inlineStr">
        <is>
          <t>Abierto simplificado</t>
        </is>
      </c>
      <c r="L148" s="6" t="n">
        <v>3</v>
      </c>
      <c r="M148" s="2" t="n"/>
      <c r="N148" s="7" t="n">
        <v>0.25</v>
      </c>
      <c r="O148" s="4" t="n"/>
      <c r="P148" s="2" t="inlineStr">
        <is>
          <t>45262620; 45233140</t>
        </is>
      </c>
      <c r="Q148" s="8" t="inlineStr">
        <is>
          <t>Ver</t>
        </is>
      </c>
      <c r="R148" s="8" t="inlineStr">
        <is>
          <t>PCAP</t>
        </is>
      </c>
      <c r="S148" s="9" t="n">
        <v>46310</v>
      </c>
      <c r="T148" s="3" t="n">
        <v>46309.4477662037</v>
      </c>
      <c r="U148" s="2" t="n"/>
    </row>
    <row r="149">
      <c r="A149" s="2" t="inlineStr">
        <is>
          <t>Resuelta</t>
        </is>
      </c>
      <c r="B149" s="3" t="n">
        <v>46280.41666666666</v>
      </c>
      <c r="C149" s="5" t="n">
        <v>88750</v>
      </c>
      <c r="D149" s="5" t="n">
        <v>88750</v>
      </c>
      <c r="E149" s="2" t="inlineStr">
        <is>
          <t>Andalucía</t>
        </is>
      </c>
      <c r="F149" s="2" t="inlineStr">
        <is>
          <t>Granada</t>
        </is>
      </c>
      <c r="G149" s="2" t="n"/>
      <c r="H149" s="2" t="inlineStr">
        <is>
          <t>Empresa de Transformación Agraria S.A.,S.M.E., M.P., (TRAGSA)</t>
        </is>
      </c>
      <c r="I14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9" s="2" t="inlineStr">
        <is>
          <t>TSA0077561-333</t>
        </is>
      </c>
      <c r="K149" s="2" t="inlineStr">
        <is>
          <t>Abierto</t>
        </is>
      </c>
      <c r="L149" s="6" t="n">
        <v>2</v>
      </c>
      <c r="M149" s="2" t="n"/>
      <c r="N149" s="7" t="n">
        <v>0</v>
      </c>
      <c r="O149" s="4" t="n"/>
      <c r="P149" s="2" t="inlineStr">
        <is>
          <t>45500000</t>
        </is>
      </c>
      <c r="Q149" s="8" t="inlineStr">
        <is>
          <t>Ver</t>
        </is>
      </c>
      <c r="R149" s="8" t="inlineStr">
        <is>
          <t>PCAP</t>
        </is>
      </c>
      <c r="S149" s="9" t="n">
        <v>46310</v>
      </c>
      <c r="T149" s="3" t="n">
        <v>46309.44717592592</v>
      </c>
      <c r="U149" s="2" t="n"/>
    </row>
    <row r="150">
      <c r="A150" s="2" t="inlineStr">
        <is>
          <t>Resuelta</t>
        </is>
      </c>
      <c r="B150" s="3" t="n">
        <v>46192.5625</v>
      </c>
      <c r="C150" s="5" t="n">
        <v>75598.31</v>
      </c>
      <c r="D150" s="5" t="n">
        <v>75598.31</v>
      </c>
      <c r="E150" s="2" t="inlineStr">
        <is>
          <t>Andalucía</t>
        </is>
      </c>
      <c r="F150" s="2" t="inlineStr">
        <is>
          <t>Cádiz</t>
        </is>
      </c>
      <c r="G150" s="2" t="inlineStr">
        <is>
          <t>Chiclana de la Frontera</t>
        </is>
      </c>
      <c r="H150" s="2" t="inlineStr">
        <is>
          <t>Junta de Gobierno del Ayuntamiento de Chiclana de la Frontera</t>
        </is>
      </c>
      <c r="I150" s="2" t="inlineStr">
        <is>
          <t>Obras de dotación de alumbrado público en Camino del Molino Nuevo y calle La Vid en Chiclana de la Frontera.</t>
        </is>
      </c>
      <c r="J150" s="2" t="inlineStr">
        <is>
          <t>16/2026</t>
        </is>
      </c>
      <c r="K150" s="2" t="inlineStr">
        <is>
          <t>Abierto simplificado</t>
        </is>
      </c>
      <c r="L150" s="6" t="n">
        <v>1</v>
      </c>
      <c r="M150" s="2" t="n"/>
      <c r="N150" s="7" t="n">
        <v>0</v>
      </c>
      <c r="O150" s="4" t="n"/>
      <c r="P150" s="2" t="inlineStr">
        <is>
          <t>45316000</t>
        </is>
      </c>
      <c r="Q150" s="8" t="inlineStr">
        <is>
          <t>Ver</t>
        </is>
      </c>
      <c r="R150" s="8" t="inlineStr">
        <is>
          <t>PCAP</t>
        </is>
      </c>
      <c r="S150" s="9" t="n">
        <v>46310</v>
      </c>
      <c r="T150" s="3" t="n">
        <v>46309.44680555556</v>
      </c>
      <c r="U150" s="2" t="n"/>
    </row>
    <row r="151">
      <c r="A151" s="2" t="inlineStr">
        <is>
          <t>Resuelta</t>
        </is>
      </c>
      <c r="B151" s="3" t="n">
        <v>46273.41666666666</v>
      </c>
      <c r="C151" s="5" t="n">
        <v>56160</v>
      </c>
      <c r="D151" s="5" t="n">
        <v>56160</v>
      </c>
      <c r="E151" s="2" t="inlineStr">
        <is>
          <t>Andalucía</t>
        </is>
      </c>
      <c r="F151" s="2" t="inlineStr">
        <is>
          <t>Granada</t>
        </is>
      </c>
      <c r="G151" s="2" t="n"/>
      <c r="H151" s="2" t="inlineStr">
        <is>
          <t>Empresa de Transformación Agraria S.A.,S.M.E., M.P., (TRAGSA)</t>
        </is>
      </c>
      <c r="I15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151" s="2" t="inlineStr">
        <is>
          <t>TSA0077561-332</t>
        </is>
      </c>
      <c r="K151" s="2" t="inlineStr">
        <is>
          <t>Abierto</t>
        </is>
      </c>
      <c r="L151" s="6" t="n">
        <v>2</v>
      </c>
      <c r="M151" s="2" t="n"/>
      <c r="N151" s="7" t="n">
        <v>0</v>
      </c>
      <c r="O151" s="4" t="n"/>
      <c r="P151" s="2" t="inlineStr">
        <is>
          <t>45500000</t>
        </is>
      </c>
      <c r="Q151" s="8" t="inlineStr">
        <is>
          <t>Ver</t>
        </is>
      </c>
      <c r="R151" s="8" t="inlineStr">
        <is>
          <t>PCAP</t>
        </is>
      </c>
      <c r="S151" s="9" t="n">
        <v>46310</v>
      </c>
      <c r="T151" s="3" t="n">
        <v>46309.44582175926</v>
      </c>
      <c r="U151" s="2" t="n"/>
    </row>
    <row r="152">
      <c r="A152" s="2" t="inlineStr">
        <is>
          <t>Resuelta</t>
        </is>
      </c>
      <c r="B152" s="3" t="n">
        <v>46259.41666666666</v>
      </c>
      <c r="C152" s="5" t="n">
        <v>44000</v>
      </c>
      <c r="D152" s="5" t="n">
        <v>44000</v>
      </c>
      <c r="E152" s="2" t="inlineStr">
        <is>
          <t>Andalucía</t>
        </is>
      </c>
      <c r="F152" s="2" t="inlineStr">
        <is>
          <t>Granada</t>
        </is>
      </c>
      <c r="G152" s="2" t="n"/>
      <c r="H152" s="2" t="inlineStr">
        <is>
          <t>Empresa de Transformación Agraria S.A.,S.M.E., M.P., (TRAGSA)</t>
        </is>
      </c>
      <c r="I15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52" s="2" t="inlineStr">
        <is>
          <t>TSA0077561-331</t>
        </is>
      </c>
      <c r="K152" s="2" t="inlineStr">
        <is>
          <t>Abierto</t>
        </is>
      </c>
      <c r="L152" s="6" t="n">
        <v>3</v>
      </c>
      <c r="M152" s="2" t="n"/>
      <c r="N152" s="7" t="n">
        <v>0</v>
      </c>
      <c r="O152" s="4" t="n"/>
      <c r="P152" s="2" t="inlineStr">
        <is>
          <t>45500000</t>
        </is>
      </c>
      <c r="Q152" s="8" t="inlineStr">
        <is>
          <t>Ver</t>
        </is>
      </c>
      <c r="R152" s="8" t="inlineStr">
        <is>
          <t>PCAP</t>
        </is>
      </c>
      <c r="S152" s="9" t="n">
        <v>46310</v>
      </c>
      <c r="T152" s="3" t="n">
        <v>46309.44407407408</v>
      </c>
      <c r="U152" s="2" t="n"/>
    </row>
    <row r="153">
      <c r="A153" s="2" t="inlineStr">
        <is>
          <t>Adjudicada</t>
        </is>
      </c>
      <c r="B153" s="3" t="n">
        <v>46275.58333333334</v>
      </c>
      <c r="C153" s="5" t="n">
        <v>795268.38</v>
      </c>
      <c r="D153" s="5" t="n">
        <v>795268.38</v>
      </c>
      <c r="E153" s="2" t="inlineStr">
        <is>
          <t>Comunitat Valenciana</t>
        </is>
      </c>
      <c r="F153" s="2" t="inlineStr">
        <is>
          <t>Valencia</t>
        </is>
      </c>
      <c r="G153" s="2" t="n"/>
      <c r="H153" s="2" t="inlineStr">
        <is>
          <t>Consejo de Administración de la Empresa Municipal de Transportes de Valencia, S.A.U.</t>
        </is>
      </c>
      <c r="I153"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53" s="2" t="inlineStr">
        <is>
          <t>2026-0025</t>
        </is>
      </c>
      <c r="K153" s="2" t="inlineStr">
        <is>
          <t>Abierto</t>
        </is>
      </c>
      <c r="L153" s="6" t="n">
        <v>48</v>
      </c>
      <c r="M153" s="2" t="inlineStr">
        <is>
          <t>K9-3</t>
        </is>
      </c>
      <c r="N153" s="7" t="n">
        <v>0.3</v>
      </c>
      <c r="O153" s="4" t="n"/>
      <c r="P153" s="2" t="inlineStr">
        <is>
          <t>45343200; 50413200; 51700000</t>
        </is>
      </c>
      <c r="Q153" s="8" t="inlineStr">
        <is>
          <t>Ver</t>
        </is>
      </c>
      <c r="R153" s="8" t="inlineStr">
        <is>
          <t>PCAP</t>
        </is>
      </c>
      <c r="S153" s="9" t="n">
        <v>46310</v>
      </c>
      <c r="T153" s="3" t="n">
        <v>46309.44386574074</v>
      </c>
      <c r="U153" s="2" t="n"/>
    </row>
    <row r="154">
      <c r="A154" s="2" t="inlineStr">
        <is>
          <t>Resuelta</t>
        </is>
      </c>
      <c r="B154" s="3" t="n">
        <v>46083.99930555555</v>
      </c>
      <c r="C154" s="5" t="n">
        <v>230989.07</v>
      </c>
      <c r="D154" s="5" t="n">
        <v>230989.07</v>
      </c>
      <c r="E154" s="2" t="inlineStr">
        <is>
          <t>Andalucía</t>
        </is>
      </c>
      <c r="F154" s="2" t="inlineStr">
        <is>
          <t>Granada</t>
        </is>
      </c>
      <c r="G154" s="2" t="inlineStr">
        <is>
          <t>Granada</t>
        </is>
      </c>
      <c r="H154" s="2" t="inlineStr">
        <is>
          <t>Aena. Dirección del Aeropuerto de Granada-Jaén F.G.L.</t>
        </is>
      </c>
      <c r="I154" s="2" t="inlineStr">
        <is>
          <t>Refuerzo De Climatización En Zonas De Embarque Y Facturación</t>
        </is>
      </c>
      <c r="J154" s="2" t="inlineStr">
        <is>
          <t>GRX-123/2025</t>
        </is>
      </c>
      <c r="K154" s="2" t="inlineStr">
        <is>
          <t>Normas internas</t>
        </is>
      </c>
      <c r="L154" s="6" t="n"/>
      <c r="M154" s="2" t="n"/>
      <c r="N154" s="7" t="n">
        <v>0</v>
      </c>
      <c r="O154" s="4" t="n"/>
      <c r="P154" s="2" t="inlineStr">
        <is>
          <t>45331000</t>
        </is>
      </c>
      <c r="Q154" s="8" t="inlineStr">
        <is>
          <t>Ver</t>
        </is>
      </c>
      <c r="R154" s="8" t="inlineStr">
        <is>
          <t>PCAP</t>
        </is>
      </c>
      <c r="S154" s="9" t="n">
        <v>46310</v>
      </c>
      <c r="T154" s="3" t="n">
        <v>46309.44049768519</v>
      </c>
      <c r="U154" s="2" t="n"/>
    </row>
    <row r="155">
      <c r="A155" s="2" t="inlineStr">
        <is>
          <t>En plazo</t>
        </is>
      </c>
      <c r="B155" s="3" t="n">
        <v>46329.99930555555</v>
      </c>
      <c r="C155" s="5" t="n">
        <v>382258.99</v>
      </c>
      <c r="D155" s="5" t="n">
        <v>382258.99</v>
      </c>
      <c r="E155" s="2" t="inlineStr">
        <is>
          <t>Comunitat Valenciana</t>
        </is>
      </c>
      <c r="F155" s="2" t="inlineStr">
        <is>
          <t>Valencia</t>
        </is>
      </c>
      <c r="G155" s="2" t="inlineStr">
        <is>
          <t>Sinarcas (Valencia)</t>
        </is>
      </c>
      <c r="H155" s="2" t="inlineStr">
        <is>
          <t>Pleno del Ayuntamiento de Sinarcas</t>
        </is>
      </c>
      <c r="I155" s="2" t="inlineStr">
        <is>
          <t>Adecuación del Cementerio Municipal por los desperfectos ocasionados por la DANA</t>
        </is>
      </c>
      <c r="J155" s="2" t="inlineStr">
        <is>
          <t>75/2026 DANA 2024</t>
        </is>
      </c>
      <c r="K155" s="2" t="inlineStr">
        <is>
          <t>Abierto simplificado</t>
        </is>
      </c>
      <c r="L155" s="6" t="n">
        <v>5</v>
      </c>
      <c r="M155" s="2" t="n"/>
      <c r="N155" s="7" t="n">
        <v>0</v>
      </c>
      <c r="O155" s="4" t="n"/>
      <c r="P155" s="2" t="inlineStr">
        <is>
          <t>45000000</t>
        </is>
      </c>
      <c r="Q155" s="8" t="inlineStr">
        <is>
          <t>Ver</t>
        </is>
      </c>
      <c r="R155" s="8" t="inlineStr">
        <is>
          <t>PCAP</t>
        </is>
      </c>
      <c r="S155" s="9" t="n">
        <v>46310</v>
      </c>
      <c r="T155" s="3" t="n">
        <v>46309.44008101852</v>
      </c>
      <c r="U155" s="2" t="n"/>
    </row>
    <row r="156">
      <c r="A156" s="2" t="inlineStr">
        <is>
          <t>Pendiente de adjudicación</t>
        </is>
      </c>
      <c r="B156" s="3" t="n">
        <v>46308.79166666666</v>
      </c>
      <c r="C156" s="5" t="n">
        <v>70872.67999999999</v>
      </c>
      <c r="D156" s="5" t="n">
        <v>70872.67999999999</v>
      </c>
      <c r="E156" s="2" t="inlineStr">
        <is>
          <t>Comunitat Valenciana</t>
        </is>
      </c>
      <c r="F156" s="2" t="inlineStr">
        <is>
          <t>Valencia</t>
        </is>
      </c>
      <c r="G156" s="2" t="inlineStr">
        <is>
          <t>Corbera</t>
        </is>
      </c>
      <c r="H156" s="2" t="inlineStr">
        <is>
          <t>Alcaldía del Ayuntamiento de Corbera</t>
        </is>
      </c>
      <c r="I156" s="2" t="inlineStr">
        <is>
          <t>Reconstrucción áreas recreativas para actividades culturales en el ámbito de la infancia y la juventud en el municipio de Corbera.</t>
        </is>
      </c>
      <c r="J156" s="2" t="inlineStr">
        <is>
          <t>1529/2026</t>
        </is>
      </c>
      <c r="K156" s="2" t="inlineStr">
        <is>
          <t>Abierto simplificado</t>
        </is>
      </c>
      <c r="L156" s="6" t="n"/>
      <c r="M156" s="2" t="n"/>
      <c r="N156" s="7" t="n">
        <v>0</v>
      </c>
      <c r="O156" s="4" t="n"/>
      <c r="P156" s="2" t="inlineStr">
        <is>
          <t>45236210; 45236250; 34928400; 45233293; 34970000</t>
        </is>
      </c>
      <c r="Q156" s="8" t="inlineStr">
        <is>
          <t>Ver</t>
        </is>
      </c>
      <c r="R156" s="8" t="inlineStr">
        <is>
          <t>PCAP</t>
        </is>
      </c>
      <c r="S156" s="9" t="n">
        <v>46310</v>
      </c>
      <c r="T156" s="3" t="n">
        <v>46309.43768518518</v>
      </c>
      <c r="U156" s="2" t="n"/>
    </row>
    <row r="157">
      <c r="A157" s="2" t="inlineStr">
        <is>
          <t>Pendiente de adjudicación</t>
        </is>
      </c>
      <c r="B157" s="3" t="n">
        <v>46223.99930555555</v>
      </c>
      <c r="C157" s="5" t="n">
        <v>93757.37</v>
      </c>
      <c r="D157" s="5" t="n">
        <v>93757.37</v>
      </c>
      <c r="E157" s="2" t="inlineStr">
        <is>
          <t>Comunitat Valenciana</t>
        </is>
      </c>
      <c r="F157" s="2" t="inlineStr">
        <is>
          <t>Alicante</t>
        </is>
      </c>
      <c r="G157" s="2" t="n"/>
      <c r="H157" s="2" t="inlineStr">
        <is>
          <t>Presidencia de la Diputación Provincial de Alicante</t>
        </is>
      </c>
      <c r="I157" s="2" t="inlineStr">
        <is>
          <t>Obras de reposición de Red de Alcantarillado de la Avenida la Purísima en Catral.</t>
        </is>
      </c>
      <c r="J157" s="2" t="inlineStr">
        <is>
          <t>O4S-103/2026</t>
        </is>
      </c>
      <c r="K157" s="2" t="inlineStr">
        <is>
          <t>Abierto simplificado</t>
        </is>
      </c>
      <c r="L157" s="6" t="n">
        <v>3</v>
      </c>
      <c r="M157" s="2" t="n"/>
      <c r="N157" s="7" t="n">
        <v>0.25</v>
      </c>
      <c r="O157" s="4" t="n"/>
      <c r="P157" s="2" t="inlineStr">
        <is>
          <t>45232400</t>
        </is>
      </c>
      <c r="Q157" s="8" t="inlineStr">
        <is>
          <t>Ver</t>
        </is>
      </c>
      <c r="R157" s="8" t="inlineStr">
        <is>
          <t>PCAP</t>
        </is>
      </c>
      <c r="S157" s="9" t="n">
        <v>46310</v>
      </c>
      <c r="T157" s="3" t="n">
        <v>46309.43715277778</v>
      </c>
      <c r="U157" s="2" t="n"/>
    </row>
    <row r="158">
      <c r="A158" s="2" t="inlineStr">
        <is>
          <t>Pendiente de adjudicación</t>
        </is>
      </c>
      <c r="B158" s="3" t="n">
        <v>46244.45833333334</v>
      </c>
      <c r="C158" s="5" t="n">
        <v>145510.47</v>
      </c>
      <c r="D158" s="5" t="n">
        <v>145510.47</v>
      </c>
      <c r="E158" s="2" t="inlineStr">
        <is>
          <t>Andalucía</t>
        </is>
      </c>
      <c r="F158" s="2" t="inlineStr">
        <is>
          <t>Granada</t>
        </is>
      </c>
      <c r="G158" s="2" t="n"/>
      <c r="H158" s="2" t="inlineStr">
        <is>
          <t>Alcaldía del Ayuntamiento de Almuñécar</t>
        </is>
      </c>
      <c r="I158" s="2" t="inlineStr">
        <is>
          <t>Obras de reforma y adecuación del Centro Joven de La Herradura (Almuñécar), en base a la Memoria Valorada redactada por la arquitecta Dña. Cristina Barbero García.</t>
        </is>
      </c>
      <c r="J158" s="2" t="inlineStr">
        <is>
          <t>91/2026 (GEST 6949/2026)</t>
        </is>
      </c>
      <c r="K158" s="2" t="inlineStr">
        <is>
          <t>Abierto simplificado</t>
        </is>
      </c>
      <c r="L158" s="6" t="n">
        <v>4</v>
      </c>
      <c r="M158" s="2" t="n"/>
      <c r="N158" s="7" t="n">
        <v>0</v>
      </c>
      <c r="O158" s="4" t="n"/>
      <c r="P158" s="2" t="inlineStr">
        <is>
          <t>45453100; 45262700; 45400000</t>
        </is>
      </c>
      <c r="Q158" s="8" t="inlineStr">
        <is>
          <t>Ver</t>
        </is>
      </c>
      <c r="R158" s="8" t="inlineStr">
        <is>
          <t>PCAP</t>
        </is>
      </c>
      <c r="S158" s="9" t="n">
        <v>46310</v>
      </c>
      <c r="T158" s="3" t="n">
        <v>46309.43494212963</v>
      </c>
      <c r="U158" s="2" t="n"/>
    </row>
    <row r="159">
      <c r="A159" s="2" t="inlineStr">
        <is>
          <t>Pendiente de adjudicación</t>
        </is>
      </c>
      <c r="B159" s="3" t="n">
        <v>46297.45833333334</v>
      </c>
      <c r="C159" s="5" t="n">
        <v>678300</v>
      </c>
      <c r="D159" s="5" t="n">
        <v>678300</v>
      </c>
      <c r="E159" s="2" t="inlineStr">
        <is>
          <t>Andalucía</t>
        </is>
      </c>
      <c r="F159" s="2" t="inlineStr">
        <is>
          <t>Granada</t>
        </is>
      </c>
      <c r="G159" s="2" t="n"/>
      <c r="H159" s="2" t="inlineStr">
        <is>
          <t>Alcaldía del Ayuntamiento de Almuñécar</t>
        </is>
      </c>
      <c r="I159" s="2" t="inlineStr">
        <is>
          <t>Obras de construcción de un parque de neurodivergencia en Almuñécar, en base al Proyecto del Arquitecto Francisco Javier Navarro Suárez.</t>
        </is>
      </c>
      <c r="J159" s="2" t="inlineStr">
        <is>
          <t>90/2026 (Gest 6946/2026)</t>
        </is>
      </c>
      <c r="K159" s="2" t="inlineStr">
        <is>
          <t>Abierto simplificado</t>
        </is>
      </c>
      <c r="L159" s="6" t="n">
        <v>6</v>
      </c>
      <c r="M159" s="2" t="n"/>
      <c r="N159" s="7" t="n">
        <v>0</v>
      </c>
      <c r="O159" s="4" t="n"/>
      <c r="P159" s="2" t="inlineStr">
        <is>
          <t>45212140; 45233293</t>
        </is>
      </c>
      <c r="Q159" s="8" t="inlineStr">
        <is>
          <t>Ver</t>
        </is>
      </c>
      <c r="R159" s="8" t="inlineStr">
        <is>
          <t>PCAP</t>
        </is>
      </c>
      <c r="S159" s="9" t="n">
        <v>46310</v>
      </c>
      <c r="T159" s="3" t="n">
        <v>46309.43421296297</v>
      </c>
      <c r="U159" s="2" t="n"/>
    </row>
    <row r="160">
      <c r="A160" s="2" t="inlineStr">
        <is>
          <t>Pendiente de adjudicación</t>
        </is>
      </c>
      <c r="B160" s="3" t="n">
        <v>46294.99930555555</v>
      </c>
      <c r="C160" s="5" t="n">
        <v>306813.22</v>
      </c>
      <c r="D160" s="5" t="n">
        <v>306813.22</v>
      </c>
      <c r="E160" s="2" t="inlineStr">
        <is>
          <t>Andalucía</t>
        </is>
      </c>
      <c r="F160" s="2" t="inlineStr">
        <is>
          <t>Córdoba</t>
        </is>
      </c>
      <c r="G160" s="2" t="n"/>
      <c r="H160" s="2" t="inlineStr">
        <is>
          <t>Junta de Gobierno de la Diputación Provincial de Córdoba</t>
        </is>
      </c>
      <c r="I160" s="2" t="inlineStr">
        <is>
          <t>Contrato de Construcción de espacio deportivo municipal, en Valsequillo (Córdoba). Obra incluida en los Planes provinciales de obras y servicios 2024-2027 (bienio 2026-2027).</t>
        </is>
      </c>
      <c r="J160" s="2" t="inlineStr">
        <is>
          <t>609/26</t>
        </is>
      </c>
      <c r="K160" s="2" t="inlineStr">
        <is>
          <t>Abierto</t>
        </is>
      </c>
      <c r="L160" s="6" t="n">
        <v>10</v>
      </c>
      <c r="M160" s="2" t="n"/>
      <c r="N160" s="7" t="n">
        <v>0.25</v>
      </c>
      <c r="O160" s="4" t="n"/>
      <c r="P160" s="2" t="inlineStr">
        <is>
          <t>45210000; 45212000</t>
        </is>
      </c>
      <c r="Q160" s="8" t="inlineStr">
        <is>
          <t>Ver</t>
        </is>
      </c>
      <c r="R160" s="8" t="inlineStr">
        <is>
          <t>PCAP</t>
        </is>
      </c>
      <c r="S160" s="9" t="n">
        <v>46310</v>
      </c>
      <c r="T160" s="3" t="n">
        <v>46309.43380787037</v>
      </c>
      <c r="U160" s="2" t="n"/>
    </row>
    <row r="161">
      <c r="A161" s="2" t="inlineStr">
        <is>
          <t>Pendiente de adjudicación</t>
        </is>
      </c>
      <c r="B161" s="3" t="n">
        <v>46084.99930555555</v>
      </c>
      <c r="C161" s="5" t="n">
        <v>115824.27</v>
      </c>
      <c r="D161" s="5" t="n">
        <v>115824.27</v>
      </c>
      <c r="E161" s="2" t="inlineStr">
        <is>
          <t>Comunitat Valenciana</t>
        </is>
      </c>
      <c r="F161" s="2" t="inlineStr">
        <is>
          <t>Alicante</t>
        </is>
      </c>
      <c r="G161" s="2" t="n"/>
      <c r="H161" s="2" t="inlineStr">
        <is>
          <t>Presidencia de la Diputación Provincial de Alicante</t>
        </is>
      </c>
      <c r="I161" s="2" t="inlineStr">
        <is>
          <t>Obras de restauración y consolidación de la muralla oriental del Castillo Almohade, en el mu-nicipio de Tibi (Alicante)</t>
        </is>
      </c>
      <c r="J161" s="2" t="inlineStr">
        <is>
          <t>O4S-323/2025</t>
        </is>
      </c>
      <c r="K161" s="2" t="inlineStr">
        <is>
          <t>Abierto simplificado</t>
        </is>
      </c>
      <c r="L161" s="6" t="n">
        <v>4</v>
      </c>
      <c r="M161" s="2" t="n"/>
      <c r="N161" s="7" t="n">
        <v>0</v>
      </c>
      <c r="O161" s="4" t="n"/>
      <c r="P161" s="2" t="inlineStr">
        <is>
          <t>45212350; 45262520; 45262510; 45454100</t>
        </is>
      </c>
      <c r="Q161" s="8" t="inlineStr">
        <is>
          <t>Ver</t>
        </is>
      </c>
      <c r="R161" s="8" t="inlineStr">
        <is>
          <t>PCAP</t>
        </is>
      </c>
      <c r="S161" s="9" t="n">
        <v>46310</v>
      </c>
      <c r="T161" s="3" t="n">
        <v>46309.43247685185</v>
      </c>
      <c r="U161" s="2" t="n"/>
    </row>
    <row r="162">
      <c r="A162" s="2" t="inlineStr">
        <is>
          <t>En plazo</t>
        </is>
      </c>
      <c r="B162" s="3" t="n">
        <v>46329.99930555555</v>
      </c>
      <c r="C162" s="5" t="n">
        <v>262729.78</v>
      </c>
      <c r="D162" s="5" t="n">
        <v>262729.78</v>
      </c>
      <c r="E162" s="2" t="inlineStr">
        <is>
          <t>Andalucía</t>
        </is>
      </c>
      <c r="F162" s="2" t="inlineStr">
        <is>
          <t>Huelva</t>
        </is>
      </c>
      <c r="G162" s="2" t="n"/>
      <c r="H162" s="2" t="inlineStr">
        <is>
          <t>Alcaldía del Ayuntamiento de Villarrasa</t>
        </is>
      </c>
      <c r="I162" s="2" t="inlineStr">
        <is>
          <t>Plan de Asfaltado 2026 del municipio de Villarrasa.</t>
        </is>
      </c>
      <c r="J162" s="2" t="inlineStr">
        <is>
          <t>635/2026</t>
        </is>
      </c>
      <c r="K162" s="2" t="inlineStr">
        <is>
          <t>Abierto simplificado</t>
        </is>
      </c>
      <c r="L162" s="6" t="n">
        <v>6</v>
      </c>
      <c r="M162" s="2" t="n"/>
      <c r="N162" s="7" t="n">
        <v>0</v>
      </c>
      <c r="O162" s="4" t="n"/>
      <c r="P162" s="2" t="inlineStr">
        <is>
          <t>45233222</t>
        </is>
      </c>
      <c r="Q162" s="8" t="inlineStr">
        <is>
          <t>Ver</t>
        </is>
      </c>
      <c r="R162" s="8" t="inlineStr">
        <is>
          <t>PCAP</t>
        </is>
      </c>
      <c r="S162" s="9" t="n">
        <v>46310</v>
      </c>
      <c r="T162" s="3" t="n">
        <v>46309.43210648148</v>
      </c>
      <c r="U162" s="2" t="n"/>
    </row>
    <row r="163">
      <c r="A163" s="2" t="inlineStr">
        <is>
          <t>Adjudicada</t>
        </is>
      </c>
      <c r="B163" s="3" t="n">
        <v>46286.99930555555</v>
      </c>
      <c r="C163" s="5" t="n">
        <v>57263.62</v>
      </c>
      <c r="D163" s="5" t="n">
        <v>57263.62</v>
      </c>
      <c r="E163" s="2" t="inlineStr">
        <is>
          <t>Andalucía</t>
        </is>
      </c>
      <c r="F163" s="2" t="inlineStr">
        <is>
          <t>Málaga</t>
        </is>
      </c>
      <c r="G163" s="2" t="n"/>
      <c r="H163" s="2" t="inlineStr">
        <is>
          <t>Junta de Gobierno del Ayuntamiento de Fuengirola</t>
        </is>
      </c>
      <c r="I163" s="2" t="inlineStr">
        <is>
          <t>Obras de reparación de los daños ocasionados por las inundaciones del 4 de enero de 2026 en la balsa de decantación de arenas del Río Fuengirola, en el T.M. de Fuengirola</t>
        </is>
      </c>
      <c r="J163" s="2" t="inlineStr">
        <is>
          <t>CONTR-2026000081</t>
        </is>
      </c>
      <c r="K163" s="2" t="inlineStr">
        <is>
          <t>Abierto simplificado</t>
        </is>
      </c>
      <c r="L163" s="6" t="n">
        <v>0.7</v>
      </c>
      <c r="M163" s="2" t="n"/>
      <c r="N163" s="7" t="n">
        <v>0</v>
      </c>
      <c r="O163" s="4" t="n"/>
      <c r="P163" s="2" t="inlineStr">
        <is>
          <t>45111200; 45112000</t>
        </is>
      </c>
      <c r="Q163" s="8" t="inlineStr">
        <is>
          <t>Ver</t>
        </is>
      </c>
      <c r="R163" s="8" t="inlineStr">
        <is>
          <t>PCAP</t>
        </is>
      </c>
      <c r="S163" s="9" t="n">
        <v>46310</v>
      </c>
      <c r="T163" s="3" t="n">
        <v>46309.43189814815</v>
      </c>
      <c r="U163" s="2" t="n"/>
    </row>
    <row r="164">
      <c r="A164" s="2" t="inlineStr">
        <is>
          <t>Resuelta</t>
        </is>
      </c>
      <c r="B164" s="3" t="n">
        <v>45818.58333333334</v>
      </c>
      <c r="C164" s="5" t="n">
        <v>2555494.53</v>
      </c>
      <c r="D164" s="5" t="n">
        <v>3066593.44</v>
      </c>
      <c r="E164" s="2" t="inlineStr">
        <is>
          <t>Comunitat Valenciana</t>
        </is>
      </c>
      <c r="F164" s="2" t="inlineStr">
        <is>
          <t>Valencia</t>
        </is>
      </c>
      <c r="G164" s="2" t="n"/>
      <c r="H164" s="2" t="inlineStr">
        <is>
          <t>Presidencia de la Generalitat</t>
        </is>
      </c>
      <c r="I164" s="2" t="inlineStr">
        <is>
          <t>Obras de instalación de césped artificial de rugby e infraestructuras complementarias, en el centro de tecnificación deportiva de Cheste (Valencia).</t>
        </is>
      </c>
      <c r="J164" s="2" t="inlineStr">
        <is>
          <t>CNMY25-DGD-08</t>
        </is>
      </c>
      <c r="K164" s="2" t="inlineStr">
        <is>
          <t>Abierto</t>
        </is>
      </c>
      <c r="L164" s="6" t="n">
        <v>10</v>
      </c>
      <c r="M164" s="2" t="inlineStr">
        <is>
          <t>G6-4; C2-3; J4-3</t>
        </is>
      </c>
      <c r="N164" s="7" t="n">
        <v>0.4</v>
      </c>
      <c r="O164" s="4" t="n"/>
      <c r="P164" s="2" t="inlineStr">
        <is>
          <t>45111000; 45111240; 45232454; 45212210; 45111230</t>
        </is>
      </c>
      <c r="Q164" s="8" t="inlineStr">
        <is>
          <t>Ver</t>
        </is>
      </c>
      <c r="R164" s="8" t="inlineStr">
        <is>
          <t>PCAP</t>
        </is>
      </c>
      <c r="S164" s="9" t="n">
        <v>46310</v>
      </c>
      <c r="T164" s="3" t="n">
        <v>46309.42998842592</v>
      </c>
      <c r="U164" s="2" t="n"/>
    </row>
    <row r="165">
      <c r="A165" s="2" t="inlineStr">
        <is>
          <t>Resuelta</t>
        </is>
      </c>
      <c r="B165" s="3" t="n">
        <v>43741.70833333334</v>
      </c>
      <c r="C165" s="5" t="n">
        <v>55903.27</v>
      </c>
      <c r="D165" s="5" t="n">
        <v>55903.27</v>
      </c>
      <c r="E165" s="2" t="inlineStr">
        <is>
          <t>Comunitat Valenciana</t>
        </is>
      </c>
      <c r="F165" s="2" t="inlineStr">
        <is>
          <t>Valencia</t>
        </is>
      </c>
      <c r="G165" s="2" t="inlineStr">
        <is>
          <t>Valencia</t>
        </is>
      </c>
      <c r="H165" s="2" t="inlineStr">
        <is>
          <t>Gerencia de Infraestructuras y Equipamientos de Cultura O.A</t>
        </is>
      </c>
      <c r="I165" s="2" t="inlineStr">
        <is>
          <t>Obras de sustitución del ascensor de la Biblioteca Pública del Estado en Valencia.</t>
        </is>
      </c>
      <c r="J165" s="2" t="inlineStr">
        <is>
          <t>19/030 OB</t>
        </is>
      </c>
      <c r="K165" s="2" t="inlineStr">
        <is>
          <t>Abierto simplificado</t>
        </is>
      </c>
      <c r="L165" s="6" t="n">
        <v>4</v>
      </c>
      <c r="M165" s="2" t="inlineStr">
        <is>
          <t>J1-1</t>
        </is>
      </c>
      <c r="N165" s="7" t="n">
        <v>0</v>
      </c>
      <c r="O165" s="4" t="n"/>
      <c r="P165" s="2" t="inlineStr">
        <is>
          <t>42416100</t>
        </is>
      </c>
      <c r="Q165" s="8" t="inlineStr">
        <is>
          <t>Ver</t>
        </is>
      </c>
      <c r="R165" s="8" t="inlineStr">
        <is>
          <t>PCAP</t>
        </is>
      </c>
      <c r="S165" s="9" t="n">
        <v>46310</v>
      </c>
      <c r="T165" s="3" t="n">
        <v>46309.4290625</v>
      </c>
      <c r="U165" s="2" t="n"/>
    </row>
    <row r="166">
      <c r="A166" s="2" t="inlineStr">
        <is>
          <t>Resuelta</t>
        </is>
      </c>
      <c r="B166" s="3" t="n">
        <v>46225.58333333334</v>
      </c>
      <c r="C166" s="5" t="n">
        <v>63718.46</v>
      </c>
      <c r="D166" s="5" t="n">
        <v>63718.46</v>
      </c>
      <c r="E166" s="2" t="inlineStr">
        <is>
          <t>Comunitat Valenciana</t>
        </is>
      </c>
      <c r="F166" s="2" t="inlineStr">
        <is>
          <t>Castellón</t>
        </is>
      </c>
      <c r="G166" s="2" t="inlineStr">
        <is>
          <t>Traiguera</t>
        </is>
      </c>
      <c r="H166" s="2" t="inlineStr">
        <is>
          <t>Alcaldía del Ayuntamiento de Traiguera</t>
        </is>
      </c>
      <c r="I166" s="2" t="inlineStr">
        <is>
          <t>Adecuación de la accesibilidad en el centro social de personas mayores de Traiguera</t>
        </is>
      </c>
      <c r="J166" s="2" t="inlineStr">
        <is>
          <t>454/2026</t>
        </is>
      </c>
      <c r="K166" s="2" t="inlineStr">
        <is>
          <t>Licitación con negociación</t>
        </is>
      </c>
      <c r="L166" s="6" t="n">
        <v>4</v>
      </c>
      <c r="M166" s="2" t="n"/>
      <c r="N166" s="7" t="n">
        <v>0</v>
      </c>
      <c r="O166" s="4" t="n"/>
      <c r="P166" s="2" t="inlineStr">
        <is>
          <t>45313100; 45200000; 45000000</t>
        </is>
      </c>
      <c r="Q166" s="8" t="inlineStr">
        <is>
          <t>Ver</t>
        </is>
      </c>
      <c r="R166" s="2" t="n"/>
      <c r="S166" s="9" t="n">
        <v>46310</v>
      </c>
      <c r="T166" s="3" t="n">
        <v>46309.42163194445</v>
      </c>
      <c r="U166" s="2" t="n"/>
    </row>
    <row r="167">
      <c r="A167" s="2" t="inlineStr">
        <is>
          <t>Adjudicada</t>
        </is>
      </c>
      <c r="B167" s="3" t="n">
        <v>46293.99930555555</v>
      </c>
      <c r="C167" s="5" t="n">
        <v>51652.89</v>
      </c>
      <c r="D167" s="5" t="n">
        <v>51652.89</v>
      </c>
      <c r="E167" s="2" t="inlineStr">
        <is>
          <t>Andalucía</t>
        </is>
      </c>
      <c r="F167" s="2" t="inlineStr">
        <is>
          <t>Córdoba</t>
        </is>
      </c>
      <c r="G167" s="2" t="inlineStr">
        <is>
          <t>Santaella</t>
        </is>
      </c>
      <c r="H167" s="2" t="inlineStr">
        <is>
          <t>Alcaldía de Ayuntamiento de Santaella</t>
        </is>
      </c>
      <c r="I167" s="2" t="inlineStr">
        <is>
          <t>Obras de intervención arqueológica en el patio del Castillo de Santaella (3ª fase).</t>
        </is>
      </c>
      <c r="J167" s="2" t="inlineStr">
        <is>
          <t>OB-09/26</t>
        </is>
      </c>
      <c r="K167" s="2" t="inlineStr">
        <is>
          <t>Abierto simplificado</t>
        </is>
      </c>
      <c r="L167" s="6" t="n">
        <v>6</v>
      </c>
      <c r="M167" s="2" t="n"/>
      <c r="N167" s="7" t="n">
        <v>0</v>
      </c>
      <c r="O167" s="4" t="n"/>
      <c r="P167" s="2" t="inlineStr">
        <is>
          <t>45212314; 45212350; 45212354</t>
        </is>
      </c>
      <c r="Q167" s="8" t="inlineStr">
        <is>
          <t>Ver</t>
        </is>
      </c>
      <c r="R167" s="8" t="inlineStr">
        <is>
          <t>PCAP</t>
        </is>
      </c>
      <c r="S167" s="9" t="n">
        <v>46310</v>
      </c>
      <c r="T167" s="3" t="n">
        <v>46309.41952546296</v>
      </c>
      <c r="U167" s="2" t="n"/>
    </row>
    <row r="168">
      <c r="A168" s="2" t="inlineStr">
        <is>
          <t>Pendiente de adjudicación</t>
        </is>
      </c>
      <c r="B168" s="3" t="n">
        <v>46272.99930555555</v>
      </c>
      <c r="C168" s="5" t="n">
        <v>341922.31</v>
      </c>
      <c r="D168" s="5" t="n">
        <v>341922.31</v>
      </c>
      <c r="E168" s="2" t="inlineStr">
        <is>
          <t>Andalucía</t>
        </is>
      </c>
      <c r="F168" s="2" t="inlineStr">
        <is>
          <t>Córdoba</t>
        </is>
      </c>
      <c r="G168" s="2" t="n"/>
      <c r="H168" s="2" t="inlineStr">
        <is>
          <t>Junta de Gobierno de la Diputación Provincial de Córdoba</t>
        </is>
      </c>
      <c r="I168" s="2" t="inlineStr">
        <is>
          <t>Contrato de Finalización de las obras de mejora en la piscina municipal, en Posadas (Córdoba).</t>
        </is>
      </c>
      <c r="J168" s="2" t="inlineStr">
        <is>
          <t>618/26</t>
        </is>
      </c>
      <c r="K168" s="2" t="inlineStr">
        <is>
          <t>Abierto</t>
        </is>
      </c>
      <c r="L168" s="6" t="n">
        <v>10</v>
      </c>
      <c r="M168" s="2" t="n"/>
      <c r="N168" s="7" t="n">
        <v>0.25</v>
      </c>
      <c r="O168" s="4" t="n"/>
      <c r="P168" s="2" t="inlineStr">
        <is>
          <t>45200000; 45212212</t>
        </is>
      </c>
      <c r="Q168" s="8" t="inlineStr">
        <is>
          <t>Ver</t>
        </is>
      </c>
      <c r="R168" s="8" t="inlineStr">
        <is>
          <t>PCAP</t>
        </is>
      </c>
      <c r="S168" s="9" t="n">
        <v>46310</v>
      </c>
      <c r="T168" s="3" t="n">
        <v>46309.41932870371</v>
      </c>
      <c r="U168" s="2" t="n"/>
    </row>
    <row r="169">
      <c r="A169" s="2" t="inlineStr">
        <is>
          <t>Resuelta</t>
        </is>
      </c>
      <c r="B169" s="3" t="n">
        <v>46280.41666666666</v>
      </c>
      <c r="C169" s="5" t="n">
        <v>182979.21</v>
      </c>
      <c r="D169" s="5" t="n">
        <v>182979.21</v>
      </c>
      <c r="E169" s="2" t="inlineStr">
        <is>
          <t>Andalucía</t>
        </is>
      </c>
      <c r="F169" s="2" t="inlineStr">
        <is>
          <t>Sevilla</t>
        </is>
      </c>
      <c r="G169" s="2" t="inlineStr">
        <is>
          <t>Morón de la frontera</t>
        </is>
      </c>
      <c r="H169" s="2" t="inlineStr">
        <is>
          <t>Jefatura de la Sección Económico Administrativa 24 de la Base Aérea de Morón</t>
        </is>
      </c>
      <c r="I169" s="2" t="inlineStr">
        <is>
          <t>Infraestructura/ Adecuación pavimento y apertura manual puertas hangares móviles 1 y 2 de la Base Aérea de Morón y Ala 11</t>
        </is>
      </c>
      <c r="J169" s="2" t="inlineStr">
        <is>
          <t>2026/EA24/00002029E</t>
        </is>
      </c>
      <c r="K169" s="2" t="inlineStr">
        <is>
          <t>Abierto</t>
        </is>
      </c>
      <c r="L169" s="6" t="n">
        <v>4</v>
      </c>
      <c r="M169" s="2" t="n"/>
      <c r="N169" s="7" t="n">
        <v>0</v>
      </c>
      <c r="O169" s="4" t="n"/>
      <c r="P169" s="2" t="inlineStr">
        <is>
          <t>45000000; 45213351</t>
        </is>
      </c>
      <c r="Q169" s="8" t="inlineStr">
        <is>
          <t>Ver</t>
        </is>
      </c>
      <c r="R169" s="8" t="inlineStr">
        <is>
          <t>PCAP</t>
        </is>
      </c>
      <c r="S169" s="9" t="n">
        <v>46310</v>
      </c>
      <c r="T169" s="3" t="n">
        <v>46309.41929398148</v>
      </c>
      <c r="U169" s="2" t="n"/>
    </row>
    <row r="170">
      <c r="A170" s="2" t="inlineStr">
        <is>
          <t>Resuelta</t>
        </is>
      </c>
      <c r="B170" s="3" t="n">
        <v>46296.375</v>
      </c>
      <c r="C170" s="5" t="n">
        <v>37319.01</v>
      </c>
      <c r="D170" s="5" t="n">
        <v>37319.01</v>
      </c>
      <c r="E170" s="2" t="inlineStr">
        <is>
          <t>Andalucía</t>
        </is>
      </c>
      <c r="F170" s="2" t="inlineStr">
        <is>
          <t>Cádiz</t>
        </is>
      </c>
      <c r="G170" s="2" t="n"/>
      <c r="H170" s="2" t="inlineStr">
        <is>
          <t>Intendente de San Fernando</t>
        </is>
      </c>
      <c r="I170" s="2" t="inlineStr">
        <is>
          <t>INFRA 26-050 CB Reparación de kiosco y gimnasio en centro deportivo y sociocultural de oficiales de San Fernando. Lote 7</t>
        </is>
      </c>
      <c r="J170" s="2" t="inlineStr">
        <is>
          <t>2026/AR43U/00002545E</t>
        </is>
      </c>
      <c r="K170" s="2" t="inlineStr">
        <is>
          <t>Abierto</t>
        </is>
      </c>
      <c r="L170" s="6" t="n">
        <v>1.8</v>
      </c>
      <c r="M170" s="2" t="n"/>
      <c r="N170" s="7" t="n">
        <v>0</v>
      </c>
      <c r="O170" s="4" t="n"/>
      <c r="P170" s="2" t="inlineStr">
        <is>
          <t>45000000</t>
        </is>
      </c>
      <c r="Q170" s="8" t="inlineStr">
        <is>
          <t>Ver</t>
        </is>
      </c>
      <c r="R170" s="8" t="inlineStr">
        <is>
          <t>PCAP</t>
        </is>
      </c>
      <c r="S170" s="9" t="n">
        <v>46310</v>
      </c>
      <c r="T170" s="3" t="n">
        <v>46309.41267361111</v>
      </c>
      <c r="U170" s="2" t="n"/>
    </row>
    <row r="171">
      <c r="A171" s="2" t="inlineStr">
        <is>
          <t>Pendiente de adjudicación</t>
        </is>
      </c>
      <c r="B171" s="3" t="n">
        <v>46266.99930555555</v>
      </c>
      <c r="C171" s="5" t="n">
        <v>909090.91</v>
      </c>
      <c r="D171" s="5" t="n">
        <v>1090909.09</v>
      </c>
      <c r="E171" s="2" t="inlineStr">
        <is>
          <t>Andalucía</t>
        </is>
      </c>
      <c r="F171" s="2" t="inlineStr">
        <is>
          <t>Almería</t>
        </is>
      </c>
      <c r="G171" s="2" t="n"/>
      <c r="H171" s="2" t="inlineStr">
        <is>
          <t>Junta de Gobierno Local del Ayuntamiento de El Ejido</t>
        </is>
      </c>
      <c r="I171"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171" s="2" t="inlineStr">
        <is>
          <t>2026 1020</t>
        </is>
      </c>
      <c r="K171" s="2" t="inlineStr">
        <is>
          <t>Abierto simplificado</t>
        </is>
      </c>
      <c r="L171" s="6" t="n">
        <v>8</v>
      </c>
      <c r="M171" s="2" t="n"/>
      <c r="N171" s="7" t="n">
        <v>0.25</v>
      </c>
      <c r="O171" s="4" t="n"/>
      <c r="P171" s="2" t="inlineStr">
        <is>
          <t>45100000; 45232410</t>
        </is>
      </c>
      <c r="Q171" s="8" t="inlineStr">
        <is>
          <t>Ver</t>
        </is>
      </c>
      <c r="R171" s="8" t="inlineStr">
        <is>
          <t>PCAP</t>
        </is>
      </c>
      <c r="S171" s="9" t="n">
        <v>46310</v>
      </c>
      <c r="T171" s="3" t="n">
        <v>46309.41239583334</v>
      </c>
      <c r="U171" s="2" t="n"/>
    </row>
    <row r="172">
      <c r="A172" s="2" t="inlineStr">
        <is>
          <t>Resuelta</t>
        </is>
      </c>
      <c r="B172" s="3" t="n">
        <v>46205.99930555555</v>
      </c>
      <c r="C172" s="5" t="n">
        <v>51868.28</v>
      </c>
      <c r="D172" s="5" t="n">
        <v>51868.28</v>
      </c>
      <c r="E172" s="2" t="inlineStr">
        <is>
          <t>Andalucía</t>
        </is>
      </c>
      <c r="F172" s="2" t="inlineStr">
        <is>
          <t>Granada</t>
        </is>
      </c>
      <c r="G172" s="2" t="inlineStr">
        <is>
          <t>CHIMENEAS</t>
        </is>
      </c>
      <c r="H172" s="2" t="inlineStr">
        <is>
          <t>Presidencia de la Diputación Provincial de Granada</t>
        </is>
      </c>
      <c r="I172" s="2" t="inlineStr">
        <is>
          <t>2024/4/PPOYS-47/2 y 2026/4/PPOYS-47/1 "Chimeneas, mejora del alumbrado público en Castillo de Tajarja."</t>
        </is>
      </c>
      <c r="J172" s="2" t="inlineStr">
        <is>
          <t>OB-019/26</t>
        </is>
      </c>
      <c r="K172" s="2" t="inlineStr">
        <is>
          <t>Abierto simplificado</t>
        </is>
      </c>
      <c r="L172" s="6" t="n">
        <v>4</v>
      </c>
      <c r="M172" s="2" t="inlineStr">
        <is>
          <t>I1-1</t>
        </is>
      </c>
      <c r="N172" s="7" t="n">
        <v>0</v>
      </c>
      <c r="O172" s="4" t="n"/>
      <c r="P172" s="2" t="inlineStr">
        <is>
          <t>45316100</t>
        </is>
      </c>
      <c r="Q172" s="8" t="inlineStr">
        <is>
          <t>Ver</t>
        </is>
      </c>
      <c r="R172" s="8" t="inlineStr">
        <is>
          <t>PCAP</t>
        </is>
      </c>
      <c r="S172" s="9" t="n">
        <v>46310</v>
      </c>
      <c r="T172" s="3" t="n">
        <v>46309.41211805555</v>
      </c>
      <c r="U172" s="2" t="n"/>
    </row>
    <row r="173">
      <c r="A173" s="2" t="inlineStr">
        <is>
          <t>Resuelta</t>
        </is>
      </c>
      <c r="B173" s="3" t="n">
        <v>46296.375</v>
      </c>
      <c r="C173" s="5" t="n">
        <v>13877.3</v>
      </c>
      <c r="D173" s="5" t="n">
        <v>13877.3</v>
      </c>
      <c r="E173" s="2" t="inlineStr">
        <is>
          <t>Andalucía</t>
        </is>
      </c>
      <c r="F173" s="2" t="inlineStr">
        <is>
          <t>Cádiz</t>
        </is>
      </c>
      <c r="G173" s="2" t="inlineStr">
        <is>
          <t>San Fernando</t>
        </is>
      </c>
      <c r="H173" s="2" t="inlineStr">
        <is>
          <t>Intendente de San Fernando</t>
        </is>
      </c>
      <c r="I173" s="2" t="inlineStr">
        <is>
          <t>INFRA 61-061 Resanado y mejora de impermeabilización en muro de Ayudantía Mayor</t>
        </is>
      </c>
      <c r="J173" s="2" t="inlineStr">
        <is>
          <t>2026/AR43U/00002474E</t>
        </is>
      </c>
      <c r="K173" s="2" t="inlineStr">
        <is>
          <t>Abierto</t>
        </is>
      </c>
      <c r="L173" s="6" t="n">
        <v>1</v>
      </c>
      <c r="M173" s="2" t="n"/>
      <c r="N173" s="7" t="n">
        <v>0</v>
      </c>
      <c r="O173" s="4" t="n"/>
      <c r="P173" s="2" t="inlineStr">
        <is>
          <t>45000000</t>
        </is>
      </c>
      <c r="Q173" s="8" t="inlineStr">
        <is>
          <t>Ver</t>
        </is>
      </c>
      <c r="R173" s="8" t="inlineStr">
        <is>
          <t>PCAP</t>
        </is>
      </c>
      <c r="S173" s="9" t="n">
        <v>46310</v>
      </c>
      <c r="T173" s="3" t="n">
        <v>46309.41024305556</v>
      </c>
      <c r="U173" s="2" t="n"/>
    </row>
    <row r="174">
      <c r="A174" s="2" t="inlineStr">
        <is>
          <t>En plazo</t>
        </is>
      </c>
      <c r="B174" s="3" t="n">
        <v>46322.79166666666</v>
      </c>
      <c r="C174" s="5" t="n">
        <v>110077.77</v>
      </c>
      <c r="D174" s="5" t="n">
        <v>110077.77</v>
      </c>
      <c r="E174" s="2" t="inlineStr">
        <is>
          <t>Comunitat Valenciana</t>
        </is>
      </c>
      <c r="F174" s="2" t="inlineStr">
        <is>
          <t>Valencia</t>
        </is>
      </c>
      <c r="G174" s="2" t="inlineStr">
        <is>
          <t>Algemesí</t>
        </is>
      </c>
      <c r="H174" s="2" t="inlineStr">
        <is>
          <t>Junta de Gobierno del Ayuntamiento de Algemesí</t>
        </is>
      </c>
      <c r="I174" s="2" t="inlineStr">
        <is>
          <t>Ejecución de obras para la «Reconstrucción del Centro Público de Formación de Adultos (EPA) y de la Escuela de Música Tabal i Dolçaina (EMTID).</t>
        </is>
      </c>
      <c r="J174" s="2" t="inlineStr">
        <is>
          <t>8552/2026</t>
        </is>
      </c>
      <c r="K174" s="2" t="inlineStr">
        <is>
          <t>Abierto simplificado</t>
        </is>
      </c>
      <c r="L174" s="6" t="n">
        <v>2</v>
      </c>
      <c r="M174" s="2" t="n"/>
      <c r="N174" s="7" t="n">
        <v>0</v>
      </c>
      <c r="O174" s="4" t="n"/>
      <c r="P174" s="2" t="inlineStr">
        <is>
          <t>45453000; 45214000</t>
        </is>
      </c>
      <c r="Q174" s="8" t="inlineStr">
        <is>
          <t>Ver</t>
        </is>
      </c>
      <c r="R174" s="8" t="inlineStr">
        <is>
          <t>PCAP</t>
        </is>
      </c>
      <c r="S174" s="9" t="n">
        <v>46310</v>
      </c>
      <c r="T174" s="3" t="n">
        <v>46309.41001157407</v>
      </c>
      <c r="U174" s="2" t="n"/>
    </row>
    <row r="175">
      <c r="A175" s="2" t="inlineStr">
        <is>
          <t>En plazo</t>
        </is>
      </c>
      <c r="B175" s="3" t="n">
        <v>46335.99930555555</v>
      </c>
      <c r="C175" s="5" t="n">
        <v>188374.43</v>
      </c>
      <c r="D175" s="5" t="n">
        <v>188374.43</v>
      </c>
      <c r="E175" s="2" t="inlineStr">
        <is>
          <t>Andalucía</t>
        </is>
      </c>
      <c r="F175" s="2" t="inlineStr">
        <is>
          <t>Sevilla</t>
        </is>
      </c>
      <c r="G175" s="2" t="n"/>
      <c r="H175" s="2" t="inlineStr">
        <is>
          <t>Alcaldia del Ayuntamiento de Paradas</t>
        </is>
      </c>
      <c r="I175" s="2" t="inlineStr">
        <is>
          <t>Renovación instalaciones de alumbrado público</t>
        </is>
      </c>
      <c r="J175" s="2" t="inlineStr">
        <is>
          <t>P4107100B-2026/001584-PAA</t>
        </is>
      </c>
      <c r="K175" s="2" t="inlineStr">
        <is>
          <t>Abierto</t>
        </is>
      </c>
      <c r="L175" s="6" t="n">
        <v>2</v>
      </c>
      <c r="M175" s="2" t="n"/>
      <c r="N175" s="7" t="n">
        <v>0</v>
      </c>
      <c r="O175" s="4" t="n"/>
      <c r="P175" s="2" t="inlineStr">
        <is>
          <t>45316100; 45315600</t>
        </is>
      </c>
      <c r="Q175" s="8" t="inlineStr">
        <is>
          <t>Ver</t>
        </is>
      </c>
      <c r="R175" s="8" t="inlineStr">
        <is>
          <t>PCAP</t>
        </is>
      </c>
      <c r="S175" s="9" t="n">
        <v>46310</v>
      </c>
      <c r="T175" s="3" t="n">
        <v>46309.40819444445</v>
      </c>
      <c r="U175" s="2" t="n"/>
    </row>
    <row r="176">
      <c r="A176" s="2" t="inlineStr">
        <is>
          <t>Pendiente de adjudicación</t>
        </is>
      </c>
      <c r="B176" s="3" t="n">
        <v>46293.99930555555</v>
      </c>
      <c r="C176" s="5" t="n">
        <v>165256.56</v>
      </c>
      <c r="D176" s="5" t="n">
        <v>165256.66</v>
      </c>
      <c r="E176" s="2" t="inlineStr">
        <is>
          <t>Comunitat Valenciana</t>
        </is>
      </c>
      <c r="F176" s="2" t="inlineStr">
        <is>
          <t>Valencia</t>
        </is>
      </c>
      <c r="G176" s="2" t="n"/>
      <c r="H176" s="2" t="inlineStr">
        <is>
          <t>Concejalía Delegada de Hacienda del Ayuntamiento de la Pobla de Vallbona</t>
        </is>
      </c>
      <c r="I176"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76" s="2" t="inlineStr">
        <is>
          <t>2026000021</t>
        </is>
      </c>
      <c r="K176" s="2" t="inlineStr">
        <is>
          <t>Abierto simplificado</t>
        </is>
      </c>
      <c r="L176" s="6" t="n">
        <v>5</v>
      </c>
      <c r="M176" s="2" t="n"/>
      <c r="N176" s="7" t="n">
        <v>0.25</v>
      </c>
      <c r="O176" s="4" t="n"/>
      <c r="P176" s="2" t="inlineStr">
        <is>
          <t>45233252; 45233340; 45262350</t>
        </is>
      </c>
      <c r="Q176" s="8" t="inlineStr">
        <is>
          <t>Ver</t>
        </is>
      </c>
      <c r="R176" s="8" t="inlineStr">
        <is>
          <t>PCAP</t>
        </is>
      </c>
      <c r="S176" s="9" t="n">
        <v>46310</v>
      </c>
      <c r="T176" s="3" t="n">
        <v>46309.40474537037</v>
      </c>
      <c r="U176" s="2" t="n"/>
    </row>
    <row r="177">
      <c r="A177" s="2" t="inlineStr">
        <is>
          <t>Resuelta</t>
        </is>
      </c>
      <c r="B177" s="3" t="n">
        <v>46286.99930555555</v>
      </c>
      <c r="C177" s="5" t="n">
        <v>150736.76</v>
      </c>
      <c r="D177" s="5" t="n">
        <v>150736.76</v>
      </c>
      <c r="E177" s="2" t="inlineStr">
        <is>
          <t>Comunitat Valenciana</t>
        </is>
      </c>
      <c r="F177" s="2" t="inlineStr">
        <is>
          <t>Valencia</t>
        </is>
      </c>
      <c r="G177" s="2" t="inlineStr">
        <is>
          <t>FORTALENY</t>
        </is>
      </c>
      <c r="H177" s="2" t="inlineStr">
        <is>
          <t>Plenodel Ayuntamiento de Fortaleny</t>
        </is>
      </c>
      <c r="I177" s="2" t="inlineStr">
        <is>
          <t>Demolición y construcción Casal Jove en Fortaleny</t>
        </is>
      </c>
      <c r="J177" s="2" t="inlineStr">
        <is>
          <t>139/2026</t>
        </is>
      </c>
      <c r="K177" s="2" t="inlineStr">
        <is>
          <t>Abierto simplificado</t>
        </is>
      </c>
      <c r="L177" s="6" t="n">
        <v>8</v>
      </c>
      <c r="M177" s="2" t="n"/>
      <c r="N177" s="7" t="n">
        <v>0</v>
      </c>
      <c r="O177" s="4" t="n"/>
      <c r="P177" s="2" t="inlineStr">
        <is>
          <t>45111100; 45210000</t>
        </is>
      </c>
      <c r="Q177" s="8" t="inlineStr">
        <is>
          <t>Ver</t>
        </is>
      </c>
      <c r="R177" s="8" t="inlineStr">
        <is>
          <t>PCAP</t>
        </is>
      </c>
      <c r="S177" s="9" t="n">
        <v>46310</v>
      </c>
      <c r="T177" s="3" t="n">
        <v>46309.40403935185</v>
      </c>
      <c r="U177" s="2" t="n"/>
    </row>
    <row r="178">
      <c r="A178" s="2" t="inlineStr">
        <is>
          <t>Resuelta</t>
        </is>
      </c>
      <c r="B178" s="3" t="n">
        <v>43668.70833333334</v>
      </c>
      <c r="C178" s="5" t="n">
        <v>745543.67</v>
      </c>
      <c r="D178" s="5" t="n">
        <v>745543.67</v>
      </c>
      <c r="E178" s="2" t="inlineStr">
        <is>
          <t>Andalucía</t>
        </is>
      </c>
      <c r="F178" s="2" t="inlineStr">
        <is>
          <t>Córdoba</t>
        </is>
      </c>
      <c r="G178" s="2" t="inlineStr">
        <is>
          <t>Córdoba</t>
        </is>
      </c>
      <c r="H178" s="2" t="inlineStr">
        <is>
          <t>Presidencia de la Gerencia de Infraestructuras y Equipamientos de Cultura O.A</t>
        </is>
      </c>
      <c r="I178" s="2" t="inlineStr">
        <is>
          <t>Obras de restauración de la Portada y Escalinata renacentistas del Museo Arqueológico de Córdoba.</t>
        </is>
      </c>
      <c r="J178" s="2" t="inlineStr">
        <is>
          <t>19/043 OB</t>
        </is>
      </c>
      <c r="K178" s="2" t="inlineStr">
        <is>
          <t>Abierto</t>
        </is>
      </c>
      <c r="L178" s="6" t="n">
        <v>12</v>
      </c>
      <c r="M178" s="2" t="inlineStr">
        <is>
          <t>K7-4</t>
        </is>
      </c>
      <c r="N178" s="7" t="n">
        <v>0.5</v>
      </c>
      <c r="O178" s="4" t="n"/>
      <c r="P178" s="2" t="inlineStr">
        <is>
          <t>45454100</t>
        </is>
      </c>
      <c r="Q178" s="8" t="inlineStr">
        <is>
          <t>Ver</t>
        </is>
      </c>
      <c r="R178" s="8" t="inlineStr">
        <is>
          <t>PCAP</t>
        </is>
      </c>
      <c r="S178" s="9" t="n">
        <v>46310</v>
      </c>
      <c r="T178" s="3" t="n">
        <v>46309.39928240741</v>
      </c>
      <c r="U178" s="2" t="n"/>
    </row>
    <row r="179">
      <c r="A179" s="2" t="inlineStr">
        <is>
          <t>Pendiente de adjudicación</t>
        </is>
      </c>
      <c r="B179" s="3" t="n">
        <v>46295.75</v>
      </c>
      <c r="C179" s="5" t="n">
        <v>249873.9</v>
      </c>
      <c r="D179" s="5" t="n">
        <v>249873.52</v>
      </c>
      <c r="E179" s="2" t="inlineStr">
        <is>
          <t>Comunitat Valenciana</t>
        </is>
      </c>
      <c r="F179" s="2" t="inlineStr">
        <is>
          <t>Alicante</t>
        </is>
      </c>
      <c r="G179" s="2" t="inlineStr">
        <is>
          <t>Alicante (Alacant)</t>
        </is>
      </c>
      <c r="H179" s="2" t="inlineStr">
        <is>
          <t>Alcaldía del Ayuntamiento de Santa Pola</t>
        </is>
      </c>
      <c r="I179" s="2" t="inlineStr">
        <is>
          <t>Renovación de baños del CEIP Ramón Cuesta 2026</t>
        </is>
      </c>
      <c r="J179" s="2" t="inlineStr">
        <is>
          <t>17867/2026</t>
        </is>
      </c>
      <c r="K179" s="2" t="inlineStr">
        <is>
          <t>Abierto simplificado</t>
        </is>
      </c>
      <c r="L179" s="6" t="n">
        <v>4</v>
      </c>
      <c r="M179" s="2" t="n"/>
      <c r="N179" s="7" t="n">
        <v>0.5</v>
      </c>
      <c r="O179" s="4" t="n"/>
      <c r="P179" s="2" t="inlineStr">
        <is>
          <t>45300000; 45310000; 45330000; 45453100</t>
        </is>
      </c>
      <c r="Q179" s="8" t="inlineStr">
        <is>
          <t>Ver</t>
        </is>
      </c>
      <c r="R179" s="8" t="inlineStr">
        <is>
          <t>PCAP</t>
        </is>
      </c>
      <c r="S179" s="9" t="n">
        <v>46310</v>
      </c>
      <c r="T179" s="3" t="n">
        <v>46309.39864583333</v>
      </c>
      <c r="U179" s="2" t="n"/>
    </row>
    <row r="180">
      <c r="A180" s="2" t="inlineStr">
        <is>
          <t>En plazo</t>
        </is>
      </c>
      <c r="B180" s="3" t="n">
        <v>46316.99930555555</v>
      </c>
      <c r="C180" s="5" t="n">
        <v>426300.15</v>
      </c>
      <c r="D180" s="5" t="n">
        <v>426300.15</v>
      </c>
      <c r="E180" s="2" t="inlineStr">
        <is>
          <t>Andalucía</t>
        </is>
      </c>
      <c r="F180" s="2" t="inlineStr">
        <is>
          <t>Málaga</t>
        </is>
      </c>
      <c r="G180" s="2" t="inlineStr">
        <is>
          <t>Villanueva de la Concepción</t>
        </is>
      </c>
      <c r="H180" s="2" t="inlineStr">
        <is>
          <t>Alcaldía del Ayuntamiento de Villanueva de la Concepción</t>
        </is>
      </c>
      <c r="I180" s="2" t="inlineStr">
        <is>
          <t>Construcción nuevo depósito agua potable</t>
        </is>
      </c>
      <c r="J180" s="2" t="inlineStr">
        <is>
          <t>2025/790</t>
        </is>
      </c>
      <c r="K180" s="2" t="inlineStr">
        <is>
          <t>Abierto</t>
        </is>
      </c>
      <c r="L180" s="6" t="n">
        <v>6</v>
      </c>
      <c r="M180" s="2" t="n"/>
      <c r="N180" s="7" t="n">
        <v>0</v>
      </c>
      <c r="O180" s="4" t="n"/>
      <c r="P180" s="2" t="inlineStr">
        <is>
          <t>45213260</t>
        </is>
      </c>
      <c r="Q180" s="8" t="inlineStr">
        <is>
          <t>Ver</t>
        </is>
      </c>
      <c r="R180" s="8" t="inlineStr">
        <is>
          <t>PCAP</t>
        </is>
      </c>
      <c r="S180" s="9" t="n">
        <v>46310</v>
      </c>
      <c r="T180" s="3" t="n">
        <v>46309.39697916667</v>
      </c>
      <c r="U180" s="2" t="n"/>
    </row>
    <row r="181">
      <c r="A181" s="2" t="inlineStr">
        <is>
          <t>Resuelta</t>
        </is>
      </c>
      <c r="B181" s="3" t="n">
        <v>45947.625</v>
      </c>
      <c r="C181" s="5" t="n">
        <v>20278154.99</v>
      </c>
      <c r="D181" s="5" t="n">
        <v>20278154.99</v>
      </c>
      <c r="E181" s="2" t="inlineStr">
        <is>
          <t>Andalucía</t>
        </is>
      </c>
      <c r="F181" s="2" t="inlineStr">
        <is>
          <t>Sevilla</t>
        </is>
      </c>
      <c r="G181" s="2" t="n"/>
      <c r="H181" s="2" t="inlineStr">
        <is>
          <t>Dirección General de Carreteras</t>
        </is>
      </c>
      <c r="I181" s="2" t="inlineStr">
        <is>
          <t>39-SE-5240;54.477/25 Actuaciones para el desarrollo del plan de acción contra el ruido de la fase II en la Autovía A-49, P.K. 0+000 A 3+000. Provincia de Sevilla</t>
        </is>
      </c>
      <c r="J181" s="2" t="inlineStr">
        <is>
          <t>C54254152400</t>
        </is>
      </c>
      <c r="K181" s="2" t="inlineStr">
        <is>
          <t>Abierto</t>
        </is>
      </c>
      <c r="L181" s="6" t="n">
        <v>29</v>
      </c>
      <c r="M181" s="2" t="inlineStr">
        <is>
          <t>B2-6</t>
        </is>
      </c>
      <c r="N181" s="7" t="n">
        <v>0.49</v>
      </c>
      <c r="O181" s="4" t="n"/>
      <c r="P181" s="2" t="inlineStr">
        <is>
          <t>45233000</t>
        </is>
      </c>
      <c r="Q181" s="8" t="inlineStr">
        <is>
          <t>Ver</t>
        </is>
      </c>
      <c r="R181" s="8" t="inlineStr">
        <is>
          <t>PCAP</t>
        </is>
      </c>
      <c r="S181" s="9" t="n">
        <v>46310</v>
      </c>
      <c r="T181" s="3" t="n">
        <v>46309.39511574074</v>
      </c>
      <c r="U181" s="2" t="n"/>
    </row>
    <row r="182">
      <c r="A182" s="2" t="inlineStr">
        <is>
          <t>En plazo</t>
        </is>
      </c>
      <c r="B182" s="3" t="n">
        <v>46330.79166666666</v>
      </c>
      <c r="C182" s="5" t="n">
        <v>190470.22</v>
      </c>
      <c r="D182" s="5" t="n">
        <v>190470.22</v>
      </c>
      <c r="E182" s="2" t="inlineStr">
        <is>
          <t>Comunitat Valenciana</t>
        </is>
      </c>
      <c r="F182" s="2" t="inlineStr">
        <is>
          <t>Castellón</t>
        </is>
      </c>
      <c r="G182" s="2" t="inlineStr">
        <is>
          <t>Artana</t>
        </is>
      </c>
      <c r="H182" s="2" t="inlineStr">
        <is>
          <t>Dirección Territorial de Educación y Universidades de Castellón</t>
        </is>
      </c>
      <c r="I182" s="2" t="inlineStr">
        <is>
          <t>Ampliación para ubicación de ascensor, escalera, almacén, actuaciones de accesibilidad y sustitución de aparatos sanitarios en el CEIP Carme Martín de Artana (Castellón)</t>
        </is>
      </c>
      <c r="J182" s="2" t="inlineStr">
        <is>
          <t>CMAYOR/2026/39Y14/0088</t>
        </is>
      </c>
      <c r="K182" s="2" t="inlineStr">
        <is>
          <t>Abierto simplificado</t>
        </is>
      </c>
      <c r="L182" s="6" t="n">
        <v>6</v>
      </c>
      <c r="M182" s="2" t="n"/>
      <c r="N182" s="7" t="n">
        <v>0</v>
      </c>
      <c r="O182" s="4" t="n"/>
      <c r="P182" s="2" t="inlineStr">
        <is>
          <t>45214210; 45000000</t>
        </is>
      </c>
      <c r="Q182" s="8" t="inlineStr">
        <is>
          <t>Ver</t>
        </is>
      </c>
      <c r="R182" s="8" t="inlineStr">
        <is>
          <t>PCAP</t>
        </is>
      </c>
      <c r="S182" s="9" t="n">
        <v>46310</v>
      </c>
      <c r="T182" s="3" t="n">
        <v>46309.39331018519</v>
      </c>
      <c r="U182" s="2" t="n"/>
    </row>
    <row r="183">
      <c r="A183" s="2" t="inlineStr">
        <is>
          <t>En plazo</t>
        </is>
      </c>
      <c r="B183" s="3" t="n">
        <v>46329.79166666666</v>
      </c>
      <c r="C183" s="5" t="n">
        <v>278857.93</v>
      </c>
      <c r="D183" s="5" t="n">
        <v>278857.93</v>
      </c>
      <c r="E183" s="2" t="inlineStr">
        <is>
          <t>Comunitat Valenciana</t>
        </is>
      </c>
      <c r="F183" s="2" t="inlineStr">
        <is>
          <t>Valencia</t>
        </is>
      </c>
      <c r="G183" s="2" t="inlineStr">
        <is>
          <t>Algemesí</t>
        </is>
      </c>
      <c r="H183" s="2" t="inlineStr">
        <is>
          <t>Junta de Gobierno del Ayuntamiento de Algemesí</t>
        </is>
      </c>
      <c r="I183" s="2" t="inlineStr">
        <is>
          <t>Ejecución de las obras "Reconstrucción del Teatre Jaume I", "Reconstrucció del edifici de l'Espai Jove" i "Reconstrucció de la Seu Adisalge d'Algemesí"</t>
        </is>
      </c>
      <c r="J183" s="2" t="inlineStr">
        <is>
          <t>10456/2026</t>
        </is>
      </c>
      <c r="K183" s="2" t="inlineStr">
        <is>
          <t>Abierto simplificado</t>
        </is>
      </c>
      <c r="L183" s="6" t="n">
        <v>8</v>
      </c>
      <c r="M183" s="2" t="n"/>
      <c r="N183" s="7" t="n">
        <v>0</v>
      </c>
      <c r="O183" s="4" t="n"/>
      <c r="P183" s="2" t="inlineStr">
        <is>
          <t>45453000</t>
        </is>
      </c>
      <c r="Q183" s="8" t="inlineStr">
        <is>
          <t>Ver</t>
        </is>
      </c>
      <c r="R183" s="8" t="inlineStr">
        <is>
          <t>PCAP</t>
        </is>
      </c>
      <c r="S183" s="9" t="n">
        <v>46310</v>
      </c>
      <c r="T183" s="3" t="n">
        <v>46309.39287037037</v>
      </c>
      <c r="U183" s="2" t="n"/>
    </row>
    <row r="184">
      <c r="A184" s="2" t="inlineStr">
        <is>
          <t>Pendiente de adjudicación</t>
        </is>
      </c>
      <c r="B184" s="3" t="n">
        <v>46311.99930555555</v>
      </c>
      <c r="C184" s="5" t="n">
        <v>76033.06</v>
      </c>
      <c r="D184" s="5" t="n">
        <v>76033.06</v>
      </c>
      <c r="E184" s="2" t="inlineStr">
        <is>
          <t>Andalucía</t>
        </is>
      </c>
      <c r="F184" s="2" t="inlineStr">
        <is>
          <t>Málaga</t>
        </is>
      </c>
      <c r="G184" s="2" t="n"/>
      <c r="H184" s="2" t="inlineStr">
        <is>
          <t>Presidencia de la Entidad Local Autónoma Estación de Gaucín -El Colmenar</t>
        </is>
      </c>
      <c r="I184" s="2" t="inlineStr">
        <is>
          <t>Mejora de Abastecimiento de Agua Potable en la Estación de Gaucín-El Colmenar.</t>
        </is>
      </c>
      <c r="J184" s="2" t="inlineStr">
        <is>
          <t>2026/168</t>
        </is>
      </c>
      <c r="K184" s="2" t="inlineStr">
        <is>
          <t>Negociado sin publicidad</t>
        </is>
      </c>
      <c r="L184" s="6" t="n">
        <v>4</v>
      </c>
      <c r="M184" s="2" t="n"/>
      <c r="N184" s="7" t="n">
        <v>0</v>
      </c>
      <c r="O184" s="4" t="n"/>
      <c r="P184" s="2" t="inlineStr">
        <is>
          <t>45000000; 45300000; 45232000; 45240000; 45200000; 45231000</t>
        </is>
      </c>
      <c r="Q184" s="8" t="inlineStr">
        <is>
          <t>Ver</t>
        </is>
      </c>
      <c r="R184" s="8" t="inlineStr">
        <is>
          <t>PCAP</t>
        </is>
      </c>
      <c r="S184" s="9" t="n">
        <v>46310</v>
      </c>
      <c r="T184" s="3" t="n">
        <v>46309.39244212963</v>
      </c>
      <c r="U184" s="2" t="n"/>
    </row>
    <row r="185">
      <c r="A185" s="2" t="inlineStr">
        <is>
          <t>Resuelta</t>
        </is>
      </c>
      <c r="B185" s="3" t="n">
        <v>46240.58333333334</v>
      </c>
      <c r="C185" s="5" t="n">
        <v>390427.58</v>
      </c>
      <c r="D185" s="5" t="n">
        <v>429417.37</v>
      </c>
      <c r="E185" s="2" t="inlineStr">
        <is>
          <t>Comunitat Valenciana</t>
        </is>
      </c>
      <c r="F185" s="2" t="inlineStr">
        <is>
          <t>Valencia</t>
        </is>
      </c>
      <c r="G185" s="2" t="inlineStr">
        <is>
          <t>Valencia</t>
        </is>
      </c>
      <c r="H185" s="2" t="inlineStr">
        <is>
          <t>Departamento de Salud Valencia Dr. Peset. Dirección Económica-Gerencia</t>
        </is>
      </c>
      <c r="I185" s="2" t="inlineStr">
        <is>
          <t>Obra de reforma de la Sala de Pediatría del Hospital Universitario Valencia Doctor Peset, del Departamento de Salud Valencia-Doctor Peset de Valencia, con condiciones especiales de ejecución de carácter ambiental. Lote único.</t>
        </is>
      </c>
      <c r="J185" s="2" t="inlineStr">
        <is>
          <t>PAS 876/2026</t>
        </is>
      </c>
      <c r="K185" s="2" t="inlineStr">
        <is>
          <t>Abierto simplificado</t>
        </is>
      </c>
      <c r="L185" s="6" t="n">
        <v>5</v>
      </c>
      <c r="M185" s="2" t="n"/>
      <c r="N185" s="7" t="n">
        <v>0.25</v>
      </c>
      <c r="O185" s="4" t="n"/>
      <c r="P185" s="2" t="inlineStr">
        <is>
          <t>45262520; 45430000; 45441000; 45310000; 45350000; 45330000; 45442100</t>
        </is>
      </c>
      <c r="Q185" s="8" t="inlineStr">
        <is>
          <t>Ver</t>
        </is>
      </c>
      <c r="R185" s="8" t="inlineStr">
        <is>
          <t>PCAP</t>
        </is>
      </c>
      <c r="S185" s="9" t="n">
        <v>46310</v>
      </c>
      <c r="T185" s="3" t="n">
        <v>46309.38972222222</v>
      </c>
      <c r="U185" s="2" t="n"/>
    </row>
    <row r="186">
      <c r="A186" s="2" t="inlineStr">
        <is>
          <t>En plazo</t>
        </is>
      </c>
      <c r="B186" s="3" t="n">
        <v>46330.79166666666</v>
      </c>
      <c r="C186" s="5" t="n">
        <v>173771.55</v>
      </c>
      <c r="D186" s="5" t="n">
        <v>173771.55</v>
      </c>
      <c r="E186" s="2" t="inlineStr">
        <is>
          <t>Comunitat Valenciana</t>
        </is>
      </c>
      <c r="F186" s="2" t="inlineStr">
        <is>
          <t>Castellón</t>
        </is>
      </c>
      <c r="G186" s="2" t="inlineStr">
        <is>
          <t>Morella</t>
        </is>
      </c>
      <c r="H186" s="2" t="inlineStr">
        <is>
          <t>Dirección Territorial de Educación y Universidades de Castellón</t>
        </is>
      </c>
      <c r="I186" s="2" t="inlineStr">
        <is>
          <t>Reforma de la instalación de calefacción y mejoras en el patio de infantil en el CEIP Mare de Deu de la Vallivana de Morella</t>
        </is>
      </c>
      <c r="J186" s="2" t="inlineStr">
        <is>
          <t>CMAYOR/2026/39Y14/0011</t>
        </is>
      </c>
      <c r="K186" s="2" t="inlineStr">
        <is>
          <t>Abierto simplificado</t>
        </is>
      </c>
      <c r="L186" s="6" t="n">
        <v>3</v>
      </c>
      <c r="M186" s="2" t="n"/>
      <c r="N186" s="7" t="n">
        <v>0</v>
      </c>
      <c r="O186" s="4" t="n"/>
      <c r="P186" s="2" t="inlineStr">
        <is>
          <t>45214210; 45000000</t>
        </is>
      </c>
      <c r="Q186" s="8" t="inlineStr">
        <is>
          <t>Ver</t>
        </is>
      </c>
      <c r="R186" s="8" t="inlineStr">
        <is>
          <t>PCAP</t>
        </is>
      </c>
      <c r="S186" s="9" t="n">
        <v>46310</v>
      </c>
      <c r="T186" s="3" t="n">
        <v>46309.38708333333</v>
      </c>
      <c r="U186" s="2" t="n"/>
    </row>
    <row r="187">
      <c r="A187" s="2" t="inlineStr">
        <is>
          <t>En plazo</t>
        </is>
      </c>
      <c r="B187" s="3" t="n">
        <v>46337.41666666666</v>
      </c>
      <c r="C187" s="5" t="n">
        <v>70000</v>
      </c>
      <c r="D187" s="5" t="n">
        <v>70000</v>
      </c>
      <c r="E187" s="2" t="inlineStr">
        <is>
          <t>Andalucía</t>
        </is>
      </c>
      <c r="F187" s="2" t="inlineStr">
        <is>
          <t>Cádiz</t>
        </is>
      </c>
      <c r="G187" s="2" t="n"/>
      <c r="H187" s="2" t="inlineStr">
        <is>
          <t>Comité Central de Compras de Navantia S.A., S.M.E.</t>
        </is>
      </c>
      <c r="I187" s="2" t="inlineStr">
        <is>
          <t>La presente licitación tiene por objeto la contratación de la redacción de proyecto y ejecución de la reparación estructural del forjado sanitario del centro de transformación "central piloto" en Navantia Puerto Real.</t>
        </is>
      </c>
      <c r="J187" s="2" t="inlineStr">
        <is>
          <t>5100075462 - PROY Y EJEC FORJADO CT CENTRAL PILOTO</t>
        </is>
      </c>
      <c r="K187" s="2" t="inlineStr">
        <is>
          <t>Normas internas</t>
        </is>
      </c>
      <c r="L187" s="6" t="n">
        <v>4</v>
      </c>
      <c r="M187" s="2" t="n"/>
      <c r="N187" s="7" t="n">
        <v>1</v>
      </c>
      <c r="O187" s="4" t="n"/>
      <c r="P187" s="2" t="inlineStr">
        <is>
          <t>45453100</t>
        </is>
      </c>
      <c r="Q187" s="8" t="inlineStr">
        <is>
          <t>Ver</t>
        </is>
      </c>
      <c r="R187" s="8" t="inlineStr">
        <is>
          <t>PCAP</t>
        </is>
      </c>
      <c r="S187" s="9" t="n">
        <v>46310</v>
      </c>
      <c r="T187" s="3" t="n">
        <v>46309.38667824074</v>
      </c>
      <c r="U187" s="2" t="n"/>
    </row>
    <row r="188">
      <c r="A188" s="2" t="inlineStr">
        <is>
          <t>En plazo</t>
        </is>
      </c>
      <c r="B188" s="3" t="n">
        <v>46329.99930555555</v>
      </c>
      <c r="C188" s="5" t="n">
        <v>1106611.57</v>
      </c>
      <c r="D188" s="5" t="n">
        <v>1106611.57</v>
      </c>
      <c r="E188" s="2" t="inlineStr">
        <is>
          <t>Andalucía</t>
        </is>
      </c>
      <c r="F188" s="2" t="inlineStr">
        <is>
          <t>Sevilla</t>
        </is>
      </c>
      <c r="G188" s="2" t="n"/>
      <c r="H188" s="2" t="inlineStr">
        <is>
          <t>Alcaldía del Ayuntamiento de Alcalá del Río</t>
        </is>
      </c>
      <c r="I188" s="2" t="inlineStr">
        <is>
          <t>Contrato de obras relativo al Proyecto básico y de ejecución de Reforma y Acondicionamiento de la Piscina Municipal y el entorno periférico</t>
        </is>
      </c>
      <c r="J188" s="2" t="inlineStr">
        <is>
          <t>P4100500J-2026/000021-PAAS</t>
        </is>
      </c>
      <c r="K188" s="2" t="inlineStr">
        <is>
          <t>Abierto simplificado</t>
        </is>
      </c>
      <c r="L188" s="6" t="n">
        <v>16</v>
      </c>
      <c r="M188" s="2" t="inlineStr">
        <is>
          <t>J2-2; C3-2; C*-2; J*-2</t>
        </is>
      </c>
      <c r="N188" s="7" t="n">
        <v>0</v>
      </c>
      <c r="O188" s="4" t="n"/>
      <c r="P188" s="2" t="inlineStr">
        <is>
          <t>45212220</t>
        </is>
      </c>
      <c r="Q188" s="8" t="inlineStr">
        <is>
          <t>Ver</t>
        </is>
      </c>
      <c r="R188" s="8" t="inlineStr">
        <is>
          <t>PCAP</t>
        </is>
      </c>
      <c r="S188" s="9" t="n">
        <v>46310</v>
      </c>
      <c r="T188" s="3" t="n">
        <v>46309.38597222222</v>
      </c>
      <c r="U188" s="2" t="n"/>
    </row>
    <row r="189">
      <c r="A189" s="2" t="inlineStr">
        <is>
          <t>En plazo</t>
        </is>
      </c>
      <c r="B189" s="3" t="n">
        <v>46316.99930555555</v>
      </c>
      <c r="C189" s="5" t="n">
        <v>63239.67</v>
      </c>
      <c r="D189" s="5" t="n">
        <v>63239.67</v>
      </c>
      <c r="E189" s="2" t="inlineStr">
        <is>
          <t>Andalucía</t>
        </is>
      </c>
      <c r="F189" s="2" t="inlineStr">
        <is>
          <t>Granada</t>
        </is>
      </c>
      <c r="G189" s="2" t="n"/>
      <c r="H189" s="2" t="inlineStr">
        <is>
          <t>Junta de Gobierno Local del Ayuntamiento de la Villa de Otura</t>
        </is>
      </c>
      <c r="I189" s="2" t="inlineStr">
        <is>
          <t>Contrato de obras para la remodelación de la Placeta del Tranco por procedimiento abierto simplificado y tramitación ordinaria.</t>
        </is>
      </c>
      <c r="J189" s="2" t="inlineStr">
        <is>
          <t>3332/2026</t>
        </is>
      </c>
      <c r="K189" s="2" t="inlineStr">
        <is>
          <t>Abierto simplificado</t>
        </is>
      </c>
      <c r="L189" s="6" t="n">
        <v>3</v>
      </c>
      <c r="M189" s="2" t="n"/>
      <c r="N189" s="7" t="n">
        <v>0.25</v>
      </c>
      <c r="O189" s="4" t="n"/>
      <c r="P189" s="2" t="inlineStr">
        <is>
          <t>45220000</t>
        </is>
      </c>
      <c r="Q189" s="8" t="inlineStr">
        <is>
          <t>Ver</t>
        </is>
      </c>
      <c r="R189" s="8" t="inlineStr">
        <is>
          <t>PCAP</t>
        </is>
      </c>
      <c r="S189" s="9" t="n">
        <v>46310</v>
      </c>
      <c r="T189" s="3" t="n">
        <v>46309.38451388889</v>
      </c>
      <c r="U189" s="2" t="n"/>
    </row>
    <row r="190">
      <c r="A190" s="2" t="inlineStr">
        <is>
          <t>Pendiente de adjudicación</t>
        </is>
      </c>
      <c r="B190" s="3" t="n">
        <v>46302.99930555555</v>
      </c>
      <c r="C190" s="5" t="n">
        <v>829212.0699999999</v>
      </c>
      <c r="D190" s="5" t="n">
        <v>1077975.69</v>
      </c>
      <c r="E190" s="2" t="inlineStr">
        <is>
          <t>Comunitat Valenciana</t>
        </is>
      </c>
      <c r="F190" s="2" t="inlineStr">
        <is>
          <t>Valencia</t>
        </is>
      </c>
      <c r="G190" s="2" t="n"/>
      <c r="H190" s="2" t="inlineStr">
        <is>
          <t>Consorcio Hospital General Universitario de Valencia</t>
        </is>
      </c>
      <c r="I190" s="2" t="inlineStr">
        <is>
          <t>Contrato administrativo de obras, responsable con el medio ambiente, para la ejecución de la obra de instalación de una enfriadora para el pabellón A, sector 1 del Consorcio Hospital General Universitario de Valencia.</t>
        </is>
      </c>
      <c r="J190" s="2" t="inlineStr">
        <is>
          <t>CMAYOR/2026/HGUV0/1833</t>
        </is>
      </c>
      <c r="K190" s="2" t="inlineStr">
        <is>
          <t>Abierto simplificado</t>
        </is>
      </c>
      <c r="L190" s="6" t="n">
        <v>5.6</v>
      </c>
      <c r="M190" s="2" t="n"/>
      <c r="N190" s="7" t="n">
        <v>0.2</v>
      </c>
      <c r="O190" s="4" t="n"/>
      <c r="P190" s="2" t="inlineStr">
        <is>
          <t>45331230; 45330000; 42500000; 31141000; 42512300; 42512000; 45310000</t>
        </is>
      </c>
      <c r="Q190" s="8" t="inlineStr">
        <is>
          <t>Ver</t>
        </is>
      </c>
      <c r="R190" s="8" t="inlineStr">
        <is>
          <t>PCAP</t>
        </is>
      </c>
      <c r="S190" s="9" t="n">
        <v>46310</v>
      </c>
      <c r="T190" s="3" t="n">
        <v>46309.38325231482</v>
      </c>
      <c r="U190" s="2" t="n"/>
    </row>
    <row r="191">
      <c r="A191" s="2" t="inlineStr">
        <is>
          <t>Pendiente de adjudicación</t>
        </is>
      </c>
      <c r="B191" s="3" t="n">
        <v>46276.54166666666</v>
      </c>
      <c r="C191" s="5" t="n">
        <v>730619.33</v>
      </c>
      <c r="D191" s="5" t="n">
        <v>730619.33</v>
      </c>
      <c r="E191" s="2" t="inlineStr">
        <is>
          <t>Andalucía</t>
        </is>
      </c>
      <c r="F191" s="2" t="inlineStr">
        <is>
          <t>Jaén</t>
        </is>
      </c>
      <c r="G191" s="2" t="n"/>
      <c r="H191" s="2" t="inlineStr">
        <is>
          <t>Consejo de Administración de Sociedad Mercantil Estatal Aguas de las Cuencas de España, S.A. (ACUAES)</t>
        </is>
      </c>
      <c r="I191" s="2" t="inlineStr">
        <is>
          <t>Ejecución de las obras del Proyecto de "Mejora del abastecimiento a Huelma (Jaén)"</t>
        </is>
      </c>
      <c r="J191" s="2" t="inlineStr">
        <is>
          <t>ACE/318.81/26/OBRA/01</t>
        </is>
      </c>
      <c r="K191" s="2" t="inlineStr">
        <is>
          <t>Abierto</t>
        </is>
      </c>
      <c r="L191" s="6" t="n">
        <v>7</v>
      </c>
      <c r="M191" s="2" t="inlineStr">
        <is>
          <t>E1-3</t>
        </is>
      </c>
      <c r="N191" s="7" t="n">
        <v>0.45</v>
      </c>
      <c r="O191" s="4" t="n"/>
      <c r="P191" s="2" t="inlineStr">
        <is>
          <t>45240000</t>
        </is>
      </c>
      <c r="Q191" s="8" t="inlineStr">
        <is>
          <t>Ver</t>
        </is>
      </c>
      <c r="R191" s="8" t="inlineStr">
        <is>
          <t>PCAP</t>
        </is>
      </c>
      <c r="S191" s="9" t="n">
        <v>46310</v>
      </c>
      <c r="T191" s="3" t="n">
        <v>46309.3828587963</v>
      </c>
      <c r="U191" s="2" t="n"/>
    </row>
    <row r="192">
      <c r="A192" s="2" t="inlineStr">
        <is>
          <t>Pendiente de adjudicación</t>
        </is>
      </c>
      <c r="B192" s="3" t="n">
        <v>46308.41666666666</v>
      </c>
      <c r="C192" s="5" t="n">
        <v>87292.85000000001</v>
      </c>
      <c r="D192" s="5" t="n">
        <v>87292.85000000001</v>
      </c>
      <c r="E192" s="2" t="inlineStr">
        <is>
          <t>Andalucía</t>
        </is>
      </c>
      <c r="F192" s="2" t="inlineStr">
        <is>
          <t>Sevilla</t>
        </is>
      </c>
      <c r="G192" s="2" t="inlineStr">
        <is>
          <t>Sevilla</t>
        </is>
      </c>
      <c r="H192" s="2" t="inlineStr">
        <is>
          <t>Jefatura de la Sección Económico Administrativa 12 - Agrupación del Acuartelamiento Aéreo Tablada</t>
        </is>
      </c>
      <c r="I192" s="2" t="inlineStr">
        <is>
          <t>Obra de adecuación de cubierta en el Edificio de la Asesoría Jurídica del ACAR Tablada</t>
        </is>
      </c>
      <c r="J192" s="2" t="inlineStr">
        <is>
          <t>2026/EA12/00001225E</t>
        </is>
      </c>
      <c r="K192" s="2" t="inlineStr">
        <is>
          <t>Abierto simplificado</t>
        </is>
      </c>
      <c r="L192" s="6" t="n">
        <v>3</v>
      </c>
      <c r="M192" s="2" t="n"/>
      <c r="N192" s="7" t="n">
        <v>0</v>
      </c>
      <c r="O192" s="4" t="n"/>
      <c r="P192" s="2" t="inlineStr">
        <is>
          <t>45261220</t>
        </is>
      </c>
      <c r="Q192" s="8" t="inlineStr">
        <is>
          <t>Ver</t>
        </is>
      </c>
      <c r="R192" s="8" t="inlineStr">
        <is>
          <t>PCAP</t>
        </is>
      </c>
      <c r="S192" s="9" t="n">
        <v>46310</v>
      </c>
      <c r="T192" s="3" t="n">
        <v>46309.38267361111</v>
      </c>
      <c r="U192" s="2" t="n"/>
    </row>
    <row r="193">
      <c r="A193" s="2" t="inlineStr">
        <is>
          <t>En plazo</t>
        </is>
      </c>
      <c r="B193" s="3" t="n">
        <v>46330.79166666666</v>
      </c>
      <c r="C193" s="5" t="n">
        <v>407483.45</v>
      </c>
      <c r="D193" s="5" t="n">
        <v>407483.45</v>
      </c>
      <c r="E193" s="2" t="inlineStr">
        <is>
          <t>Comunitat Valenciana</t>
        </is>
      </c>
      <c r="F193" s="2" t="inlineStr">
        <is>
          <t>Castellón</t>
        </is>
      </c>
      <c r="G193" s="2" t="inlineStr">
        <is>
          <t>Segorbe</t>
        </is>
      </c>
      <c r="H193" s="2" t="inlineStr">
        <is>
          <t>Dirección Territorial de Educación y Universidades de Castellón</t>
        </is>
      </c>
      <c r="I193" s="2" t="inlineStr">
        <is>
          <t>Obra mayor de transformación de los espacios de trinquete y galotxeta en aulas taller en el IES Alto Palancia de Segorbe</t>
        </is>
      </c>
      <c r="J193" s="2" t="inlineStr">
        <is>
          <t>CMAYOR/2026/39Y14/0001</t>
        </is>
      </c>
      <c r="K193" s="2" t="inlineStr">
        <is>
          <t>Abierto simplificado</t>
        </is>
      </c>
      <c r="L193" s="6" t="n">
        <v>4</v>
      </c>
      <c r="M193" s="2" t="n"/>
      <c r="N193" s="7" t="n">
        <v>0</v>
      </c>
      <c r="O193" s="4" t="n"/>
      <c r="P193" s="2" t="inlineStr">
        <is>
          <t>45214220; 45000000</t>
        </is>
      </c>
      <c r="Q193" s="8" t="inlineStr">
        <is>
          <t>Ver</t>
        </is>
      </c>
      <c r="R193" s="8" t="inlineStr">
        <is>
          <t>PCAP</t>
        </is>
      </c>
      <c r="S193" s="9" t="n">
        <v>46310</v>
      </c>
      <c r="T193" s="3" t="n">
        <v>46309.38189814815</v>
      </c>
      <c r="U193" s="2" t="n"/>
    </row>
    <row r="194">
      <c r="A194" s="2" t="inlineStr">
        <is>
          <t>Pendiente de adjudicación</t>
        </is>
      </c>
      <c r="B194" s="3" t="n">
        <v>46296.99930555555</v>
      </c>
      <c r="C194" s="5" t="n">
        <v>223140.5</v>
      </c>
      <c r="D194" s="5" t="n">
        <v>223140.5</v>
      </c>
      <c r="E194" s="2" t="inlineStr">
        <is>
          <t>Comunitat Valenciana</t>
        </is>
      </c>
      <c r="F194" s="2" t="inlineStr">
        <is>
          <t>Valencia</t>
        </is>
      </c>
      <c r="G194" s="2" t="inlineStr">
        <is>
          <t>Almàssera</t>
        </is>
      </c>
      <c r="H194" s="2" t="inlineStr">
        <is>
          <t>Junta de Gobierno del Ayuntamiento de Almàssera</t>
        </is>
      </c>
      <c r="I194" s="2" t="inlineStr">
        <is>
          <t>Obra reurbanización C. Maestro Serrano de Almàssera (Pla Obert de la Diputació)</t>
        </is>
      </c>
      <c r="J194" s="2" t="inlineStr">
        <is>
          <t>3965/2026</t>
        </is>
      </c>
      <c r="K194" s="2" t="inlineStr">
        <is>
          <t>Abierto simplificado</t>
        </is>
      </c>
      <c r="L194" s="6" t="n">
        <v>3</v>
      </c>
      <c r="M194" s="2" t="n"/>
      <c r="N194" s="7" t="n">
        <v>0</v>
      </c>
      <c r="O194" s="4" t="n"/>
      <c r="P194" s="2" t="inlineStr">
        <is>
          <t>45233252</t>
        </is>
      </c>
      <c r="Q194" s="8" t="inlineStr">
        <is>
          <t>Ver</t>
        </is>
      </c>
      <c r="R194" s="8" t="inlineStr">
        <is>
          <t>PCAP</t>
        </is>
      </c>
      <c r="S194" s="9" t="n">
        <v>46310</v>
      </c>
      <c r="T194" s="3" t="n">
        <v>46309.38119212963</v>
      </c>
      <c r="U194" s="2" t="n"/>
    </row>
    <row r="195">
      <c r="A195" s="2" t="inlineStr">
        <is>
          <t>En plazo</t>
        </is>
      </c>
      <c r="B195" s="3" t="n">
        <v>46337.99930555555</v>
      </c>
      <c r="C195" s="5" t="n">
        <v>99173.55</v>
      </c>
      <c r="D195" s="5" t="n">
        <v>99173.55</v>
      </c>
      <c r="E195" s="2" t="inlineStr">
        <is>
          <t>Andalucía</t>
        </is>
      </c>
      <c r="F195" s="2" t="inlineStr">
        <is>
          <t>Granada</t>
        </is>
      </c>
      <c r="G195" s="2" t="n"/>
      <c r="H195" s="2" t="inlineStr">
        <is>
          <t>Junta de Gobierno Local del Ayuntamiento de la Villa de Otura</t>
        </is>
      </c>
      <c r="I19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95" s="2" t="inlineStr">
        <is>
          <t>3481/2026</t>
        </is>
      </c>
      <c r="K195" s="2" t="inlineStr">
        <is>
          <t>Abierto simplificado</t>
        </is>
      </c>
      <c r="L195" s="6" t="n">
        <v>3</v>
      </c>
      <c r="M195" s="2" t="n"/>
      <c r="N195" s="7" t="n">
        <v>0.25</v>
      </c>
      <c r="O195" s="4" t="n"/>
      <c r="P195" s="2" t="inlineStr">
        <is>
          <t>45220000</t>
        </is>
      </c>
      <c r="Q195" s="8" t="inlineStr">
        <is>
          <t>Ver</t>
        </is>
      </c>
      <c r="R195" s="8" t="inlineStr">
        <is>
          <t>PCAP</t>
        </is>
      </c>
      <c r="S195" s="9" t="n">
        <v>46310</v>
      </c>
      <c r="T195" s="3" t="n">
        <v>46309.38070601852</v>
      </c>
      <c r="U195" s="2" t="n"/>
    </row>
    <row r="196">
      <c r="A196" s="2" t="inlineStr">
        <is>
          <t>Pendiente de adjudicación</t>
        </is>
      </c>
      <c r="B196" s="3" t="n">
        <v>46232.99930555555</v>
      </c>
      <c r="C196" s="5" t="n">
        <v>408925.62</v>
      </c>
      <c r="D196" s="5" t="n">
        <v>408925.62</v>
      </c>
      <c r="E196" s="2" t="inlineStr">
        <is>
          <t>Andalucía</t>
        </is>
      </c>
      <c r="F196" s="2" t="inlineStr">
        <is>
          <t>Almería</t>
        </is>
      </c>
      <c r="G196" s="2" t="n"/>
      <c r="H196" s="2" t="inlineStr">
        <is>
          <t>Junta de Gobierno de la Diputación Provincial de Almería</t>
        </is>
      </c>
      <c r="I196" s="2" t="inlineStr">
        <is>
          <t>Mejoras En El Abastecimiento Y Alcantarillado En Rioja 78PPOS24-27BI</t>
        </is>
      </c>
      <c r="J196" s="2" t="inlineStr">
        <is>
          <t>2025/D31000/006-013/00136</t>
        </is>
      </c>
      <c r="K196" s="2" t="inlineStr">
        <is>
          <t>Abierto simplificado</t>
        </is>
      </c>
      <c r="L196" s="6" t="n">
        <v>8</v>
      </c>
      <c r="M196" s="2" t="n"/>
      <c r="N196" s="7" t="n">
        <v>0.25</v>
      </c>
      <c r="O196" s="4" t="n"/>
      <c r="P196" s="2" t="inlineStr">
        <is>
          <t>45231300</t>
        </is>
      </c>
      <c r="Q196" s="8" t="inlineStr">
        <is>
          <t>Ver</t>
        </is>
      </c>
      <c r="R196" s="8" t="inlineStr">
        <is>
          <t>PCAP</t>
        </is>
      </c>
      <c r="S196" s="9" t="n">
        <v>46310</v>
      </c>
      <c r="T196" s="3" t="n">
        <v>46309.38025462963</v>
      </c>
      <c r="U196" s="2" t="n"/>
    </row>
    <row r="197">
      <c r="A197" s="2" t="inlineStr">
        <is>
          <t>Resuelta</t>
        </is>
      </c>
      <c r="B197" s="3" t="n">
        <v>44207.99930555555</v>
      </c>
      <c r="C197" s="5" t="n">
        <v>1829848.3</v>
      </c>
      <c r="D197" s="5" t="n">
        <v>1829848.3</v>
      </c>
      <c r="E197" s="2" t="inlineStr">
        <is>
          <t>Comunitat Valenciana</t>
        </is>
      </c>
      <c r="F197" s="2" t="inlineStr">
        <is>
          <t>Valencia</t>
        </is>
      </c>
      <c r="G197" s="2" t="n"/>
      <c r="H197" s="2" t="inlineStr">
        <is>
          <t>Junta de Gobierno del Ajuntament de València</t>
        </is>
      </c>
      <c r="I197" s="2" t="inlineStr">
        <is>
          <t>Obras de ejecución de alcantarillado en la zona del camino Tremolar, camino Alter y entorno carretera de La Font de Masiá, de Castellar, dividido en tres lotes.-</t>
        </is>
      </c>
      <c r="J197" s="2" t="inlineStr">
        <is>
          <t>04101/2020/219-O</t>
        </is>
      </c>
      <c r="K197" s="2" t="inlineStr">
        <is>
          <t>Abierto simplificado</t>
        </is>
      </c>
      <c r="L197" s="6" t="n">
        <v>8</v>
      </c>
      <c r="M197" s="2" t="n"/>
      <c r="N197" s="7" t="n">
        <v>0</v>
      </c>
      <c r="O197" s="4" t="n">
        <v>3</v>
      </c>
      <c r="P197" s="2" t="inlineStr">
        <is>
          <t>45232400</t>
        </is>
      </c>
      <c r="Q197" s="8" t="inlineStr">
        <is>
          <t>Ver</t>
        </is>
      </c>
      <c r="R197" s="8" t="inlineStr">
        <is>
          <t>PCAP</t>
        </is>
      </c>
      <c r="S197" s="9" t="n">
        <v>46310</v>
      </c>
      <c r="T197" s="3" t="n">
        <v>46309.37738425926</v>
      </c>
      <c r="U197" s="2" t="n"/>
    </row>
    <row r="198">
      <c r="A198" s="2" t="inlineStr">
        <is>
          <t>Resuelta</t>
        </is>
      </c>
      <c r="B198" s="3" t="n">
        <v>46274.36111111111</v>
      </c>
      <c r="C198" s="5" t="n">
        <v>778701.17</v>
      </c>
      <c r="D198" s="5" t="n">
        <v>778701.17</v>
      </c>
      <c r="E198" s="2" t="inlineStr">
        <is>
          <t>Andalucía</t>
        </is>
      </c>
      <c r="F198" s="2" t="inlineStr">
        <is>
          <t>Jaén</t>
        </is>
      </c>
      <c r="G198" s="2" t="n"/>
      <c r="H198" s="2" t="inlineStr">
        <is>
          <t>Alcaldía del Ayuntamiento de Baños de la Encina</t>
        </is>
      </c>
      <c r="I198" s="2" t="inlineStr">
        <is>
          <t>Actuación de emergencia para la consolidación estructuras en torres y lienzos del Castillo de Baños de la Encina, especificamente en los sectrores delimitados como L3-4/ T4/ L4-5/L7-8/T8/L8-9</t>
        </is>
      </c>
      <c r="J198" s="2" t="inlineStr">
        <is>
          <t>1189/2026</t>
        </is>
      </c>
      <c r="K198" s="2" t="inlineStr">
        <is>
          <t>Negociado sin publicidad</t>
        </is>
      </c>
      <c r="L198" s="6" t="n">
        <v>12</v>
      </c>
      <c r="M198" s="2" t="n"/>
      <c r="N198" s="7" t="n"/>
      <c r="O198" s="4" t="n"/>
      <c r="P198" s="2" t="inlineStr">
        <is>
          <t>45212300; 45212350</t>
        </is>
      </c>
      <c r="Q198" s="8" t="inlineStr">
        <is>
          <t>Ver</t>
        </is>
      </c>
      <c r="R198" s="2" t="n"/>
      <c r="S198" s="9" t="n">
        <v>46310</v>
      </c>
      <c r="T198" s="3" t="n">
        <v>46309.37482638889</v>
      </c>
      <c r="U198" s="2" t="n"/>
    </row>
    <row r="199">
      <c r="A199" s="2" t="inlineStr">
        <is>
          <t>Resuelta</t>
        </is>
      </c>
      <c r="B199" s="3" t="n">
        <v>46122.99930555555</v>
      </c>
      <c r="C199" s="5" t="n">
        <v>73744.50999999999</v>
      </c>
      <c r="D199" s="5" t="n">
        <v>73744.50999999999</v>
      </c>
      <c r="E199" s="2" t="inlineStr">
        <is>
          <t>Andalucía</t>
        </is>
      </c>
      <c r="F199" s="2" t="inlineStr">
        <is>
          <t>Almería</t>
        </is>
      </c>
      <c r="G199" s="2" t="inlineStr">
        <is>
          <t>turre</t>
        </is>
      </c>
      <c r="H199" s="2" t="inlineStr">
        <is>
          <t>Presidencia de la Mancomunidad de municipios del Levante Almeriense</t>
        </is>
      </c>
      <c r="I19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99" s="2" t="inlineStr">
        <is>
          <t>46/2026</t>
        </is>
      </c>
      <c r="K199" s="2" t="inlineStr">
        <is>
          <t>Negociado sin publicidad</t>
        </is>
      </c>
      <c r="L199" s="6" t="n">
        <v>1.2</v>
      </c>
      <c r="M199" s="2" t="n"/>
      <c r="N199" s="7" t="n">
        <v>0</v>
      </c>
      <c r="O199" s="4" t="n"/>
      <c r="P199" s="2" t="inlineStr">
        <is>
          <t>45240000; 45248200; 45246000</t>
        </is>
      </c>
      <c r="Q199" s="8" t="inlineStr">
        <is>
          <t>Ver</t>
        </is>
      </c>
      <c r="R199" s="8" t="inlineStr">
        <is>
          <t>PCAP</t>
        </is>
      </c>
      <c r="S199" s="9" t="n">
        <v>46310</v>
      </c>
      <c r="T199" s="3" t="n">
        <v>46309.37210648148</v>
      </c>
      <c r="U199" s="2" t="n"/>
    </row>
    <row r="200">
      <c r="A200" s="2" t="inlineStr">
        <is>
          <t>En plazo</t>
        </is>
      </c>
      <c r="B200" s="3" t="n">
        <v>46329.99930555555</v>
      </c>
      <c r="C200" s="5" t="n">
        <v>447072.03</v>
      </c>
      <c r="D200" s="5" t="n">
        <v>491779.23</v>
      </c>
      <c r="E200" s="2" t="inlineStr">
        <is>
          <t>Andalucía</t>
        </is>
      </c>
      <c r="F200" s="2" t="inlineStr">
        <is>
          <t>Sevilla</t>
        </is>
      </c>
      <c r="G200" s="2" t="n"/>
      <c r="H200" s="2" t="inlineStr">
        <is>
          <t>Gerencia de Sevilla Activa SAU</t>
        </is>
      </c>
      <c r="I200" s="2" t="inlineStr">
        <is>
          <t>Obras de mejoras funcionales de sendas peatonales y espacios anejos en el entorno del encauzamiento del río Guadaíra en el Cortijo de Cuarto</t>
        </is>
      </c>
      <c r="J200" s="2" t="inlineStr">
        <is>
          <t>A41420191-2026/000090-PaAS</t>
        </is>
      </c>
      <c r="K200" s="2" t="inlineStr">
        <is>
          <t>Abierto simplificado</t>
        </is>
      </c>
      <c r="L200" s="6" t="n">
        <v>4</v>
      </c>
      <c r="M200" s="2" t="n"/>
      <c r="N200" s="7" t="n">
        <v>0</v>
      </c>
      <c r="O200" s="4" t="n"/>
      <c r="P200" s="2" t="inlineStr">
        <is>
          <t>45233161</t>
        </is>
      </c>
      <c r="Q200" s="8" t="inlineStr">
        <is>
          <t>Ver</t>
        </is>
      </c>
      <c r="R200" s="8" t="inlineStr">
        <is>
          <t>PCAP</t>
        </is>
      </c>
      <c r="S200" s="9" t="n">
        <v>46310</v>
      </c>
      <c r="T200" s="3" t="n">
        <v>46309.37024305556</v>
      </c>
      <c r="U200" s="2" t="n"/>
    </row>
    <row r="201">
      <c r="A201" s="2" t="inlineStr">
        <is>
          <t>En plazo</t>
        </is>
      </c>
      <c r="B201" s="3" t="n">
        <v>46335.99930555555</v>
      </c>
      <c r="C201" s="5" t="n">
        <v>4566296.26</v>
      </c>
      <c r="D201" s="5" t="n">
        <v>4566296.26</v>
      </c>
      <c r="E201" s="2" t="inlineStr">
        <is>
          <t>Andalucía</t>
        </is>
      </c>
      <c r="F201" s="2" t="inlineStr">
        <is>
          <t>Granada</t>
        </is>
      </c>
      <c r="G201" s="2" t="inlineStr">
        <is>
          <t>OGIJARES</t>
        </is>
      </c>
      <c r="H201" s="2" t="inlineStr">
        <is>
          <t>Presidencia de la Diputación Provincial de Granada</t>
        </is>
      </c>
      <c r="I201" s="2" t="inlineStr">
        <is>
          <t>Refundido final urbanización del Plan Especial "La Aurora" en Ogíjares.</t>
        </is>
      </c>
      <c r="J201" s="2" t="inlineStr">
        <is>
          <t>OB-037/26</t>
        </is>
      </c>
      <c r="K201" s="2" t="inlineStr">
        <is>
          <t>Abierto</t>
        </is>
      </c>
      <c r="L201" s="6" t="n">
        <v>18</v>
      </c>
      <c r="M201" s="2" t="inlineStr">
        <is>
          <t>I9-4; G6-5; E7-5</t>
        </is>
      </c>
      <c r="N201" s="7" t="n">
        <v>0</v>
      </c>
      <c r="O201" s="4" t="n"/>
      <c r="P201" s="2" t="inlineStr">
        <is>
          <t>45220000; 45233140; 45232200; 45233252; 45232150; 45232410; 45316110</t>
        </is>
      </c>
      <c r="Q201" s="8" t="inlineStr">
        <is>
          <t>Ver</t>
        </is>
      </c>
      <c r="R201" s="8" t="inlineStr">
        <is>
          <t>PCAP</t>
        </is>
      </c>
      <c r="S201" s="9" t="n">
        <v>46310</v>
      </c>
      <c r="T201" s="3" t="n">
        <v>46309.36831018519</v>
      </c>
      <c r="U201" s="2" t="n"/>
    </row>
    <row r="202">
      <c r="A202" s="2" t="inlineStr">
        <is>
          <t>Pendiente de adjudicación</t>
        </is>
      </c>
      <c r="B202" s="3" t="n">
        <v>46304.99930555555</v>
      </c>
      <c r="C202" s="5" t="n">
        <v>449000</v>
      </c>
      <c r="D202" s="5" t="n">
        <v>449000</v>
      </c>
      <c r="E202" s="2" t="inlineStr">
        <is>
          <t>Andalucía</t>
        </is>
      </c>
      <c r="F202" s="2" t="inlineStr">
        <is>
          <t>Málaga</t>
        </is>
      </c>
      <c r="G202" s="2" t="inlineStr">
        <is>
          <t>Marbella (Málaga).</t>
        </is>
      </c>
      <c r="H202" s="2" t="inlineStr">
        <is>
          <t>Consejería delegada de ACOSOL, S.A.U.</t>
        </is>
      </c>
      <c r="I202" s="2" t="inlineStr">
        <is>
          <t>Contratación de la Obra de adecuación, renovación y puesta en servicio de instalaciones eléctricas de media y baja tensión en instalaciones gestionadas por ACOSOL, S.A.- ACTUACIÓN PARA LA ADECUACIÓN ELÉCTRICA EBAR LA VÍBORA.</t>
        </is>
      </c>
      <c r="J202" s="2" t="inlineStr">
        <is>
          <t>70-26 (5308)</t>
        </is>
      </c>
      <c r="K202" s="2" t="inlineStr">
        <is>
          <t>Abierto</t>
        </is>
      </c>
      <c r="L202" s="6" t="n">
        <v>9</v>
      </c>
      <c r="M202" s="2" t="n"/>
      <c r="N202" s="7" t="n">
        <v>0.49</v>
      </c>
      <c r="O202" s="4" t="n"/>
      <c r="P202" s="2" t="inlineStr">
        <is>
          <t>45310000; 71310000; 45317000; 45252100; 71320000</t>
        </is>
      </c>
      <c r="Q202" s="8" t="inlineStr">
        <is>
          <t>Ver</t>
        </is>
      </c>
      <c r="R202" s="8" t="inlineStr">
        <is>
          <t>PCAP</t>
        </is>
      </c>
      <c r="S202" s="9" t="n">
        <v>46310</v>
      </c>
      <c r="T202" s="3" t="n">
        <v>46309.3669212963</v>
      </c>
      <c r="U202" s="2" t="n"/>
    </row>
    <row r="203">
      <c r="A203" s="2" t="inlineStr">
        <is>
          <t>Pendiente de adjudicación</t>
        </is>
      </c>
      <c r="B203" s="3" t="n">
        <v>46210.58333333334</v>
      </c>
      <c r="C203" s="5" t="n">
        <v>516286.11</v>
      </c>
      <c r="D203" s="5" t="n">
        <v>516286.11</v>
      </c>
      <c r="E203" s="2" t="inlineStr">
        <is>
          <t>Comunitat Valenciana</t>
        </is>
      </c>
      <c r="F203" s="2" t="inlineStr">
        <is>
          <t>Valencia</t>
        </is>
      </c>
      <c r="G203" s="2" t="n"/>
      <c r="H203" s="2" t="inlineStr">
        <is>
          <t>Junta de Gobierno del Ayuntamiento de El Puig de Santa María</t>
        </is>
      </c>
      <c r="I203" s="2" t="inlineStr">
        <is>
          <t>Contrato de obra de reforma del CEIP Pare Jofre</t>
        </is>
      </c>
      <c r="J203" s="2" t="inlineStr">
        <is>
          <t>2865889C</t>
        </is>
      </c>
      <c r="K203" s="2" t="inlineStr">
        <is>
          <t>Abierto simplificado</t>
        </is>
      </c>
      <c r="L203" s="6" t="n">
        <v>5</v>
      </c>
      <c r="M203" s="2" t="n"/>
      <c r="N203" s="7" t="n">
        <v>0</v>
      </c>
      <c r="O203" s="4" t="n"/>
      <c r="P203" s="2" t="inlineStr">
        <is>
          <t>45214200; 45310000; 45421160; 44620000</t>
        </is>
      </c>
      <c r="Q203" s="8" t="inlineStr">
        <is>
          <t>Ver</t>
        </is>
      </c>
      <c r="R203" s="8" t="inlineStr">
        <is>
          <t>PCAP</t>
        </is>
      </c>
      <c r="S203" s="9" t="n">
        <v>46310</v>
      </c>
      <c r="T203" s="3" t="n">
        <v>46309.36381944444</v>
      </c>
      <c r="U203" s="2" t="n"/>
    </row>
    <row r="204">
      <c r="A204" s="2" t="inlineStr">
        <is>
          <t>Adjudicada</t>
        </is>
      </c>
      <c r="B204" s="3" t="n">
        <v>46288.99930555555</v>
      </c>
      <c r="C204" s="5" t="n">
        <v>10886</v>
      </c>
      <c r="D204" s="5" t="n">
        <v>10886</v>
      </c>
      <c r="E204" s="2" t="inlineStr">
        <is>
          <t>Comunitat Valenciana</t>
        </is>
      </c>
      <c r="F204" s="2" t="inlineStr">
        <is>
          <t>Valencia</t>
        </is>
      </c>
      <c r="G204" s="2" t="n"/>
      <c r="H204" s="2" t="inlineStr">
        <is>
          <t>Sexta Zona de la Guardia Civil en la Comunidad Valenciana</t>
        </is>
      </c>
      <c r="I204" s="2" t="inlineStr">
        <is>
          <t>Compartimentar garaje Acuartelamiento de la 6ª Zona en cumplimiento de las recomendaciones elaboradas por la Unidad de Prevención de Riesgos Laborales sobre prevención de Incendios.</t>
        </is>
      </c>
      <c r="J204" s="2" t="inlineStr">
        <is>
          <t>P/0158/Y/26/6</t>
        </is>
      </c>
      <c r="K204" s="2" t="inlineStr">
        <is>
          <t>Abierto simplificado</t>
        </is>
      </c>
      <c r="L204" s="6" t="n">
        <v>1</v>
      </c>
      <c r="M204" s="2" t="n"/>
      <c r="N204" s="7" t="n">
        <v>0</v>
      </c>
      <c r="O204" s="4" t="n"/>
      <c r="P204" s="2" t="inlineStr">
        <is>
          <t>45000000</t>
        </is>
      </c>
      <c r="Q204" s="8" t="inlineStr">
        <is>
          <t>Ver</t>
        </is>
      </c>
      <c r="R204" s="8" t="inlineStr">
        <is>
          <t>PCAP</t>
        </is>
      </c>
      <c r="S204" s="9" t="n">
        <v>46310</v>
      </c>
      <c r="T204" s="3" t="n">
        <v>46309.35890046296</v>
      </c>
      <c r="U204" s="2" t="n"/>
    </row>
    <row r="205">
      <c r="A205" s="2" t="inlineStr">
        <is>
          <t>Pendiente de adjudicación</t>
        </is>
      </c>
      <c r="B205" s="3" t="n">
        <v>46293.99930555555</v>
      </c>
      <c r="C205" s="5" t="n">
        <v>152179.91</v>
      </c>
      <c r="D205" s="5" t="n">
        <v>152179.91</v>
      </c>
      <c r="E205" s="2" t="inlineStr">
        <is>
          <t>Comunitat Valenciana</t>
        </is>
      </c>
      <c r="F205" s="2" t="inlineStr">
        <is>
          <t>Alicante</t>
        </is>
      </c>
      <c r="G205" s="2" t="inlineStr">
        <is>
          <t>Novelda</t>
        </is>
      </c>
      <c r="H205" s="2" t="inlineStr">
        <is>
          <t>Junta de Gobierno del Ayuntamiento de Novelda</t>
        </is>
      </c>
      <c r="I205" s="2" t="inlineStr">
        <is>
          <t>Rehabilitación y Adecuación de la Ermita Sant Felip como Sala Polivalente de Usos Culturales en el Municipio de Novelda</t>
        </is>
      </c>
      <c r="J205" s="2" t="inlineStr">
        <is>
          <t>2026/3938H</t>
        </is>
      </c>
      <c r="K205" s="2" t="inlineStr">
        <is>
          <t>Abierto simplificado</t>
        </is>
      </c>
      <c r="L205" s="6" t="n">
        <v>5</v>
      </c>
      <c r="M205" s="2" t="n"/>
      <c r="N205" s="7" t="n">
        <v>0</v>
      </c>
      <c r="O205" s="4" t="n"/>
      <c r="P205" s="2" t="inlineStr">
        <is>
          <t>45212350</t>
        </is>
      </c>
      <c r="Q205" s="8" t="inlineStr">
        <is>
          <t>Ver</t>
        </is>
      </c>
      <c r="R205" s="8" t="inlineStr">
        <is>
          <t>PCAP</t>
        </is>
      </c>
      <c r="S205" s="9" t="n">
        <v>46310</v>
      </c>
      <c r="T205" s="3" t="n">
        <v>46309.35881944445</v>
      </c>
      <c r="U205" s="2" t="n"/>
    </row>
    <row r="206">
      <c r="A206" s="2" t="inlineStr">
        <is>
          <t>Adjudicada</t>
        </is>
      </c>
      <c r="B206" s="3" t="n">
        <v>46289.79166666666</v>
      </c>
      <c r="C206" s="5" t="n">
        <v>62571.33</v>
      </c>
      <c r="D206" s="5" t="n">
        <v>62571.33</v>
      </c>
      <c r="E206" s="2" t="inlineStr">
        <is>
          <t>Andalucía</t>
        </is>
      </c>
      <c r="F206" s="2" t="inlineStr">
        <is>
          <t>Córdoba</t>
        </is>
      </c>
      <c r="G206" s="2" t="inlineStr">
        <is>
          <t>Monturque</t>
        </is>
      </c>
      <c r="H206" s="2" t="inlineStr">
        <is>
          <t>Junta de Gobierno Local de Ayuntamiento de Monturque</t>
        </is>
      </c>
      <c r="I206" s="2" t="inlineStr">
        <is>
          <t>Reparación daños por tormentas y vientos en Mercado Municipal de Monturque.</t>
        </is>
      </c>
      <c r="J206" s="2" t="inlineStr">
        <is>
          <t>GEX 2026/2580</t>
        </is>
      </c>
      <c r="K206" s="2" t="inlineStr">
        <is>
          <t>Abierto simplificado</t>
        </is>
      </c>
      <c r="L206" s="6" t="n">
        <v>2</v>
      </c>
      <c r="M206" s="2" t="n"/>
      <c r="N206" s="7" t="n">
        <v>0</v>
      </c>
      <c r="O206" s="4" t="n"/>
      <c r="P206" s="2" t="inlineStr">
        <is>
          <t>45261420; 45262500; 45261910</t>
        </is>
      </c>
      <c r="Q206" s="8" t="inlineStr">
        <is>
          <t>Ver</t>
        </is>
      </c>
      <c r="R206" s="8" t="inlineStr">
        <is>
          <t>PCAP</t>
        </is>
      </c>
      <c r="S206" s="9" t="n">
        <v>46310</v>
      </c>
      <c r="T206" s="3" t="n">
        <v>46309.34650462963</v>
      </c>
      <c r="U206" s="2" t="n"/>
    </row>
    <row r="207">
      <c r="A207" s="2" t="inlineStr">
        <is>
          <t>En plazo</t>
        </is>
      </c>
      <c r="B207" s="3" t="n">
        <v>46310.99930555555</v>
      </c>
      <c r="C207" s="5" t="n">
        <v>743801.65</v>
      </c>
      <c r="D207" s="5" t="n">
        <v>743801.65</v>
      </c>
      <c r="E207" s="2" t="inlineStr">
        <is>
          <t>Andalucía</t>
        </is>
      </c>
      <c r="F207" s="2" t="inlineStr">
        <is>
          <t>Sevilla</t>
        </is>
      </c>
      <c r="G207" s="2" t="n"/>
      <c r="H207" s="2" t="inlineStr">
        <is>
          <t>Alcaldía del Ayuntamiento de El Viso del Alcor</t>
        </is>
      </c>
      <c r="I207" s="2" t="inlineStr">
        <is>
          <t>Obra de reforma de Pabellón Deportivo y ampliación del Gimnasio Santa Lucía</t>
        </is>
      </c>
      <c r="J207" s="2" t="inlineStr">
        <is>
          <t>4546/2026</t>
        </is>
      </c>
      <c r="K207" s="2" t="inlineStr">
        <is>
          <t>Abierto simplificado</t>
        </is>
      </c>
      <c r="L207" s="6" t="n">
        <v>9</v>
      </c>
      <c r="M207" s="2" t="inlineStr">
        <is>
          <t>C*-3</t>
        </is>
      </c>
      <c r="N207" s="7" t="n">
        <v>0</v>
      </c>
      <c r="O207" s="4" t="n"/>
      <c r="P207" s="2" t="inlineStr">
        <is>
          <t>45210000</t>
        </is>
      </c>
      <c r="Q207" s="8" t="inlineStr">
        <is>
          <t>Ver</t>
        </is>
      </c>
      <c r="R207" s="8" t="inlineStr">
        <is>
          <t>PCAP</t>
        </is>
      </c>
      <c r="S207" s="9" t="n">
        <v>46310</v>
      </c>
      <c r="T207" s="3" t="n">
        <v>46309.34126157407</v>
      </c>
      <c r="U207" s="2" t="n"/>
    </row>
    <row r="208">
      <c r="A208" s="2" t="inlineStr">
        <is>
          <t>Resuelta</t>
        </is>
      </c>
      <c r="B208" s="3" t="n">
        <v>46274.58333333334</v>
      </c>
      <c r="C208" s="5" t="n">
        <v>142620.74</v>
      </c>
      <c r="D208" s="5" t="n">
        <v>142620.74</v>
      </c>
      <c r="E208" s="2" t="inlineStr">
        <is>
          <t>Comunitat Valenciana</t>
        </is>
      </c>
      <c r="F208" s="2" t="inlineStr">
        <is>
          <t>Valencia</t>
        </is>
      </c>
      <c r="G208" s="2" t="inlineStr">
        <is>
          <t>ALFAFAR</t>
        </is>
      </c>
      <c r="H208" s="2" t="inlineStr">
        <is>
          <t>Alcaldía del Ayuntamiento de Alfafar</t>
        </is>
      </c>
      <c r="I208" s="2" t="inlineStr">
        <is>
          <t>Obra Reconstruccion Centro Andaluz Barrio Orba Alfafar Ayuda Estatal Orden Minisiterial TMD 101 20256 DANA 29 octubre 2024</t>
        </is>
      </c>
      <c r="J208" s="2" t="inlineStr">
        <is>
          <t>5876-2026</t>
        </is>
      </c>
      <c r="K208" s="2" t="inlineStr">
        <is>
          <t>Abierto</t>
        </is>
      </c>
      <c r="L208" s="6" t="n">
        <v>5</v>
      </c>
      <c r="M208" s="2" t="n"/>
      <c r="N208" s="7" t="n">
        <v>0</v>
      </c>
      <c r="O208" s="4" t="n"/>
      <c r="P208" s="2" t="inlineStr">
        <is>
          <t>45000000; 45210000</t>
        </is>
      </c>
      <c r="Q208" s="8" t="inlineStr">
        <is>
          <t>Ver</t>
        </is>
      </c>
      <c r="R208" s="8" t="inlineStr">
        <is>
          <t>PCAP</t>
        </is>
      </c>
      <c r="S208" s="9" t="n">
        <v>46310</v>
      </c>
      <c r="T208" s="3" t="n">
        <v>46309.34042824074</v>
      </c>
      <c r="U208" s="2" t="n"/>
    </row>
    <row r="209">
      <c r="A209" s="2" t="inlineStr">
        <is>
          <t>Adjudicada</t>
        </is>
      </c>
      <c r="B209" s="3" t="n">
        <v>46276.625</v>
      </c>
      <c r="C209" s="5" t="n">
        <v>41314.03</v>
      </c>
      <c r="D209" s="5" t="n">
        <v>41314.03</v>
      </c>
      <c r="E209" s="2" t="inlineStr">
        <is>
          <t>Andalucía</t>
        </is>
      </c>
      <c r="F209" s="2" t="inlineStr">
        <is>
          <t>Cádiz</t>
        </is>
      </c>
      <c r="G209" s="2" t="inlineStr">
        <is>
          <t>TARIFA</t>
        </is>
      </c>
      <c r="H209" s="2" t="inlineStr">
        <is>
          <t>Alcaldía del Ayuntamiento de Tarifa</t>
        </is>
      </c>
      <c r="I209" s="2" t="inlineStr">
        <is>
          <t>reparación y acondicionamiento de las pistas exteriores en el pabellón municipal de La Raqueta de Tarifa</t>
        </is>
      </c>
      <c r="J209" s="2" t="inlineStr">
        <is>
          <t>2026/4084</t>
        </is>
      </c>
      <c r="K209" s="2" t="inlineStr">
        <is>
          <t>Abierto simplificado</t>
        </is>
      </c>
      <c r="L209" s="6" t="n">
        <v>0.7</v>
      </c>
      <c r="M209" s="2" t="n"/>
      <c r="N209" s="7" t="n">
        <v>0</v>
      </c>
      <c r="O209" s="4" t="n"/>
      <c r="P209" s="2" t="inlineStr">
        <is>
          <t>45212200; 45236112; 45236119</t>
        </is>
      </c>
      <c r="Q209" s="8" t="inlineStr">
        <is>
          <t>Ver</t>
        </is>
      </c>
      <c r="R209" s="8" t="inlineStr">
        <is>
          <t>PCAP</t>
        </is>
      </c>
      <c r="S209" s="9" t="n">
        <v>46310</v>
      </c>
      <c r="T209" s="3" t="n">
        <v>46309.34001157407</v>
      </c>
      <c r="U209" s="2" t="n"/>
    </row>
    <row r="210">
      <c r="A210" s="2" t="inlineStr">
        <is>
          <t>Resuelta</t>
        </is>
      </c>
      <c r="B210" s="3" t="n">
        <v>46195.99930555555</v>
      </c>
      <c r="C210" s="5" t="n">
        <v>4173471.5</v>
      </c>
      <c r="D210" s="5" t="n">
        <v>4590818.65</v>
      </c>
      <c r="E210" s="2" t="inlineStr">
        <is>
          <t>Comunitat Valenciana</t>
        </is>
      </c>
      <c r="F210" s="2" t="inlineStr">
        <is>
          <t>Castellón</t>
        </is>
      </c>
      <c r="G210" s="2" t="inlineStr">
        <is>
          <t>La Vall d'Uixó</t>
        </is>
      </c>
      <c r="H210" s="2" t="inlineStr">
        <is>
          <t>Junta de Gobierno del Ayuntamiento de La Vall d'Uixó</t>
        </is>
      </c>
      <c r="I210" s="2" t="inlineStr">
        <is>
          <t>Finalización de las obras de rehabilitación de la Casa Consistorial ( PIREP).</t>
        </is>
      </c>
      <c r="J210" s="2" t="inlineStr">
        <is>
          <t>JGL-OBR/2026000029</t>
        </is>
      </c>
      <c r="K210" s="2" t="inlineStr">
        <is>
          <t>Abierto</t>
        </is>
      </c>
      <c r="L210" s="6" t="n">
        <v>15</v>
      </c>
      <c r="M210" s="2" t="inlineStr">
        <is>
          <t>C*-5</t>
        </is>
      </c>
      <c r="N210" s="7" t="n">
        <v>0.45</v>
      </c>
      <c r="O210" s="4" t="n"/>
      <c r="P210" s="2" t="inlineStr">
        <is>
          <t>45000000; 45200000; 45210000</t>
        </is>
      </c>
      <c r="Q210" s="8" t="inlineStr">
        <is>
          <t>Ver</t>
        </is>
      </c>
      <c r="R210" s="8" t="inlineStr">
        <is>
          <t>PCAP</t>
        </is>
      </c>
      <c r="S210" s="9" t="n">
        <v>46310</v>
      </c>
      <c r="T210" s="3" t="n">
        <v>46309.33888888889</v>
      </c>
      <c r="U210" s="2" t="n"/>
    </row>
    <row r="211">
      <c r="A211" s="2" t="inlineStr">
        <is>
          <t>En plazo</t>
        </is>
      </c>
      <c r="B211" s="3" t="n">
        <v>46324.58333333334</v>
      </c>
      <c r="C211" s="5" t="n">
        <v>165289.26</v>
      </c>
      <c r="D211" s="5" t="n">
        <v>165289.26</v>
      </c>
      <c r="E211" s="2" t="inlineStr">
        <is>
          <t>Andalucía</t>
        </is>
      </c>
      <c r="F211" s="2" t="inlineStr">
        <is>
          <t>Jaén</t>
        </is>
      </c>
      <c r="G211" s="2" t="inlineStr">
        <is>
          <t>Andújar</t>
        </is>
      </c>
      <c r="H211" s="2" t="inlineStr">
        <is>
          <t>Alcaldía del Ayuntamiento de Andújar</t>
        </is>
      </c>
      <c r="I211" s="2" t="inlineStr">
        <is>
          <t>Obras de renovación del césped natural Estadio Sebastián García Laguna</t>
        </is>
      </c>
      <c r="J211" s="2" t="inlineStr">
        <is>
          <t>55/2026</t>
        </is>
      </c>
      <c r="K211" s="2" t="inlineStr">
        <is>
          <t>Abierto</t>
        </is>
      </c>
      <c r="L211" s="6" t="n">
        <v>2</v>
      </c>
      <c r="M211" s="2" t="inlineStr">
        <is>
          <t>K6-2</t>
        </is>
      </c>
      <c r="N211" s="7" t="n">
        <v>0</v>
      </c>
      <c r="O211" s="4" t="n"/>
      <c r="P211" s="2" t="inlineStr">
        <is>
          <t>45236119</t>
        </is>
      </c>
      <c r="Q211" s="8" t="inlineStr">
        <is>
          <t>Ver</t>
        </is>
      </c>
      <c r="R211" s="8" t="inlineStr">
        <is>
          <t>PCAP</t>
        </is>
      </c>
      <c r="S211" s="9" t="n">
        <v>46310</v>
      </c>
      <c r="T211" s="3" t="n">
        <v>46309.33865740741</v>
      </c>
      <c r="U211" s="2" t="n"/>
    </row>
    <row r="212">
      <c r="A212" s="2" t="inlineStr">
        <is>
          <t>Pendiente de adjudicación</t>
        </is>
      </c>
      <c r="B212" s="3" t="n">
        <v>46199.54166666666</v>
      </c>
      <c r="C212" s="5" t="n">
        <v>17861881.6</v>
      </c>
      <c r="D212" s="5" t="n">
        <v>20264351.38</v>
      </c>
      <c r="E212" s="2" t="inlineStr">
        <is>
          <t>Andalucía</t>
        </is>
      </c>
      <c r="F212" s="2" t="inlineStr">
        <is>
          <t>Málaga</t>
        </is>
      </c>
      <c r="G212" s="2" t="n"/>
      <c r="H212" s="2" t="inlineStr">
        <is>
          <t>ADIF -Consejo de Administración</t>
        </is>
      </c>
      <c r="I212" s="2" t="inlineStr">
        <is>
          <t>Ejecución de las obras del proyecto constructivo para la renovación de vía, actuaciones puntuales en infraestructura y adaptación de gálibo de pasos superiores del tramo Bobadilla – Ronda, pk 20+000 a pk 26+500 de la línea Bobadilla - Algeciras.</t>
        </is>
      </c>
      <c r="J212" s="2" t="inlineStr">
        <is>
          <t>3.25/27507.0263</t>
        </is>
      </c>
      <c r="K212" s="2" t="inlineStr">
        <is>
          <t>Abierto</t>
        </is>
      </c>
      <c r="L212" s="6" t="n">
        <v>13</v>
      </c>
      <c r="M212" s="2" t="inlineStr">
        <is>
          <t>D1-6; B2-6</t>
        </is>
      </c>
      <c r="N212" s="7" t="n">
        <v>0.49</v>
      </c>
      <c r="O212" s="4" t="n"/>
      <c r="P212" s="2" t="inlineStr">
        <is>
          <t>45234100</t>
        </is>
      </c>
      <c r="Q212" s="8" t="inlineStr">
        <is>
          <t>Ver</t>
        </is>
      </c>
      <c r="R212" s="8" t="inlineStr">
        <is>
          <t>PCAP</t>
        </is>
      </c>
      <c r="S212" s="9" t="n">
        <v>46310</v>
      </c>
      <c r="T212" s="3" t="n">
        <v>46309.33711805556</v>
      </c>
      <c r="U212" s="2" t="n"/>
    </row>
    <row r="213">
      <c r="A213" s="2" t="inlineStr">
        <is>
          <t>Pendiente de adjudicación</t>
        </is>
      </c>
      <c r="B213" s="3" t="n">
        <v>46279.99930555555</v>
      </c>
      <c r="C213" s="5" t="n">
        <v>45323.14</v>
      </c>
      <c r="D213" s="5" t="n">
        <v>45323.14</v>
      </c>
      <c r="E213" s="2" t="inlineStr">
        <is>
          <t>Comunitat Valenciana</t>
        </is>
      </c>
      <c r="F213" s="2" t="inlineStr">
        <is>
          <t>Castellón</t>
        </is>
      </c>
      <c r="G213" s="2" t="inlineStr">
        <is>
          <t>Benicàssim</t>
        </is>
      </c>
      <c r="H213" s="2" t="inlineStr">
        <is>
          <t>Alcaldía del Ayuntamiento de Benicàssim</t>
        </is>
      </c>
      <c r="I213"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213" s="2" t="inlineStr">
        <is>
          <t>17098/2026</t>
        </is>
      </c>
      <c r="K213" s="2" t="inlineStr">
        <is>
          <t>Abierto simplificado</t>
        </is>
      </c>
      <c r="L213" s="6" t="n">
        <v>3</v>
      </c>
      <c r="M213" s="2" t="n"/>
      <c r="N213" s="7" t="n">
        <v>0</v>
      </c>
      <c r="O213" s="4" t="n"/>
      <c r="P213" s="2" t="inlineStr">
        <is>
          <t>45430000; 45440000</t>
        </is>
      </c>
      <c r="Q213" s="8" t="inlineStr">
        <is>
          <t>Ver</t>
        </is>
      </c>
      <c r="R213" s="8" t="inlineStr">
        <is>
          <t>PCAP</t>
        </is>
      </c>
      <c r="S213" s="9" t="n">
        <v>46310</v>
      </c>
      <c r="T213" s="3" t="n">
        <v>46309.33541666667</v>
      </c>
      <c r="U213" s="2" t="n"/>
    </row>
    <row r="214">
      <c r="A214" s="2" t="inlineStr">
        <is>
          <t>Pendiente de adjudicación</t>
        </is>
      </c>
      <c r="B214" s="3" t="n">
        <v>46308.99930555555</v>
      </c>
      <c r="C214" s="5" t="n">
        <v>181862.68</v>
      </c>
      <c r="D214" s="5" t="n">
        <v>181862.68</v>
      </c>
      <c r="E214" s="2" t="inlineStr">
        <is>
          <t>Andalucía</t>
        </is>
      </c>
      <c r="F214" s="2" t="inlineStr">
        <is>
          <t>Sevilla</t>
        </is>
      </c>
      <c r="G214" s="2" t="n"/>
      <c r="H214" s="2" t="inlineStr">
        <is>
          <t>Alcaldía del Ayuntamiento de El Viso del Alcor</t>
        </is>
      </c>
      <c r="I214" s="2" t="inlineStr">
        <is>
          <t>Obra de reparación de pavimento de varios sistemas locales</t>
        </is>
      </c>
      <c r="J214" s="2" t="inlineStr">
        <is>
          <t>1031/2026</t>
        </is>
      </c>
      <c r="K214" s="2" t="inlineStr">
        <is>
          <t>Abierto simplificado</t>
        </is>
      </c>
      <c r="L214" s="6" t="n">
        <v>2</v>
      </c>
      <c r="M214" s="2" t="n"/>
      <c r="N214" s="7" t="n">
        <v>0</v>
      </c>
      <c r="O214" s="4" t="n">
        <v>7</v>
      </c>
      <c r="P214" s="2" t="inlineStr">
        <is>
          <t>45233223</t>
        </is>
      </c>
      <c r="Q214" s="8" t="inlineStr">
        <is>
          <t>Ver</t>
        </is>
      </c>
      <c r="R214" s="8" t="inlineStr">
        <is>
          <t>PCAP</t>
        </is>
      </c>
      <c r="S214" s="9" t="n">
        <v>46310</v>
      </c>
      <c r="T214" s="3" t="n">
        <v>46309.33530092592</v>
      </c>
      <c r="U214" s="2" t="n"/>
    </row>
    <row r="215">
      <c r="A215" s="2" t="inlineStr">
        <is>
          <t>Adjudicada</t>
        </is>
      </c>
      <c r="B215" s="3" t="n">
        <v>46188.54166666666</v>
      </c>
      <c r="C215" s="5" t="n">
        <v>1453555.68</v>
      </c>
      <c r="D215" s="5" t="n">
        <v>1598911.25</v>
      </c>
      <c r="E215" s="2" t="inlineStr">
        <is>
          <t>Comunitat Valenciana</t>
        </is>
      </c>
      <c r="F215" s="2" t="inlineStr">
        <is>
          <t>Valencia</t>
        </is>
      </c>
      <c r="G215" s="2" t="inlineStr">
        <is>
          <t>Valencia</t>
        </is>
      </c>
      <c r="H215" s="2" t="inlineStr">
        <is>
          <t>Presidencia de la Autoridad Portuaria de Valencia</t>
        </is>
      </c>
      <c r="I215"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215" s="2" t="inlineStr">
        <is>
          <t>EC25-C02-04830</t>
        </is>
      </c>
      <c r="K215" s="2" t="inlineStr">
        <is>
          <t>Abierto simplificado</t>
        </is>
      </c>
      <c r="L215" s="6" t="n">
        <v>11</v>
      </c>
      <c r="M215" s="2" t="n"/>
      <c r="N215" s="7" t="n">
        <v>0</v>
      </c>
      <c r="O215" s="4" t="n">
        <v>2</v>
      </c>
      <c r="P215" s="2" t="inlineStr">
        <is>
          <t>45231400</t>
        </is>
      </c>
      <c r="Q215" s="8" t="inlineStr">
        <is>
          <t>Ver</t>
        </is>
      </c>
      <c r="R215" s="8" t="inlineStr">
        <is>
          <t>PCAP</t>
        </is>
      </c>
      <c r="S215" s="9" t="n">
        <v>46310</v>
      </c>
      <c r="T215" s="3" t="n">
        <v>46309.33519675926</v>
      </c>
      <c r="U215" s="2" t="n"/>
    </row>
    <row r="216">
      <c r="A216" s="2" t="inlineStr">
        <is>
          <t>Resuelta</t>
        </is>
      </c>
      <c r="B216" s="3" t="n">
        <v>46281.99930555555</v>
      </c>
      <c r="C216" s="5" t="n">
        <v>16942.15</v>
      </c>
      <c r="D216" s="5" t="n">
        <v>16942.15</v>
      </c>
      <c r="E216" s="2" t="inlineStr">
        <is>
          <t>Comunitat Valenciana</t>
        </is>
      </c>
      <c r="F216" s="2" t="inlineStr">
        <is>
          <t>Alicante</t>
        </is>
      </c>
      <c r="G216" s="2" t="n"/>
      <c r="H216" s="2" t="inlineStr">
        <is>
          <t>Presidencia de la Diputación Provincial de Alicante</t>
        </is>
      </c>
      <c r="I216" s="2" t="inlineStr">
        <is>
          <t>Obras de restauración de zona degradada por vertido incontrolado de residuos en Partida de La Era, TM de Relleu (Alicante)</t>
        </is>
      </c>
      <c r="J216" s="2" t="inlineStr">
        <is>
          <t>O4SS-167/2026</t>
        </is>
      </c>
      <c r="K216" s="2" t="inlineStr">
        <is>
          <t>Abierto simplificado</t>
        </is>
      </c>
      <c r="L216" s="6" t="n">
        <v>1</v>
      </c>
      <c r="M216" s="2" t="n"/>
      <c r="N216" s="7" t="n">
        <v>0</v>
      </c>
      <c r="O216" s="4" t="n"/>
      <c r="P216" s="2" t="inlineStr">
        <is>
          <t>45111213</t>
        </is>
      </c>
      <c r="Q216" s="8" t="inlineStr">
        <is>
          <t>Ver</t>
        </is>
      </c>
      <c r="R216" s="8" t="inlineStr">
        <is>
          <t>PCAP</t>
        </is>
      </c>
      <c r="S216" s="9" t="n">
        <v>46310</v>
      </c>
      <c r="T216" s="3" t="n">
        <v>46309.32167824074</v>
      </c>
      <c r="U216" s="2" t="n"/>
    </row>
    <row r="217">
      <c r="A217" s="2" t="inlineStr">
        <is>
          <t>Adjudicada</t>
        </is>
      </c>
      <c r="B217" s="3" t="n">
        <v>46008.58333333334</v>
      </c>
      <c r="C217" s="5" t="n">
        <v>2997999.17</v>
      </c>
      <c r="D217" s="5" t="n">
        <v>2997999.17</v>
      </c>
      <c r="E217" s="2" t="inlineStr">
        <is>
          <t>Comunitat Valenciana</t>
        </is>
      </c>
      <c r="F217" s="2" t="inlineStr">
        <is>
          <t>Valencia</t>
        </is>
      </c>
      <c r="G217" s="2" t="n"/>
      <c r="H217" s="2" t="inlineStr">
        <is>
          <t>Empresa de Transformación Agraria S.A.,S.M.E., M.P., (TRAGSA)</t>
        </is>
      </c>
      <c r="I217" s="2" t="inlineStr">
        <is>
          <t>Ejecución de obras de “mamposteria en seco y acondicionamiento de parcelas agrícolas en municipios del Camp de l´Horta Sud”.</t>
        </is>
      </c>
      <c r="J217" s="2" t="inlineStr">
        <is>
          <t>TSA0082167</t>
        </is>
      </c>
      <c r="K217" s="2" t="inlineStr">
        <is>
          <t>Abierto simplificado</t>
        </is>
      </c>
      <c r="L217" s="6" t="n">
        <v>7</v>
      </c>
      <c r="M217" s="2" t="n"/>
      <c r="N217" s="7" t="n">
        <v>0</v>
      </c>
      <c r="O217" s="4" t="n">
        <v>7</v>
      </c>
      <c r="P217" s="2" t="inlineStr">
        <is>
          <t>45262520</t>
        </is>
      </c>
      <c r="Q217" s="8" t="inlineStr">
        <is>
          <t>Ver</t>
        </is>
      </c>
      <c r="R217" s="8" t="inlineStr">
        <is>
          <t>PCAP</t>
        </is>
      </c>
      <c r="S217" s="9" t="n">
        <v>46310</v>
      </c>
      <c r="T217" s="3" t="n">
        <v>46309.31570601852</v>
      </c>
      <c r="U217" s="2" t="n"/>
    </row>
    <row r="218">
      <c r="A218" s="2" t="inlineStr">
        <is>
          <t>Resuelta</t>
        </is>
      </c>
      <c r="B218" s="3" t="n"/>
      <c r="C218" s="5" t="n">
        <v>497088.43</v>
      </c>
      <c r="D218" s="5" t="n">
        <v>497088.43</v>
      </c>
      <c r="E218" s="2" t="inlineStr">
        <is>
          <t>Andalucía</t>
        </is>
      </c>
      <c r="F218" s="2" t="inlineStr">
        <is>
          <t>Málaga</t>
        </is>
      </c>
      <c r="G218" s="2" t="n"/>
      <c r="H218" s="2" t="inlineStr">
        <is>
          <t>ADIF -Consejo de Administración</t>
        </is>
      </c>
      <c r="I218" s="2" t="inlineStr">
        <is>
          <t>Actuación de mejora de las instalaciones de electrificación (AMIE): Redacción de proyecto y ejecución de obra para la ampliación de salidas de feeder y mejora del equipamiento de la subestación de tracción del chorro.</t>
        </is>
      </c>
      <c r="J218" s="2" t="inlineStr">
        <is>
          <t>3.26/27532.0011</t>
        </is>
      </c>
      <c r="K218" s="2" t="inlineStr">
        <is>
          <t>Derivado de acuerdo marco</t>
        </is>
      </c>
      <c r="L218" s="6" t="n">
        <v>16</v>
      </c>
      <c r="M218" s="2" t="n"/>
      <c r="N218" s="7" t="n"/>
      <c r="O218" s="4" t="n"/>
      <c r="P218" s="2" t="inlineStr">
        <is>
          <t>45234170</t>
        </is>
      </c>
      <c r="Q218" s="8" t="inlineStr">
        <is>
          <t>Ver</t>
        </is>
      </c>
      <c r="R218" s="2" t="n"/>
      <c r="S218" s="9" t="n">
        <v>46310</v>
      </c>
      <c r="T218" s="3" t="n">
        <v>46308.87667824074</v>
      </c>
      <c r="U218" s="2" t="n"/>
    </row>
    <row r="219">
      <c r="A219" s="2" t="inlineStr">
        <is>
          <t>Pendiente de adjudicación</t>
        </is>
      </c>
      <c r="B219" s="3" t="n">
        <v>46302.58333333334</v>
      </c>
      <c r="C219" s="5" t="n">
        <v>61252.06</v>
      </c>
      <c r="D219" s="5" t="n">
        <v>61252.06</v>
      </c>
      <c r="E219" s="2" t="inlineStr">
        <is>
          <t>Andalucía</t>
        </is>
      </c>
      <c r="F219" s="2" t="inlineStr">
        <is>
          <t>Granada</t>
        </is>
      </c>
      <c r="G219" s="2" t="inlineStr">
        <is>
          <t>Pulianas</t>
        </is>
      </c>
      <c r="H219" s="2" t="inlineStr">
        <is>
          <t>Junta de Gobierno Local del Ayuntamiento de Pulianas</t>
        </is>
      </c>
      <c r="I219" s="2" t="inlineStr">
        <is>
          <t>OP 2026/03 Remodelación Calle Juan Ramón Jiménez desde Avenida de Andalucía a Calle Isaac Albéniz</t>
        </is>
      </c>
      <c r="J219" s="2" t="inlineStr">
        <is>
          <t>1642/2026</t>
        </is>
      </c>
      <c r="K219" s="2" t="inlineStr">
        <is>
          <t>Abierto simplificado</t>
        </is>
      </c>
      <c r="L219" s="6" t="n">
        <v>4</v>
      </c>
      <c r="M219" s="2" t="n"/>
      <c r="N219" s="7" t="n">
        <v>0.25</v>
      </c>
      <c r="O219" s="4" t="n"/>
      <c r="P219" s="2" t="inlineStr">
        <is>
          <t>45211360</t>
        </is>
      </c>
      <c r="Q219" s="8" t="inlineStr">
        <is>
          <t>Ver</t>
        </is>
      </c>
      <c r="R219" s="8" t="inlineStr">
        <is>
          <t>PCAP</t>
        </is>
      </c>
      <c r="S219" s="9" t="n">
        <v>46310</v>
      </c>
      <c r="T219" s="3" t="n">
        <v>46308.83336805556</v>
      </c>
      <c r="U219" s="2" t="n"/>
    </row>
    <row r="220">
      <c r="A220" s="2" t="inlineStr">
        <is>
          <t>Resuelta</t>
        </is>
      </c>
      <c r="B220" s="3" t="n">
        <v>45876.99930555555</v>
      </c>
      <c r="C220" s="5" t="n">
        <v>1861725.22</v>
      </c>
      <c r="D220" s="5" t="n">
        <v>2234070.26</v>
      </c>
      <c r="E220" s="2" t="inlineStr">
        <is>
          <t>Comunitat Valenciana</t>
        </is>
      </c>
      <c r="F220" s="2" t="inlineStr">
        <is>
          <t>Valencia</t>
        </is>
      </c>
      <c r="G220" s="2" t="n"/>
      <c r="H220" s="2" t="inlineStr">
        <is>
          <t>Junta de Gobierno del Ayuntamiento de Picanya</t>
        </is>
      </c>
      <c r="I220" s="2" t="inlineStr">
        <is>
          <t>Contrato de obras de reconstrucción y reparación aparcamiento subterráneo Av. Sanchis Guarner</t>
        </is>
      </c>
      <c r="J220" s="2" t="inlineStr">
        <is>
          <t>2351294M</t>
        </is>
      </c>
      <c r="K220" s="2" t="inlineStr">
        <is>
          <t>Abierto</t>
        </is>
      </c>
      <c r="L220" s="6" t="n">
        <v>12</v>
      </c>
      <c r="M220" s="2" t="inlineStr">
        <is>
          <t>C2-4</t>
        </is>
      </c>
      <c r="N220" s="7" t="n">
        <v>0.45</v>
      </c>
      <c r="O220" s="4" t="n"/>
      <c r="P220" s="2" t="inlineStr">
        <is>
          <t>45000000; 45200000</t>
        </is>
      </c>
      <c r="Q220" s="8" t="inlineStr">
        <is>
          <t>Ver</t>
        </is>
      </c>
      <c r="R220" s="8" t="inlineStr">
        <is>
          <t>PCAP</t>
        </is>
      </c>
      <c r="S220" s="9" t="n">
        <v>46310</v>
      </c>
      <c r="T220" s="3" t="n">
        <v>46308.79181712963</v>
      </c>
      <c r="U220" s="2" t="n"/>
    </row>
    <row r="221">
      <c r="A221" s="2" t="inlineStr">
        <is>
          <t>Resuelta</t>
        </is>
      </c>
      <c r="B221" s="3" t="n">
        <v>46209.99930555555</v>
      </c>
      <c r="C221" s="5" t="n">
        <v>50360.3</v>
      </c>
      <c r="D221" s="5" t="n">
        <v>50360.3</v>
      </c>
      <c r="E221" s="2" t="inlineStr">
        <is>
          <t>Comunitat Valenciana</t>
        </is>
      </c>
      <c r="F221" s="2" t="inlineStr">
        <is>
          <t>Valencia</t>
        </is>
      </c>
      <c r="G221" s="2" t="n"/>
      <c r="H221" s="2" t="inlineStr">
        <is>
          <t>Junta de Gobierno del Ayuntamiento de Picanya</t>
        </is>
      </c>
      <c r="I221" s="2" t="inlineStr">
        <is>
          <t>Contrato de obras de rehabilitación de vivienda municipal en calle Ramón y Cajal número 8 puerta 4 de Picanya (Valencia)</t>
        </is>
      </c>
      <c r="J221" s="2" t="inlineStr">
        <is>
          <t>2759157N</t>
        </is>
      </c>
      <c r="K221" s="2" t="inlineStr">
        <is>
          <t>Abierto simplificado</t>
        </is>
      </c>
      <c r="L221" s="6" t="n">
        <v>5</v>
      </c>
      <c r="M221" s="2" t="n"/>
      <c r="N221" s="7" t="n">
        <v>0.25</v>
      </c>
      <c r="O221" s="4" t="n"/>
      <c r="P221" s="2" t="inlineStr">
        <is>
          <t>45211100; 45300000; 45400000; 45262520; 45261900; 45430000</t>
        </is>
      </c>
      <c r="Q221" s="8" t="inlineStr">
        <is>
          <t>Ver</t>
        </is>
      </c>
      <c r="R221" s="8" t="inlineStr">
        <is>
          <t>PCAP</t>
        </is>
      </c>
      <c r="S221" s="9" t="n">
        <v>46310</v>
      </c>
      <c r="T221" s="3" t="n">
        <v>46308.78891203704</v>
      </c>
      <c r="U221" s="2" t="n"/>
    </row>
    <row r="222">
      <c r="A222" s="2" t="inlineStr">
        <is>
          <t>En plazo</t>
        </is>
      </c>
      <c r="B222" s="3" t="n">
        <v>46328.33333333334</v>
      </c>
      <c r="C222" s="5" t="n">
        <v>1189873.92</v>
      </c>
      <c r="D222" s="5" t="n">
        <v>1189873.92</v>
      </c>
      <c r="E222" s="2" t="inlineStr">
        <is>
          <t>Comunitat Valenciana</t>
        </is>
      </c>
      <c r="F222" s="2" t="inlineStr">
        <is>
          <t>Alicante</t>
        </is>
      </c>
      <c r="G222" s="2" t="inlineStr">
        <is>
          <t>ORIHUELA</t>
        </is>
      </c>
      <c r="H222" s="2" t="inlineStr">
        <is>
          <t>Junta de Gobierno del Ayuntamiento de Orihuela</t>
        </is>
      </c>
      <c r="I222" s="2" t="inlineStr">
        <is>
          <t>Rehabilitación de Paramentos y Acondicionamiento de Sala de hombres en el Museo Arqueológico Comarcal de Orihuela</t>
        </is>
      </c>
      <c r="J222" s="2" t="inlineStr">
        <is>
          <t>4727/2026 BIS</t>
        </is>
      </c>
      <c r="K222" s="2" t="inlineStr">
        <is>
          <t>Abierto simplificado</t>
        </is>
      </c>
      <c r="L222" s="6" t="n">
        <v>12</v>
      </c>
      <c r="M222" s="2" t="inlineStr">
        <is>
          <t>C*-3; K7-3</t>
        </is>
      </c>
      <c r="N222" s="7" t="n">
        <v>0.25</v>
      </c>
      <c r="O222" s="4" t="n"/>
      <c r="P222" s="2" t="inlineStr">
        <is>
          <t>45000000; 45454100; 45453000</t>
        </is>
      </c>
      <c r="Q222" s="8" t="inlineStr">
        <is>
          <t>Ver</t>
        </is>
      </c>
      <c r="R222" s="8" t="inlineStr">
        <is>
          <t>PCAP</t>
        </is>
      </c>
      <c r="S222" s="9" t="n">
        <v>46310</v>
      </c>
      <c r="T222" s="3" t="n">
        <v>46308.78181712963</v>
      </c>
      <c r="U222" s="2" t="n"/>
    </row>
    <row r="223">
      <c r="A223" s="2" t="inlineStr">
        <is>
          <t>En plazo</t>
        </is>
      </c>
      <c r="B223" s="3" t="n">
        <v>46316.99930555555</v>
      </c>
      <c r="C223" s="5" t="n">
        <v>132283.97</v>
      </c>
      <c r="D223" s="5" t="n">
        <v>132283.97</v>
      </c>
      <c r="E223" s="2" t="inlineStr">
        <is>
          <t>Comunitat Valenciana</t>
        </is>
      </c>
      <c r="F223" s="2" t="inlineStr">
        <is>
          <t>Valencia</t>
        </is>
      </c>
      <c r="G223" s="2" t="inlineStr">
        <is>
          <t>Castelló de Rugat</t>
        </is>
      </c>
      <c r="H223" s="2" t="inlineStr">
        <is>
          <t>Junta de Gobierno Local del Ayuntamiento de Castelló de Rugat</t>
        </is>
      </c>
      <c r="I223" s="2" t="inlineStr">
        <is>
          <t>Mejora, modernización y dotación de infraestructuras en el Polígono Industrial Eixample El Molí de Castelló de Rugat</t>
        </is>
      </c>
      <c r="J223" s="2" t="inlineStr">
        <is>
          <t>874/2026</t>
        </is>
      </c>
      <c r="K223" s="2" t="inlineStr">
        <is>
          <t>Abierto simplificado</t>
        </is>
      </c>
      <c r="L223" s="6" t="n">
        <v>3</v>
      </c>
      <c r="M223" s="2" t="n"/>
      <c r="N223" s="7" t="n">
        <v>0</v>
      </c>
      <c r="O223" s="4" t="n"/>
      <c r="P223" s="2" t="inlineStr">
        <is>
          <t>45316100; 34928500; 32323500; 45316200; 45310000</t>
        </is>
      </c>
      <c r="Q223" s="8" t="inlineStr">
        <is>
          <t>Ver</t>
        </is>
      </c>
      <c r="R223" s="8" t="inlineStr">
        <is>
          <t>PCAP</t>
        </is>
      </c>
      <c r="S223" s="9" t="n">
        <v>46310</v>
      </c>
      <c r="T223" s="3" t="n">
        <v>46308.7687962963</v>
      </c>
      <c r="U223" s="2" t="n"/>
    </row>
    <row r="224">
      <c r="A224" s="2" t="inlineStr">
        <is>
          <t>En plazo</t>
        </is>
      </c>
      <c r="B224" s="3" t="n">
        <v>46312.99930555555</v>
      </c>
      <c r="C224" s="5" t="n">
        <v>364806.4</v>
      </c>
      <c r="D224" s="5" t="n">
        <v>364806.4</v>
      </c>
      <c r="E224" s="2" t="inlineStr">
        <is>
          <t>Comunitat Valenciana</t>
        </is>
      </c>
      <c r="F224" s="2" t="inlineStr">
        <is>
          <t>Castellón</t>
        </is>
      </c>
      <c r="G224" s="2" t="n"/>
      <c r="H224" s="2" t="inlineStr">
        <is>
          <t>Pleno del Ayuntamiento de La Pobla de Benifassà</t>
        </is>
      </c>
      <c r="I224" s="2" t="inlineStr">
        <is>
          <t>Reforma, rehabilitación y ampliación de la casa consistorial</t>
        </is>
      </c>
      <c r="J224" s="2" t="inlineStr">
        <is>
          <t>275/2026</t>
        </is>
      </c>
      <c r="K224" s="2" t="inlineStr">
        <is>
          <t>Abierto simplificado</t>
        </is>
      </c>
      <c r="L224" s="6" t="n"/>
      <c r="M224" s="2" t="n"/>
      <c r="N224" s="7" t="n">
        <v>0</v>
      </c>
      <c r="O224" s="4" t="n"/>
      <c r="P224" s="2" t="inlineStr">
        <is>
          <t>45000000</t>
        </is>
      </c>
      <c r="Q224" s="8" t="inlineStr">
        <is>
          <t>Ver</t>
        </is>
      </c>
      <c r="R224" s="8" t="inlineStr">
        <is>
          <t>PCAP</t>
        </is>
      </c>
      <c r="S224" s="9" t="n">
        <v>46310</v>
      </c>
      <c r="T224" s="3" t="n">
        <v>46308.73020833333</v>
      </c>
      <c r="U224" s="2" t="n"/>
    </row>
    <row r="225">
      <c r="A225" s="2" t="inlineStr">
        <is>
          <t>En plazo</t>
        </is>
      </c>
      <c r="B225" s="3" t="n">
        <v>46321.99930555555</v>
      </c>
      <c r="C225" s="5" t="n">
        <v>153270.2</v>
      </c>
      <c r="D225" s="5" t="n">
        <v>153270.2</v>
      </c>
      <c r="E225" s="2" t="inlineStr">
        <is>
          <t>Andalucía</t>
        </is>
      </c>
      <c r="F225" s="2" t="inlineStr">
        <is>
          <t>Huelva</t>
        </is>
      </c>
      <c r="G225" s="2" t="n"/>
      <c r="H225" s="2" t="inlineStr">
        <is>
          <t>Junta de Gobierno del Ayuntamiento de Lepe</t>
        </is>
      </c>
      <c r="I225"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225" s="2" t="inlineStr">
        <is>
          <t>10507/2026</t>
        </is>
      </c>
      <c r="K225" s="2" t="inlineStr">
        <is>
          <t>Abierto simplificado</t>
        </is>
      </c>
      <c r="L225" s="6" t="n">
        <v>2</v>
      </c>
      <c r="M225" s="2" t="n"/>
      <c r="N225" s="7" t="n">
        <v>0</v>
      </c>
      <c r="O225" s="4" t="n"/>
      <c r="P225" s="2" t="inlineStr">
        <is>
          <t>45233222; 45233223; 45233221</t>
        </is>
      </c>
      <c r="Q225" s="8" t="inlineStr">
        <is>
          <t>Ver</t>
        </is>
      </c>
      <c r="R225" s="8" t="inlineStr">
        <is>
          <t>PCAP</t>
        </is>
      </c>
      <c r="S225" s="9" t="n">
        <v>46310</v>
      </c>
      <c r="T225" s="3" t="n">
        <v>46308.72945601852</v>
      </c>
      <c r="U225" s="2" t="n"/>
    </row>
    <row r="226">
      <c r="A226" s="2" t="inlineStr">
        <is>
          <t>Pendiente de adjudicación</t>
        </is>
      </c>
      <c r="B226" s="3" t="n">
        <v>46287.99930555555</v>
      </c>
      <c r="C226" s="5" t="n">
        <v>1828053.54</v>
      </c>
      <c r="D226" s="5" t="n">
        <v>1828053.54</v>
      </c>
      <c r="E226" s="2" t="inlineStr">
        <is>
          <t>Andalucía</t>
        </is>
      </c>
      <c r="F226" s="2" t="inlineStr">
        <is>
          <t>Málaga</t>
        </is>
      </c>
      <c r="G226" s="2" t="n"/>
      <c r="H226" s="2" t="inlineStr">
        <is>
          <t>Concejalía Delegada en Materia de Contratación del Ayuntamiento de Torremolinos</t>
        </is>
      </c>
      <c r="I226" s="2" t="inlineStr">
        <is>
          <t>Obras del Proyecto de Plan de Asfaltado Municipal del Ayuntamiento de Torremolinos</t>
        </is>
      </c>
      <c r="J226" s="2" t="inlineStr">
        <is>
          <t>18201/2026</t>
        </is>
      </c>
      <c r="K226" s="2" t="inlineStr">
        <is>
          <t>Abierto</t>
        </is>
      </c>
      <c r="L226" s="6" t="n">
        <v>5</v>
      </c>
      <c r="M226" s="2" t="n"/>
      <c r="N226" s="7" t="n">
        <v>0.25</v>
      </c>
      <c r="O226" s="4" t="n"/>
      <c r="P226" s="2" t="inlineStr">
        <is>
          <t>45233222; 45000000</t>
        </is>
      </c>
      <c r="Q226" s="8" t="inlineStr">
        <is>
          <t>Ver</t>
        </is>
      </c>
      <c r="R226" s="8" t="inlineStr">
        <is>
          <t>PCAP</t>
        </is>
      </c>
      <c r="S226" s="9" t="n">
        <v>46310</v>
      </c>
      <c r="T226" s="3" t="n">
        <v>46308.72533564815</v>
      </c>
      <c r="U226" s="2" t="n"/>
    </row>
    <row r="227">
      <c r="A227" s="2" t="inlineStr">
        <is>
          <t>Pendiente de adjudicación</t>
        </is>
      </c>
      <c r="B227" s="3" t="n">
        <v>46272.54166666666</v>
      </c>
      <c r="C227" s="5" t="n">
        <v>686609.66</v>
      </c>
      <c r="D227" s="5" t="n">
        <v>755270.63</v>
      </c>
      <c r="E227" s="2" t="inlineStr">
        <is>
          <t>Comunitat Valenciana</t>
        </is>
      </c>
      <c r="F227" s="2" t="inlineStr">
        <is>
          <t>Valencia</t>
        </is>
      </c>
      <c r="G227" s="2" t="n"/>
      <c r="H227" s="2" t="inlineStr">
        <is>
          <t>Presidencia de la Diputación Provincial de Valencia</t>
        </is>
      </c>
      <c r="I227" s="2" t="inlineStr">
        <is>
          <t>Ac-629MS/O. Reaprovechamiento de la carretera CV-611A para creación de una vía ciclo peatonal entre los municipios de Benigànim y La Pobla del Duc.</t>
        </is>
      </c>
      <c r="J227" s="2" t="inlineStr">
        <is>
          <t>3481/25/CAR</t>
        </is>
      </c>
      <c r="K227" s="2" t="inlineStr">
        <is>
          <t>Abierto</t>
        </is>
      </c>
      <c r="L227" s="6" t="n">
        <v>4</v>
      </c>
      <c r="M227" s="2" t="inlineStr">
        <is>
          <t>G6-3</t>
        </is>
      </c>
      <c r="N227" s="7" t="n">
        <v>0.28</v>
      </c>
      <c r="O227" s="4" t="n"/>
      <c r="P227" s="2" t="inlineStr">
        <is>
          <t>45233162</t>
        </is>
      </c>
      <c r="Q227" s="8" t="inlineStr">
        <is>
          <t>Ver</t>
        </is>
      </c>
      <c r="R227" s="8" t="inlineStr">
        <is>
          <t>PCAP</t>
        </is>
      </c>
      <c r="S227" s="9" t="n">
        <v>46310</v>
      </c>
      <c r="T227" s="3" t="n">
        <v>46308.70901620371</v>
      </c>
      <c r="U227" s="2" t="n"/>
    </row>
    <row r="228">
      <c r="A228" s="2" t="inlineStr">
        <is>
          <t>Pendiente de adjudicación</t>
        </is>
      </c>
      <c r="B228" s="3" t="n">
        <v>46297.45833333334</v>
      </c>
      <c r="C228" s="5" t="n">
        <v>430848.84</v>
      </c>
      <c r="D228" s="5" t="n">
        <v>430848.84</v>
      </c>
      <c r="E228" s="2" t="inlineStr">
        <is>
          <t>Andalucía</t>
        </is>
      </c>
      <c r="F228" s="2" t="inlineStr">
        <is>
          <t>Sevilla</t>
        </is>
      </c>
      <c r="G228" s="2" t="n"/>
      <c r="H228" s="2" t="inlineStr">
        <is>
          <t>Comisión Ejecutiva de la Gerencia de Urbanismo de Sevilla</t>
        </is>
      </c>
      <c r="I228" s="2" t="inlineStr">
        <is>
          <t>Proyecto de Rehabilitación de las antiguas caballerizas y obras de conservación de la Torre de Contrapeso y Nave del Molino, así como urbanización del entorno, en la Hacienda de Miraflores de Sevilla.</t>
        </is>
      </c>
      <c r="J228" s="2" t="inlineStr">
        <is>
          <t>088/2025</t>
        </is>
      </c>
      <c r="K228" s="2" t="inlineStr">
        <is>
          <t>Abierto simplificado</t>
        </is>
      </c>
      <c r="L228" s="6" t="n">
        <v>6</v>
      </c>
      <c r="M228" s="2" t="n"/>
      <c r="N228" s="7" t="n">
        <v>0.1</v>
      </c>
      <c r="O228" s="4" t="n"/>
      <c r="P228" s="2" t="inlineStr">
        <is>
          <t>45000000</t>
        </is>
      </c>
      <c r="Q228" s="8" t="inlineStr">
        <is>
          <t>Ver</t>
        </is>
      </c>
      <c r="R228" s="8" t="inlineStr">
        <is>
          <t>PCAP</t>
        </is>
      </c>
      <c r="S228" s="9" t="n">
        <v>46310</v>
      </c>
      <c r="T228" s="3" t="n">
        <v>46308.70408564815</v>
      </c>
      <c r="U228" s="2" t="n"/>
    </row>
    <row r="229">
      <c r="A229" s="2" t="inlineStr">
        <is>
          <t>Resuelta</t>
        </is>
      </c>
      <c r="B229" s="3" t="n">
        <v>46238.41666666666</v>
      </c>
      <c r="C229" s="5" t="n">
        <v>45500</v>
      </c>
      <c r="D229" s="5" t="n">
        <v>45500</v>
      </c>
      <c r="E229" s="2" t="inlineStr">
        <is>
          <t>Andalucía</t>
        </is>
      </c>
      <c r="F229" s="2" t="inlineStr">
        <is>
          <t>Almería</t>
        </is>
      </c>
      <c r="G229" s="2" t="n"/>
      <c r="H229" s="2" t="inlineStr">
        <is>
          <t>Empresa de Transformación Agraria S.A.,S.M.E., M.P., (TRAGSA)</t>
        </is>
      </c>
      <c r="I22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29" s="2" t="inlineStr">
        <is>
          <t>TSA0078977-312</t>
        </is>
      </c>
      <c r="K229" s="2" t="inlineStr">
        <is>
          <t>Abierto</t>
        </is>
      </c>
      <c r="L229" s="6" t="n">
        <v>6</v>
      </c>
      <c r="M229" s="2" t="n"/>
      <c r="N229" s="7" t="n">
        <v>0</v>
      </c>
      <c r="O229" s="4" t="n"/>
      <c r="P229" s="2" t="inlineStr">
        <is>
          <t>45500000</t>
        </is>
      </c>
      <c r="Q229" s="8" t="inlineStr">
        <is>
          <t>Ver</t>
        </is>
      </c>
      <c r="R229" s="8" t="inlineStr">
        <is>
          <t>PCAP</t>
        </is>
      </c>
      <c r="S229" s="9" t="n">
        <v>46310</v>
      </c>
      <c r="T229" s="3" t="n">
        <v>46308.69675925926</v>
      </c>
      <c r="U229" s="2" t="n"/>
    </row>
    <row r="230">
      <c r="A230" s="2" t="inlineStr">
        <is>
          <t>Resuelta</t>
        </is>
      </c>
      <c r="B230" s="3" t="n">
        <v>46252.41666666666</v>
      </c>
      <c r="C230" s="5" t="n">
        <v>26000</v>
      </c>
      <c r="D230" s="5" t="n">
        <v>26000</v>
      </c>
      <c r="E230" s="2" t="inlineStr">
        <is>
          <t>Andalucía</t>
        </is>
      </c>
      <c r="F230" s="2" t="inlineStr">
        <is>
          <t>Huelva</t>
        </is>
      </c>
      <c r="G230" s="2" t="n"/>
      <c r="H230" s="2" t="inlineStr">
        <is>
          <t>Empresa de Transformación Agraria S.A.,S.M.E., M.P., (TRAGSA)</t>
        </is>
      </c>
      <c r="I2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230" s="2" t="inlineStr">
        <is>
          <t>TSA0080057-221</t>
        </is>
      </c>
      <c r="K230" s="2" t="inlineStr">
        <is>
          <t>Abierto</t>
        </is>
      </c>
      <c r="L230" s="6" t="n">
        <v>7</v>
      </c>
      <c r="M230" s="2" t="n"/>
      <c r="N230" s="7" t="n">
        <v>0</v>
      </c>
      <c r="O230" s="4" t="n"/>
      <c r="P230" s="2" t="inlineStr">
        <is>
          <t>45500000</t>
        </is>
      </c>
      <c r="Q230" s="8" t="inlineStr">
        <is>
          <t>Ver</t>
        </is>
      </c>
      <c r="R230" s="8" t="inlineStr">
        <is>
          <t>PCAP</t>
        </is>
      </c>
      <c r="S230" s="9" t="n">
        <v>46310</v>
      </c>
      <c r="T230" s="3" t="n">
        <v>46308.68873842592</v>
      </c>
      <c r="U230" s="2" t="n"/>
    </row>
    <row r="231">
      <c r="A231" s="2" t="inlineStr">
        <is>
          <t>Resuelta</t>
        </is>
      </c>
      <c r="B231" s="3" t="n">
        <v>46259.41666666666</v>
      </c>
      <c r="C231" s="5" t="n">
        <v>28600</v>
      </c>
      <c r="D231" s="5" t="n">
        <v>28600</v>
      </c>
      <c r="E231" s="2" t="inlineStr">
        <is>
          <t>Andalucía</t>
        </is>
      </c>
      <c r="F231" s="2" t="inlineStr">
        <is>
          <t>Huelva</t>
        </is>
      </c>
      <c r="G231" s="2" t="n"/>
      <c r="H231" s="2" t="inlineStr">
        <is>
          <t>Empresa de Transformación Agraria S.A.,S.M.E., M.P., (TRAGSA)</t>
        </is>
      </c>
      <c r="I2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1" s="2" t="inlineStr">
        <is>
          <t>TSA0080057-225</t>
        </is>
      </c>
      <c r="K231" s="2" t="inlineStr">
        <is>
          <t>Abierto</t>
        </is>
      </c>
      <c r="L231" s="6" t="n">
        <v>4</v>
      </c>
      <c r="M231" s="2" t="n"/>
      <c r="N231" s="7" t="n">
        <v>0</v>
      </c>
      <c r="O231" s="4" t="n"/>
      <c r="P231" s="2" t="inlineStr">
        <is>
          <t>45500000</t>
        </is>
      </c>
      <c r="Q231" s="8" t="inlineStr">
        <is>
          <t>Ver</t>
        </is>
      </c>
      <c r="R231" s="8" t="inlineStr">
        <is>
          <t>PCAP</t>
        </is>
      </c>
      <c r="S231" s="9" t="n">
        <v>46310</v>
      </c>
      <c r="T231" s="3" t="n">
        <v>46308.6746875</v>
      </c>
      <c r="U231" s="2" t="n"/>
    </row>
    <row r="232">
      <c r="A232" s="2" t="inlineStr">
        <is>
          <t>Resuelta</t>
        </is>
      </c>
      <c r="B232" s="3" t="n">
        <v>46259.41666666666</v>
      </c>
      <c r="C232" s="5" t="n">
        <v>20250</v>
      </c>
      <c r="D232" s="5" t="n">
        <v>20250</v>
      </c>
      <c r="E232" s="2" t="inlineStr">
        <is>
          <t>Andalucía</t>
        </is>
      </c>
      <c r="F232" s="2" t="inlineStr">
        <is>
          <t>Huelva</t>
        </is>
      </c>
      <c r="G232" s="2" t="n"/>
      <c r="H232" s="2" t="inlineStr">
        <is>
          <t>Empresa de Transformación Agraria S.A.,S.M.E., M.P., (TRAGSA)</t>
        </is>
      </c>
      <c r="I2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2" s="2" t="inlineStr">
        <is>
          <t>TSA0080057-227</t>
        </is>
      </c>
      <c r="K232" s="2" t="inlineStr">
        <is>
          <t>Abierto</t>
        </is>
      </c>
      <c r="L232" s="6" t="n">
        <v>3</v>
      </c>
      <c r="M232" s="2" t="n"/>
      <c r="N232" s="7" t="n">
        <v>0</v>
      </c>
      <c r="O232" s="4" t="n"/>
      <c r="P232" s="2" t="inlineStr">
        <is>
          <t>45500000</t>
        </is>
      </c>
      <c r="Q232" s="8" t="inlineStr">
        <is>
          <t>Ver</t>
        </is>
      </c>
      <c r="R232" s="8" t="inlineStr">
        <is>
          <t>PCAP</t>
        </is>
      </c>
      <c r="S232" s="9" t="n">
        <v>46310</v>
      </c>
      <c r="T232" s="3" t="n">
        <v>46308.67322916666</v>
      </c>
      <c r="U232" s="2" t="n"/>
    </row>
    <row r="233">
      <c r="A233" s="2" t="inlineStr">
        <is>
          <t>Resuelta</t>
        </is>
      </c>
      <c r="B233" s="3" t="n">
        <v>46266.41666666666</v>
      </c>
      <c r="C233" s="5" t="n">
        <v>63000</v>
      </c>
      <c r="D233" s="5" t="n">
        <v>63000</v>
      </c>
      <c r="E233" s="2" t="inlineStr">
        <is>
          <t>Andalucía</t>
        </is>
      </c>
      <c r="F233" s="2" t="inlineStr">
        <is>
          <t>Huelva</t>
        </is>
      </c>
      <c r="G233" s="2" t="n"/>
      <c r="H233" s="2" t="inlineStr">
        <is>
          <t>Empresa de Transformación Agraria S.A.,S.M.E., M.P., (TRAGSA)</t>
        </is>
      </c>
      <c r="I2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3" s="2" t="inlineStr">
        <is>
          <t>TSA0080057-238</t>
        </is>
      </c>
      <c r="K233" s="2" t="inlineStr">
        <is>
          <t>Abierto</t>
        </is>
      </c>
      <c r="L233" s="6" t="n">
        <v>8</v>
      </c>
      <c r="M233" s="2" t="n"/>
      <c r="N233" s="7" t="n">
        <v>0</v>
      </c>
      <c r="O233" s="4" t="n"/>
      <c r="P233" s="2" t="inlineStr">
        <is>
          <t>45500000</t>
        </is>
      </c>
      <c r="Q233" s="8" t="inlineStr">
        <is>
          <t>Ver</t>
        </is>
      </c>
      <c r="R233" s="8" t="inlineStr">
        <is>
          <t>PCAP</t>
        </is>
      </c>
      <c r="S233" s="9" t="n">
        <v>46310</v>
      </c>
      <c r="T233" s="3" t="n">
        <v>46308.67111111111</v>
      </c>
      <c r="U233" s="2" t="n"/>
    </row>
    <row r="234">
      <c r="A234" s="2" t="inlineStr">
        <is>
          <t>Resuelta</t>
        </is>
      </c>
      <c r="B234" s="3" t="n">
        <v>46266.41666666666</v>
      </c>
      <c r="C234" s="5" t="n">
        <v>63000</v>
      </c>
      <c r="D234" s="5" t="n">
        <v>63000</v>
      </c>
      <c r="E234" s="2" t="inlineStr">
        <is>
          <t>Andalucía</t>
        </is>
      </c>
      <c r="F234" s="2" t="inlineStr">
        <is>
          <t>Huelva</t>
        </is>
      </c>
      <c r="G234" s="2" t="n"/>
      <c r="H234" s="2" t="inlineStr">
        <is>
          <t>Empresa de Transformación Agraria S.A.,S.M.E., M.P., (TRAGSA)</t>
        </is>
      </c>
      <c r="I2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4" s="2" t="inlineStr">
        <is>
          <t>TSA0080057-241</t>
        </is>
      </c>
      <c r="K234" s="2" t="inlineStr">
        <is>
          <t>Abierto</t>
        </is>
      </c>
      <c r="L234" s="6" t="n">
        <v>8</v>
      </c>
      <c r="M234" s="2" t="n"/>
      <c r="N234" s="7" t="n">
        <v>0</v>
      </c>
      <c r="O234" s="4" t="n"/>
      <c r="P234" s="2" t="inlineStr">
        <is>
          <t>45500000</t>
        </is>
      </c>
      <c r="Q234" s="8" t="inlineStr">
        <is>
          <t>Ver</t>
        </is>
      </c>
      <c r="R234" s="8" t="inlineStr">
        <is>
          <t>PCAP</t>
        </is>
      </c>
      <c r="S234" s="9" t="n">
        <v>46310</v>
      </c>
      <c r="T234" s="3" t="n">
        <v>46308.66841435185</v>
      </c>
      <c r="U234" s="2" t="n"/>
    </row>
    <row r="235">
      <c r="A235" s="2" t="inlineStr">
        <is>
          <t>En plazo</t>
        </is>
      </c>
      <c r="B235" s="3" t="n">
        <v>46328.99930555555</v>
      </c>
      <c r="C235" s="5" t="n">
        <v>187884.23</v>
      </c>
      <c r="D235" s="5" t="n">
        <v>187884.23</v>
      </c>
      <c r="E235" s="2" t="inlineStr">
        <is>
          <t>Comunitat Valenciana</t>
        </is>
      </c>
      <c r="F235" s="2" t="inlineStr">
        <is>
          <t>Valencia</t>
        </is>
      </c>
      <c r="G235" s="2" t="inlineStr">
        <is>
          <t>Benifaió (Valencia)</t>
        </is>
      </c>
      <c r="H235" s="2" t="inlineStr">
        <is>
          <t>Alcaldía del ayuntamiento de Benifaió</t>
        </is>
      </c>
      <c r="I235" s="2" t="inlineStr">
        <is>
          <t>Derribo de edificaciones existentes en el municipio. El objeto del contrato se divide en los siguientes lotes: Lote 1: Obras de derribo del edificio sito en calle Valencia, 40 Lote 2: Obras de derribo del edificio sito en calle Llavador, 4</t>
        </is>
      </c>
      <c r="J235" s="2" t="inlineStr">
        <is>
          <t>4757/2026</t>
        </is>
      </c>
      <c r="K235" s="2" t="inlineStr">
        <is>
          <t>Abierto simplificado</t>
        </is>
      </c>
      <c r="L235" s="6" t="n">
        <v>2</v>
      </c>
      <c r="M235" s="2" t="n"/>
      <c r="N235" s="7" t="n">
        <v>0.2</v>
      </c>
      <c r="O235" s="4" t="n">
        <v>2</v>
      </c>
      <c r="P235" s="2" t="inlineStr">
        <is>
          <t>45110000; 45111100; 45111000</t>
        </is>
      </c>
      <c r="Q235" s="8" t="inlineStr">
        <is>
          <t>Ver</t>
        </is>
      </c>
      <c r="R235" s="8" t="inlineStr">
        <is>
          <t>PCAP</t>
        </is>
      </c>
      <c r="S235" s="9" t="n">
        <v>46310</v>
      </c>
      <c r="T235" s="3" t="n">
        <v>46308.65405092593</v>
      </c>
      <c r="U235" s="2" t="n"/>
    </row>
    <row r="236">
      <c r="A236" s="2" t="inlineStr">
        <is>
          <t>Resuelta</t>
        </is>
      </c>
      <c r="B236" s="3" t="n">
        <v>46267.99930555555</v>
      </c>
      <c r="C236" s="5" t="n">
        <v>449586.38</v>
      </c>
      <c r="D236" s="5" t="n">
        <v>449586.38</v>
      </c>
      <c r="E236" s="2" t="inlineStr">
        <is>
          <t>Andalucía</t>
        </is>
      </c>
      <c r="F236" s="2" t="inlineStr">
        <is>
          <t>Granada</t>
        </is>
      </c>
      <c r="G236" s="2" t="n"/>
      <c r="H236" s="2" t="inlineStr">
        <is>
          <t>Junta de Gobierno Local del Ayuntamiento de Guadix</t>
        </is>
      </c>
      <c r="I236" s="2" t="inlineStr">
        <is>
          <t>La Ejecución de la actuación: Obras de Construcción del Centro Joven Municipal de Guadix</t>
        </is>
      </c>
      <c r="J236" s="2" t="inlineStr">
        <is>
          <t>8624/2025</t>
        </is>
      </c>
      <c r="K236" s="2" t="inlineStr">
        <is>
          <t>Abierto simplificado</t>
        </is>
      </c>
      <c r="L236" s="6" t="n">
        <v>9</v>
      </c>
      <c r="M236" s="2" t="n"/>
      <c r="N236" s="7" t="n">
        <v>0.25</v>
      </c>
      <c r="O236" s="4" t="n"/>
      <c r="P236" s="2" t="inlineStr">
        <is>
          <t>45000000; 45210000</t>
        </is>
      </c>
      <c r="Q236" s="8" t="inlineStr">
        <is>
          <t>Ver</t>
        </is>
      </c>
      <c r="R236" s="8" t="inlineStr">
        <is>
          <t>PCAP</t>
        </is>
      </c>
      <c r="S236" s="9" t="n">
        <v>46310</v>
      </c>
      <c r="T236" s="3" t="n">
        <v>46308.63633101852</v>
      </c>
      <c r="U236" s="2" t="n"/>
    </row>
    <row r="237">
      <c r="A237" s="2" t="inlineStr">
        <is>
          <t>Pendiente de adjudicación</t>
        </is>
      </c>
      <c r="B237" s="3" t="n">
        <v>46283.99930555555</v>
      </c>
      <c r="C237" s="5" t="n">
        <v>987793.33</v>
      </c>
      <c r="D237" s="5" t="n">
        <v>987793.33</v>
      </c>
      <c r="E237" s="2" t="inlineStr">
        <is>
          <t>Andalucía</t>
        </is>
      </c>
      <c r="F237" s="2" t="inlineStr">
        <is>
          <t>Sevilla</t>
        </is>
      </c>
      <c r="G237" s="2" t="inlineStr">
        <is>
          <t>Alcalá de Guadaíra</t>
        </is>
      </c>
      <c r="H237" s="2" t="inlineStr">
        <is>
          <t>Junta de Gobierno Local del Ayuntamiento de Alcalá de Guadaíra</t>
        </is>
      </c>
      <c r="I237" s="2" t="inlineStr">
        <is>
          <t>obra de ejecución de actuaciones de mejoras en los parques de ribera del tramo urbano del río Guadaíra en Alcalá de Guadaíra (C-2026/026)</t>
        </is>
      </c>
      <c r="J237" s="2" t="inlineStr">
        <is>
          <t>5126/2026</t>
        </is>
      </c>
      <c r="K237" s="2" t="inlineStr">
        <is>
          <t>Abierto simplificado</t>
        </is>
      </c>
      <c r="L237" s="6" t="n">
        <v>5</v>
      </c>
      <c r="M237" s="2" t="n"/>
      <c r="N237" s="7" t="n">
        <v>0.25</v>
      </c>
      <c r="O237" s="4" t="n"/>
      <c r="P237" s="2" t="inlineStr">
        <is>
          <t>45112700; 03451300; 45112100; 45233142; 45233200; 03452000; 77310000; 45232120; 34928400</t>
        </is>
      </c>
      <c r="Q237" s="8" t="inlineStr">
        <is>
          <t>Ver</t>
        </is>
      </c>
      <c r="R237" s="8" t="inlineStr">
        <is>
          <t>PCAP</t>
        </is>
      </c>
      <c r="S237" s="9" t="n">
        <v>46310</v>
      </c>
      <c r="T237" s="3" t="n">
        <v>46308.63121527778</v>
      </c>
      <c r="U237" s="2" t="n"/>
    </row>
    <row r="238">
      <c r="A238" s="2" t="inlineStr">
        <is>
          <t>En plazo</t>
        </is>
      </c>
      <c r="B238" s="3" t="n">
        <v>46335.99930555555</v>
      </c>
      <c r="C238" s="5" t="n">
        <v>1793227</v>
      </c>
      <c r="D238" s="5" t="n">
        <v>1793227</v>
      </c>
      <c r="E238" s="2" t="inlineStr">
        <is>
          <t>Andalucía</t>
        </is>
      </c>
      <c r="F238" s="2" t="inlineStr">
        <is>
          <t>Granada</t>
        </is>
      </c>
      <c r="G238" s="2" t="n"/>
      <c r="H238" s="2" t="inlineStr">
        <is>
          <t>Dirección Gerente de la Empresa Municipal de Abastecimiento y Saneamiento de Granada, S.A.</t>
        </is>
      </c>
      <c r="I238" s="2" t="inlineStr">
        <is>
          <t>Mejora de las infraestructuras y resiliencia hídrica en el ciclo integral del agua en la Avenida Don Bosco, entre la Avenida de Cádiz y la Avenida Fernando de los Ríos (Granada).</t>
        </is>
      </c>
      <c r="J238" s="2" t="inlineStr">
        <is>
          <t>Obra 2025-00017_3</t>
        </is>
      </c>
      <c r="K238" s="2" t="inlineStr">
        <is>
          <t>Abierto</t>
        </is>
      </c>
      <c r="L238" s="6" t="n">
        <v>144</v>
      </c>
      <c r="M238" s="2" t="inlineStr">
        <is>
          <t>E*-4</t>
        </is>
      </c>
      <c r="N238" s="7" t="n">
        <v>0.4</v>
      </c>
      <c r="O238" s="4" t="n"/>
      <c r="P238" s="2" t="inlineStr">
        <is>
          <t>45232150</t>
        </is>
      </c>
      <c r="Q238" s="8" t="inlineStr">
        <is>
          <t>Ver</t>
        </is>
      </c>
      <c r="R238" s="8" t="inlineStr">
        <is>
          <t>PCAP</t>
        </is>
      </c>
      <c r="S238" s="9" t="n">
        <v>46310</v>
      </c>
      <c r="T238" s="3" t="n">
        <v>46308.62813657407</v>
      </c>
      <c r="U238" s="2" t="n"/>
    </row>
    <row r="239">
      <c r="A239" s="2" t="inlineStr">
        <is>
          <t>En plazo</t>
        </is>
      </c>
      <c r="B239" s="3" t="n">
        <v>46328.58333333334</v>
      </c>
      <c r="C239" s="5" t="n">
        <v>152742.87</v>
      </c>
      <c r="D239" s="5" t="n">
        <v>152742.87</v>
      </c>
      <c r="E239" s="2" t="inlineStr">
        <is>
          <t>Comunitat Valenciana</t>
        </is>
      </c>
      <c r="F239" s="2" t="inlineStr">
        <is>
          <t>Valencia</t>
        </is>
      </c>
      <c r="G239" s="2" t="inlineStr">
        <is>
          <t>Tuéjar</t>
        </is>
      </c>
      <c r="H239" s="2" t="inlineStr">
        <is>
          <t>Pleno del Ayuntamiento de Tuéjar</t>
        </is>
      </c>
      <c r="I239" s="2" t="inlineStr">
        <is>
          <t>Proyecto de urbanización calle Cruz de Eugenios</t>
        </is>
      </c>
      <c r="J239" s="2" t="inlineStr">
        <is>
          <t>747/2026</t>
        </is>
      </c>
      <c r="K239" s="2" t="inlineStr">
        <is>
          <t>Abierto simplificado</t>
        </is>
      </c>
      <c r="L239" s="6" t="n">
        <v>4</v>
      </c>
      <c r="M239" s="2" t="n"/>
      <c r="N239" s="7" t="n">
        <v>0</v>
      </c>
      <c r="O239" s="4" t="n"/>
      <c r="P239" s="2" t="inlineStr">
        <is>
          <t>45432112; 45232410; 44162000; 44162500; 45233200</t>
        </is>
      </c>
      <c r="Q239" s="8" t="inlineStr">
        <is>
          <t>Ver</t>
        </is>
      </c>
      <c r="R239" s="8" t="inlineStr">
        <is>
          <t>PCAP</t>
        </is>
      </c>
      <c r="S239" s="9" t="n">
        <v>46310</v>
      </c>
      <c r="T239" s="3" t="n">
        <v>46308.62798611111</v>
      </c>
      <c r="U239" s="2" t="n"/>
    </row>
    <row r="240">
      <c r="A240" s="2" t="inlineStr">
        <is>
          <t>Adjudicada</t>
        </is>
      </c>
      <c r="B240" s="3" t="n">
        <v>46197.99930555555</v>
      </c>
      <c r="C240" s="5" t="n">
        <v>105887.18</v>
      </c>
      <c r="D240" s="5" t="n">
        <v>105887.18</v>
      </c>
      <c r="E240" s="2" t="inlineStr">
        <is>
          <t>Andalucía</t>
        </is>
      </c>
      <c r="F240" s="2" t="inlineStr">
        <is>
          <t>Córdoba</t>
        </is>
      </c>
      <c r="G240" s="2" t="inlineStr">
        <is>
          <t>Santaella</t>
        </is>
      </c>
      <c r="H240" s="2" t="inlineStr">
        <is>
          <t>Alcaldía de Ayuntamiento de Santaella</t>
        </is>
      </c>
      <c r="I240" s="2" t="inlineStr">
        <is>
          <t>Obras de ampliación de nichos en el cementerio municipal de Santaella (Córdoba).</t>
        </is>
      </c>
      <c r="J240" s="2" t="inlineStr">
        <is>
          <t>OB-07/26</t>
        </is>
      </c>
      <c r="K240" s="2" t="inlineStr">
        <is>
          <t>Abierto simplificado</t>
        </is>
      </c>
      <c r="L240" s="6" t="n">
        <v>3</v>
      </c>
      <c r="M240" s="2" t="n"/>
      <c r="N240" s="7" t="n">
        <v>0</v>
      </c>
      <c r="O240" s="4" t="n"/>
      <c r="P240" s="2" t="inlineStr">
        <is>
          <t>45215400; 45262800</t>
        </is>
      </c>
      <c r="Q240" s="8" t="inlineStr">
        <is>
          <t>Ver</t>
        </is>
      </c>
      <c r="R240" s="8" t="inlineStr">
        <is>
          <t>PCAP</t>
        </is>
      </c>
      <c r="S240" s="9" t="n">
        <v>46310</v>
      </c>
      <c r="T240" s="3" t="n">
        <v>46308.61910879629</v>
      </c>
      <c r="U240" s="2" t="n"/>
    </row>
    <row r="241">
      <c r="A241" s="2" t="inlineStr">
        <is>
          <t>Plazo vencido</t>
        </is>
      </c>
      <c r="B241" s="3" t="n">
        <v>46308.99930555555</v>
      </c>
      <c r="C241" s="5" t="n">
        <v>613227.61</v>
      </c>
      <c r="D241" s="5" t="n">
        <v>735873.14</v>
      </c>
      <c r="E241" s="2" t="inlineStr">
        <is>
          <t>Andalucía</t>
        </is>
      </c>
      <c r="F241" s="2" t="inlineStr">
        <is>
          <t>Huelva</t>
        </is>
      </c>
      <c r="G241" s="2" t="inlineStr">
        <is>
          <t>Moguer</t>
        </is>
      </c>
      <c r="H241" s="2" t="inlineStr">
        <is>
          <t>Alcaldía del Ayuntamiento de Moguer</t>
        </is>
      </c>
      <c r="I241"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241" s="2" t="inlineStr">
        <is>
          <t>10380/2026 OBRAS PEÑUELAS Y CANORRA</t>
        </is>
      </c>
      <c r="K241" s="2" t="inlineStr">
        <is>
          <t>Abierto</t>
        </is>
      </c>
      <c r="L241" s="6" t="n">
        <v>4</v>
      </c>
      <c r="M241" s="2" t="n"/>
      <c r="N241" s="7" t="n">
        <v>0</v>
      </c>
      <c r="O241" s="4" t="n">
        <v>2</v>
      </c>
      <c r="P241" s="2" t="inlineStr">
        <is>
          <t>45233140</t>
        </is>
      </c>
      <c r="Q241" s="8" t="inlineStr">
        <is>
          <t>Ver</t>
        </is>
      </c>
      <c r="R241" s="8" t="inlineStr">
        <is>
          <t>PCAP</t>
        </is>
      </c>
      <c r="S241" s="9" t="n">
        <v>46310</v>
      </c>
      <c r="T241" s="3" t="n">
        <v>46308.61729166667</v>
      </c>
      <c r="U241" s="2" t="n"/>
    </row>
    <row r="242">
      <c r="A242" s="2" t="inlineStr">
        <is>
          <t>En plazo</t>
        </is>
      </c>
      <c r="B242" s="3" t="n">
        <v>46329.99930555555</v>
      </c>
      <c r="C242" s="5" t="n">
        <v>201033.24</v>
      </c>
      <c r="D242" s="5" t="n">
        <v>241239.89</v>
      </c>
      <c r="E242" s="2" t="inlineStr">
        <is>
          <t>Comunitat Valenciana</t>
        </is>
      </c>
      <c r="F242" s="2" t="inlineStr">
        <is>
          <t>Valencia</t>
        </is>
      </c>
      <c r="G242" s="2" t="n"/>
      <c r="H242" s="2" t="inlineStr">
        <is>
          <t>Dirección Territorial de Educación, Investigación, Cultura y Deporte - Valencia</t>
        </is>
      </c>
      <c r="I242" s="2" t="inlineStr">
        <is>
          <t>Reforma de aseos, cubierta y patios en el CEIP Mestalla de Valencia</t>
        </is>
      </c>
      <c r="J242" s="2" t="inlineStr">
        <is>
          <t>CMAYOR/2026/19Y16/0061</t>
        </is>
      </c>
      <c r="K242" s="2" t="inlineStr">
        <is>
          <t>Abierto simplificado</t>
        </is>
      </c>
      <c r="L242" s="6" t="n">
        <v>6</v>
      </c>
      <c r="M242" s="2" t="n"/>
      <c r="N242" s="7" t="n">
        <v>0</v>
      </c>
      <c r="O242" s="4" t="n"/>
      <c r="P242" s="2" t="inlineStr">
        <is>
          <t>45214210</t>
        </is>
      </c>
      <c r="Q242" s="8" t="inlineStr">
        <is>
          <t>Ver</t>
        </is>
      </c>
      <c r="R242" s="8" t="inlineStr">
        <is>
          <t>PCAP</t>
        </is>
      </c>
      <c r="S242" s="9" t="n">
        <v>46310</v>
      </c>
      <c r="T242" s="3" t="n">
        <v>46308.61421296297</v>
      </c>
      <c r="U242" s="2" t="n"/>
    </row>
    <row r="243">
      <c r="A243" s="2" t="inlineStr">
        <is>
          <t>Resuelta</t>
        </is>
      </c>
      <c r="B243" s="3" t="n">
        <v>46231.99930555555</v>
      </c>
      <c r="C243" s="5" t="n">
        <v>555205.2</v>
      </c>
      <c r="D243" s="5" t="n">
        <v>555205.2</v>
      </c>
      <c r="E243" s="2" t="inlineStr">
        <is>
          <t>Andalucía</t>
        </is>
      </c>
      <c r="F243" s="2" t="inlineStr">
        <is>
          <t>Sevilla</t>
        </is>
      </c>
      <c r="G243" s="2" t="inlineStr">
        <is>
          <t>Alcalá de Guadaíra</t>
        </is>
      </c>
      <c r="H243" s="2" t="inlineStr">
        <is>
          <t>Junta de Gobierno Local del Ayuntamiento de Alcalá de Guadaíra</t>
        </is>
      </c>
      <c r="I243" s="2" t="inlineStr">
        <is>
          <t>obras de reforma y ampliación de un centro de participación ciudadana ubicado en Calle Escultor Pineda Calderón nº 1 (D) (C-2025/100)</t>
        </is>
      </c>
      <c r="J243" s="2" t="inlineStr">
        <is>
          <t>17285/2025</t>
        </is>
      </c>
      <c r="K243" s="2" t="inlineStr">
        <is>
          <t>Abierto simplificado</t>
        </is>
      </c>
      <c r="L243" s="6" t="n">
        <v>12</v>
      </c>
      <c r="M243" s="2" t="inlineStr">
        <is>
          <t>C4-3</t>
        </is>
      </c>
      <c r="N243" s="7" t="n">
        <v>0.2</v>
      </c>
      <c r="O243" s="4" t="n"/>
      <c r="P243" s="2" t="inlineStr">
        <is>
          <t>45215200</t>
        </is>
      </c>
      <c r="Q243" s="8" t="inlineStr">
        <is>
          <t>Ver</t>
        </is>
      </c>
      <c r="R243" s="8" t="inlineStr">
        <is>
          <t>PCAP</t>
        </is>
      </c>
      <c r="S243" s="9" t="n">
        <v>46310</v>
      </c>
      <c r="T243" s="3" t="n">
        <v>46308.60893518518</v>
      </c>
      <c r="U243" s="2" t="n"/>
    </row>
    <row r="244">
      <c r="A244" s="2" t="inlineStr">
        <is>
          <t>En plazo</t>
        </is>
      </c>
      <c r="B244" s="3" t="n">
        <v>46324.99930555555</v>
      </c>
      <c r="C244" s="5" t="n">
        <v>667189.24</v>
      </c>
      <c r="D244" s="5" t="n">
        <v>667189.24</v>
      </c>
      <c r="E244" s="2" t="inlineStr">
        <is>
          <t>Andalucía</t>
        </is>
      </c>
      <c r="F244" s="2" t="inlineStr">
        <is>
          <t>Huelva</t>
        </is>
      </c>
      <c r="G244" s="2" t="inlineStr">
        <is>
          <t>ISLA CRISTINA</t>
        </is>
      </c>
      <c r="H244" s="2" t="inlineStr">
        <is>
          <t>Alcaldía del Ayuntamiento de Isla Cristina</t>
        </is>
      </c>
      <c r="I244" s="2" t="inlineStr">
        <is>
          <t>Obras Proyecto de renovación y mejora de la eficiencia energética de las instalaciones de alumbrado público exterior del municipio de Isla Cristina.</t>
        </is>
      </c>
      <c r="J244" s="2" t="inlineStr">
        <is>
          <t>5773/2026</t>
        </is>
      </c>
      <c r="K244" s="2" t="inlineStr">
        <is>
          <t>Abierto simplificado</t>
        </is>
      </c>
      <c r="L244" s="6" t="n">
        <v>6.1</v>
      </c>
      <c r="M244" s="2" t="inlineStr">
        <is>
          <t>I1-3</t>
        </is>
      </c>
      <c r="N244" s="7" t="n">
        <v>0.25</v>
      </c>
      <c r="O244" s="4" t="n"/>
      <c r="P244" s="2" t="inlineStr">
        <is>
          <t>45316100; 45315600</t>
        </is>
      </c>
      <c r="Q244" s="8" t="inlineStr">
        <is>
          <t>Ver</t>
        </is>
      </c>
      <c r="R244" s="8" t="inlineStr">
        <is>
          <t>PCAP</t>
        </is>
      </c>
      <c r="S244" s="9" t="n">
        <v>46310</v>
      </c>
      <c r="T244" s="3" t="n">
        <v>46308.60450231482</v>
      </c>
      <c r="U244" s="2" t="n"/>
    </row>
    <row r="245">
      <c r="A245" s="2" t="inlineStr">
        <is>
          <t>Adjudicada</t>
        </is>
      </c>
      <c r="B245" s="3" t="n">
        <v>46237.99930555555</v>
      </c>
      <c r="C245" s="5" t="n">
        <v>1537591.52</v>
      </c>
      <c r="D245" s="5" t="n">
        <v>1998868.97</v>
      </c>
      <c r="E245" s="2" t="inlineStr">
        <is>
          <t>Comunitat Valenciana</t>
        </is>
      </c>
      <c r="F245" s="2" t="inlineStr">
        <is>
          <t>Valencia</t>
        </is>
      </c>
      <c r="G245" s="2" t="n"/>
      <c r="H245" s="2" t="inlineStr">
        <is>
          <t>Consorcio Hospital General Universitario de Valencia</t>
        </is>
      </c>
      <c r="I245" s="2" t="inlineStr">
        <is>
          <t>Obras, respetuosas con el medioambiente, para la reforma de las salas blancas de farmacia.</t>
        </is>
      </c>
      <c r="J245" s="2" t="inlineStr">
        <is>
          <t>CMAYOR/2026/HGUV0/1667</t>
        </is>
      </c>
      <c r="K245" s="2" t="inlineStr">
        <is>
          <t>Abierto simplificado</t>
        </is>
      </c>
      <c r="L245" s="6" t="n">
        <v>8</v>
      </c>
      <c r="M245" s="2" t="n"/>
      <c r="N245" s="7" t="n">
        <v>0.23</v>
      </c>
      <c r="O245" s="4" t="n"/>
      <c r="P245" s="2" t="inlineStr">
        <is>
          <t>45215100; 45214631; 45215140</t>
        </is>
      </c>
      <c r="Q245" s="8" t="inlineStr">
        <is>
          <t>Ver</t>
        </is>
      </c>
      <c r="R245" s="8" t="inlineStr">
        <is>
          <t>PCAP</t>
        </is>
      </c>
      <c r="S245" s="9" t="n">
        <v>46310</v>
      </c>
      <c r="T245" s="3" t="n">
        <v>46308.6037037037</v>
      </c>
      <c r="U245" s="2" t="n"/>
    </row>
    <row r="246">
      <c r="A246" s="2" t="inlineStr">
        <is>
          <t>Pendiente de adjudicación</t>
        </is>
      </c>
      <c r="B246" s="3" t="n">
        <v>46296.99930555555</v>
      </c>
      <c r="C246" s="5" t="n">
        <v>64695.94</v>
      </c>
      <c r="D246" s="5" t="n">
        <v>64695.94</v>
      </c>
      <c r="E246" s="2" t="inlineStr">
        <is>
          <t>Comunitat Valenciana</t>
        </is>
      </c>
      <c r="F246" s="2" t="inlineStr">
        <is>
          <t>Alicante</t>
        </is>
      </c>
      <c r="G246" s="2" t="n"/>
      <c r="H246" s="2" t="inlineStr">
        <is>
          <t>Alcaldía del Ayuntamiento de Dolores</t>
        </is>
      </c>
      <c r="I246" s="2" t="inlineStr">
        <is>
          <t>Obras de mejora de la accesibilidad en Avda. Alcalde José Rodríguez en Dolores</t>
        </is>
      </c>
      <c r="J246" s="2" t="inlineStr">
        <is>
          <t>3485/2026</t>
        </is>
      </c>
      <c r="K246" s="2" t="inlineStr">
        <is>
          <t>Abierto simplificado</t>
        </is>
      </c>
      <c r="L246" s="6" t="n">
        <v>2</v>
      </c>
      <c r="M246" s="2" t="n"/>
      <c r="N246" s="7" t="n">
        <v>0</v>
      </c>
      <c r="O246" s="4" t="n"/>
      <c r="P246" s="2" t="inlineStr">
        <is>
          <t>45233140</t>
        </is>
      </c>
      <c r="Q246" s="8" t="inlineStr">
        <is>
          <t>Ver</t>
        </is>
      </c>
      <c r="R246" s="8" t="inlineStr">
        <is>
          <t>PCAP</t>
        </is>
      </c>
      <c r="S246" s="9" t="n">
        <v>46310</v>
      </c>
      <c r="T246" s="3" t="n">
        <v>46308.60296296296</v>
      </c>
      <c r="U246" s="2" t="n"/>
    </row>
    <row r="247">
      <c r="A247" s="2" t="inlineStr">
        <is>
          <t>Pendiente de adjudicación</t>
        </is>
      </c>
      <c r="B247" s="3" t="n">
        <v>46171.99930555555</v>
      </c>
      <c r="C247" s="5" t="n">
        <v>277278.77</v>
      </c>
      <c r="D247" s="5" t="n">
        <v>277278.77</v>
      </c>
      <c r="E247" s="2" t="inlineStr">
        <is>
          <t>Comunitat Valenciana</t>
        </is>
      </c>
      <c r="F247" s="2" t="inlineStr">
        <is>
          <t>Alicante</t>
        </is>
      </c>
      <c r="G247" s="2" t="n"/>
      <c r="H247" s="2" t="inlineStr">
        <is>
          <t>Presidencia de la Diputación Provincial de Alicante</t>
        </is>
      </c>
      <c r="I247" s="2" t="inlineStr">
        <is>
          <t>Obras de mejora en instalaciones deportivas, en el municipio de Hondón de los Frailes (2024.PLA.129).</t>
        </is>
      </c>
      <c r="J247" s="2" t="inlineStr">
        <is>
          <t>O6S-085/2026</t>
        </is>
      </c>
      <c r="K247" s="2" t="inlineStr">
        <is>
          <t>Abierto simplificado</t>
        </is>
      </c>
      <c r="L247" s="6" t="n">
        <v>6</v>
      </c>
      <c r="M247" s="2" t="n"/>
      <c r="N247" s="7" t="n">
        <v>0</v>
      </c>
      <c r="O247" s="4" t="n"/>
      <c r="P247" s="2" t="inlineStr">
        <is>
          <t>45200000</t>
        </is>
      </c>
      <c r="Q247" s="8" t="inlineStr">
        <is>
          <t>Ver</t>
        </is>
      </c>
      <c r="R247" s="8" t="inlineStr">
        <is>
          <t>PCAP</t>
        </is>
      </c>
      <c r="S247" s="9" t="n">
        <v>46310</v>
      </c>
      <c r="T247" s="3" t="n">
        <v>46308.60243055555</v>
      </c>
      <c r="U247" s="2" t="n"/>
    </row>
    <row r="248">
      <c r="A248" s="2" t="inlineStr">
        <is>
          <t>Resuelta</t>
        </is>
      </c>
      <c r="B248" s="3" t="n">
        <v>46293.41666666666</v>
      </c>
      <c r="C248" s="5" t="n">
        <v>3277323.33</v>
      </c>
      <c r="D248" s="5" t="n">
        <v>3277323.33</v>
      </c>
      <c r="E248" s="2" t="inlineStr">
        <is>
          <t>Comunitat Valenciana</t>
        </is>
      </c>
      <c r="F248" s="2" t="inlineStr">
        <is>
          <t>Valencia</t>
        </is>
      </c>
      <c r="G248" s="2" t="inlineStr">
        <is>
          <t>Término municipal de Massanassa (Valencia).</t>
        </is>
      </c>
      <c r="H248" s="2" t="inlineStr">
        <is>
          <t>Empresa de Transformación Agraria S.A.,S.M.E., M.P., (TRAGSA)</t>
        </is>
      </c>
      <c r="I248"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248" s="2" t="inlineStr">
        <is>
          <t>TSA0079986-074</t>
        </is>
      </c>
      <c r="K248" s="2" t="inlineStr">
        <is>
          <t>Abierto</t>
        </is>
      </c>
      <c r="L248" s="6" t="n">
        <v>2</v>
      </c>
      <c r="M248" s="2" t="n"/>
      <c r="N248" s="7" t="n">
        <v>0</v>
      </c>
      <c r="O248" s="4" t="n"/>
      <c r="P248" s="2" t="inlineStr">
        <is>
          <t>45111200</t>
        </is>
      </c>
      <c r="Q248" s="8" t="inlineStr">
        <is>
          <t>Ver</t>
        </is>
      </c>
      <c r="R248" s="8" t="inlineStr">
        <is>
          <t>PCAP</t>
        </is>
      </c>
      <c r="S248" s="9" t="n">
        <v>46310</v>
      </c>
      <c r="T248" s="3" t="n">
        <v>46308.60146990741</v>
      </c>
      <c r="U248" s="2" t="n"/>
    </row>
    <row r="249">
      <c r="A249" s="2" t="inlineStr">
        <is>
          <t>Pendiente de adjudicación</t>
        </is>
      </c>
      <c r="B249" s="3" t="n">
        <v>46294.99930555555</v>
      </c>
      <c r="C249" s="5" t="n">
        <v>40662.08</v>
      </c>
      <c r="D249" s="5" t="n">
        <v>40662.08</v>
      </c>
      <c r="E249" s="2" t="inlineStr">
        <is>
          <t>Comunitat Valenciana</t>
        </is>
      </c>
      <c r="F249" s="2" t="inlineStr">
        <is>
          <t>Alicante</t>
        </is>
      </c>
      <c r="G249" s="2" t="n"/>
      <c r="H249" s="2" t="inlineStr">
        <is>
          <t>Teniente de Alcalde de Contratación Pública del Ayuntamiento de Elche</t>
        </is>
      </c>
      <c r="I249" s="2" t="inlineStr">
        <is>
          <t>Obras de vallado en el perímetro del edificio municipal sede del Centro de Desarrollo Empresarial, Escuela Municipal de Hostelería y de la Policía Autonómica.</t>
        </is>
      </c>
      <c r="J249" s="2" t="inlineStr">
        <is>
          <t>OBR/ABR_SP_SMPL/2026000137</t>
        </is>
      </c>
      <c r="K249" s="2" t="inlineStr">
        <is>
          <t>Abierto simplificado</t>
        </is>
      </c>
      <c r="L249" s="6" t="n">
        <v>1.5</v>
      </c>
      <c r="M249" s="2" t="n"/>
      <c r="N249" s="7" t="n">
        <v>0</v>
      </c>
      <c r="O249" s="4" t="n"/>
      <c r="P249" s="2" t="inlineStr">
        <is>
          <t>45261000; 45421160; 34928200; 45262311</t>
        </is>
      </c>
      <c r="Q249" s="8" t="inlineStr">
        <is>
          <t>Ver</t>
        </is>
      </c>
      <c r="R249" s="8" t="inlineStr">
        <is>
          <t>PCAP</t>
        </is>
      </c>
      <c r="S249" s="9" t="n">
        <v>46310</v>
      </c>
      <c r="T249" s="3" t="n">
        <v>46308.60030092593</v>
      </c>
      <c r="U249" s="2" t="n"/>
    </row>
    <row r="250">
      <c r="A250" s="2" t="inlineStr">
        <is>
          <t>Resuelta</t>
        </is>
      </c>
      <c r="B250" s="3" t="n">
        <v>46240.99930555555</v>
      </c>
      <c r="C250" s="5" t="n">
        <v>495669.59</v>
      </c>
      <c r="D250" s="5" t="n">
        <v>495669.59</v>
      </c>
      <c r="E250" s="2" t="inlineStr">
        <is>
          <t>Andalucía</t>
        </is>
      </c>
      <c r="F250" s="2" t="inlineStr">
        <is>
          <t>Huelva</t>
        </is>
      </c>
      <c r="G250" s="2" t="n"/>
      <c r="H250" s="2" t="inlineStr">
        <is>
          <t>Presidencia de la Diputación Provincial de Huelva</t>
        </is>
      </c>
      <c r="I250"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250" s="2" t="inlineStr">
        <is>
          <t>2026/CMY_03/000081</t>
        </is>
      </c>
      <c r="K250" s="2" t="inlineStr">
        <is>
          <t>Abierto simplificado</t>
        </is>
      </c>
      <c r="L250" s="6" t="n">
        <v>3</v>
      </c>
      <c r="M250" s="2" t="n"/>
      <c r="N250" s="7" t="n">
        <v>0</v>
      </c>
      <c r="O250" s="4" t="n">
        <v>2</v>
      </c>
      <c r="P250" s="2" t="inlineStr">
        <is>
          <t>45233000</t>
        </is>
      </c>
      <c r="Q250" s="8" t="inlineStr">
        <is>
          <t>Ver</t>
        </is>
      </c>
      <c r="R250" s="8" t="inlineStr">
        <is>
          <t>PCAP</t>
        </is>
      </c>
      <c r="S250" s="9" t="n">
        <v>46310</v>
      </c>
      <c r="T250" s="3" t="n">
        <v>46308.60006944444</v>
      </c>
      <c r="U250" s="2" t="n"/>
    </row>
    <row r="251">
      <c r="A251" s="2" t="inlineStr">
        <is>
          <t>En plazo</t>
        </is>
      </c>
      <c r="B251" s="3" t="n">
        <v>46323.99930555555</v>
      </c>
      <c r="C251" s="5" t="n">
        <v>71646.21000000001</v>
      </c>
      <c r="D251" s="5" t="n">
        <v>71646.21000000001</v>
      </c>
      <c r="E251" s="2" t="inlineStr">
        <is>
          <t>Andalucía</t>
        </is>
      </c>
      <c r="F251" s="2" t="inlineStr">
        <is>
          <t>Málaga</t>
        </is>
      </c>
      <c r="G251" s="2" t="n"/>
      <c r="H251" s="2" t="inlineStr">
        <is>
          <t>Alcaldía del Ayuntamiento de Guaro</t>
        </is>
      </c>
      <c r="I251" s="2" t="inlineStr">
        <is>
          <t>Obra de saneamiento y alcantarillado de calle Barranco de Guaro</t>
        </is>
      </c>
      <c r="J251" s="2" t="inlineStr">
        <is>
          <t>2026_177_2</t>
        </is>
      </c>
      <c r="K251" s="2" t="inlineStr">
        <is>
          <t>Abierto simplificado</t>
        </is>
      </c>
      <c r="L251" s="6" t="n">
        <v>6</v>
      </c>
      <c r="M251" s="2" t="n"/>
      <c r="N251" s="7" t="n">
        <v>0</v>
      </c>
      <c r="O251" s="4" t="n"/>
      <c r="P251" s="2" t="inlineStr">
        <is>
          <t>45232410; 45232150; 45233252; 45232400</t>
        </is>
      </c>
      <c r="Q251" s="8" t="inlineStr">
        <is>
          <t>Ver</t>
        </is>
      </c>
      <c r="R251" s="8" t="inlineStr">
        <is>
          <t>PCAP</t>
        </is>
      </c>
      <c r="S251" s="9" t="n">
        <v>46310</v>
      </c>
      <c r="T251" s="3" t="n">
        <v>46308.59721064815</v>
      </c>
      <c r="U251" s="2" t="n"/>
    </row>
    <row r="252">
      <c r="A252" s="2" t="inlineStr">
        <is>
          <t>Resuelta</t>
        </is>
      </c>
      <c r="B252" s="3" t="n">
        <v>46223.99930555555</v>
      </c>
      <c r="C252" s="5" t="n">
        <v>670118.76</v>
      </c>
      <c r="D252" s="5" t="n">
        <v>670118.76</v>
      </c>
      <c r="E252" s="2" t="inlineStr">
        <is>
          <t>Andalucía</t>
        </is>
      </c>
      <c r="F252" s="2" t="inlineStr">
        <is>
          <t>Huelva</t>
        </is>
      </c>
      <c r="G252" s="2" t="n"/>
      <c r="H252" s="2" t="inlineStr">
        <is>
          <t>Junta de Gobierno de la Diputación Provincial de Huelva</t>
        </is>
      </c>
      <c r="I252" s="2" t="inlineStr">
        <is>
          <t>Rehabilitación de firme en diversas carreteras provinciales: Lote 2: Rehabilitación de firme CP HU-5401 Puebla de Guzmán a Paymogo.</t>
        </is>
      </c>
      <c r="J252" s="2" t="inlineStr">
        <is>
          <t>2026/CMY_03/000091</t>
        </is>
      </c>
      <c r="K252" s="2" t="inlineStr">
        <is>
          <t>Negociado sin publicidad</t>
        </is>
      </c>
      <c r="L252" s="6" t="n">
        <v>4</v>
      </c>
      <c r="M252" s="2" t="n"/>
      <c r="N252" s="7" t="n">
        <v>0</v>
      </c>
      <c r="O252" s="4" t="n"/>
      <c r="P252" s="2" t="inlineStr">
        <is>
          <t>45233000</t>
        </is>
      </c>
      <c r="Q252" s="8" t="inlineStr">
        <is>
          <t>Ver</t>
        </is>
      </c>
      <c r="R252" s="8" t="inlineStr">
        <is>
          <t>PCAP</t>
        </is>
      </c>
      <c r="S252" s="9" t="n">
        <v>46310</v>
      </c>
      <c r="T252" s="3" t="n">
        <v>46308.59719907407</v>
      </c>
      <c r="U252" s="2" t="n"/>
    </row>
    <row r="253">
      <c r="A253" s="2" t="inlineStr">
        <is>
          <t>En plazo</t>
        </is>
      </c>
      <c r="B253" s="3" t="n">
        <v>46335.79166666666</v>
      </c>
      <c r="C253" s="5" t="n">
        <v>98044.17999999999</v>
      </c>
      <c r="D253" s="5" t="n">
        <v>98044.17999999999</v>
      </c>
      <c r="E253" s="2" t="inlineStr">
        <is>
          <t>Comunitat Valenciana</t>
        </is>
      </c>
      <c r="F253" s="2" t="inlineStr">
        <is>
          <t>Alicante</t>
        </is>
      </c>
      <c r="G253" s="2" t="inlineStr">
        <is>
          <t>Alicante (Alacant)</t>
        </is>
      </c>
      <c r="H253" s="2" t="inlineStr">
        <is>
          <t>Alcaldía del Ayuntamiento de Finestrat</t>
        </is>
      </c>
      <c r="I253" s="2" t="inlineStr">
        <is>
          <t>Obras de Mejora en el Consultorio Médico Auxiliar Fernando Martínez López de Finestrat</t>
        </is>
      </c>
      <c r="J253" s="2" t="inlineStr">
        <is>
          <t>1-02-2026=A(=5143/2026)</t>
        </is>
      </c>
      <c r="K253" s="2" t="inlineStr">
        <is>
          <t>Abierto</t>
        </is>
      </c>
      <c r="L253" s="6" t="n">
        <v>2.1</v>
      </c>
      <c r="M253" s="2" t="n"/>
      <c r="N253" s="7" t="n">
        <v>0.49</v>
      </c>
      <c r="O253" s="4" t="n"/>
      <c r="P253" s="2" t="inlineStr">
        <is>
          <t>45261420</t>
        </is>
      </c>
      <c r="Q253" s="8" t="inlineStr">
        <is>
          <t>Ver</t>
        </is>
      </c>
      <c r="R253" s="8" t="inlineStr">
        <is>
          <t>PCAP</t>
        </is>
      </c>
      <c r="S253" s="9" t="n">
        <v>46310</v>
      </c>
      <c r="T253" s="3" t="n">
        <v>46308.58686342592</v>
      </c>
      <c r="U253" s="2" t="n"/>
    </row>
    <row r="254">
      <c r="A254" s="2" t="inlineStr">
        <is>
          <t>Resuelta</t>
        </is>
      </c>
      <c r="B254" s="3" t="n">
        <v>46223.99930555555</v>
      </c>
      <c r="C254" s="5" t="n">
        <v>413222.37</v>
      </c>
      <c r="D254" s="5" t="n">
        <v>413222.37</v>
      </c>
      <c r="E254" s="2" t="inlineStr">
        <is>
          <t>Andalucía</t>
        </is>
      </c>
      <c r="F254" s="2" t="inlineStr">
        <is>
          <t>Granada</t>
        </is>
      </c>
      <c r="G254" s="2" t="n"/>
      <c r="H254" s="2" t="inlineStr">
        <is>
          <t>Junta de Gobierno del Ayuntamiento de Armilla</t>
        </is>
      </c>
      <c r="I254" s="2" t="inlineStr">
        <is>
          <t>Ejecución de obras de asfaltado y pavimentación de las calles comprendidas en el proyecto PLAN DE ASFALTOS 2026</t>
        </is>
      </c>
      <c r="J254" s="2" t="inlineStr">
        <is>
          <t>2026-7303</t>
        </is>
      </c>
      <c r="K254" s="2" t="inlineStr">
        <is>
          <t>Abierto simplificado</t>
        </is>
      </c>
      <c r="L254" s="6" t="n">
        <v>1.5</v>
      </c>
      <c r="M254" s="2" t="n"/>
      <c r="N254" s="7" t="n">
        <v>0</v>
      </c>
      <c r="O254" s="4" t="n"/>
      <c r="P254" s="2" t="inlineStr">
        <is>
          <t>45233200; 45233142; 45233141</t>
        </is>
      </c>
      <c r="Q254" s="8" t="inlineStr">
        <is>
          <t>Ver</t>
        </is>
      </c>
      <c r="R254" s="8" t="inlineStr">
        <is>
          <t>PCAP</t>
        </is>
      </c>
      <c r="S254" s="9" t="n">
        <v>46310</v>
      </c>
      <c r="T254" s="3" t="n">
        <v>46308.58503472222</v>
      </c>
      <c r="U254" s="2" t="n"/>
    </row>
    <row r="255">
      <c r="A255" s="2" t="inlineStr">
        <is>
          <t>Pendiente de adjudicación</t>
        </is>
      </c>
      <c r="B255" s="3" t="n">
        <v>46280.99930555555</v>
      </c>
      <c r="C255" s="5" t="n">
        <v>661155.84</v>
      </c>
      <c r="D255" s="5" t="n">
        <v>661155.84</v>
      </c>
      <c r="E255" s="2" t="inlineStr">
        <is>
          <t>Andalucía</t>
        </is>
      </c>
      <c r="F255" s="2" t="inlineStr">
        <is>
          <t>Granada</t>
        </is>
      </c>
      <c r="G255" s="2" t="inlineStr">
        <is>
          <t>LA ZUBIA</t>
        </is>
      </c>
      <c r="H255" s="2" t="inlineStr">
        <is>
          <t>Presidencia de la Diputación Provincial de Granada</t>
        </is>
      </c>
      <c r="I255" s="2" t="inlineStr">
        <is>
          <t>2024/4/PPCGR/1-39 "C.P. GR-3211 de Granada (A-395) a la Zubia. Alumbrado y restauración paisajística del PK 1+440 al PK 2+330"</t>
        </is>
      </c>
      <c r="J255" s="2" t="inlineStr">
        <is>
          <t>OB-032/26</t>
        </is>
      </c>
      <c r="K255" s="2" t="inlineStr">
        <is>
          <t>Abierto simplificado</t>
        </is>
      </c>
      <c r="L255" s="6" t="n">
        <v>8</v>
      </c>
      <c r="M255" s="2" t="inlineStr">
        <is>
          <t>K5-2; K6-2; I1-2</t>
        </is>
      </c>
      <c r="N255" s="7" t="n">
        <v>0</v>
      </c>
      <c r="O255" s="4" t="n"/>
      <c r="P255" s="2" t="inlineStr">
        <is>
          <t>45233120</t>
        </is>
      </c>
      <c r="Q255" s="8" t="inlineStr">
        <is>
          <t>Ver</t>
        </is>
      </c>
      <c r="R255" s="8" t="inlineStr">
        <is>
          <t>PCAP</t>
        </is>
      </c>
      <c r="S255" s="9" t="n">
        <v>46310</v>
      </c>
      <c r="T255" s="3" t="n">
        <v>46308.57484953704</v>
      </c>
      <c r="U255" s="2" t="n"/>
    </row>
    <row r="256">
      <c r="A256" s="2" t="inlineStr">
        <is>
          <t>Adjudicada</t>
        </is>
      </c>
      <c r="B256" s="3" t="n">
        <v>46195.99722222222</v>
      </c>
      <c r="C256" s="5" t="n">
        <v>476154.55</v>
      </c>
      <c r="D256" s="5" t="n">
        <v>476154.55</v>
      </c>
      <c r="E256" s="2" t="inlineStr">
        <is>
          <t>Andalucía</t>
        </is>
      </c>
      <c r="F256" s="2" t="inlineStr">
        <is>
          <t>Granada</t>
        </is>
      </c>
      <c r="G256" s="2" t="n"/>
      <c r="H256" s="2" t="inlineStr">
        <is>
          <t>Rectorado de la Universidad de Granada</t>
        </is>
      </c>
      <c r="I256" s="2" t="inlineStr">
        <is>
          <t>Instalación de centro de transformación, línea de alta tensión y grupo electrógeno en edificio UGR-DONES de Escúzar</t>
        </is>
      </c>
      <c r="J256" s="2" t="inlineStr">
        <is>
          <t>UGR/2026/0054</t>
        </is>
      </c>
      <c r="K256" s="2" t="inlineStr">
        <is>
          <t>Abierto simplificado</t>
        </is>
      </c>
      <c r="L256" s="6" t="n">
        <v>5</v>
      </c>
      <c r="M256" s="2" t="n"/>
      <c r="N256" s="7" t="n">
        <v>1</v>
      </c>
      <c r="O256" s="4" t="n"/>
      <c r="P256" s="2" t="inlineStr">
        <is>
          <t>45315300; 45315700; 45232220</t>
        </is>
      </c>
      <c r="Q256" s="8" t="inlineStr">
        <is>
          <t>Ver</t>
        </is>
      </c>
      <c r="R256" s="8" t="inlineStr">
        <is>
          <t>PCAP</t>
        </is>
      </c>
      <c r="S256" s="9" t="n">
        <v>46310</v>
      </c>
      <c r="T256" s="3" t="n">
        <v>46308.57318287037</v>
      </c>
      <c r="U256" s="2" t="n"/>
    </row>
    <row r="257">
      <c r="A257" s="2" t="inlineStr">
        <is>
          <t>Pendiente de adjudicación</t>
        </is>
      </c>
      <c r="B257" s="3" t="n">
        <v>46293.99930555555</v>
      </c>
      <c r="C257" s="5" t="n">
        <v>246166.94</v>
      </c>
      <c r="D257" s="5" t="n">
        <v>246166.94</v>
      </c>
      <c r="E257" s="2" t="inlineStr">
        <is>
          <t>Andalucía</t>
        </is>
      </c>
      <c r="F257" s="2" t="inlineStr">
        <is>
          <t>Granada</t>
        </is>
      </c>
      <c r="G257" s="2" t="inlineStr">
        <is>
          <t>BEAS DE GUADIX</t>
        </is>
      </c>
      <c r="H257" s="2" t="inlineStr">
        <is>
          <t>Presidencia de la Diputación Provincial de Granada</t>
        </is>
      </c>
      <c r="I257" s="2" t="inlineStr">
        <is>
          <t>2020/2/PPOYS-24, 2022/2/PPOYS-24 y 2026/4/PPOYS-24 "Beas de Guadix, mejora de acceso a Beas de Guadix en Camino de Nogueras"</t>
        </is>
      </c>
      <c r="J257" s="2" t="inlineStr">
        <is>
          <t>OB-068/26</t>
        </is>
      </c>
      <c r="K257" s="2" t="inlineStr">
        <is>
          <t>Abierto simplificado</t>
        </is>
      </c>
      <c r="L257" s="6" t="n">
        <v>5</v>
      </c>
      <c r="M257" s="2" t="inlineStr">
        <is>
          <t>E7-2; G6-2</t>
        </is>
      </c>
      <c r="N257" s="7" t="n">
        <v>0</v>
      </c>
      <c r="O257" s="4" t="n"/>
      <c r="P257" s="2" t="inlineStr">
        <is>
          <t>45231100; 45233252</t>
        </is>
      </c>
      <c r="Q257" s="8" t="inlineStr">
        <is>
          <t>Ver</t>
        </is>
      </c>
      <c r="R257" s="8" t="inlineStr">
        <is>
          <t>PCAP</t>
        </is>
      </c>
      <c r="S257" s="9" t="n">
        <v>46310</v>
      </c>
      <c r="T257" s="3" t="n">
        <v>46308.57306712963</v>
      </c>
      <c r="U257" s="2" t="n"/>
    </row>
    <row r="258">
      <c r="A258" s="2" t="inlineStr">
        <is>
          <t>En plazo</t>
        </is>
      </c>
      <c r="B258" s="3" t="n">
        <v>46322.99930555555</v>
      </c>
      <c r="C258" s="5" t="n">
        <v>63300.18</v>
      </c>
      <c r="D258" s="5" t="n">
        <v>63300.18</v>
      </c>
      <c r="E258" s="2" t="inlineStr">
        <is>
          <t>Andalucía</t>
        </is>
      </c>
      <c r="F258" s="2" t="inlineStr">
        <is>
          <t>Córdoba</t>
        </is>
      </c>
      <c r="G258" s="2" t="inlineStr">
        <is>
          <t>Villanueva del Rey (Córdoba)</t>
        </is>
      </c>
      <c r="H258" s="2" t="inlineStr">
        <is>
          <t>Diputado delegado de Infraestructuras, Sostenibilidad y Agricultura</t>
        </is>
      </c>
      <c r="I258" s="2" t="inlineStr">
        <is>
          <t>Contratación de la obra Adaptación de Inmueble sito en Calle Real, 2 para aparcamiento público en Villanueva del Rey (Córdoba). Obra Incluida en el Plan Provincial de Obras y Servicios 2024-2027</t>
        </is>
      </c>
      <c r="J258" s="2" t="inlineStr">
        <is>
          <t>852/26</t>
        </is>
      </c>
      <c r="K258" s="2" t="inlineStr">
        <is>
          <t>Abierto simplificado</t>
        </is>
      </c>
      <c r="L258" s="6" t="n">
        <v>2</v>
      </c>
      <c r="M258" s="2" t="n"/>
      <c r="N258" s="7" t="n">
        <v>0</v>
      </c>
      <c r="O258" s="4" t="n"/>
      <c r="P258" s="2" t="inlineStr">
        <is>
          <t>45110000</t>
        </is>
      </c>
      <c r="Q258" s="8" t="inlineStr">
        <is>
          <t>Ver</t>
        </is>
      </c>
      <c r="R258" s="8" t="inlineStr">
        <is>
          <t>PCAP</t>
        </is>
      </c>
      <c r="S258" s="9" t="n">
        <v>46310</v>
      </c>
      <c r="T258" s="3" t="n">
        <v>46308.57271990741</v>
      </c>
      <c r="U258" s="2" t="n"/>
    </row>
    <row r="259">
      <c r="A259" s="2" t="inlineStr">
        <is>
          <t>En plazo</t>
        </is>
      </c>
      <c r="B259" s="3" t="n">
        <v>46335.79166666666</v>
      </c>
      <c r="C259" s="5" t="n">
        <v>486596.59</v>
      </c>
      <c r="D259" s="5" t="n">
        <v>486596.59</v>
      </c>
      <c r="E259" s="2" t="inlineStr">
        <is>
          <t>Andalucía</t>
        </is>
      </c>
      <c r="F259" s="2" t="inlineStr">
        <is>
          <t>Huelva</t>
        </is>
      </c>
      <c r="G259" s="2" t="inlineStr">
        <is>
          <t>Aljaraque</t>
        </is>
      </c>
      <c r="H259" s="2" t="inlineStr">
        <is>
          <t>Alcaldía del Ayuntamiento de Aljaraque</t>
        </is>
      </c>
      <c r="I259"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259" s="2" t="inlineStr">
        <is>
          <t>Expte 10153/2026 Proyecto+Obra Campo futbol7</t>
        </is>
      </c>
      <c r="K259" s="2" t="inlineStr">
        <is>
          <t>Abierto</t>
        </is>
      </c>
      <c r="L259" s="6" t="n">
        <v>14</v>
      </c>
      <c r="M259" s="2" t="n"/>
      <c r="N259" s="7" t="n">
        <v>0.4</v>
      </c>
      <c r="O259" s="4" t="n">
        <v>2</v>
      </c>
      <c r="P259" s="2" t="inlineStr">
        <is>
          <t>45212200; 71520000; 71242000</t>
        </is>
      </c>
      <c r="Q259" s="8" t="inlineStr">
        <is>
          <t>Ver</t>
        </is>
      </c>
      <c r="R259" s="8" t="inlineStr">
        <is>
          <t>PCAP</t>
        </is>
      </c>
      <c r="S259" s="9" t="n">
        <v>46310</v>
      </c>
      <c r="T259" s="3" t="n">
        <v>46308.57258101852</v>
      </c>
      <c r="U259" s="2" t="n"/>
    </row>
    <row r="260">
      <c r="A260" s="2" t="inlineStr">
        <is>
          <t>Adjudicada</t>
        </is>
      </c>
      <c r="B260" s="3" t="n"/>
      <c r="C260" s="5" t="n">
        <v>116424.71</v>
      </c>
      <c r="D260" s="5" t="n">
        <v>116424.71</v>
      </c>
      <c r="E260" s="2" t="inlineStr">
        <is>
          <t>Andalucía</t>
        </is>
      </c>
      <c r="F260" s="2" t="inlineStr">
        <is>
          <t>Granada</t>
        </is>
      </c>
      <c r="G260" s="2" t="n"/>
      <c r="H260" s="2" t="inlineStr">
        <is>
          <t>Junta de Gobierno del Ayuntamiento de Granada</t>
        </is>
      </c>
      <c r="I260" s="2" t="inlineStr">
        <is>
          <t>Contrato de obras necesarias e imprescindibles para la reposición de conductores eléctricos sustraídos de las instalaciones de alumbrado público de la ciudad de Granada, por razones de emergencia</t>
        </is>
      </c>
      <c r="J260" s="2" t="inlineStr">
        <is>
          <t>OBR-2026000123</t>
        </is>
      </c>
      <c r="K260" s="2" t="inlineStr">
        <is>
          <t>Abierto</t>
        </is>
      </c>
      <c r="L260" s="6" t="n">
        <v>1.5</v>
      </c>
      <c r="M260" s="2" t="n"/>
      <c r="N260" s="7" t="n">
        <v>0</v>
      </c>
      <c r="O260" s="4" t="n"/>
      <c r="P260" s="2" t="inlineStr">
        <is>
          <t>45316000</t>
        </is>
      </c>
      <c r="Q260" s="8" t="inlineStr">
        <is>
          <t>Ver</t>
        </is>
      </c>
      <c r="R260" s="2" t="n"/>
      <c r="S260" s="9" t="n">
        <v>46310</v>
      </c>
      <c r="T260" s="3" t="n">
        <v>46308.56891203704</v>
      </c>
      <c r="U260" s="2" t="n"/>
    </row>
    <row r="261">
      <c r="A261" s="2" t="inlineStr">
        <is>
          <t>Pendiente de adjudicación</t>
        </is>
      </c>
      <c r="B261" s="3" t="n">
        <v>46300.99930555555</v>
      </c>
      <c r="C261" s="5" t="n">
        <v>143339.4</v>
      </c>
      <c r="D261" s="5" t="n">
        <v>143339.4</v>
      </c>
      <c r="E261" s="2" t="inlineStr">
        <is>
          <t>Andalucía</t>
        </is>
      </c>
      <c r="F261" s="2" t="inlineStr">
        <is>
          <t>Granada</t>
        </is>
      </c>
      <c r="G261" s="2" t="inlineStr">
        <is>
          <t>LA CALAHORRA</t>
        </is>
      </c>
      <c r="H261" s="2" t="inlineStr">
        <is>
          <t>Presidencia de la Diputación Provincial de Granada</t>
        </is>
      </c>
      <c r="I261" s="2" t="inlineStr">
        <is>
          <t>"Obras de conservación y acondicionamiento de salas en Castillo de La Calahorra·</t>
        </is>
      </c>
      <c r="J261" s="2" t="inlineStr">
        <is>
          <t>OB-077/26</t>
        </is>
      </c>
      <c r="K261" s="2" t="inlineStr">
        <is>
          <t>Abierto simplificado</t>
        </is>
      </c>
      <c r="L261" s="6" t="n">
        <v>3</v>
      </c>
      <c r="M261" s="2" t="inlineStr">
        <is>
          <t>K7-1</t>
        </is>
      </c>
      <c r="N261" s="7" t="n">
        <v>0</v>
      </c>
      <c r="O261" s="4" t="n"/>
      <c r="P261" s="2" t="inlineStr">
        <is>
          <t>45454100; 45212350</t>
        </is>
      </c>
      <c r="Q261" s="8" t="inlineStr">
        <is>
          <t>Ver</t>
        </is>
      </c>
      <c r="R261" s="8" t="inlineStr">
        <is>
          <t>PCAP</t>
        </is>
      </c>
      <c r="S261" s="9" t="n">
        <v>46310</v>
      </c>
      <c r="T261" s="3" t="n">
        <v>46308.56767361111</v>
      </c>
      <c r="U261" s="2" t="n"/>
    </row>
    <row r="262">
      <c r="A262" s="2" t="inlineStr">
        <is>
          <t>Adjudicada</t>
        </is>
      </c>
      <c r="B262" s="3" t="n">
        <v>46265.99930555555</v>
      </c>
      <c r="C262" s="5" t="n">
        <v>168275.55</v>
      </c>
      <c r="D262" s="5" t="n">
        <v>201930.66</v>
      </c>
      <c r="E262" s="2" t="inlineStr">
        <is>
          <t>Comunitat Valenciana</t>
        </is>
      </c>
      <c r="F262" s="2" t="inlineStr">
        <is>
          <t>Valencia</t>
        </is>
      </c>
      <c r="G262" s="2" t="n"/>
      <c r="H262" s="2" t="inlineStr">
        <is>
          <t>Apoderado Mancomunado de Aigües de Sagunt, S.A.</t>
        </is>
      </c>
      <c r="I262" s="2" t="inlineStr">
        <is>
          <t>Obras destinadas a la mejora del rendimiento hidráulico de la tubería de traída de agua potable al Puerto de Sagunto (València)</t>
        </is>
      </c>
      <c r="J262" s="2" t="inlineStr">
        <is>
          <t>EC-1787/2026</t>
        </is>
      </c>
      <c r="K262" s="2" t="inlineStr">
        <is>
          <t>Abierto</t>
        </is>
      </c>
      <c r="L262" s="6" t="n">
        <v>2</v>
      </c>
      <c r="M262" s="2" t="n"/>
      <c r="N262" s="7" t="n">
        <v>0.45</v>
      </c>
      <c r="O262" s="4" t="n"/>
      <c r="P262" s="2" t="inlineStr">
        <is>
          <t>45232150</t>
        </is>
      </c>
      <c r="Q262" s="8" t="inlineStr">
        <is>
          <t>Ver</t>
        </is>
      </c>
      <c r="R262" s="8" t="inlineStr">
        <is>
          <t>PCAP</t>
        </is>
      </c>
      <c r="S262" s="9" t="n">
        <v>46310</v>
      </c>
      <c r="T262" s="3" t="n">
        <v>46308.56637731481</v>
      </c>
      <c r="U262" s="2" t="n"/>
    </row>
    <row r="263">
      <c r="A263" s="2" t="inlineStr">
        <is>
          <t>Resuelta</t>
        </is>
      </c>
      <c r="B263" s="3" t="n">
        <v>46210.79166666666</v>
      </c>
      <c r="C263" s="5" t="n">
        <v>72042.59</v>
      </c>
      <c r="D263" s="5" t="n">
        <v>72042.59</v>
      </c>
      <c r="E263" s="2" t="inlineStr">
        <is>
          <t>Andalucía</t>
        </is>
      </c>
      <c r="F263" s="2" t="inlineStr">
        <is>
          <t>Cádiz</t>
        </is>
      </c>
      <c r="G263" s="2" t="inlineStr">
        <is>
          <t>TARIFA</t>
        </is>
      </c>
      <c r="H263" s="2" t="inlineStr">
        <is>
          <t>Alcaldía del Ayuntamiento de Tarifa</t>
        </is>
      </c>
      <c r="I263" s="2" t="inlineStr">
        <is>
          <t>consolidación de la espadaña de la Iglesia de Santiago de Tarifa</t>
        </is>
      </c>
      <c r="J263" s="2" t="inlineStr">
        <is>
          <t>2025/</t>
        </is>
      </c>
      <c r="K263" s="2" t="inlineStr">
        <is>
          <t>Abierto simplificado</t>
        </is>
      </c>
      <c r="L263" s="6" t="n">
        <v>2</v>
      </c>
      <c r="M263" s="2" t="n"/>
      <c r="N263" s="7" t="n">
        <v>0</v>
      </c>
      <c r="O263" s="4" t="n"/>
      <c r="P263" s="2" t="inlineStr">
        <is>
          <t>45000000</t>
        </is>
      </c>
      <c r="Q263" s="8" t="inlineStr">
        <is>
          <t>Ver</t>
        </is>
      </c>
      <c r="R263" s="8" t="inlineStr">
        <is>
          <t>PCAP</t>
        </is>
      </c>
      <c r="S263" s="9" t="n">
        <v>46310</v>
      </c>
      <c r="T263" s="3" t="n">
        <v>46308.56576388889</v>
      </c>
      <c r="U263" s="2" t="n"/>
    </row>
    <row r="264">
      <c r="A264" s="2" t="inlineStr">
        <is>
          <t>En plazo</t>
        </is>
      </c>
      <c r="B264" s="3" t="n">
        <v>46328.99930555555</v>
      </c>
      <c r="C264" s="5" t="n">
        <v>106640.08</v>
      </c>
      <c r="D264" s="5" t="n">
        <v>106640.08</v>
      </c>
      <c r="E264" s="2" t="inlineStr">
        <is>
          <t>Comunitat Valenciana</t>
        </is>
      </c>
      <c r="F264" s="2" t="inlineStr">
        <is>
          <t>Valencia</t>
        </is>
      </c>
      <c r="G264" s="2" t="n"/>
      <c r="H264" s="2" t="inlineStr">
        <is>
          <t>Junta de Gobierno del Ayuntamiento de Alzira</t>
        </is>
      </c>
      <c r="I264" s="2" t="inlineStr">
        <is>
          <t>Obras de adaptación del edificio de la Pl. Sufragio,10, para albergar el departamento de Servicios Sociales</t>
        </is>
      </c>
      <c r="J264" s="2" t="inlineStr">
        <is>
          <t>8113/26</t>
        </is>
      </c>
      <c r="K264" s="2" t="inlineStr">
        <is>
          <t>Abierto simplificado</t>
        </is>
      </c>
      <c r="L264" s="6" t="n">
        <v>3</v>
      </c>
      <c r="M264" s="2" t="n"/>
      <c r="N264" s="7" t="n">
        <v>0</v>
      </c>
      <c r="O264" s="4" t="n"/>
      <c r="P264" s="2" t="inlineStr">
        <is>
          <t>45454000</t>
        </is>
      </c>
      <c r="Q264" s="8" t="inlineStr">
        <is>
          <t>Ver</t>
        </is>
      </c>
      <c r="R264" s="8" t="inlineStr">
        <is>
          <t>PCAP</t>
        </is>
      </c>
      <c r="S264" s="9" t="n">
        <v>46310</v>
      </c>
      <c r="T264" s="3" t="n">
        <v>46308.5640162037</v>
      </c>
      <c r="U264" s="2" t="n"/>
    </row>
    <row r="265">
      <c r="A265" s="2" t="inlineStr">
        <is>
          <t>En plazo</t>
        </is>
      </c>
      <c r="B265" s="3" t="n">
        <v>46329.99930555555</v>
      </c>
      <c r="C265" s="5" t="n">
        <v>97066.57000000001</v>
      </c>
      <c r="D265" s="5" t="n">
        <v>97066.57000000001</v>
      </c>
      <c r="E265" s="2" t="inlineStr">
        <is>
          <t>Andalucía</t>
        </is>
      </c>
      <c r="F265" s="2" t="inlineStr">
        <is>
          <t>Jaén</t>
        </is>
      </c>
      <c r="G265" s="2" t="inlineStr">
        <is>
          <t>Puente de Génave</t>
        </is>
      </c>
      <c r="H265" s="2" t="inlineStr">
        <is>
          <t>Alcaldía del Ayuntamiento de Puente de Génave</t>
        </is>
      </c>
      <c r="I265" s="2" t="inlineStr">
        <is>
          <t>Reparación de firme en Paseo de la Vicaria.</t>
        </is>
      </c>
      <c r="J265" s="2" t="inlineStr">
        <is>
          <t>386/2026</t>
        </is>
      </c>
      <c r="K265" s="2" t="inlineStr">
        <is>
          <t>Abierto simplificado</t>
        </is>
      </c>
      <c r="L265" s="6" t="n">
        <v>5</v>
      </c>
      <c r="M265" s="2" t="inlineStr">
        <is>
          <t>G4-1</t>
        </is>
      </c>
      <c r="N265" s="7" t="n">
        <v>0</v>
      </c>
      <c r="O265" s="4" t="n"/>
      <c r="P265" s="2" t="inlineStr">
        <is>
          <t>45233252; 45233222</t>
        </is>
      </c>
      <c r="Q265" s="8" t="inlineStr">
        <is>
          <t>Ver</t>
        </is>
      </c>
      <c r="R265" s="8" t="inlineStr">
        <is>
          <t>PCAP</t>
        </is>
      </c>
      <c r="S265" s="9" t="n">
        <v>46310</v>
      </c>
      <c r="T265" s="3" t="n">
        <v>46308.56355324074</v>
      </c>
      <c r="U265" s="2" t="n"/>
    </row>
    <row r="266">
      <c r="A266" s="2" t="inlineStr">
        <is>
          <t>Pendiente de adjudicación</t>
        </is>
      </c>
      <c r="B266" s="3" t="n">
        <v>46279.99930555555</v>
      </c>
      <c r="C266" s="5" t="n">
        <v>309917.35</v>
      </c>
      <c r="D266" s="5" t="n">
        <v>309917.35</v>
      </c>
      <c r="E266" s="2" t="inlineStr">
        <is>
          <t>Andalucía</t>
        </is>
      </c>
      <c r="F266" s="2" t="inlineStr">
        <is>
          <t>Málaga</t>
        </is>
      </c>
      <c r="G266" s="2" t="n"/>
      <c r="H266" s="2" t="inlineStr">
        <is>
          <t>Concejalía de Hacienda del Ayuntamiento de Benalmádena</t>
        </is>
      </c>
      <c r="I266" s="2" t="inlineStr">
        <is>
          <t>Contrato de obras para la restauración y conservación de Torre Bermeja en Benalmádena</t>
        </is>
      </c>
      <c r="J266" s="2" t="inlineStr">
        <is>
          <t>2026/34606Y</t>
        </is>
      </c>
      <c r="K266" s="2" t="inlineStr">
        <is>
          <t>Abierto simplificado</t>
        </is>
      </c>
      <c r="L266" s="6" t="n">
        <v>8</v>
      </c>
      <c r="M266" s="2" t="n"/>
      <c r="N266" s="7" t="n">
        <v>0</v>
      </c>
      <c r="O266" s="4" t="n"/>
      <c r="P266" s="2" t="inlineStr">
        <is>
          <t>45454100; 45212350</t>
        </is>
      </c>
      <c r="Q266" s="8" t="inlineStr">
        <is>
          <t>Ver</t>
        </is>
      </c>
      <c r="R266" s="8" t="inlineStr">
        <is>
          <t>PCAP</t>
        </is>
      </c>
      <c r="S266" s="9" t="n">
        <v>46310</v>
      </c>
      <c r="T266" s="3" t="n">
        <v>46308.55702546296</v>
      </c>
      <c r="U266" s="2" t="n"/>
    </row>
    <row r="267">
      <c r="A267" s="2" t="inlineStr">
        <is>
          <t>Resuelta</t>
        </is>
      </c>
      <c r="B267" s="3" t="n">
        <v>46246.58333333334</v>
      </c>
      <c r="C267" s="5" t="n">
        <v>197369.82</v>
      </c>
      <c r="D267" s="5" t="n">
        <v>197369.82</v>
      </c>
      <c r="E267" s="2" t="inlineStr">
        <is>
          <t>Comunitat Valenciana</t>
        </is>
      </c>
      <c r="F267" s="2" t="inlineStr">
        <is>
          <t>Valencia</t>
        </is>
      </c>
      <c r="G267" s="2" t="inlineStr">
        <is>
          <t>Los Ruices</t>
        </is>
      </c>
      <c r="H267" s="2" t="inlineStr">
        <is>
          <t>Junta de Gobierno Local del Ayuntamiento de Requena</t>
        </is>
      </c>
      <c r="I267" s="2" t="inlineStr">
        <is>
          <t>Reforma del centro social de Los Ruices</t>
        </is>
      </c>
      <c r="J267" s="2" t="inlineStr">
        <is>
          <t>2810416F</t>
        </is>
      </c>
      <c r="K267" s="2" t="inlineStr">
        <is>
          <t>Abierto simplificado</t>
        </is>
      </c>
      <c r="L267" s="6" t="n">
        <v>4</v>
      </c>
      <c r="M267" s="2" t="n"/>
      <c r="N267" s="7" t="n">
        <v>0</v>
      </c>
      <c r="O267" s="4" t="n"/>
      <c r="P267" s="2" t="inlineStr">
        <is>
          <t>45000000</t>
        </is>
      </c>
      <c r="Q267" s="8" t="inlineStr">
        <is>
          <t>Ver</t>
        </is>
      </c>
      <c r="R267" s="8" t="inlineStr">
        <is>
          <t>PCAP</t>
        </is>
      </c>
      <c r="S267" s="9" t="n">
        <v>46310</v>
      </c>
      <c r="T267" s="3" t="n">
        <v>46308.5568287037</v>
      </c>
      <c r="U267" s="2" t="n"/>
    </row>
    <row r="268">
      <c r="A268" s="2" t="inlineStr">
        <is>
          <t>Pendiente de adjudicación</t>
        </is>
      </c>
      <c r="B268" s="3" t="n">
        <v>46244.58333333334</v>
      </c>
      <c r="C268" s="5" t="n">
        <v>245778.41</v>
      </c>
      <c r="D268" s="5" t="n">
        <v>270356.25</v>
      </c>
      <c r="E268" s="2" t="inlineStr">
        <is>
          <t>Comunitat Valenciana</t>
        </is>
      </c>
      <c r="F268" s="2" t="inlineStr">
        <is>
          <t>Alicante</t>
        </is>
      </c>
      <c r="G268" s="2" t="inlineStr">
        <is>
          <t>Alicante (Alacant)</t>
        </is>
      </c>
      <c r="H268" s="2" t="inlineStr">
        <is>
          <t>Junta de Gobierno del Ayuntamiento de Petrer</t>
        </is>
      </c>
      <c r="I268" s="2" t="inlineStr">
        <is>
          <t>Obras incluidas en el "Proyecto de mejora y renovación de las zonas de juegos infantiles del Parque Municipal El Campet (Petrer)"</t>
        </is>
      </c>
      <c r="J268" s="2" t="inlineStr">
        <is>
          <t>4908/2026-C19/26</t>
        </is>
      </c>
      <c r="K268" s="2" t="inlineStr">
        <is>
          <t>Abierto simplificado</t>
        </is>
      </c>
      <c r="L268" s="6" t="n">
        <v>3</v>
      </c>
      <c r="M268" s="2" t="n"/>
      <c r="N268" s="7" t="n"/>
      <c r="O268" s="4" t="n"/>
      <c r="P268" s="2" t="inlineStr">
        <is>
          <t>45200000; 45233200; 43325000</t>
        </is>
      </c>
      <c r="Q268" s="8" t="inlineStr">
        <is>
          <t>Ver</t>
        </is>
      </c>
      <c r="R268" s="8" t="inlineStr">
        <is>
          <t>PCAP</t>
        </is>
      </c>
      <c r="S268" s="9" t="n">
        <v>46310</v>
      </c>
      <c r="T268" s="3" t="n">
        <v>46308.55604166666</v>
      </c>
      <c r="U268" s="2" t="n"/>
    </row>
    <row r="269">
      <c r="A269" s="2" t="inlineStr">
        <is>
          <t>Pendiente de adjudicación</t>
        </is>
      </c>
      <c r="B269" s="3" t="n">
        <v>46300.99930555555</v>
      </c>
      <c r="C269" s="5" t="n">
        <v>106657.02</v>
      </c>
      <c r="D269" s="5" t="n">
        <v>106657.02</v>
      </c>
      <c r="E269" s="2" t="inlineStr">
        <is>
          <t>Andalucía</t>
        </is>
      </c>
      <c r="F269" s="2" t="inlineStr">
        <is>
          <t>Granada</t>
        </is>
      </c>
      <c r="G269" s="2" t="inlineStr">
        <is>
          <t>CARCHUNA - CALAHONDA</t>
        </is>
      </c>
      <c r="H269" s="2" t="inlineStr">
        <is>
          <t>Presidencia de la Diputación Provincial de Granada</t>
        </is>
      </c>
      <c r="I269" s="2" t="inlineStr">
        <is>
          <t>2026/4/PPOYS-41/1 y 2026/4/PPOYS-41/2 "Carchuna-Calahonda, reforma zona peatonal Calle Espliego (Plaza Espliego) y Calle Flor de Lis de Calahonda"</t>
        </is>
      </c>
      <c r="J269" s="2" t="inlineStr">
        <is>
          <t>OB-055/26</t>
        </is>
      </c>
      <c r="K269" s="2" t="inlineStr">
        <is>
          <t>Abierto simplificado</t>
        </is>
      </c>
      <c r="L269" s="6" t="n">
        <v>6</v>
      </c>
      <c r="M269" s="2" t="inlineStr">
        <is>
          <t>G6-1</t>
        </is>
      </c>
      <c r="N269" s="7" t="n">
        <v>0</v>
      </c>
      <c r="O269" s="4" t="n"/>
      <c r="P269" s="2" t="inlineStr">
        <is>
          <t>45233252; 45316100</t>
        </is>
      </c>
      <c r="Q269" s="8" t="inlineStr">
        <is>
          <t>Ver</t>
        </is>
      </c>
      <c r="R269" s="8" t="inlineStr">
        <is>
          <t>PCAP</t>
        </is>
      </c>
      <c r="S269" s="9" t="n">
        <v>46310</v>
      </c>
      <c r="T269" s="3" t="n">
        <v>46308.55388888889</v>
      </c>
      <c r="U269" s="2" t="n"/>
    </row>
    <row r="270">
      <c r="A270" s="2" t="inlineStr">
        <is>
          <t>Pendiente de adjudicación</t>
        </is>
      </c>
      <c r="B270" s="3" t="n">
        <v>46258.99930555555</v>
      </c>
      <c r="C270" s="5" t="n">
        <v>281188.21</v>
      </c>
      <c r="D270" s="5" t="n">
        <v>281188.21</v>
      </c>
      <c r="E270" s="2" t="inlineStr">
        <is>
          <t>Andalucía</t>
        </is>
      </c>
      <c r="F270" s="2" t="inlineStr">
        <is>
          <t>Sevilla</t>
        </is>
      </c>
      <c r="G270" s="2" t="n"/>
      <c r="H270" s="2" t="inlineStr">
        <is>
          <t>Junta de Gobierno del Ayuntamiento de Dos Hermanas</t>
        </is>
      </c>
      <c r="I270" s="2" t="inlineStr">
        <is>
          <t>Reforma de la Instalación de Alumbrado Público en Barriada la Motilla</t>
        </is>
      </c>
      <c r="J270" s="2" t="inlineStr">
        <is>
          <t>2026000004</t>
        </is>
      </c>
      <c r="K270" s="2" t="inlineStr">
        <is>
          <t>Abierto simplificado</t>
        </is>
      </c>
      <c r="L270" s="6" t="n">
        <v>4</v>
      </c>
      <c r="M270" s="2" t="n"/>
      <c r="N270" s="7" t="n">
        <v>0</v>
      </c>
      <c r="O270" s="4" t="n"/>
      <c r="P270" s="2" t="inlineStr">
        <is>
          <t>45316000</t>
        </is>
      </c>
      <c r="Q270" s="8" t="inlineStr">
        <is>
          <t>Ver</t>
        </is>
      </c>
      <c r="R270" s="8" t="inlineStr">
        <is>
          <t>PCAP</t>
        </is>
      </c>
      <c r="S270" s="9" t="n">
        <v>46310</v>
      </c>
      <c r="T270" s="3" t="n">
        <v>46308.55334490741</v>
      </c>
      <c r="U270" s="2" t="n"/>
    </row>
    <row r="271">
      <c r="A271" s="2" t="inlineStr">
        <is>
          <t>En plazo</t>
        </is>
      </c>
      <c r="B271" s="3" t="n">
        <v>46322.99930555555</v>
      </c>
      <c r="C271" s="5" t="n">
        <v>66527.74000000001</v>
      </c>
      <c r="D271" s="5" t="n">
        <v>66527.74000000001</v>
      </c>
      <c r="E271" s="2" t="inlineStr">
        <is>
          <t>Andalucía</t>
        </is>
      </c>
      <c r="F271" s="2" t="inlineStr">
        <is>
          <t>Cádiz</t>
        </is>
      </c>
      <c r="G271" s="2" t="inlineStr">
        <is>
          <t>Puerto Real</t>
        </is>
      </c>
      <c r="H271" s="2" t="inlineStr">
        <is>
          <t>Alcaldía del Ayuntamiento de Puerto Real</t>
        </is>
      </c>
      <c r="I271" s="2" t="inlineStr">
        <is>
          <t>B/005/2026: Obras de mejora de la iluminación y eficiencia energética de la instalación deportiva Sala de Barrio 512 de Puerto Real.</t>
        </is>
      </c>
      <c r="J271" s="2" t="inlineStr">
        <is>
          <t>12921/2026</t>
        </is>
      </c>
      <c r="K271" s="2" t="inlineStr">
        <is>
          <t>Abierto simplificado</t>
        </is>
      </c>
      <c r="L271" s="6" t="n">
        <v>0.9</v>
      </c>
      <c r="M271" s="2" t="n"/>
      <c r="N271" s="7" t="n">
        <v>0</v>
      </c>
      <c r="O271" s="4" t="n"/>
      <c r="P271" s="2" t="inlineStr">
        <is>
          <t>45310000; 45316000</t>
        </is>
      </c>
      <c r="Q271" s="8" t="inlineStr">
        <is>
          <t>Ver</t>
        </is>
      </c>
      <c r="R271" s="8" t="inlineStr">
        <is>
          <t>PCAP</t>
        </is>
      </c>
      <c r="S271" s="9" t="n">
        <v>46310</v>
      </c>
      <c r="T271" s="3" t="n">
        <v>46308.55271990741</v>
      </c>
      <c r="U271" s="2" t="n"/>
    </row>
    <row r="272">
      <c r="A272" s="2" t="inlineStr">
        <is>
          <t>En plazo</t>
        </is>
      </c>
      <c r="B272" s="3" t="n">
        <v>46329.99930555555</v>
      </c>
      <c r="C272" s="5" t="n">
        <v>147607.22</v>
      </c>
      <c r="D272" s="5" t="n">
        <v>147607.22</v>
      </c>
      <c r="E272" s="2" t="inlineStr">
        <is>
          <t>Andalucía</t>
        </is>
      </c>
      <c r="F272" s="2" t="inlineStr">
        <is>
          <t>Málaga</t>
        </is>
      </c>
      <c r="G272" s="2" t="n"/>
      <c r="H272" s="2" t="inlineStr">
        <is>
          <t>Presidencia de la Diputación Provincial de Málaga</t>
        </is>
      </c>
      <c r="I272" s="2" t="inlineStr">
        <is>
          <t>Reforma de aseos en planta primera y segunda en Centro Virgen de la Esperanza</t>
        </is>
      </c>
      <c r="J272" s="2" t="inlineStr">
        <is>
          <t>OP-PA.-2024/004-3A-CONV</t>
        </is>
      </c>
      <c r="K272" s="2" t="inlineStr">
        <is>
          <t>Abierto simplificado</t>
        </is>
      </c>
      <c r="L272" s="6" t="n">
        <v>3</v>
      </c>
      <c r="M272" s="2" t="n"/>
      <c r="N272" s="7" t="n">
        <v>0</v>
      </c>
      <c r="O272" s="4" t="n"/>
      <c r="P272" s="2" t="inlineStr">
        <is>
          <t>45211310</t>
        </is>
      </c>
      <c r="Q272" s="8" t="inlineStr">
        <is>
          <t>Ver</t>
        </is>
      </c>
      <c r="R272" s="8" t="inlineStr">
        <is>
          <t>PCAP</t>
        </is>
      </c>
      <c r="S272" s="9" t="n">
        <v>46310</v>
      </c>
      <c r="T272" s="3" t="n">
        <v>46308.55158564815</v>
      </c>
      <c r="U272" s="2" t="n"/>
    </row>
    <row r="273">
      <c r="A273" s="2" t="inlineStr">
        <is>
          <t>Pendiente de adjudicación</t>
        </is>
      </c>
      <c r="B273" s="3" t="n">
        <v>46246.99930555555</v>
      </c>
      <c r="C273" s="5" t="n">
        <v>488969.76</v>
      </c>
      <c r="D273" s="5" t="n">
        <v>635660.6899999999</v>
      </c>
      <c r="E273" s="2" t="inlineStr">
        <is>
          <t>Comunitat Valenciana</t>
        </is>
      </c>
      <c r="F273" s="2" t="inlineStr">
        <is>
          <t>Valencia</t>
        </is>
      </c>
      <c r="G273" s="2" t="n"/>
      <c r="H273" s="2" t="inlineStr">
        <is>
          <t>Dirección de la Agencia Valenciana de Seguridad y Respuestas a las Emergencias</t>
        </is>
      </c>
      <c r="I273" s="2" t="inlineStr">
        <is>
          <t>Obras de reparación de diversas patologías en el hormigón y revestimientos del edificio de departamentos docentes del Instituto Valenciano de Seguridad Pública y Emergencias, ubicado en el Complejo Educativo de Cheste</t>
        </is>
      </c>
      <c r="J273" s="2" t="inlineStr">
        <is>
          <t>CNMY26/IVA/09</t>
        </is>
      </c>
      <c r="K273" s="2" t="inlineStr">
        <is>
          <t>Abierto simplificado</t>
        </is>
      </c>
      <c r="L273" s="6" t="n">
        <v>6</v>
      </c>
      <c r="M273" s="2" t="n"/>
      <c r="N273" s="7" t="n">
        <v>0</v>
      </c>
      <c r="O273" s="4" t="n"/>
      <c r="P273" s="2" t="inlineStr">
        <is>
          <t>45000000; 45262700; 45400000; 45212350; 45262690</t>
        </is>
      </c>
      <c r="Q273" s="8" t="inlineStr">
        <is>
          <t>Ver</t>
        </is>
      </c>
      <c r="R273" s="8" t="inlineStr">
        <is>
          <t>PCAP</t>
        </is>
      </c>
      <c r="S273" s="9" t="n">
        <v>46310</v>
      </c>
      <c r="T273" s="3" t="n">
        <v>46308.54888888889</v>
      </c>
      <c r="U273" s="2" t="n"/>
    </row>
    <row r="274">
      <c r="A274" s="2" t="inlineStr">
        <is>
          <t>Adjudicada</t>
        </is>
      </c>
      <c r="B274" s="3" t="n">
        <v>46280.99930555555</v>
      </c>
      <c r="C274" s="5" t="n">
        <v>139970.06</v>
      </c>
      <c r="D274" s="5" t="n">
        <v>139970.06</v>
      </c>
      <c r="E274" s="2" t="inlineStr">
        <is>
          <t>Andalucía</t>
        </is>
      </c>
      <c r="F274" s="2" t="inlineStr">
        <is>
          <t>Huelva</t>
        </is>
      </c>
      <c r="G274" s="2" t="inlineStr">
        <is>
          <t>La Palma del Condado</t>
        </is>
      </c>
      <c r="H274" s="2" t="inlineStr">
        <is>
          <t>Alcaldía del Ayuntamiento de La Palma del Condado</t>
        </is>
      </c>
      <c r="I274"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274" s="2" t="inlineStr">
        <is>
          <t>1468/2026</t>
        </is>
      </c>
      <c r="K274" s="2" t="inlineStr">
        <is>
          <t>Abierto simplificado</t>
        </is>
      </c>
      <c r="L274" s="6" t="n">
        <v>0.5</v>
      </c>
      <c r="M274" s="2" t="n"/>
      <c r="N274" s="7" t="n">
        <v>0</v>
      </c>
      <c r="O274" s="4" t="n"/>
      <c r="P274" s="2" t="inlineStr">
        <is>
          <t>45233222</t>
        </is>
      </c>
      <c r="Q274" s="8" t="inlineStr">
        <is>
          <t>Ver</t>
        </is>
      </c>
      <c r="R274" s="8" t="inlineStr">
        <is>
          <t>PCAP</t>
        </is>
      </c>
      <c r="S274" s="9" t="n">
        <v>46310</v>
      </c>
      <c r="T274" s="3" t="n">
        <v>46308.5456712963</v>
      </c>
      <c r="U274" s="2" t="n"/>
    </row>
    <row r="275">
      <c r="A275" s="2" t="inlineStr">
        <is>
          <t>En plazo</t>
        </is>
      </c>
      <c r="B275" s="3" t="n">
        <v>46328.99930555555</v>
      </c>
      <c r="C275" s="5" t="n">
        <v>407724.68</v>
      </c>
      <c r="D275" s="5" t="n">
        <v>407724.68</v>
      </c>
      <c r="E275" s="2" t="inlineStr">
        <is>
          <t>Comunitat Valenciana</t>
        </is>
      </c>
      <c r="F275" s="2" t="inlineStr">
        <is>
          <t>Valencia</t>
        </is>
      </c>
      <c r="G275" s="2" t="inlineStr">
        <is>
          <t>Sinarcas</t>
        </is>
      </c>
      <c r="H275" s="2" t="inlineStr">
        <is>
          <t>Pleno del Ayuntamiento de Sinarcas</t>
        </is>
      </c>
      <c r="I275" s="2" t="inlineStr">
        <is>
          <t>Habilitación y urbanización de la zona comprendida entre C/ Cerro Carpio y Avda. Gran Sinarcas</t>
        </is>
      </c>
      <c r="J275" s="2" t="inlineStr">
        <is>
          <t>76/2026 DANA 2024</t>
        </is>
      </c>
      <c r="K275" s="2" t="inlineStr">
        <is>
          <t>Abierto simplificado</t>
        </is>
      </c>
      <c r="L275" s="6" t="n">
        <v>11</v>
      </c>
      <c r="M275" s="2" t="n"/>
      <c r="N275" s="7" t="n">
        <v>0</v>
      </c>
      <c r="O275" s="4" t="n"/>
      <c r="P275" s="2" t="inlineStr">
        <is>
          <t>45211360; 45233252; 45232451; 45112710</t>
        </is>
      </c>
      <c r="Q275" s="8" t="inlineStr">
        <is>
          <t>Ver</t>
        </is>
      </c>
      <c r="R275" s="8" t="inlineStr">
        <is>
          <t>PCAP</t>
        </is>
      </c>
      <c r="S275" s="9" t="n">
        <v>46310</v>
      </c>
      <c r="T275" s="3" t="n">
        <v>46308.54163194444</v>
      </c>
      <c r="U275" s="2" t="n"/>
    </row>
    <row r="276">
      <c r="A276" s="2" t="inlineStr">
        <is>
          <t>En plazo</t>
        </is>
      </c>
      <c r="B276" s="3" t="n">
        <v>46322.99930555555</v>
      </c>
      <c r="C276" s="5" t="n">
        <v>39283.62</v>
      </c>
      <c r="D276" s="5" t="n">
        <v>39283.62</v>
      </c>
      <c r="E276" s="2" t="inlineStr">
        <is>
          <t>Andalucía</t>
        </is>
      </c>
      <c r="F276" s="2" t="inlineStr">
        <is>
          <t>Córdoba</t>
        </is>
      </c>
      <c r="G276" s="2" t="inlineStr">
        <is>
          <t>Peñarroya-Pueblonuevo</t>
        </is>
      </c>
      <c r="H276" s="2" t="inlineStr">
        <is>
          <t>Alcaldía del Ayuntamiento de Peñarroya-Pueblonuevo</t>
        </is>
      </c>
      <c r="I276"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276" s="2" t="inlineStr">
        <is>
          <t>12250/2026</t>
        </is>
      </c>
      <c r="K276" s="2" t="inlineStr">
        <is>
          <t>Abierto simplificado</t>
        </is>
      </c>
      <c r="L276" s="6" t="n">
        <v>2</v>
      </c>
      <c r="M276" s="2" t="n"/>
      <c r="N276" s="7" t="n">
        <v>0</v>
      </c>
      <c r="O276" s="4" t="n"/>
      <c r="P276" s="2" t="inlineStr">
        <is>
          <t>45200000; 45262520; 45450000</t>
        </is>
      </c>
      <c r="Q276" s="8" t="inlineStr">
        <is>
          <t>Ver</t>
        </is>
      </c>
      <c r="R276" s="8" t="inlineStr">
        <is>
          <t>PCAP</t>
        </is>
      </c>
      <c r="S276" s="9" t="n">
        <v>46310</v>
      </c>
      <c r="T276" s="3" t="n">
        <v>46308.54046296296</v>
      </c>
      <c r="U276" s="2" t="n"/>
    </row>
    <row r="277">
      <c r="A277" s="2" t="inlineStr">
        <is>
          <t>Pendiente de adjudicación</t>
        </is>
      </c>
      <c r="B277" s="3" t="n">
        <v>46217.54166666666</v>
      </c>
      <c r="C277" s="5" t="n">
        <v>6462516.64</v>
      </c>
      <c r="D277" s="5" t="n">
        <v>6462516.64</v>
      </c>
      <c r="E277" s="2" t="inlineStr">
        <is>
          <t>Comunitat Valenciana</t>
        </is>
      </c>
      <c r="F277" s="2" t="inlineStr">
        <is>
          <t>Valencia</t>
        </is>
      </c>
      <c r="G277" s="2" t="n"/>
      <c r="H277" s="2" t="inlineStr">
        <is>
          <t>ADIF -Consejo de Administración</t>
        </is>
      </c>
      <c r="I277" s="2" t="inlineStr">
        <is>
          <t>Ejecución de las obras del proyecto constructivo de la nueva subestación eléctrica de tracción de Gandía y del proyecto constructivo de línea de acometida entre Set Iberdrola Gandía y nueva subestación Gandía Adif.</t>
        </is>
      </c>
      <c r="J277" s="2" t="inlineStr">
        <is>
          <t>3.26/27507.0089</t>
        </is>
      </c>
      <c r="K277" s="2" t="inlineStr">
        <is>
          <t>Abierto</t>
        </is>
      </c>
      <c r="L277" s="6" t="n">
        <v>17</v>
      </c>
      <c r="M277" s="2" t="inlineStr">
        <is>
          <t>I4-4</t>
        </is>
      </c>
      <c r="N277" s="7" t="n">
        <v>0.49</v>
      </c>
      <c r="O277" s="4" t="n"/>
      <c r="P277" s="2" t="inlineStr">
        <is>
          <t>45234170</t>
        </is>
      </c>
      <c r="Q277" s="8" t="inlineStr">
        <is>
          <t>Ver</t>
        </is>
      </c>
      <c r="R277" s="8" t="inlineStr">
        <is>
          <t>PCAP</t>
        </is>
      </c>
      <c r="S277" s="9" t="n">
        <v>46310</v>
      </c>
      <c r="T277" s="3" t="n">
        <v>46308.53894675926</v>
      </c>
      <c r="U277" s="2" t="n"/>
    </row>
    <row r="278">
      <c r="A278" s="2" t="inlineStr">
        <is>
          <t>Resuelta</t>
        </is>
      </c>
      <c r="B278" s="3" t="n"/>
      <c r="C278" s="5" t="n">
        <v>3593984.23</v>
      </c>
      <c r="D278" s="5" t="n">
        <v>4348720.92</v>
      </c>
      <c r="E278" s="2" t="inlineStr">
        <is>
          <t>Andalucía</t>
        </is>
      </c>
      <c r="F278" s="2" t="inlineStr">
        <is>
          <t>Granada</t>
        </is>
      </c>
      <c r="G278" s="2" t="n"/>
      <c r="H278" s="2" t="inlineStr">
        <is>
          <t>Demarcación de Carreteras del Estado en Andalucía Oriental</t>
        </is>
      </c>
      <c r="I278" s="2" t="inlineStr">
        <is>
          <t>Reparación del Viaducto de Rules en el P.K. 171+400 de la autovía A-44. Provincia de Granada . LOTE 1-AMPLIACIÓN EM23-GR-02.L1.AMPLIACION-2</t>
        </is>
      </c>
      <c r="J278" s="2" t="inlineStr">
        <is>
          <t>EM23-GR-02.L1.AMPLIACION-2</t>
        </is>
      </c>
      <c r="K278" s="2" t="inlineStr">
        <is>
          <t>Negociado sin publicidad</t>
        </is>
      </c>
      <c r="L278" s="6" t="n">
        <v>14</v>
      </c>
      <c r="M278" s="2" t="n"/>
      <c r="N278" s="7" t="n"/>
      <c r="O278" s="4" t="n"/>
      <c r="P278" s="2" t="inlineStr">
        <is>
          <t>45000000</t>
        </is>
      </c>
      <c r="Q278" s="8" t="inlineStr">
        <is>
          <t>Ver</t>
        </is>
      </c>
      <c r="R278" s="2" t="n"/>
      <c r="S278" s="9" t="n">
        <v>46310</v>
      </c>
      <c r="T278" s="3" t="n">
        <v>46308.53878472222</v>
      </c>
      <c r="U278" s="2" t="n"/>
    </row>
    <row r="279">
      <c r="A279" s="2" t="inlineStr">
        <is>
          <t>Resuelta</t>
        </is>
      </c>
      <c r="B279" s="3" t="n"/>
      <c r="C279" s="5" t="n">
        <v>868220.77</v>
      </c>
      <c r="D279" s="5" t="n">
        <v>1094662.01</v>
      </c>
      <c r="E279" s="2" t="inlineStr">
        <is>
          <t>Andalucía</t>
        </is>
      </c>
      <c r="F279" s="2" t="inlineStr">
        <is>
          <t>Granada</t>
        </is>
      </c>
      <c r="G279" s="2" t="n"/>
      <c r="H279" s="2" t="inlineStr">
        <is>
          <t>Demarcación de Carreteras del Estado en Andalucía Oriental</t>
        </is>
      </c>
      <c r="I279" s="2" t="inlineStr">
        <is>
          <t>Reparación del Viaducto de Rules en el P.K. 171+400 de la autovía A-44. Provincia de Granada ”.</t>
        </is>
      </c>
      <c r="J279" s="2" t="inlineStr">
        <is>
          <t>EM23-GR-02.L3</t>
        </is>
      </c>
      <c r="K279" s="2" t="inlineStr">
        <is>
          <t>Negociado sin publicidad</t>
        </is>
      </c>
      <c r="L279" s="6" t="n">
        <v>17</v>
      </c>
      <c r="M279" s="2" t="n"/>
      <c r="N279" s="7" t="n"/>
      <c r="O279" s="4" t="n"/>
      <c r="P279" s="2" t="inlineStr">
        <is>
          <t>45000000</t>
        </is>
      </c>
      <c r="Q279" s="8" t="inlineStr">
        <is>
          <t>Ver</t>
        </is>
      </c>
      <c r="R279" s="2" t="n"/>
      <c r="S279" s="9" t="n">
        <v>46310</v>
      </c>
      <c r="T279" s="3" t="n">
        <v>46308.53636574074</v>
      </c>
      <c r="U279" s="2" t="n"/>
    </row>
    <row r="280">
      <c r="A280" s="2" t="inlineStr">
        <is>
          <t>Adjudicada</t>
        </is>
      </c>
      <c r="B280" s="3" t="n">
        <v>46169.99930555555</v>
      </c>
      <c r="C280" s="5" t="n">
        <v>1439846.95</v>
      </c>
      <c r="D280" s="5" t="n">
        <v>1439846.95</v>
      </c>
      <c r="E280" s="2" t="inlineStr">
        <is>
          <t>Comunitat Valenciana</t>
        </is>
      </c>
      <c r="F280" s="2" t="inlineStr">
        <is>
          <t>Valencia</t>
        </is>
      </c>
      <c r="G280" s="2" t="inlineStr">
        <is>
          <t>Benetússer</t>
        </is>
      </c>
      <c r="H280" s="2" t="inlineStr">
        <is>
          <t>Pleno del Ayuntamiento de Benetússer</t>
        </is>
      </c>
      <c r="I280" s="2" t="inlineStr">
        <is>
          <t>Ejecución del Proyecto de obras de "Intervención en molí de Benetússer, de reparación y restauración por daños provocados por la DANA. Bien de relevancia local: espacio etnológico de interés local"</t>
        </is>
      </c>
      <c r="J280" s="2" t="inlineStr">
        <is>
          <t>2497682D</t>
        </is>
      </c>
      <c r="K280" s="2" t="inlineStr">
        <is>
          <t>Abierto simplificado</t>
        </is>
      </c>
      <c r="L280" s="6" t="n">
        <v>15</v>
      </c>
      <c r="M280" s="2" t="inlineStr">
        <is>
          <t>C2-4</t>
        </is>
      </c>
      <c r="N280" s="7" t="n">
        <v>0</v>
      </c>
      <c r="O280" s="4" t="n"/>
      <c r="P280" s="2" t="inlineStr">
        <is>
          <t>45212314</t>
        </is>
      </c>
      <c r="Q280" s="8" t="inlineStr">
        <is>
          <t>Ver</t>
        </is>
      </c>
      <c r="R280" s="8" t="inlineStr">
        <is>
          <t>PCAP</t>
        </is>
      </c>
      <c r="S280" s="9" t="n">
        <v>46310</v>
      </c>
      <c r="T280" s="3" t="n">
        <v>46308.53483796296</v>
      </c>
      <c r="U280" s="2" t="n"/>
    </row>
    <row r="281">
      <c r="A281" s="2" t="inlineStr">
        <is>
          <t>En plazo</t>
        </is>
      </c>
      <c r="B281" s="3" t="n">
        <v>46329.54166666666</v>
      </c>
      <c r="C281" s="5" t="n">
        <v>164454.24</v>
      </c>
      <c r="D281" s="5" t="n">
        <v>164454.24</v>
      </c>
      <c r="E281" s="2" t="inlineStr">
        <is>
          <t>Comunitat Valenciana</t>
        </is>
      </c>
      <c r="F281" s="2" t="inlineStr">
        <is>
          <t>Alicante</t>
        </is>
      </c>
      <c r="G281" s="2" t="inlineStr">
        <is>
          <t>Onil</t>
        </is>
      </c>
      <c r="H281" s="2" t="inlineStr">
        <is>
          <t>Junta de Gobierno Local del Ayuntamiento de Onil</t>
        </is>
      </c>
      <c r="I281" s="2" t="inlineStr">
        <is>
          <t>Contratación de obras de reforma del local de AFA en la calle Doctor Esquerdo, 1, de Onil (Alicante)</t>
        </is>
      </c>
      <c r="J281" s="2" t="inlineStr">
        <is>
          <t>4123/2026</t>
        </is>
      </c>
      <c r="K281" s="2" t="inlineStr">
        <is>
          <t>Abierto simplificado</t>
        </is>
      </c>
      <c r="L281" s="6" t="n">
        <v>4</v>
      </c>
      <c r="M281" s="2" t="n"/>
      <c r="N281" s="7" t="n">
        <v>0</v>
      </c>
      <c r="O281" s="4" t="n"/>
      <c r="P281" s="2" t="inlineStr">
        <is>
          <t>45215200; 45454000; 45321000; 45211350</t>
        </is>
      </c>
      <c r="Q281" s="8" t="inlineStr">
        <is>
          <t>Ver</t>
        </is>
      </c>
      <c r="R281" s="8" t="inlineStr">
        <is>
          <t>PCAP</t>
        </is>
      </c>
      <c r="S281" s="9" t="n">
        <v>46310</v>
      </c>
      <c r="T281" s="3" t="n">
        <v>46308.53428240741</v>
      </c>
      <c r="U281" s="2" t="n"/>
    </row>
    <row r="282">
      <c r="A282" s="2" t="inlineStr">
        <is>
          <t>Resuelta</t>
        </is>
      </c>
      <c r="B282" s="3" t="n"/>
      <c r="C282" s="5" t="n">
        <v>15121763.47</v>
      </c>
      <c r="D282" s="5" t="n">
        <v>18297333.81</v>
      </c>
      <c r="E282" s="2" t="inlineStr">
        <is>
          <t>Andalucía</t>
        </is>
      </c>
      <c r="F282" s="2" t="inlineStr">
        <is>
          <t>Granada</t>
        </is>
      </c>
      <c r="G282" s="2" t="n"/>
      <c r="H282" s="2" t="inlineStr">
        <is>
          <t>Demarcación de Carreteras del Estado en Andalucía Oriental</t>
        </is>
      </c>
      <c r="I282" s="2" t="inlineStr">
        <is>
          <t>Reparación del Viaducto de Rules en el P.K. 171+400 de la autovía A-44. Provincia de Granada - EM23-GR-02.L1.AMPLIACION-1</t>
        </is>
      </c>
      <c r="J282" s="2" t="inlineStr">
        <is>
          <t>EM23-GR-02.L1.AMPLIACION-1</t>
        </is>
      </c>
      <c r="K282" s="2" t="inlineStr">
        <is>
          <t>Negociado sin publicidad</t>
        </is>
      </c>
      <c r="L282" s="6" t="n">
        <v>17</v>
      </c>
      <c r="M282" s="2" t="n"/>
      <c r="N282" s="7" t="n"/>
      <c r="O282" s="4" t="n"/>
      <c r="P282" s="2" t="inlineStr">
        <is>
          <t>45000000</t>
        </is>
      </c>
      <c r="Q282" s="8" t="inlineStr">
        <is>
          <t>Ver</t>
        </is>
      </c>
      <c r="R282" s="2" t="n"/>
      <c r="S282" s="9" t="n">
        <v>46310</v>
      </c>
      <c r="T282" s="3" t="n">
        <v>46308.53365740741</v>
      </c>
      <c r="U282" s="2" t="n"/>
    </row>
    <row r="283">
      <c r="A283" s="2" t="inlineStr">
        <is>
          <t>Pendiente de adjudicación</t>
        </is>
      </c>
      <c r="B283" s="3" t="n">
        <v>46279.99930555555</v>
      </c>
      <c r="C283" s="5" t="n">
        <v>79271.89999999999</v>
      </c>
      <c r="D283" s="5" t="n">
        <v>79271.89999999999</v>
      </c>
      <c r="E283" s="2" t="inlineStr">
        <is>
          <t>Andalucía</t>
        </is>
      </c>
      <c r="F283" s="2" t="inlineStr">
        <is>
          <t>Granada</t>
        </is>
      </c>
      <c r="G283" s="2" t="inlineStr">
        <is>
          <t>PURULLENA</t>
        </is>
      </c>
      <c r="H283" s="2" t="inlineStr">
        <is>
          <t>Presidencia de la Diputación Provincial de Granada</t>
        </is>
      </c>
      <c r="I283" s="2" t="inlineStr">
        <is>
          <t>2026/4/PPOYS-146/2 "Purullena, acondicionamiento de redes y pavimentación en C/ Federico García Lorca (El Bejarín)"</t>
        </is>
      </c>
      <c r="J283" s="2" t="inlineStr">
        <is>
          <t>OB-056/26</t>
        </is>
      </c>
      <c r="K283" s="2" t="inlineStr">
        <is>
          <t>Abierto simplificado</t>
        </is>
      </c>
      <c r="L283" s="6" t="n">
        <v>4</v>
      </c>
      <c r="M283" s="2" t="inlineStr">
        <is>
          <t>G6-1; E7-1</t>
        </is>
      </c>
      <c r="N283" s="7" t="n">
        <v>0</v>
      </c>
      <c r="O283" s="4" t="n"/>
      <c r="P283" s="2" t="inlineStr">
        <is>
          <t>45231100; 45233252</t>
        </is>
      </c>
      <c r="Q283" s="8" t="inlineStr">
        <is>
          <t>Ver</t>
        </is>
      </c>
      <c r="R283" s="8" t="inlineStr">
        <is>
          <t>PCAP</t>
        </is>
      </c>
      <c r="S283" s="9" t="n">
        <v>46310</v>
      </c>
      <c r="T283" s="3" t="n">
        <v>46308.53363425926</v>
      </c>
      <c r="U283" s="2" t="n"/>
    </row>
    <row r="284">
      <c r="A284" s="2" t="inlineStr">
        <is>
          <t>Adjudicada</t>
        </is>
      </c>
      <c r="B284" s="3" t="n">
        <v>46247.99930555555</v>
      </c>
      <c r="C284" s="5" t="n">
        <v>182831.9</v>
      </c>
      <c r="D284" s="5" t="n">
        <v>182831.9</v>
      </c>
      <c r="E284" s="2" t="inlineStr">
        <is>
          <t>Comunitat Valenciana</t>
        </is>
      </c>
      <c r="F284" s="2" t="inlineStr">
        <is>
          <t>Valencia</t>
        </is>
      </c>
      <c r="G284" s="2" t="n"/>
      <c r="H284" s="2" t="inlineStr">
        <is>
          <t>Departamento de Salud Valencia Dr. Peset. Dirección Económica-Gerencia</t>
        </is>
      </c>
      <c r="I284" s="2" t="inlineStr">
        <is>
          <t>Obra de reforma integral de los Servicios de Cirugía y Nefrología ubicados en la 5ª planta del edificio de Consultas Externas en el Hospital Universitario Doctor Peset de Valencia, con responsabilidad social y medioambiental. Lote único</t>
        </is>
      </c>
      <c r="J284" s="2" t="inlineStr">
        <is>
          <t>PAS 473/2026</t>
        </is>
      </c>
      <c r="K284" s="2" t="inlineStr">
        <is>
          <t>Abierto simplificado</t>
        </is>
      </c>
      <c r="L284" s="6" t="n">
        <v>3</v>
      </c>
      <c r="M284" s="2" t="n"/>
      <c r="N284" s="7" t="n">
        <v>0</v>
      </c>
      <c r="O284" s="4" t="n"/>
      <c r="P284" s="2" t="inlineStr">
        <is>
          <t>45262520; 45441000; 45330000; 45310000</t>
        </is>
      </c>
      <c r="Q284" s="8" t="inlineStr">
        <is>
          <t>Ver</t>
        </is>
      </c>
      <c r="R284" s="8" t="inlineStr">
        <is>
          <t>PCAP</t>
        </is>
      </c>
      <c r="S284" s="9" t="n">
        <v>46310</v>
      </c>
      <c r="T284" s="3" t="n">
        <v>46308.5318287037</v>
      </c>
      <c r="U284" s="2" t="n"/>
    </row>
    <row r="285">
      <c r="A285" s="2" t="inlineStr">
        <is>
          <t>En plazo</t>
        </is>
      </c>
      <c r="B285" s="3" t="n">
        <v>46328.99930555555</v>
      </c>
      <c r="C285" s="5" t="n">
        <v>347409.87</v>
      </c>
      <c r="D285" s="5" t="n">
        <v>347409.87</v>
      </c>
      <c r="E285" s="2" t="inlineStr">
        <is>
          <t>Comunitat Valenciana</t>
        </is>
      </c>
      <c r="F285" s="2" t="inlineStr">
        <is>
          <t>Castellón</t>
        </is>
      </c>
      <c r="G285" s="2" t="inlineStr">
        <is>
          <t>LA SALZADELLA</t>
        </is>
      </c>
      <c r="H285" s="2" t="inlineStr">
        <is>
          <t>Pleno del Ayuntamiento de La Salzadella</t>
        </is>
      </c>
      <c r="I285" s="2" t="inlineStr">
        <is>
          <t>Reforma y ampliación del Centro de Salud de La Salzadella</t>
        </is>
      </c>
      <c r="J285" s="2" t="inlineStr">
        <is>
          <t>475/2026</t>
        </is>
      </c>
      <c r="K285" s="2" t="inlineStr">
        <is>
          <t>Abierto simplificado</t>
        </is>
      </c>
      <c r="L285" s="6" t="n">
        <v>13</v>
      </c>
      <c r="M285" s="2" t="n"/>
      <c r="N285" s="7" t="n">
        <v>0.24</v>
      </c>
      <c r="O285" s="4" t="n"/>
      <c r="P285" s="2" t="inlineStr">
        <is>
          <t>45210000; 45454000</t>
        </is>
      </c>
      <c r="Q285" s="8" t="inlineStr">
        <is>
          <t>Ver</t>
        </is>
      </c>
      <c r="R285" s="8" t="inlineStr">
        <is>
          <t>PCAP</t>
        </is>
      </c>
      <c r="S285" s="9" t="n">
        <v>46310</v>
      </c>
      <c r="T285" s="3" t="n">
        <v>46308.52773148148</v>
      </c>
      <c r="U285" s="2" t="n"/>
    </row>
    <row r="286">
      <c r="A286" s="2" t="inlineStr">
        <is>
          <t>Adjudicada</t>
        </is>
      </c>
      <c r="B286" s="3" t="n">
        <v>46232.99930555555</v>
      </c>
      <c r="C286" s="5" t="n">
        <v>1068114.41</v>
      </c>
      <c r="D286" s="5" t="n">
        <v>1068114.41</v>
      </c>
      <c r="E286" s="2" t="inlineStr">
        <is>
          <t>Comunitat Valenciana</t>
        </is>
      </c>
      <c r="F286" s="2" t="inlineStr">
        <is>
          <t>Valencia</t>
        </is>
      </c>
      <c r="G286" s="2" t="n"/>
      <c r="H286" s="2" t="inlineStr">
        <is>
          <t>Junta de Gobierno del Ayuntamiento de Alzira</t>
        </is>
      </c>
      <c r="I286" s="2" t="inlineStr">
        <is>
          <t>Construcción de dos pistas semicubiertas en Tulell</t>
        </is>
      </c>
      <c r="J286" s="2" t="inlineStr">
        <is>
          <t>OC-3886/26</t>
        </is>
      </c>
      <c r="K286" s="2" t="inlineStr">
        <is>
          <t>Abierto simplificado</t>
        </is>
      </c>
      <c r="L286" s="6" t="n">
        <v>6</v>
      </c>
      <c r="M286" s="2" t="n"/>
      <c r="N286" s="7" t="n">
        <v>0</v>
      </c>
      <c r="O286" s="4" t="n"/>
      <c r="P286" s="2" t="inlineStr">
        <is>
          <t>45212220; 45223100</t>
        </is>
      </c>
      <c r="Q286" s="8" t="inlineStr">
        <is>
          <t>Ver</t>
        </is>
      </c>
      <c r="R286" s="8" t="inlineStr">
        <is>
          <t>PCAP</t>
        </is>
      </c>
      <c r="S286" s="9" t="n">
        <v>46310</v>
      </c>
      <c r="T286" s="3" t="n">
        <v>46308.52258101852</v>
      </c>
      <c r="U286" s="2" t="n"/>
    </row>
    <row r="287">
      <c r="A287" s="2" t="inlineStr">
        <is>
          <t>En plazo</t>
        </is>
      </c>
      <c r="B287" s="3" t="n">
        <v>46329.99930555555</v>
      </c>
      <c r="C287" s="5" t="n">
        <v>66115.7</v>
      </c>
      <c r="D287" s="5" t="n">
        <v>66115.7</v>
      </c>
      <c r="E287" s="2" t="inlineStr">
        <is>
          <t>Andalucía</t>
        </is>
      </c>
      <c r="F287" s="2" t="inlineStr">
        <is>
          <t>Almería</t>
        </is>
      </c>
      <c r="G287" s="2" t="n"/>
      <c r="H287" s="2" t="inlineStr">
        <is>
          <t>Junta de Gobierno de la Diputación Provincial de Almería</t>
        </is>
      </c>
      <c r="I287" s="2" t="inlineStr">
        <is>
          <t>Pavimentación Caminos Municipales. Velefique 86PCAM24-27BII</t>
        </is>
      </c>
      <c r="J287" s="2" t="inlineStr">
        <is>
          <t>2025/D31000/006-013/00301</t>
        </is>
      </c>
      <c r="K287" s="2" t="inlineStr">
        <is>
          <t>Abierto simplificado</t>
        </is>
      </c>
      <c r="L287" s="6" t="n">
        <v>2</v>
      </c>
      <c r="M287" s="2" t="n"/>
      <c r="N287" s="7" t="n">
        <v>0.25</v>
      </c>
      <c r="O287" s="4" t="n"/>
      <c r="P287" s="2" t="inlineStr">
        <is>
          <t>45233222</t>
        </is>
      </c>
      <c r="Q287" s="8" t="inlineStr">
        <is>
          <t>Ver</t>
        </is>
      </c>
      <c r="R287" s="8" t="inlineStr">
        <is>
          <t>PCAP</t>
        </is>
      </c>
      <c r="S287" s="9" t="n">
        <v>46310</v>
      </c>
      <c r="T287" s="3" t="n">
        <v>46308.52186342593</v>
      </c>
      <c r="U287" s="2" t="n"/>
    </row>
    <row r="288">
      <c r="A288" s="2" t="inlineStr">
        <is>
          <t>Resuelta</t>
        </is>
      </c>
      <c r="B288" s="3" t="n">
        <v>46230.99930555555</v>
      </c>
      <c r="C288" s="5" t="n">
        <v>33866.49</v>
      </c>
      <c r="D288" s="5" t="n">
        <v>33866.49</v>
      </c>
      <c r="E288" s="2" t="inlineStr">
        <is>
          <t>Andalucía</t>
        </is>
      </c>
      <c r="F288" s="2" t="inlineStr">
        <is>
          <t>Granada</t>
        </is>
      </c>
      <c r="G288" s="2" t="n"/>
      <c r="H288" s="2" t="inlineStr">
        <is>
          <t>Alcaldía del Ayuntamiento de Las Gabias</t>
        </is>
      </c>
      <c r="I288" s="2" t="inlineStr">
        <is>
          <t>Suministro, desmontaje, instalación y puesta en marcha de caldera y acumuladores de ACS en la piscina municipal.</t>
        </is>
      </c>
      <c r="J288" s="2" t="inlineStr">
        <is>
          <t>113/2026</t>
        </is>
      </c>
      <c r="K288" s="2" t="inlineStr">
        <is>
          <t>Abierto simplificado</t>
        </is>
      </c>
      <c r="L288" s="6" t="n">
        <v>3</v>
      </c>
      <c r="M288" s="2" t="n"/>
      <c r="N288" s="7" t="n">
        <v>0</v>
      </c>
      <c r="O288" s="4" t="n"/>
      <c r="P288" s="2" t="inlineStr">
        <is>
          <t>45331100; 45232150; 45331110; 50511000</t>
        </is>
      </c>
      <c r="Q288" s="8" t="inlineStr">
        <is>
          <t>Ver</t>
        </is>
      </c>
      <c r="R288" s="8" t="inlineStr">
        <is>
          <t>PCAP</t>
        </is>
      </c>
      <c r="S288" s="9" t="n">
        <v>46310</v>
      </c>
      <c r="T288" s="3" t="n">
        <v>46308.52038194444</v>
      </c>
      <c r="U288" s="2" t="n"/>
    </row>
    <row r="289">
      <c r="A289" s="2" t="inlineStr">
        <is>
          <t>Pendiente de adjudicación</t>
        </is>
      </c>
      <c r="B289" s="3" t="n">
        <v>46217.54166666666</v>
      </c>
      <c r="C289" s="5" t="n">
        <v>2746158.14</v>
      </c>
      <c r="D289" s="5" t="n">
        <v>2746158.14</v>
      </c>
      <c r="E289" s="2" t="inlineStr">
        <is>
          <t>Andalucía</t>
        </is>
      </c>
      <c r="F289" s="2" t="n"/>
      <c r="G289" s="2" t="n"/>
      <c r="H289" s="2" t="inlineStr">
        <is>
          <t>ADIF - Presidencia</t>
        </is>
      </c>
      <c r="I289"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289" s="2" t="inlineStr">
        <is>
          <t>3.26/27507.0098</t>
        </is>
      </c>
      <c r="K289" s="2" t="inlineStr">
        <is>
          <t>Abierto</t>
        </is>
      </c>
      <c r="L289" s="6" t="n">
        <v>12</v>
      </c>
      <c r="M289" s="2" t="inlineStr">
        <is>
          <t>D5-5</t>
        </is>
      </c>
      <c r="N289" s="7" t="n">
        <v>0.49</v>
      </c>
      <c r="O289" s="4" t="n"/>
      <c r="P289" s="2" t="inlineStr">
        <is>
          <t>45234100</t>
        </is>
      </c>
      <c r="Q289" s="8" t="inlineStr">
        <is>
          <t>Ver</t>
        </is>
      </c>
      <c r="R289" s="8" t="inlineStr">
        <is>
          <t>PCAP</t>
        </is>
      </c>
      <c r="S289" s="9" t="n">
        <v>46310</v>
      </c>
      <c r="T289" s="3" t="n">
        <v>46308.51822916666</v>
      </c>
      <c r="U289" s="2" t="n"/>
    </row>
    <row r="290">
      <c r="A290" s="2" t="inlineStr">
        <is>
          <t>En plazo</t>
        </is>
      </c>
      <c r="B290" s="3" t="n">
        <v>46322.5625</v>
      </c>
      <c r="C290" s="5" t="n">
        <v>112651.35</v>
      </c>
      <c r="D290" s="5" t="n">
        <v>136308.13</v>
      </c>
      <c r="E290" s="2" t="inlineStr">
        <is>
          <t>Comunitat Valenciana</t>
        </is>
      </c>
      <c r="F290" s="2" t="inlineStr">
        <is>
          <t>Alicante</t>
        </is>
      </c>
      <c r="G290" s="2" t="n"/>
      <c r="H290" s="2" t="inlineStr">
        <is>
          <t>Alcaldía del Ayuntamiento de Hondón de las Nieves</t>
        </is>
      </c>
      <c r="I290" s="2" t="inlineStr">
        <is>
          <t>obras construcción carril bici</t>
        </is>
      </c>
      <c r="J290" s="2" t="inlineStr">
        <is>
          <t>1558/2026</t>
        </is>
      </c>
      <c r="K290" s="2" t="inlineStr">
        <is>
          <t>Abierto</t>
        </is>
      </c>
      <c r="L290" s="6" t="n">
        <v>2</v>
      </c>
      <c r="M290" s="2" t="n"/>
      <c r="N290" s="7" t="n">
        <v>0</v>
      </c>
      <c r="O290" s="4" t="n"/>
      <c r="P290" s="2" t="inlineStr">
        <is>
          <t>45000000</t>
        </is>
      </c>
      <c r="Q290" s="8" t="inlineStr">
        <is>
          <t>Ver</t>
        </is>
      </c>
      <c r="R290" s="8" t="inlineStr">
        <is>
          <t>PCAP</t>
        </is>
      </c>
      <c r="S290" s="9" t="n">
        <v>46310</v>
      </c>
      <c r="T290" s="3" t="n">
        <v>46308.51814814815</v>
      </c>
      <c r="U290" s="2" t="n"/>
    </row>
    <row r="291">
      <c r="A291" s="2" t="inlineStr">
        <is>
          <t>Plazo vencido</t>
        </is>
      </c>
      <c r="B291" s="3" t="n">
        <v>46308.99930555555</v>
      </c>
      <c r="C291" s="5" t="n">
        <v>247753.82</v>
      </c>
      <c r="D291" s="5" t="n">
        <v>247753.82</v>
      </c>
      <c r="E291" s="2" t="inlineStr">
        <is>
          <t>Andalucía</t>
        </is>
      </c>
      <c r="F291" s="2" t="inlineStr">
        <is>
          <t>Sevilla</t>
        </is>
      </c>
      <c r="G291" s="2" t="n"/>
      <c r="H291" s="2" t="inlineStr">
        <is>
          <t>Alcaldía del Ayuntamiento de Espartinas</t>
        </is>
      </c>
      <c r="I291" s="2" t="inlineStr">
        <is>
          <t>Ejecución de las obras del Proyecto Constructivo de Rehabilitación de Acerados del Viario Público, conforme a lo previsto en el Proyecto Técnico que establece las características de la actuación.</t>
        </is>
      </c>
      <c r="J291" s="2" t="inlineStr">
        <is>
          <t>2322/2026</t>
        </is>
      </c>
      <c r="K291" s="2" t="inlineStr">
        <is>
          <t>Abierto simplificado</t>
        </is>
      </c>
      <c r="L291" s="6" t="n">
        <v>1.3</v>
      </c>
      <c r="M291" s="2" t="n"/>
      <c r="N291" s="7" t="n">
        <v>0</v>
      </c>
      <c r="O291" s="4" t="n"/>
      <c r="P291" s="2" t="inlineStr">
        <is>
          <t>45233222; 45233252</t>
        </is>
      </c>
      <c r="Q291" s="8" t="inlineStr">
        <is>
          <t>Ver</t>
        </is>
      </c>
      <c r="R291" s="8" t="inlineStr">
        <is>
          <t>PCAP</t>
        </is>
      </c>
      <c r="S291" s="9" t="n">
        <v>46310</v>
      </c>
      <c r="T291" s="3" t="n">
        <v>46308.51241898148</v>
      </c>
      <c r="U291" s="2" t="n"/>
    </row>
    <row r="292">
      <c r="A292" s="2" t="inlineStr">
        <is>
          <t>En plazo</t>
        </is>
      </c>
      <c r="B292" s="3" t="n">
        <v>46329.99930555555</v>
      </c>
      <c r="C292" s="5" t="n">
        <v>49245.45</v>
      </c>
      <c r="D292" s="5" t="n">
        <v>49245.45</v>
      </c>
      <c r="E292" s="2" t="inlineStr">
        <is>
          <t>Andalucía</t>
        </is>
      </c>
      <c r="F292" s="2" t="inlineStr">
        <is>
          <t>Cádiz</t>
        </is>
      </c>
      <c r="G292" s="2" t="n"/>
      <c r="H292" s="2" t="inlineStr">
        <is>
          <t>Junta de Gobierno del Ayuntamiento de Espera</t>
        </is>
      </c>
      <c r="I292" s="2" t="inlineStr">
        <is>
          <t>Embellecimiento y puesta en valor del edificio municipal Silo</t>
        </is>
      </c>
      <c r="J292" s="2" t="inlineStr">
        <is>
          <t>2026/NSP_03/000001</t>
        </is>
      </c>
      <c r="K292" s="2" t="inlineStr">
        <is>
          <t>Negociado sin publicidad</t>
        </is>
      </c>
      <c r="L292" s="6" t="n">
        <v>3</v>
      </c>
      <c r="M292" s="2" t="n"/>
      <c r="N292" s="7" t="n">
        <v>0</v>
      </c>
      <c r="O292" s="4" t="n"/>
      <c r="P292" s="2" t="inlineStr">
        <is>
          <t>45451000</t>
        </is>
      </c>
      <c r="Q292" s="8" t="inlineStr">
        <is>
          <t>Ver</t>
        </is>
      </c>
      <c r="R292" s="8" t="inlineStr">
        <is>
          <t>PCAP</t>
        </is>
      </c>
      <c r="S292" s="9" t="n">
        <v>46310</v>
      </c>
      <c r="T292" s="3" t="n">
        <v>46308.51125</v>
      </c>
      <c r="U292" s="2" t="n"/>
    </row>
    <row r="293">
      <c r="A293" s="2" t="inlineStr">
        <is>
          <t>En plazo</t>
        </is>
      </c>
      <c r="B293" s="3" t="n">
        <v>46329.99930555555</v>
      </c>
      <c r="C293" s="5" t="n">
        <v>66115.7</v>
      </c>
      <c r="D293" s="5" t="n">
        <v>66115.7</v>
      </c>
      <c r="E293" s="2" t="inlineStr">
        <is>
          <t>Andalucía</t>
        </is>
      </c>
      <c r="F293" s="2" t="inlineStr">
        <is>
          <t>Almería</t>
        </is>
      </c>
      <c r="G293" s="2" t="n"/>
      <c r="H293" s="2" t="inlineStr">
        <is>
          <t>Junta de Gobierno de la Diputación Provincial de Almería</t>
        </is>
      </c>
      <c r="I293" s="2" t="inlineStr">
        <is>
          <t>Pavimentación Caminos Municipales. Urrácal 85PCAM24-27BII</t>
        </is>
      </c>
      <c r="J293" s="2" t="inlineStr">
        <is>
          <t>2026/D31000/006-013/00082</t>
        </is>
      </c>
      <c r="K293" s="2" t="inlineStr">
        <is>
          <t>Abierto simplificado</t>
        </is>
      </c>
      <c r="L293" s="6" t="n">
        <v>2</v>
      </c>
      <c r="M293" s="2" t="n"/>
      <c r="N293" s="7" t="n">
        <v>0.25</v>
      </c>
      <c r="O293" s="4" t="n"/>
      <c r="P293" s="2" t="inlineStr">
        <is>
          <t>45233222</t>
        </is>
      </c>
      <c r="Q293" s="8" t="inlineStr">
        <is>
          <t>Ver</t>
        </is>
      </c>
      <c r="R293" s="8" t="inlineStr">
        <is>
          <t>PCAP</t>
        </is>
      </c>
      <c r="S293" s="9" t="n">
        <v>46310</v>
      </c>
      <c r="T293" s="3" t="n">
        <v>46308.51040509259</v>
      </c>
      <c r="U293" s="2" t="n"/>
    </row>
    <row r="294">
      <c r="A294" s="2" t="inlineStr">
        <is>
          <t>Resuelta</t>
        </is>
      </c>
      <c r="B294" s="3" t="n"/>
      <c r="C294" s="5" t="n">
        <v>97497.39</v>
      </c>
      <c r="D294" s="5" t="n">
        <v>97497.39</v>
      </c>
      <c r="E294" s="2" t="inlineStr">
        <is>
          <t>Comunitat Valenciana</t>
        </is>
      </c>
      <c r="F294" s="2" t="inlineStr">
        <is>
          <t>Valencia</t>
        </is>
      </c>
      <c r="G294" s="2" t="n"/>
      <c r="H294" s="2" t="inlineStr">
        <is>
          <t>Alcaldía del Ayuntamiento de Alfafar</t>
        </is>
      </c>
      <c r="I294" s="2" t="inlineStr">
        <is>
          <t>Reposición del SAC y sótano de la Casa Consistorial, como consecuencia de la DANA 2024</t>
        </is>
      </c>
      <c r="J294" s="2" t="inlineStr">
        <is>
          <t>111/2025 Emg</t>
        </is>
      </c>
      <c r="K294" s="2" t="inlineStr">
        <is>
          <t>Negociado sin publicidad</t>
        </is>
      </c>
      <c r="L294" s="6" t="n">
        <v>1</v>
      </c>
      <c r="M294" s="2" t="n"/>
      <c r="N294" s="7" t="n"/>
      <c r="O294" s="4" t="n"/>
      <c r="P294" s="2" t="inlineStr">
        <is>
          <t>45210000</t>
        </is>
      </c>
      <c r="Q294" s="8" t="inlineStr">
        <is>
          <t>Ver</t>
        </is>
      </c>
      <c r="R294" s="2" t="n"/>
      <c r="S294" s="9" t="n">
        <v>46310</v>
      </c>
      <c r="T294" s="3" t="n">
        <v>46308.50802083333</v>
      </c>
      <c r="U294" s="2" t="n"/>
    </row>
    <row r="295">
      <c r="A295" s="2" t="inlineStr">
        <is>
          <t>Pendiente de adjudicación</t>
        </is>
      </c>
      <c r="B295" s="3" t="n">
        <v>46238.5</v>
      </c>
      <c r="C295" s="5" t="n">
        <v>343240.95</v>
      </c>
      <c r="D295" s="5" t="n">
        <v>343240.95</v>
      </c>
      <c r="E295" s="2" t="inlineStr">
        <is>
          <t>Andalucía</t>
        </is>
      </c>
      <c r="F295" s="2" t="inlineStr">
        <is>
          <t>Málaga</t>
        </is>
      </c>
      <c r="G295" s="2" t="n"/>
      <c r="H295" s="2" t="inlineStr">
        <is>
          <t>Instituto Municipal de la Vivienda de Málaga</t>
        </is>
      </c>
      <c r="I29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295" s="2" t="inlineStr">
        <is>
          <t>2026/05</t>
        </is>
      </c>
      <c r="K295" s="2" t="inlineStr">
        <is>
          <t>Abierto</t>
        </is>
      </c>
      <c r="L295" s="6" t="n">
        <v>9</v>
      </c>
      <c r="M295" s="2" t="inlineStr">
        <is>
          <t>C4-2; C6-2</t>
        </is>
      </c>
      <c r="N295" s="7" t="n">
        <v>0.4</v>
      </c>
      <c r="O295" s="4" t="n"/>
      <c r="P295" s="2" t="inlineStr">
        <is>
          <t>45200000; 42416100; 45111100</t>
        </is>
      </c>
      <c r="Q295" s="8" t="inlineStr">
        <is>
          <t>Ver</t>
        </is>
      </c>
      <c r="R295" s="8" t="inlineStr">
        <is>
          <t>PCAP</t>
        </is>
      </c>
      <c r="S295" s="9" t="n">
        <v>46310</v>
      </c>
      <c r="T295" s="3" t="n">
        <v>46308.50767361111</v>
      </c>
      <c r="U295" s="2" t="n"/>
    </row>
    <row r="296">
      <c r="A296" s="2" t="inlineStr">
        <is>
          <t>En plazo</t>
        </is>
      </c>
      <c r="B296" s="3" t="n">
        <v>46329.99930555555</v>
      </c>
      <c r="C296" s="5" t="n">
        <v>223895.1</v>
      </c>
      <c r="D296" s="5" t="n">
        <v>223895.1</v>
      </c>
      <c r="E296" s="2" t="inlineStr">
        <is>
          <t>Andalucía</t>
        </is>
      </c>
      <c r="F296" s="2" t="inlineStr">
        <is>
          <t>Jaén</t>
        </is>
      </c>
      <c r="G296" s="2" t="inlineStr">
        <is>
          <t>JAÉN</t>
        </is>
      </c>
      <c r="H296" s="2" t="inlineStr">
        <is>
          <t>Presidencia del Servicio Provincial de Gestión y Recaudación</t>
        </is>
      </c>
      <c r="I296" s="2" t="inlineStr">
        <is>
          <t>Contrato de obras de renovación instalación eléctrica y obras en edificios del área de Recaudación de Jaén.</t>
        </is>
      </c>
      <c r="J296" s="2" t="inlineStr">
        <is>
          <t>CO-2026/001163</t>
        </is>
      </c>
      <c r="K296" s="2" t="inlineStr">
        <is>
          <t>Abierto simplificado</t>
        </is>
      </c>
      <c r="L296" s="6" t="n">
        <v>5</v>
      </c>
      <c r="M296" s="2" t="n"/>
      <c r="N296" s="7" t="n">
        <v>0.25</v>
      </c>
      <c r="O296" s="4" t="n"/>
      <c r="P296" s="2" t="inlineStr">
        <is>
          <t>45453100</t>
        </is>
      </c>
      <c r="Q296" s="8" t="inlineStr">
        <is>
          <t>Ver</t>
        </is>
      </c>
      <c r="R296" s="8" t="inlineStr">
        <is>
          <t>PCAP</t>
        </is>
      </c>
      <c r="S296" s="9" t="n">
        <v>46310</v>
      </c>
      <c r="T296" s="3" t="n">
        <v>46308.50734953704</v>
      </c>
      <c r="U296" s="2" t="n"/>
    </row>
    <row r="297">
      <c r="A297" s="2" t="inlineStr">
        <is>
          <t>En plazo</t>
        </is>
      </c>
      <c r="B297" s="3" t="n">
        <v>46318.99930555555</v>
      </c>
      <c r="C297" s="5" t="n">
        <v>3018964.07</v>
      </c>
      <c r="D297" s="5" t="n">
        <v>3924653.29</v>
      </c>
      <c r="E297" s="2" t="inlineStr">
        <is>
          <t>Comunitat Valenciana</t>
        </is>
      </c>
      <c r="F297" s="2" t="inlineStr">
        <is>
          <t>Alicante</t>
        </is>
      </c>
      <c r="G297" s="2" t="inlineStr">
        <is>
          <t>ELCHE</t>
        </is>
      </c>
      <c r="H297" s="2" t="inlineStr">
        <is>
          <t>Departamento de Salud de Elche. Dirección Económica-Gerencia</t>
        </is>
      </c>
      <c r="I297" s="2" t="inlineStr">
        <is>
          <t>Obras de reforma integral de la Unidad de Cuidados Intensivos (Uci) del Hospital General Universitario de Elche</t>
        </is>
      </c>
      <c r="J297" s="2" t="inlineStr">
        <is>
          <t>PA 428/2026</t>
        </is>
      </c>
      <c r="K297" s="2" t="inlineStr">
        <is>
          <t>Abierto</t>
        </is>
      </c>
      <c r="L297" s="6" t="n">
        <v>16</v>
      </c>
      <c r="M297" s="2" t="inlineStr">
        <is>
          <t>J2-4</t>
        </is>
      </c>
      <c r="N297" s="7" t="n">
        <v>0</v>
      </c>
      <c r="O297" s="4" t="n"/>
      <c r="P297" s="2" t="inlineStr">
        <is>
          <t>45215140; 45215142</t>
        </is>
      </c>
      <c r="Q297" s="8" t="inlineStr">
        <is>
          <t>Ver</t>
        </is>
      </c>
      <c r="R297" s="8" t="inlineStr">
        <is>
          <t>PCAP</t>
        </is>
      </c>
      <c r="S297" s="9" t="n">
        <v>46310</v>
      </c>
      <c r="T297" s="3" t="n">
        <v>46308.50434027778</v>
      </c>
      <c r="U297" s="2" t="n"/>
    </row>
    <row r="298">
      <c r="A298" s="2" t="inlineStr">
        <is>
          <t>Pendiente de adjudicación</t>
        </is>
      </c>
      <c r="B298" s="3" t="n">
        <v>46283.99930555555</v>
      </c>
      <c r="C298" s="5" t="n">
        <v>375755.51</v>
      </c>
      <c r="D298" s="5" t="n">
        <v>375755.51</v>
      </c>
      <c r="E298" s="2" t="inlineStr">
        <is>
          <t>Andalucía</t>
        </is>
      </c>
      <c r="F298" s="2" t="inlineStr">
        <is>
          <t>Sevilla</t>
        </is>
      </c>
      <c r="G298" s="2" t="inlineStr">
        <is>
          <t>Alcalá de Guadaíra</t>
        </is>
      </c>
      <c r="H298" s="2" t="inlineStr">
        <is>
          <t>Junta de Gobierno Local del Ayuntamiento de Alcalá de Guadaíra</t>
        </is>
      </c>
      <c r="I298" s="2" t="inlineStr">
        <is>
          <t>obras de construcción de vestuarios en pista cubierta de polideportivo Pablo VI (C-2025/083)</t>
        </is>
      </c>
      <c r="J298" s="2" t="inlineStr">
        <is>
          <t>14221/2025</t>
        </is>
      </c>
      <c r="K298" s="2" t="inlineStr">
        <is>
          <t>Abierto simplificado</t>
        </is>
      </c>
      <c r="L298" s="6" t="n">
        <v>11</v>
      </c>
      <c r="M298" s="2" t="n"/>
      <c r="N298" s="7" t="n">
        <v>0.2</v>
      </c>
      <c r="O298" s="4" t="n"/>
      <c r="P298" s="2" t="inlineStr">
        <is>
          <t>45212222; 45212230; 45212225</t>
        </is>
      </c>
      <c r="Q298" s="8" t="inlineStr">
        <is>
          <t>Ver</t>
        </is>
      </c>
      <c r="R298" s="8" t="inlineStr">
        <is>
          <t>PCAP</t>
        </is>
      </c>
      <c r="S298" s="9" t="n">
        <v>46310</v>
      </c>
      <c r="T298" s="3" t="n">
        <v>46308.50402777778</v>
      </c>
      <c r="U298" s="2" t="n"/>
    </row>
    <row r="299">
      <c r="A299" s="2" t="inlineStr">
        <is>
          <t>En plazo</t>
        </is>
      </c>
      <c r="B299" s="3" t="n">
        <v>46329.99930555555</v>
      </c>
      <c r="C299" s="5" t="n">
        <v>74380.17</v>
      </c>
      <c r="D299" s="5" t="n">
        <v>74380.17</v>
      </c>
      <c r="E299" s="2" t="inlineStr">
        <is>
          <t>Andalucía</t>
        </is>
      </c>
      <c r="F299" s="2" t="inlineStr">
        <is>
          <t>Almería</t>
        </is>
      </c>
      <c r="G299" s="2" t="n"/>
      <c r="H299" s="2" t="inlineStr">
        <is>
          <t>Junta de Gobierno de la Diputación Provincial de Almería</t>
        </is>
      </c>
      <c r="I299" s="2" t="inlineStr">
        <is>
          <t>Pavimentación Caminos Municipales. Turre 82PCAM24-27BII</t>
        </is>
      </c>
      <c r="J299" s="2" t="inlineStr">
        <is>
          <t>2025/D31000/006-013/00300</t>
        </is>
      </c>
      <c r="K299" s="2" t="inlineStr">
        <is>
          <t>Abierto simplificado</t>
        </is>
      </c>
      <c r="L299" s="6" t="n">
        <v>1</v>
      </c>
      <c r="M299" s="2" t="n"/>
      <c r="N299" s="7" t="n">
        <v>0.25</v>
      </c>
      <c r="O299" s="4" t="n"/>
      <c r="P299" s="2" t="inlineStr">
        <is>
          <t>45233222</t>
        </is>
      </c>
      <c r="Q299" s="8" t="inlineStr">
        <is>
          <t>Ver</t>
        </is>
      </c>
      <c r="R299" s="8" t="inlineStr">
        <is>
          <t>PCAP</t>
        </is>
      </c>
      <c r="S299" s="9" t="n">
        <v>46310</v>
      </c>
      <c r="T299" s="3" t="n">
        <v>46308.5034837963</v>
      </c>
      <c r="U299" s="2" t="n"/>
    </row>
    <row r="300">
      <c r="A300" s="2" t="inlineStr">
        <is>
          <t>Adjudicada</t>
        </is>
      </c>
      <c r="B300" s="3" t="n">
        <v>46170.5</v>
      </c>
      <c r="C300" s="5" t="n">
        <v>5104082.6</v>
      </c>
      <c r="D300" s="5" t="n">
        <v>5308245.9</v>
      </c>
      <c r="E300" s="2" t="inlineStr">
        <is>
          <t>Comunitat Valenciana</t>
        </is>
      </c>
      <c r="F300" s="2" t="inlineStr">
        <is>
          <t>Alicante</t>
        </is>
      </c>
      <c r="G300" s="2" t="inlineStr">
        <is>
          <t>Alicante / Alacant</t>
        </is>
      </c>
      <c r="H300" s="2" t="inlineStr">
        <is>
          <t>Aena. Presidencia. Consejero Delegado</t>
        </is>
      </c>
      <c r="I300" s="2" t="inlineStr">
        <is>
          <t>Nuevas Oficinas De Aena En P30 De La Nat. Aeropuerto De Alicante-Elche</t>
        </is>
      </c>
      <c r="J300" s="2" t="inlineStr">
        <is>
          <t>DIN-564/2025</t>
        </is>
      </c>
      <c r="K300" s="2" t="inlineStr">
        <is>
          <t>Normas internas</t>
        </is>
      </c>
      <c r="L300" s="6" t="n">
        <v>15</v>
      </c>
      <c r="M300" s="2" t="n"/>
      <c r="N300" s="7" t="n">
        <v>0</v>
      </c>
      <c r="O300" s="4" t="n"/>
      <c r="P300" s="2" t="inlineStr">
        <is>
          <t>45200000</t>
        </is>
      </c>
      <c r="Q300" s="8" t="inlineStr">
        <is>
          <t>Ver</t>
        </is>
      </c>
      <c r="R300" s="8" t="inlineStr">
        <is>
          <t>PCAP</t>
        </is>
      </c>
      <c r="S300" s="9" t="n">
        <v>46310</v>
      </c>
      <c r="T300" s="3" t="n">
        <v>46308.50247685185</v>
      </c>
      <c r="U300" s="2" t="n"/>
    </row>
    <row r="301">
      <c r="A301" s="2" t="inlineStr">
        <is>
          <t>En plazo</t>
        </is>
      </c>
      <c r="B301" s="3" t="n">
        <v>46335.58333333334</v>
      </c>
      <c r="C301" s="5" t="n">
        <v>266270.79</v>
      </c>
      <c r="D301" s="5" t="n">
        <v>266270.79</v>
      </c>
      <c r="E301" s="2" t="inlineStr">
        <is>
          <t>Andalucía</t>
        </is>
      </c>
      <c r="F301" s="2" t="inlineStr">
        <is>
          <t>Almería</t>
        </is>
      </c>
      <c r="G301" s="2" t="inlineStr">
        <is>
          <t>Adra</t>
        </is>
      </c>
      <c r="H301" s="2" t="inlineStr">
        <is>
          <t>Junta de Gobierno Local del Ayuntamiento de Adra</t>
        </is>
      </c>
      <c r="I301" s="2" t="inlineStr">
        <is>
          <t>Obras de Reforma y Conservación de la Guardería Municipal de Adra</t>
        </is>
      </c>
      <c r="J301" s="2" t="inlineStr">
        <is>
          <t>9459/2026</t>
        </is>
      </c>
      <c r="K301" s="2" t="inlineStr">
        <is>
          <t>Abierto</t>
        </is>
      </c>
      <c r="L301" s="6" t="n">
        <v>4</v>
      </c>
      <c r="M301" s="2" t="n"/>
      <c r="N301" s="7" t="n">
        <v>0.4</v>
      </c>
      <c r="O301" s="4" t="n"/>
      <c r="P301" s="2" t="inlineStr">
        <is>
          <t>45453000</t>
        </is>
      </c>
      <c r="Q301" s="8" t="inlineStr">
        <is>
          <t>Ver</t>
        </is>
      </c>
      <c r="R301" s="8" t="inlineStr">
        <is>
          <t>PCAP</t>
        </is>
      </c>
      <c r="S301" s="9" t="n">
        <v>46310</v>
      </c>
      <c r="T301" s="3" t="n">
        <v>46308.50241898148</v>
      </c>
      <c r="U301" s="2" t="n"/>
    </row>
    <row r="302">
      <c r="A302" s="2" t="inlineStr">
        <is>
          <t>En plazo</t>
        </is>
      </c>
      <c r="B302" s="3" t="n">
        <v>46329.99930555555</v>
      </c>
      <c r="C302" s="5" t="n">
        <v>98900.02</v>
      </c>
      <c r="D302" s="5" t="n">
        <v>98900.02</v>
      </c>
      <c r="E302" s="2" t="inlineStr">
        <is>
          <t>Andalucía</t>
        </is>
      </c>
      <c r="F302" s="2" t="inlineStr">
        <is>
          <t>Jaén</t>
        </is>
      </c>
      <c r="G302" s="2" t="inlineStr">
        <is>
          <t>Puente de Génave</t>
        </is>
      </c>
      <c r="H302" s="2" t="inlineStr">
        <is>
          <t>Alcaldía del Ayuntamiento de Puente de Génave</t>
        </is>
      </c>
      <c r="I302" s="2" t="inlineStr">
        <is>
          <t>Reparación de firme en Avenida de Andalucía y acceso a Peñolite en el municipio de Puente de Génave (Jaén).</t>
        </is>
      </c>
      <c r="J302" s="2" t="inlineStr">
        <is>
          <t>462/2026</t>
        </is>
      </c>
      <c r="K302" s="2" t="inlineStr">
        <is>
          <t>Abierto simplificado</t>
        </is>
      </c>
      <c r="L302" s="6" t="n">
        <v>5</v>
      </c>
      <c r="M302" s="2" t="inlineStr">
        <is>
          <t>G4-1</t>
        </is>
      </c>
      <c r="N302" s="7" t="n">
        <v>0</v>
      </c>
      <c r="O302" s="4" t="n"/>
      <c r="P302" s="2" t="inlineStr">
        <is>
          <t>45233252; 45233222</t>
        </is>
      </c>
      <c r="Q302" s="8" t="inlineStr">
        <is>
          <t>Ver</t>
        </is>
      </c>
      <c r="R302" s="8" t="inlineStr">
        <is>
          <t>PCAP</t>
        </is>
      </c>
      <c r="S302" s="9" t="n">
        <v>46310</v>
      </c>
      <c r="T302" s="3" t="n">
        <v>46308.50174768519</v>
      </c>
      <c r="U302" s="2" t="n"/>
    </row>
    <row r="303">
      <c r="A303" s="2" t="inlineStr">
        <is>
          <t>Adjudicada</t>
        </is>
      </c>
      <c r="B303" s="3" t="n">
        <v>46188.5</v>
      </c>
      <c r="C303" s="5" t="n">
        <v>200000</v>
      </c>
      <c r="D303" s="5" t="n">
        <v>208000</v>
      </c>
      <c r="E303" s="2" t="inlineStr">
        <is>
          <t>Andalucía</t>
        </is>
      </c>
      <c r="F303" s="2" t="inlineStr">
        <is>
          <t>Málaga</t>
        </is>
      </c>
      <c r="G303" s="2" t="inlineStr">
        <is>
          <t>Málaga</t>
        </is>
      </c>
      <c r="H303" s="2" t="inlineStr">
        <is>
          <t>Aena. Dirección del Aeropuerto de Málaga-Costa del Sol</t>
        </is>
      </c>
      <c r="I303" s="2" t="inlineStr">
        <is>
          <t>Suministro E Instalación De Backbone Principal Y Fibra Óptica En El Sce Del Aeropuerto De Málaga - Costa Del Sol</t>
        </is>
      </c>
      <c r="J303" s="2" t="inlineStr">
        <is>
          <t>AGP-68/2026</t>
        </is>
      </c>
      <c r="K303" s="2" t="inlineStr">
        <is>
          <t>Normas internas</t>
        </is>
      </c>
      <c r="L303" s="6" t="n">
        <v>12</v>
      </c>
      <c r="M303" s="2" t="n"/>
      <c r="N303" s="7" t="n">
        <v>0</v>
      </c>
      <c r="O303" s="4" t="n"/>
      <c r="P303" s="2" t="inlineStr">
        <is>
          <t>45300000</t>
        </is>
      </c>
      <c r="Q303" s="8" t="inlineStr">
        <is>
          <t>Ver</t>
        </is>
      </c>
      <c r="R303" s="8" t="inlineStr">
        <is>
          <t>PCAP</t>
        </is>
      </c>
      <c r="S303" s="9" t="n">
        <v>46310</v>
      </c>
      <c r="T303" s="3" t="n">
        <v>46308.4972337963</v>
      </c>
      <c r="U303" s="2" t="n"/>
    </row>
    <row r="304">
      <c r="A304" s="2" t="inlineStr">
        <is>
          <t>Adjudicada</t>
        </is>
      </c>
      <c r="B304" s="3" t="n">
        <v>46234.5</v>
      </c>
      <c r="C304" s="5" t="n">
        <v>450000</v>
      </c>
      <c r="D304" s="5" t="n">
        <v>450000</v>
      </c>
      <c r="E304" s="2" t="inlineStr">
        <is>
          <t>Andalucía</t>
        </is>
      </c>
      <c r="F304" s="2" t="inlineStr">
        <is>
          <t>Málaga</t>
        </is>
      </c>
      <c r="G304" s="2" t="inlineStr">
        <is>
          <t>Málaga</t>
        </is>
      </c>
      <c r="H304" s="2" t="inlineStr">
        <is>
          <t>Aena. Dirección del Aeropuerto de Málaga-Costa del Sol</t>
        </is>
      </c>
      <c r="I304" s="2" t="inlineStr">
        <is>
          <t>Despliegue Del Sistema De Llaves Inteligentes En El Aeropuerto De Málaga-Costa Del Sol</t>
        </is>
      </c>
      <c r="J304" s="2" t="inlineStr">
        <is>
          <t>AGP-107/2026</t>
        </is>
      </c>
      <c r="K304" s="2" t="inlineStr">
        <is>
          <t>Normas internas</t>
        </is>
      </c>
      <c r="L304" s="6" t="n">
        <v>8</v>
      </c>
      <c r="M304" s="2" t="n"/>
      <c r="N304" s="7" t="n">
        <v>0</v>
      </c>
      <c r="O304" s="4" t="n"/>
      <c r="P304" s="2" t="inlineStr">
        <is>
          <t>45312100</t>
        </is>
      </c>
      <c r="Q304" s="8" t="inlineStr">
        <is>
          <t>Ver</t>
        </is>
      </c>
      <c r="R304" s="8" t="inlineStr">
        <is>
          <t>PCAP</t>
        </is>
      </c>
      <c r="S304" s="9" t="n">
        <v>46310</v>
      </c>
      <c r="T304" s="3" t="n">
        <v>46308.49685185185</v>
      </c>
      <c r="U304" s="2" t="n"/>
    </row>
    <row r="305">
      <c r="A305" s="2" t="inlineStr">
        <is>
          <t>Pendiente de adjudicación</t>
        </is>
      </c>
      <c r="B305" s="3" t="n">
        <v>46253.99930555555</v>
      </c>
      <c r="C305" s="5" t="n">
        <v>352496.23</v>
      </c>
      <c r="D305" s="5" t="n">
        <v>352496.23</v>
      </c>
      <c r="E305" s="2" t="inlineStr">
        <is>
          <t>Andalucía</t>
        </is>
      </c>
      <c r="F305" s="2" t="inlineStr">
        <is>
          <t>Sevilla</t>
        </is>
      </c>
      <c r="G305" s="2" t="inlineStr">
        <is>
          <t>Mairena del Aljarafe</t>
        </is>
      </c>
      <c r="H305" s="2" t="inlineStr">
        <is>
          <t>Consejo de Gobierno de la Gerencia Municipal de Urbanismo del Ayuntamiento de Mairena del Aljarafe</t>
        </is>
      </c>
      <c r="I305" s="2" t="inlineStr">
        <is>
          <t>Adecuación de oficinas municipales en edificio Aljarafe Center</t>
        </is>
      </c>
      <c r="J305" s="2" t="inlineStr">
        <is>
          <t>732/2026</t>
        </is>
      </c>
      <c r="K305" s="2" t="inlineStr">
        <is>
          <t>Abierto simplificado</t>
        </is>
      </c>
      <c r="L305" s="6" t="n">
        <v>4</v>
      </c>
      <c r="M305" s="2" t="n"/>
      <c r="N305" s="7" t="n">
        <v>0.25</v>
      </c>
      <c r="O305" s="4" t="n"/>
      <c r="P305" s="2" t="inlineStr">
        <is>
          <t>45000000</t>
        </is>
      </c>
      <c r="Q305" s="8" t="inlineStr">
        <is>
          <t>Ver</t>
        </is>
      </c>
      <c r="R305" s="8" t="inlineStr">
        <is>
          <t>PCAP</t>
        </is>
      </c>
      <c r="S305" s="9" t="n">
        <v>46310</v>
      </c>
      <c r="T305" s="3" t="n">
        <v>46308.49665509259</v>
      </c>
      <c r="U305" s="2" t="n"/>
    </row>
    <row r="306">
      <c r="A306" s="2" t="inlineStr">
        <is>
          <t>En plazo</t>
        </is>
      </c>
      <c r="B306" s="3" t="n">
        <v>46316.54166666666</v>
      </c>
      <c r="C306" s="5" t="n">
        <v>38364304.82</v>
      </c>
      <c r="D306" s="5" t="n">
        <v>46037165.78</v>
      </c>
      <c r="E306" s="2" t="inlineStr">
        <is>
          <t>Comunitat Valenciana</t>
        </is>
      </c>
      <c r="F306" s="2" t="inlineStr">
        <is>
          <t>Valencia</t>
        </is>
      </c>
      <c r="G306" s="2" t="inlineStr">
        <is>
          <t>Valencia</t>
        </is>
      </c>
      <c r="H306" s="2" t="inlineStr">
        <is>
          <t>Consejo de Administración de la Autoridad Portuaria de Valencia</t>
        </is>
      </c>
      <c r="I306" s="2" t="inlineStr">
        <is>
          <t>Adaptación del espigón del Turia para mejora del área de pasaje en el Puerto de Valencia</t>
        </is>
      </c>
      <c r="J306" s="2" t="inlineStr">
        <is>
          <t>EC26-C02-01510</t>
        </is>
      </c>
      <c r="K306" s="2" t="inlineStr">
        <is>
          <t>Abierto</t>
        </is>
      </c>
      <c r="L306" s="6" t="n">
        <v>30</v>
      </c>
      <c r="M306" s="2" t="inlineStr">
        <is>
          <t>F7-6; F5-5; F1-5</t>
        </is>
      </c>
      <c r="N306" s="7" t="n">
        <v>0.49</v>
      </c>
      <c r="O306" s="4" t="n"/>
      <c r="P306" s="2" t="inlineStr">
        <is>
          <t>45241100</t>
        </is>
      </c>
      <c r="Q306" s="8" t="inlineStr">
        <is>
          <t>Ver</t>
        </is>
      </c>
      <c r="R306" s="8" t="inlineStr">
        <is>
          <t>PCAP</t>
        </is>
      </c>
      <c r="S306" s="9" t="n">
        <v>46310</v>
      </c>
      <c r="T306" s="3" t="n">
        <v>46308.49501157407</v>
      </c>
      <c r="U306" s="2" t="n"/>
    </row>
    <row r="307">
      <c r="A307" s="2" t="inlineStr">
        <is>
          <t>Pendiente de adjudicación</t>
        </is>
      </c>
      <c r="B307" s="3" t="n">
        <v>46300.99930555555</v>
      </c>
      <c r="C307" s="5" t="n">
        <v>156095.87</v>
      </c>
      <c r="D307" s="5" t="n">
        <v>156095.87</v>
      </c>
      <c r="E307" s="2" t="inlineStr">
        <is>
          <t>Andalucía</t>
        </is>
      </c>
      <c r="F307" s="2" t="inlineStr">
        <is>
          <t>Málaga</t>
        </is>
      </c>
      <c r="G307" s="2" t="n"/>
      <c r="H307" s="2" t="inlineStr">
        <is>
          <t>Concejalía de Hacienda del Ayuntamiento de Benalmádena</t>
        </is>
      </c>
      <c r="I307" s="2" t="inlineStr">
        <is>
          <t>Obras de sustitución de la cubierta de la Biblioteca de Arroyo de la Miel, conforme al proyecto redactado por D.LUIS GIL-DELGADO DÍEZ</t>
        </is>
      </c>
      <c r="J307" s="2" t="inlineStr">
        <is>
          <t>2026/31865W</t>
        </is>
      </c>
      <c r="K307" s="2" t="inlineStr">
        <is>
          <t>Abierto simplificado</t>
        </is>
      </c>
      <c r="L307" s="6" t="n">
        <v>4</v>
      </c>
      <c r="M307" s="2" t="n"/>
      <c r="N307" s="7" t="n">
        <v>0</v>
      </c>
      <c r="O307" s="4" t="n"/>
      <c r="P307" s="2" t="inlineStr">
        <is>
          <t>45212330; 45261000</t>
        </is>
      </c>
      <c r="Q307" s="8" t="inlineStr">
        <is>
          <t>Ver</t>
        </is>
      </c>
      <c r="R307" s="8" t="inlineStr">
        <is>
          <t>PCAP</t>
        </is>
      </c>
      <c r="S307" s="9" t="n">
        <v>46310</v>
      </c>
      <c r="T307" s="3" t="n">
        <v>46308.495</v>
      </c>
      <c r="U307" s="2" t="n"/>
    </row>
    <row r="308">
      <c r="A308" s="2" t="inlineStr">
        <is>
          <t>Pendiente de adjudicación</t>
        </is>
      </c>
      <c r="B308" s="3" t="n">
        <v>46294.99930555555</v>
      </c>
      <c r="C308" s="5" t="n">
        <v>517071.63</v>
      </c>
      <c r="D308" s="5" t="n">
        <v>517071.63</v>
      </c>
      <c r="E308" s="2" t="inlineStr">
        <is>
          <t>Andalucía</t>
        </is>
      </c>
      <c r="F308" s="2" t="inlineStr">
        <is>
          <t>Córdoba</t>
        </is>
      </c>
      <c r="G308" s="2" t="n"/>
      <c r="H308" s="2" t="inlineStr">
        <is>
          <t>Junta de Gobierno de la Diputación Provincial de Córdoba</t>
        </is>
      </c>
      <c r="I308" s="2" t="inlineStr">
        <is>
          <t>Contratación de las obras de reparación parcial de la CO-3204 de Córdoba a A-309 por la campiña (p.k.k.0+000 al 5+250) (Córdoba)</t>
        </is>
      </c>
      <c r="J308" s="2" t="inlineStr">
        <is>
          <t>711/26</t>
        </is>
      </c>
      <c r="K308" s="2" t="inlineStr">
        <is>
          <t>Abierto</t>
        </is>
      </c>
      <c r="L308" s="6" t="n">
        <v>4</v>
      </c>
      <c r="M308" s="2" t="inlineStr">
        <is>
          <t>G6-3</t>
        </is>
      </c>
      <c r="N308" s="7" t="n">
        <v>0.4</v>
      </c>
      <c r="O308" s="4" t="n"/>
      <c r="P308" s="2" t="inlineStr">
        <is>
          <t>45233142</t>
        </is>
      </c>
      <c r="Q308" s="8" t="inlineStr">
        <is>
          <t>Ver</t>
        </is>
      </c>
      <c r="R308" s="8" t="inlineStr">
        <is>
          <t>PCAP</t>
        </is>
      </c>
      <c r="S308" s="9" t="n">
        <v>46310</v>
      </c>
      <c r="T308" s="3" t="n">
        <v>46308.4940625</v>
      </c>
      <c r="U308" s="2" t="n"/>
    </row>
    <row r="309">
      <c r="A309" s="2" t="inlineStr">
        <is>
          <t>Pendiente de adjudicación</t>
        </is>
      </c>
      <c r="B309" s="3" t="n">
        <v>46032.99930555555</v>
      </c>
      <c r="C309" s="5" t="n">
        <v>578512.4</v>
      </c>
      <c r="D309" s="5" t="n">
        <v>578512.4</v>
      </c>
      <c r="E309" s="2" t="inlineStr">
        <is>
          <t>Andalucía</t>
        </is>
      </c>
      <c r="F309" s="2" t="inlineStr">
        <is>
          <t>Málaga</t>
        </is>
      </c>
      <c r="G309" s="2" t="n"/>
      <c r="H309" s="2" t="inlineStr">
        <is>
          <t>Junta de Gobierno del Ayuntamiento de Istán</t>
        </is>
      </c>
      <c r="I309"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309" s="2" t="inlineStr">
        <is>
          <t>H441/2025 CUBRICIÓN PISTA DEPORTIVA</t>
        </is>
      </c>
      <c r="K309" s="2" t="inlineStr">
        <is>
          <t>Abierto</t>
        </is>
      </c>
      <c r="L309" s="6" t="n">
        <v>6</v>
      </c>
      <c r="M309" s="2" t="inlineStr">
        <is>
          <t>C3-1</t>
        </is>
      </c>
      <c r="N309" s="7" t="n">
        <v>0.49</v>
      </c>
      <c r="O309" s="4" t="n"/>
      <c r="P309" s="2" t="inlineStr">
        <is>
          <t>45200000; 45261000; 45212200</t>
        </is>
      </c>
      <c r="Q309" s="8" t="inlineStr">
        <is>
          <t>Ver</t>
        </is>
      </c>
      <c r="R309" s="8" t="inlineStr">
        <is>
          <t>PCAP</t>
        </is>
      </c>
      <c r="S309" s="9" t="n">
        <v>46310</v>
      </c>
      <c r="T309" s="3" t="n">
        <v>46308.49230324074</v>
      </c>
      <c r="U309" s="2" t="n"/>
    </row>
    <row r="310">
      <c r="A310" s="2" t="inlineStr">
        <is>
          <t>En plazo</t>
        </is>
      </c>
      <c r="B310" s="3" t="n">
        <v>46329.99930555555</v>
      </c>
      <c r="C310" s="5" t="n">
        <v>3060580.6</v>
      </c>
      <c r="D310" s="5" t="n">
        <v>3060580.6</v>
      </c>
      <c r="E310" s="2" t="inlineStr">
        <is>
          <t>Andalucía</t>
        </is>
      </c>
      <c r="F310" s="2" t="inlineStr">
        <is>
          <t>Huelva</t>
        </is>
      </c>
      <c r="G310" s="2" t="n"/>
      <c r="H310" s="2" t="inlineStr">
        <is>
          <t>Pleno del Ayuntamiento de Punta umbría</t>
        </is>
      </c>
      <c r="I310" s="2" t="inlineStr">
        <is>
          <t>Ejecución de las obras para la renovación y mejora de la eficiencia energética de las instalaciones de alumbrado público exterior en el Municipio de Punta Umbría (Huelva)</t>
        </is>
      </c>
      <c r="J310" s="2" t="inlineStr">
        <is>
          <t>5163/2026</t>
        </is>
      </c>
      <c r="K310" s="2" t="inlineStr">
        <is>
          <t>Abierto</t>
        </is>
      </c>
      <c r="L310" s="6" t="n">
        <v>9</v>
      </c>
      <c r="M310" s="2" t="inlineStr">
        <is>
          <t>I1-4</t>
        </is>
      </c>
      <c r="N310" s="7" t="n">
        <v>0.25</v>
      </c>
      <c r="O310" s="4" t="n"/>
      <c r="P310" s="2" t="inlineStr">
        <is>
          <t>45316100; 34928500; 45315600</t>
        </is>
      </c>
      <c r="Q310" s="8" t="inlineStr">
        <is>
          <t>Ver</t>
        </is>
      </c>
      <c r="R310" s="8" t="inlineStr">
        <is>
          <t>PCAP</t>
        </is>
      </c>
      <c r="S310" s="9" t="n">
        <v>46310</v>
      </c>
      <c r="T310" s="3" t="n">
        <v>46308.49103009259</v>
      </c>
      <c r="U310" s="2" t="n"/>
    </row>
    <row r="311">
      <c r="A311" s="2" t="inlineStr">
        <is>
          <t>Resuelta</t>
        </is>
      </c>
      <c r="B311" s="3" t="n">
        <v>45588.99930555555</v>
      </c>
      <c r="C311" s="5" t="n">
        <v>3221354.75</v>
      </c>
      <c r="D311" s="5" t="n">
        <v>3221354.75</v>
      </c>
      <c r="E311" s="2" t="inlineStr">
        <is>
          <t>Andalucía</t>
        </is>
      </c>
      <c r="F311" s="2" t="inlineStr">
        <is>
          <t>Sevilla</t>
        </is>
      </c>
      <c r="G311" s="2" t="inlineStr">
        <is>
          <t>Sevilla</t>
        </is>
      </c>
      <c r="H311" s="2" t="inlineStr">
        <is>
          <t>Rectorado de la Universidad Pablo de Olavide</t>
        </is>
      </c>
      <c r="I311"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311" s="2" t="inlineStr">
        <is>
          <t>OB.02/24</t>
        </is>
      </c>
      <c r="K311" s="2" t="inlineStr">
        <is>
          <t>Abierto</t>
        </is>
      </c>
      <c r="L311" s="6" t="n">
        <v>12</v>
      </c>
      <c r="M311" s="2" t="inlineStr">
        <is>
          <t>C*-5</t>
        </is>
      </c>
      <c r="N311" s="7" t="n">
        <v>0.47</v>
      </c>
      <c r="O311" s="4" t="n"/>
      <c r="P311" s="2" t="inlineStr">
        <is>
          <t>45210000</t>
        </is>
      </c>
      <c r="Q311" s="8" t="inlineStr">
        <is>
          <t>Ver</t>
        </is>
      </c>
      <c r="R311" s="8" t="inlineStr">
        <is>
          <t>PCAP</t>
        </is>
      </c>
      <c r="S311" s="9" t="n">
        <v>46310</v>
      </c>
      <c r="T311" s="3" t="n">
        <v>46308.48670138889</v>
      </c>
      <c r="U311" s="2" t="n"/>
    </row>
    <row r="312">
      <c r="A312" s="2" t="inlineStr">
        <is>
          <t>Resuelta</t>
        </is>
      </c>
      <c r="B312" s="3" t="n">
        <v>46188.79166666666</v>
      </c>
      <c r="C312" s="5" t="n">
        <v>964890.92</v>
      </c>
      <c r="D312" s="5" t="n">
        <v>1157869.1</v>
      </c>
      <c r="E312" s="2" t="inlineStr">
        <is>
          <t>Andalucía</t>
        </is>
      </c>
      <c r="F312" s="2" t="inlineStr">
        <is>
          <t>Sevilla</t>
        </is>
      </c>
      <c r="G312" s="2" t="inlineStr">
        <is>
          <t>Gines</t>
        </is>
      </c>
      <c r="H312" s="2" t="inlineStr">
        <is>
          <t>Consejo de Administración de la Empresa Mancomunada del Aljarafe, S.A. (ALJARAFESA)</t>
        </is>
      </c>
      <c r="I312" s="2" t="inlineStr">
        <is>
          <t>Proyecto Constructivo: Mejora y sectorización de la Infraestructura de Abastecimiento de la Zona Sur del municipio de Gines (Sevilla)</t>
        </is>
      </c>
      <c r="J312" s="2" t="inlineStr">
        <is>
          <t>PAA/104/2026</t>
        </is>
      </c>
      <c r="K312" s="2" t="inlineStr">
        <is>
          <t>Abierto</t>
        </is>
      </c>
      <c r="L312" s="6" t="n">
        <v>8</v>
      </c>
      <c r="M312" s="2" t="inlineStr">
        <is>
          <t>G6-2; E1-4</t>
        </is>
      </c>
      <c r="N312" s="7" t="n">
        <v>0</v>
      </c>
      <c r="O312" s="4" t="n"/>
      <c r="P312" s="2" t="inlineStr">
        <is>
          <t>45231300; 45233251</t>
        </is>
      </c>
      <c r="Q312" s="8" t="inlineStr">
        <is>
          <t>Ver</t>
        </is>
      </c>
      <c r="R312" s="8" t="inlineStr">
        <is>
          <t>PCAP</t>
        </is>
      </c>
      <c r="S312" s="9" t="n">
        <v>46310</v>
      </c>
      <c r="T312" s="3" t="n">
        <v>46308.48290509259</v>
      </c>
      <c r="U312" s="2" t="n"/>
    </row>
    <row r="313">
      <c r="A313" s="2" t="inlineStr">
        <is>
          <t>En plazo</t>
        </is>
      </c>
      <c r="B313" s="3" t="n">
        <v>46322.99930555555</v>
      </c>
      <c r="C313" s="5" t="n">
        <v>40891.41</v>
      </c>
      <c r="D313" s="5" t="n">
        <v>40891.41</v>
      </c>
      <c r="E313" s="2" t="inlineStr">
        <is>
          <t>Andalucía</t>
        </is>
      </c>
      <c r="F313" s="2" t="inlineStr">
        <is>
          <t>Sevilla</t>
        </is>
      </c>
      <c r="G313" s="2" t="n"/>
      <c r="H313" s="2" t="inlineStr">
        <is>
          <t>Alcaldía del Ayuntamiento de La Roda de Andalucía</t>
        </is>
      </c>
      <c r="I313" s="2" t="inlineStr">
        <is>
          <t>Contrato mixto de obras y suministro por procedimiento abierto simplificado sumario para la ejecución de las actuaciones previstas en el "Proyecto básico y de ejecución de mejora y modernización de Casa de la Cultura". Más Sevilla. Terminación</t>
        </is>
      </c>
      <c r="J313" s="2" t="inlineStr">
        <is>
          <t>P4108200I-2026/000012-PAAB</t>
        </is>
      </c>
      <c r="K313" s="2" t="inlineStr">
        <is>
          <t>Abierto simplificado</t>
        </is>
      </c>
      <c r="L313" s="6" t="n">
        <v>1</v>
      </c>
      <c r="M313" s="2" t="n"/>
      <c r="N313" s="7" t="n">
        <v>0</v>
      </c>
      <c r="O313" s="4" t="n">
        <v>4</v>
      </c>
      <c r="P313" s="2" t="inlineStr">
        <is>
          <t>45400000; 42520000; 42510000; 42500000</t>
        </is>
      </c>
      <c r="Q313" s="8" t="inlineStr">
        <is>
          <t>Ver</t>
        </is>
      </c>
      <c r="R313" s="8" t="inlineStr">
        <is>
          <t>PCAP</t>
        </is>
      </c>
      <c r="S313" s="9" t="n">
        <v>46310</v>
      </c>
      <c r="T313" s="3" t="n">
        <v>46308.48239583334</v>
      </c>
      <c r="U313" s="2" t="n"/>
    </row>
    <row r="314">
      <c r="A314" s="2" t="inlineStr">
        <is>
          <t>Pendiente de adjudicación</t>
        </is>
      </c>
      <c r="B314" s="3" t="n">
        <v>46302.99930555555</v>
      </c>
      <c r="C314" s="5" t="n">
        <v>93939.17</v>
      </c>
      <c r="D314" s="5" t="n">
        <v>93939.17</v>
      </c>
      <c r="E314" s="2" t="inlineStr">
        <is>
          <t>Comunitat Valenciana</t>
        </is>
      </c>
      <c r="F314" s="2" t="inlineStr">
        <is>
          <t>Valencia</t>
        </is>
      </c>
      <c r="G314" s="2" t="inlineStr">
        <is>
          <t>Castelló de Rugat</t>
        </is>
      </c>
      <c r="H314" s="2" t="inlineStr">
        <is>
          <t>Alcaldía de l'Ajuntament de Castelló de Rugat</t>
        </is>
      </c>
      <c r="I314" s="2" t="inlineStr">
        <is>
          <t>Mejora, modernización y dotación de infraestructuras en el Polígono Industrial El Molí de Castelló de Rugat</t>
        </is>
      </c>
      <c r="J314" s="2" t="inlineStr">
        <is>
          <t>875/2026</t>
        </is>
      </c>
      <c r="K314" s="2" t="inlineStr">
        <is>
          <t>Abierto simplificado</t>
        </is>
      </c>
      <c r="L314" s="6" t="n">
        <v>3</v>
      </c>
      <c r="M314" s="2" t="n"/>
      <c r="N314" s="7" t="n">
        <v>0</v>
      </c>
      <c r="O314" s="4" t="n"/>
      <c r="P314" s="2" t="inlineStr">
        <is>
          <t>45316100; 34928500; 32323500; 45310000</t>
        </is>
      </c>
      <c r="Q314" s="8" t="inlineStr">
        <is>
          <t>Ver</t>
        </is>
      </c>
      <c r="R314" s="8" t="inlineStr">
        <is>
          <t>PCAP</t>
        </is>
      </c>
      <c r="S314" s="9" t="n">
        <v>46310</v>
      </c>
      <c r="T314" s="3" t="n">
        <v>46308.48003472222</v>
      </c>
      <c r="U314" s="2" t="n"/>
    </row>
    <row r="315">
      <c r="A315" s="2" t="inlineStr">
        <is>
          <t>En plazo</t>
        </is>
      </c>
      <c r="B315" s="3" t="n">
        <v>46323.99930555555</v>
      </c>
      <c r="C315" s="5" t="n">
        <v>734951.3100000001</v>
      </c>
      <c r="D315" s="5" t="n">
        <v>734951.3100000001</v>
      </c>
      <c r="E315" s="2" t="inlineStr">
        <is>
          <t>Comunitat Valenciana</t>
        </is>
      </c>
      <c r="F315" s="2" t="inlineStr">
        <is>
          <t>Valencia</t>
        </is>
      </c>
      <c r="G315" s="2" t="n"/>
      <c r="H315" s="2" t="inlineStr">
        <is>
          <t>Alcaldía del Ayuntamiento de Manises</t>
        </is>
      </c>
      <c r="I315" s="2" t="inlineStr">
        <is>
          <t>Reasfaltado de la travesia de Manises de la CV-370 desde Avenida dels Tranvies hasta la V-11 de acceso al aeropuerto y sustitución del alumbrado del puente de la CV-371 en el término de Manises</t>
        </is>
      </c>
      <c r="J315" s="2" t="inlineStr">
        <is>
          <t>3034000P</t>
        </is>
      </c>
      <c r="K315" s="2" t="inlineStr">
        <is>
          <t>Abierto simplificado</t>
        </is>
      </c>
      <c r="L315" s="6" t="n">
        <v>2</v>
      </c>
      <c r="M315" s="2" t="inlineStr">
        <is>
          <t>G4-3</t>
        </is>
      </c>
      <c r="N315" s="7" t="n">
        <v>0</v>
      </c>
      <c r="O315" s="4" t="n"/>
      <c r="P315" s="2" t="inlineStr">
        <is>
          <t>45233222; 45233252; 45233223; 45233251; 34928530; 34991000; 50232100</t>
        </is>
      </c>
      <c r="Q315" s="8" t="inlineStr">
        <is>
          <t>Ver</t>
        </is>
      </c>
      <c r="R315" s="8" t="inlineStr">
        <is>
          <t>PCAP</t>
        </is>
      </c>
      <c r="S315" s="9" t="n">
        <v>46310</v>
      </c>
      <c r="T315" s="3" t="n">
        <v>46308.47482638889</v>
      </c>
      <c r="U315" s="2" t="n"/>
    </row>
    <row r="316">
      <c r="A316" s="2" t="inlineStr">
        <is>
          <t>Resuelta</t>
        </is>
      </c>
      <c r="B316" s="3" t="n">
        <v>46286.5</v>
      </c>
      <c r="C316" s="5" t="n">
        <v>141356.5</v>
      </c>
      <c r="D316" s="5" t="n">
        <v>141356.5</v>
      </c>
      <c r="E316" s="2" t="inlineStr">
        <is>
          <t>Andalucía</t>
        </is>
      </c>
      <c r="F316" s="2" t="inlineStr">
        <is>
          <t>Málaga</t>
        </is>
      </c>
      <c r="G316" s="2" t="n"/>
      <c r="H316" s="2" t="inlineStr">
        <is>
          <t>Jefatura de Intendencia de Asuntos Económicos Sur</t>
        </is>
      </c>
      <c r="I316" s="2" t="inlineStr">
        <is>
          <t>OBRA TC 208-12/24 de reasfaltado parking zona barracones, Acuartelamiento Montejaque, Ronda (Málaga)</t>
        </is>
      </c>
      <c r="J316" s="2" t="inlineStr">
        <is>
          <t>2026/ETSAE0226/00006059E</t>
        </is>
      </c>
      <c r="K316" s="2" t="inlineStr">
        <is>
          <t>Abierto</t>
        </is>
      </c>
      <c r="L316" s="6" t="n">
        <v>2</v>
      </c>
      <c r="M316" s="2" t="n"/>
      <c r="N316" s="7" t="n">
        <v>0</v>
      </c>
      <c r="O316" s="4" t="n"/>
      <c r="P316" s="2" t="inlineStr">
        <is>
          <t>45216200</t>
        </is>
      </c>
      <c r="Q316" s="8" t="inlineStr">
        <is>
          <t>Ver</t>
        </is>
      </c>
      <c r="R316" s="8" t="inlineStr">
        <is>
          <t>PCAP</t>
        </is>
      </c>
      <c r="S316" s="9" t="n">
        <v>46310</v>
      </c>
      <c r="T316" s="3" t="n">
        <v>46308.47252314815</v>
      </c>
      <c r="U316" s="2" t="n"/>
    </row>
    <row r="317">
      <c r="A317" s="2" t="inlineStr">
        <is>
          <t>En plazo</t>
        </is>
      </c>
      <c r="B317" s="3" t="n">
        <v>46329.99930555555</v>
      </c>
      <c r="C317" s="5" t="n">
        <v>66115.7</v>
      </c>
      <c r="D317" s="5" t="n">
        <v>66115.7</v>
      </c>
      <c r="E317" s="2" t="inlineStr">
        <is>
          <t>Andalucía</t>
        </is>
      </c>
      <c r="F317" s="2" t="inlineStr">
        <is>
          <t>Almería</t>
        </is>
      </c>
      <c r="G317" s="2" t="n"/>
      <c r="H317" s="2" t="inlineStr">
        <is>
          <t>Junta de Gobierno de la Diputación Provincial de Almería</t>
        </is>
      </c>
      <c r="I317" s="2" t="inlineStr">
        <is>
          <t>Pavimentación Caminos Municipales. Sierro 72PCAM24-27BII</t>
        </is>
      </c>
      <c r="J317" s="2" t="inlineStr">
        <is>
          <t>2025/D31000/006-013/00178</t>
        </is>
      </c>
      <c r="K317" s="2" t="inlineStr">
        <is>
          <t>Abierto simplificado</t>
        </is>
      </c>
      <c r="L317" s="6" t="n">
        <v>2</v>
      </c>
      <c r="M317" s="2" t="n"/>
      <c r="N317" s="7" t="n">
        <v>0.25</v>
      </c>
      <c r="O317" s="4" t="n"/>
      <c r="P317" s="2" t="inlineStr">
        <is>
          <t>45233222</t>
        </is>
      </c>
      <c r="Q317" s="8" t="inlineStr">
        <is>
          <t>Ver</t>
        </is>
      </c>
      <c r="R317" s="8" t="inlineStr">
        <is>
          <t>PCAP</t>
        </is>
      </c>
      <c r="S317" s="9" t="n">
        <v>46310</v>
      </c>
      <c r="T317" s="3" t="n">
        <v>46308.47114583333</v>
      </c>
      <c r="U317" s="2" t="n"/>
    </row>
    <row r="318">
      <c r="A318" s="2" t="inlineStr">
        <is>
          <t>Pendiente de adjudicación</t>
        </is>
      </c>
      <c r="B318" s="3" t="n">
        <v>46286.99930555555</v>
      </c>
      <c r="C318" s="5" t="n">
        <v>781554.3199999999</v>
      </c>
      <c r="D318" s="5" t="n">
        <v>781554.3199999999</v>
      </c>
      <c r="E318" s="2" t="inlineStr">
        <is>
          <t>Andalucía</t>
        </is>
      </c>
      <c r="F318" s="2" t="inlineStr">
        <is>
          <t>Sevilla</t>
        </is>
      </c>
      <c r="G318" s="2" t="inlineStr">
        <is>
          <t>Marchena</t>
        </is>
      </c>
      <c r="H318" s="2" t="inlineStr">
        <is>
          <t>Alcaldía del Ayuntamiento de Marchena</t>
        </is>
      </c>
      <c r="I318" s="2" t="inlineStr">
        <is>
          <t>Contrato de obras para Proyecto de ciclosenda en Carretea de Carmona. Marchena (Sevilla).</t>
        </is>
      </c>
      <c r="J318" s="2" t="inlineStr">
        <is>
          <t>2026/CTT_01/000135</t>
        </is>
      </c>
      <c r="K318" s="2" t="inlineStr">
        <is>
          <t>Abierto simplificado</t>
        </is>
      </c>
      <c r="L318" s="6" t="n">
        <v>6</v>
      </c>
      <c r="M318" s="2" t="inlineStr">
        <is>
          <t>K6-1; I1-2; G6-3</t>
        </is>
      </c>
      <c r="N318" s="7" t="n">
        <v>0</v>
      </c>
      <c r="O318" s="4" t="n"/>
      <c r="P318" s="2" t="inlineStr">
        <is>
          <t>45233162; 45316100; 45316213</t>
        </is>
      </c>
      <c r="Q318" s="8" t="inlineStr">
        <is>
          <t>Ver</t>
        </is>
      </c>
      <c r="R318" s="8" t="inlineStr">
        <is>
          <t>PCAP</t>
        </is>
      </c>
      <c r="S318" s="9" t="n">
        <v>46310</v>
      </c>
      <c r="T318" s="3" t="n">
        <v>46308.46662037037</v>
      </c>
      <c r="U318" s="2" t="n"/>
    </row>
    <row r="319">
      <c r="A319" s="2" t="inlineStr">
        <is>
          <t>Pendiente de adjudicación</t>
        </is>
      </c>
      <c r="B319" s="3" t="n">
        <v>46238.54166666666</v>
      </c>
      <c r="C319" s="5" t="n">
        <v>326414.62</v>
      </c>
      <c r="D319" s="5" t="n">
        <v>326414.62</v>
      </c>
      <c r="E319" s="2" t="inlineStr">
        <is>
          <t>Andalucía</t>
        </is>
      </c>
      <c r="F319" s="2" t="inlineStr">
        <is>
          <t>Málaga</t>
        </is>
      </c>
      <c r="G319" s="2" t="n"/>
      <c r="H319" s="2" t="inlineStr">
        <is>
          <t>Junta de Gobierno del Ayuntamiento de Málaga</t>
        </is>
      </c>
      <c r="I319" s="2" t="inlineStr">
        <is>
          <t>Obras de reforma de la cubierta del Mercado Municipal de Atarazanas</t>
        </is>
      </c>
      <c r="J319" s="2" t="inlineStr">
        <is>
          <t>88/26</t>
        </is>
      </c>
      <c r="K319" s="2" t="inlineStr">
        <is>
          <t>Abierto simplificado</t>
        </is>
      </c>
      <c r="L319" s="6" t="n">
        <v>6</v>
      </c>
      <c r="M319" s="2" t="n"/>
      <c r="N319" s="7" t="n">
        <v>0</v>
      </c>
      <c r="O319" s="4" t="n"/>
      <c r="P319" s="2" t="inlineStr">
        <is>
          <t>45212350; 45261910; 45213141</t>
        </is>
      </c>
      <c r="Q319" s="8" t="inlineStr">
        <is>
          <t>Ver</t>
        </is>
      </c>
      <c r="R319" s="8" t="inlineStr">
        <is>
          <t>PCAP</t>
        </is>
      </c>
      <c r="S319" s="9" t="n">
        <v>46310</v>
      </c>
      <c r="T319" s="3" t="n">
        <v>46308.46273148148</v>
      </c>
      <c r="U319" s="2" t="n"/>
    </row>
    <row r="320">
      <c r="A320" s="2" t="inlineStr">
        <is>
          <t>En plazo</t>
        </is>
      </c>
      <c r="B320" s="3" t="n">
        <v>46337.99930555555</v>
      </c>
      <c r="C320" s="5" t="n">
        <v>137097.1</v>
      </c>
      <c r="D320" s="5" t="n">
        <v>137097.1</v>
      </c>
      <c r="E320" s="2" t="inlineStr">
        <is>
          <t>Andalucía</t>
        </is>
      </c>
      <c r="F320" s="2" t="inlineStr">
        <is>
          <t>Cádiz</t>
        </is>
      </c>
      <c r="G320" s="2" t="inlineStr">
        <is>
          <t>SAN JOSE DEL VALLE</t>
        </is>
      </c>
      <c r="H320" s="2" t="inlineStr">
        <is>
          <t>Alcaldía del Ayuntamiento de San José del Valle</t>
        </is>
      </c>
      <c r="I320" s="2" t="inlineStr">
        <is>
          <t>Reparación de la cubierta de la Iglesia Parroquial San José, Plaza de Andalucía nº 9 de San José del Valle.</t>
        </is>
      </c>
      <c r="J320" s="2" t="inlineStr">
        <is>
          <t>2709-2026</t>
        </is>
      </c>
      <c r="K320" s="2" t="inlineStr">
        <is>
          <t>Abierto simplificado</t>
        </is>
      </c>
      <c r="L320" s="6" t="n">
        <v>3</v>
      </c>
      <c r="M320" s="2" t="n"/>
      <c r="N320" s="7" t="n">
        <v>0</v>
      </c>
      <c r="O320" s="4" t="n"/>
      <c r="P320" s="2" t="inlineStr">
        <is>
          <t>45000000; 45200000</t>
        </is>
      </c>
      <c r="Q320" s="8" t="inlineStr">
        <is>
          <t>Ver</t>
        </is>
      </c>
      <c r="R320" s="8" t="inlineStr">
        <is>
          <t>PCAP</t>
        </is>
      </c>
      <c r="S320" s="9" t="n">
        <v>46310</v>
      </c>
      <c r="T320" s="3" t="n">
        <v>46308.46052083333</v>
      </c>
      <c r="U320" s="2" t="n"/>
    </row>
    <row r="321">
      <c r="A321" s="2" t="inlineStr">
        <is>
          <t>Resuelta</t>
        </is>
      </c>
      <c r="B321" s="3" t="n">
        <v>45994.99930555555</v>
      </c>
      <c r="C321" s="5" t="n">
        <v>196665.92</v>
      </c>
      <c r="D321" s="5" t="n">
        <v>196665.92</v>
      </c>
      <c r="E321" s="2" t="inlineStr">
        <is>
          <t>Comunitat Valenciana</t>
        </is>
      </c>
      <c r="F321" s="2" t="inlineStr">
        <is>
          <t>Alicante</t>
        </is>
      </c>
      <c r="G321" s="2" t="n"/>
      <c r="H321" s="2" t="inlineStr">
        <is>
          <t>Presidencia de la Diputación Provincial de Alicante</t>
        </is>
      </c>
      <c r="I321" s="2" t="inlineStr">
        <is>
          <t>Obra de restauración del vallado del Palacio Provincial. sectores de la Avda. de la Estación, en el municipio de Alicante.</t>
        </is>
      </c>
      <c r="J321" s="2" t="inlineStr">
        <is>
          <t>O4S-236/2025</t>
        </is>
      </c>
      <c r="K321" s="2" t="inlineStr">
        <is>
          <t>Abierto simplificado</t>
        </is>
      </c>
      <c r="L321" s="6" t="n">
        <v>6</v>
      </c>
      <c r="M321" s="2" t="n"/>
      <c r="N321" s="7" t="n">
        <v>0.25</v>
      </c>
      <c r="O321" s="4" t="n"/>
      <c r="P321" s="2" t="inlineStr">
        <is>
          <t>45212350; 45262210; 45262510; 45454100; 45262520</t>
        </is>
      </c>
      <c r="Q321" s="8" t="inlineStr">
        <is>
          <t>Ver</t>
        </is>
      </c>
      <c r="R321" s="8" t="inlineStr">
        <is>
          <t>PCAP</t>
        </is>
      </c>
      <c r="S321" s="9" t="n">
        <v>46310</v>
      </c>
      <c r="T321" s="3" t="n">
        <v>46308.45729166667</v>
      </c>
      <c r="U321" s="2" t="n"/>
    </row>
    <row r="322">
      <c r="A322" s="2" t="inlineStr">
        <is>
          <t>Resuelta</t>
        </is>
      </c>
      <c r="B322" s="3" t="n"/>
      <c r="C322" s="5" t="n">
        <v>7790213.77</v>
      </c>
      <c r="D322" s="5" t="n">
        <v>9426158.66</v>
      </c>
      <c r="E322" s="2" t="inlineStr">
        <is>
          <t>Andalucía</t>
        </is>
      </c>
      <c r="F322" s="2" t="inlineStr">
        <is>
          <t>Granada</t>
        </is>
      </c>
      <c r="G322" s="2" t="n"/>
      <c r="H322" s="2" t="inlineStr">
        <is>
          <t>Demarcación de Carreteras del Estado en Andalucía Oriental</t>
        </is>
      </c>
      <c r="I322" s="2" t="inlineStr">
        <is>
          <t>Reparación del Viaducto de Rules en el P.K. 171+400 de la autovía A-44, provincia de Granada, subsanando la situación de grave peligro existente.</t>
        </is>
      </c>
      <c r="J322" s="2" t="inlineStr">
        <is>
          <t>EM23-GR-02.L1</t>
        </is>
      </c>
      <c r="K322" s="2" t="inlineStr">
        <is>
          <t>Negociado sin publicidad</t>
        </is>
      </c>
      <c r="L322" s="6" t="n">
        <v>12</v>
      </c>
      <c r="M322" s="2" t="n"/>
      <c r="N322" s="7" t="n"/>
      <c r="O322" s="4" t="n"/>
      <c r="P322" s="2" t="inlineStr">
        <is>
          <t>45000000</t>
        </is>
      </c>
      <c r="Q322" s="8" t="inlineStr">
        <is>
          <t>Ver</t>
        </is>
      </c>
      <c r="R322" s="2" t="n"/>
      <c r="S322" s="9" t="n">
        <v>46310</v>
      </c>
      <c r="T322" s="3" t="n">
        <v>46308.45436342592</v>
      </c>
      <c r="U322" s="2" t="n"/>
    </row>
    <row r="323">
      <c r="A323" s="2" t="inlineStr">
        <is>
          <t>En plazo</t>
        </is>
      </c>
      <c r="B323" s="3" t="n">
        <v>46337.99930555555</v>
      </c>
      <c r="C323" s="5" t="n">
        <v>481367.76</v>
      </c>
      <c r="D323" s="5" t="n">
        <v>481367.76</v>
      </c>
      <c r="E323" s="2" t="inlineStr">
        <is>
          <t>Andalucía</t>
        </is>
      </c>
      <c r="F323" s="2" t="inlineStr">
        <is>
          <t>Cádiz</t>
        </is>
      </c>
      <c r="G323" s="2" t="inlineStr">
        <is>
          <t>SAN JOSE DEL VALLE</t>
        </is>
      </c>
      <c r="H323" s="2" t="inlineStr">
        <is>
          <t>Alcaldía del Ayuntamiento de San José del Valle</t>
        </is>
      </c>
      <c r="I323" s="2" t="inlineStr">
        <is>
          <t>Ejecución de Caseta de Eventos en Recinto Ferial. Plan Marcha Cádiz + 2026</t>
        </is>
      </c>
      <c r="J323" s="2" t="inlineStr">
        <is>
          <t>2711-2026</t>
        </is>
      </c>
      <c r="K323" s="2" t="inlineStr">
        <is>
          <t>Abierto simplificado</t>
        </is>
      </c>
      <c r="L323" s="6" t="n">
        <v>12</v>
      </c>
      <c r="M323" s="2" t="n"/>
      <c r="N323" s="7" t="n">
        <v>0</v>
      </c>
      <c r="O323" s="4" t="n"/>
      <c r="P323" s="2" t="inlineStr">
        <is>
          <t>45000000; 45200000</t>
        </is>
      </c>
      <c r="Q323" s="8" t="inlineStr">
        <is>
          <t>Ver</t>
        </is>
      </c>
      <c r="R323" s="8" t="inlineStr">
        <is>
          <t>PCAP</t>
        </is>
      </c>
      <c r="S323" s="9" t="n">
        <v>46310</v>
      </c>
      <c r="T323" s="3" t="n">
        <v>46308.4490162037</v>
      </c>
      <c r="U323" s="2" t="n"/>
    </row>
    <row r="324">
      <c r="A324" s="2" t="inlineStr">
        <is>
          <t>Pendiente de adjudicación</t>
        </is>
      </c>
      <c r="B324" s="3" t="n">
        <v>46300.72916666666</v>
      </c>
      <c r="C324" s="5" t="n">
        <v>520801.55</v>
      </c>
      <c r="D324" s="5" t="n">
        <v>520801.55</v>
      </c>
      <c r="E324" s="2" t="inlineStr">
        <is>
          <t>Andalucía</t>
        </is>
      </c>
      <c r="F324" s="2" t="inlineStr">
        <is>
          <t>Granada</t>
        </is>
      </c>
      <c r="G324" s="2" t="n"/>
      <c r="H324" s="2" t="inlineStr">
        <is>
          <t>Junta de Gobierno del Ayuntamiento de Granada</t>
        </is>
      </c>
      <c r="I324" s="2" t="inlineStr">
        <is>
          <t>Contrato de obras para la remodelación de la plaza Virgen del Rocío</t>
        </is>
      </c>
      <c r="J324" s="2" t="inlineStr">
        <is>
          <t>OBR-2026000099</t>
        </is>
      </c>
      <c r="K324" s="2" t="inlineStr">
        <is>
          <t>Abierto</t>
        </is>
      </c>
      <c r="L324" s="6" t="n">
        <v>6</v>
      </c>
      <c r="M324" s="2" t="n"/>
      <c r="N324" s="7" t="n">
        <v>0.4</v>
      </c>
      <c r="O324" s="4" t="n"/>
      <c r="P324" s="2" t="inlineStr">
        <is>
          <t>45000000; 45432111; 37535210; 45111100; 45223800; 45233293; 45316100; 45240000; 34928400; 45112700; 45212190; 45233200; 45317000</t>
        </is>
      </c>
      <c r="Q324" s="8" t="inlineStr">
        <is>
          <t>Ver</t>
        </is>
      </c>
      <c r="R324" s="8" t="inlineStr">
        <is>
          <t>PCAP</t>
        </is>
      </c>
      <c r="S324" s="9" t="n">
        <v>46310</v>
      </c>
      <c r="T324" s="3" t="n">
        <v>46308.44825231482</v>
      </c>
      <c r="U324" s="2" t="n"/>
    </row>
    <row r="325">
      <c r="A325" s="2" t="inlineStr">
        <is>
          <t>En plazo</t>
        </is>
      </c>
      <c r="B325" s="3" t="n">
        <v>46315.54166666666</v>
      </c>
      <c r="C325" s="5" t="n">
        <v>387132.54</v>
      </c>
      <c r="D325" s="5" t="n">
        <v>387132.54</v>
      </c>
      <c r="E325" s="2" t="inlineStr">
        <is>
          <t>Comunitat Valenciana</t>
        </is>
      </c>
      <c r="F325" s="2" t="inlineStr">
        <is>
          <t>Alicante</t>
        </is>
      </c>
      <c r="G325" s="2" t="n"/>
      <c r="H325" s="2" t="inlineStr">
        <is>
          <t>Junta de Gobierno Local del Ayuntamiento de Alicante</t>
        </is>
      </c>
      <c r="I325" s="2" t="inlineStr">
        <is>
          <t>Ejecución de las obras comprendidas en el proyecto de Intervención, reparación y consolidación de las Torres de la Casa Consistorial.</t>
        </is>
      </c>
      <c r="J325" s="2" t="inlineStr">
        <is>
          <t>91/26</t>
        </is>
      </c>
      <c r="K325" s="2" t="inlineStr">
        <is>
          <t>Abierto simplificado</t>
        </is>
      </c>
      <c r="L325" s="6" t="n">
        <v>8</v>
      </c>
      <c r="M325" s="2" t="n"/>
      <c r="N325" s="7" t="n">
        <v>0.25</v>
      </c>
      <c r="O325" s="4" t="n"/>
      <c r="P325" s="2" t="inlineStr">
        <is>
          <t>45212350</t>
        </is>
      </c>
      <c r="Q325" s="8" t="inlineStr">
        <is>
          <t>Ver</t>
        </is>
      </c>
      <c r="R325" s="8" t="inlineStr">
        <is>
          <t>PCAP</t>
        </is>
      </c>
      <c r="S325" s="9" t="n">
        <v>46310</v>
      </c>
      <c r="T325" s="3" t="n">
        <v>46308.44626157408</v>
      </c>
      <c r="U325" s="2" t="n"/>
    </row>
    <row r="326">
      <c r="A326" s="2" t="inlineStr">
        <is>
          <t>En plazo</t>
        </is>
      </c>
      <c r="B326" s="3" t="n">
        <v>46329.99930555555</v>
      </c>
      <c r="C326" s="5" t="n">
        <v>66115.7</v>
      </c>
      <c r="D326" s="5" t="n">
        <v>66115.7</v>
      </c>
      <c r="E326" s="2" t="inlineStr">
        <is>
          <t>Andalucía</t>
        </is>
      </c>
      <c r="F326" s="2" t="inlineStr">
        <is>
          <t>Almería</t>
        </is>
      </c>
      <c r="G326" s="2" t="n"/>
      <c r="H326" s="2" t="inlineStr">
        <is>
          <t>Junta de Gobierno de la Diputación Provincial de Almería</t>
        </is>
      </c>
      <c r="I326" s="2" t="inlineStr">
        <is>
          <t>Pavimentación Caminos Municipales. Santa Fe De Mondújar 69PCAM24-27BII</t>
        </is>
      </c>
      <c r="J326" s="2" t="inlineStr">
        <is>
          <t>2025/D31000/006-013/00171</t>
        </is>
      </c>
      <c r="K326" s="2" t="inlineStr">
        <is>
          <t>Abierto simplificado</t>
        </is>
      </c>
      <c r="L326" s="6" t="n">
        <v>1</v>
      </c>
      <c r="M326" s="2" t="n"/>
      <c r="N326" s="7" t="n">
        <v>0.25</v>
      </c>
      <c r="O326" s="4" t="n"/>
      <c r="P326" s="2" t="inlineStr">
        <is>
          <t>45233222</t>
        </is>
      </c>
      <c r="Q326" s="8" t="inlineStr">
        <is>
          <t>Ver</t>
        </is>
      </c>
      <c r="R326" s="8" t="inlineStr">
        <is>
          <t>PCAP</t>
        </is>
      </c>
      <c r="S326" s="9" t="n">
        <v>46310</v>
      </c>
      <c r="T326" s="3" t="n">
        <v>46308.44577546296</v>
      </c>
      <c r="U326" s="2" t="n"/>
    </row>
    <row r="327">
      <c r="A327" s="2" t="inlineStr">
        <is>
          <t>Resuelta</t>
        </is>
      </c>
      <c r="B327" s="3" t="n">
        <v>46288.99930555555</v>
      </c>
      <c r="C327" s="5" t="n">
        <v>6704.4</v>
      </c>
      <c r="D327" s="5" t="n">
        <v>6704.4</v>
      </c>
      <c r="E327" s="2" t="inlineStr">
        <is>
          <t>Comunitat Valenciana</t>
        </is>
      </c>
      <c r="F327" s="2" t="inlineStr">
        <is>
          <t>Valencia</t>
        </is>
      </c>
      <c r="G327" s="2" t="n"/>
      <c r="H327" s="2" t="inlineStr">
        <is>
          <t>Sexta Zona de la Guardia Civil en la Comunidad Valenciana</t>
        </is>
      </c>
      <c r="I327" s="2" t="inlineStr">
        <is>
          <t>Adecuación de las dependencias para despachos y zona administrativa Policía Judicial</t>
        </is>
      </c>
      <c r="J327" s="2" t="inlineStr">
        <is>
          <t>P/0179/Y/26/6</t>
        </is>
      </c>
      <c r="K327" s="2" t="inlineStr">
        <is>
          <t>Abierto simplificado</t>
        </is>
      </c>
      <c r="L327" s="6" t="n">
        <v>1</v>
      </c>
      <c r="M327" s="2" t="n"/>
      <c r="N327" s="7" t="n">
        <v>0</v>
      </c>
      <c r="O327" s="4" t="n"/>
      <c r="P327" s="2" t="inlineStr">
        <is>
          <t>45000000</t>
        </is>
      </c>
      <c r="Q327" s="8" t="inlineStr">
        <is>
          <t>Ver</t>
        </is>
      </c>
      <c r="R327" s="8" t="inlineStr">
        <is>
          <t>PCAP</t>
        </is>
      </c>
      <c r="S327" s="9" t="n">
        <v>46310</v>
      </c>
      <c r="T327" s="3" t="n">
        <v>46308.4412037037</v>
      </c>
      <c r="U327" s="2" t="n"/>
    </row>
    <row r="328">
      <c r="A328" s="2" t="inlineStr">
        <is>
          <t>Pendiente de adjudicación</t>
        </is>
      </c>
      <c r="B328" s="3" t="n">
        <v>46258.99930555555</v>
      </c>
      <c r="C328" s="5" t="n">
        <v>1439711.7</v>
      </c>
      <c r="D328" s="5" t="n">
        <v>1583682.17</v>
      </c>
      <c r="E328" s="2" t="inlineStr">
        <is>
          <t>Andalucía</t>
        </is>
      </c>
      <c r="F328" s="2" t="inlineStr">
        <is>
          <t>Málaga</t>
        </is>
      </c>
      <c r="G328" s="2" t="n"/>
      <c r="H328" s="2" t="inlineStr">
        <is>
          <t>Alcaldía del Ayuntamiento de Alpandeire</t>
        </is>
      </c>
      <c r="I328" s="2" t="inlineStr">
        <is>
          <t>Construccion de Albergue de Peregrinos de Alpandeire (Málaga)</t>
        </is>
      </c>
      <c r="J328" s="2" t="inlineStr">
        <is>
          <t>110/2026</t>
        </is>
      </c>
      <c r="K328" s="2" t="inlineStr">
        <is>
          <t>Abierto simplificado</t>
        </is>
      </c>
      <c r="L328" s="6" t="n">
        <v>11</v>
      </c>
      <c r="M328" s="2" t="inlineStr">
        <is>
          <t>C4-2; K2-2; C2-2</t>
        </is>
      </c>
      <c r="N328" s="7" t="n">
        <v>0.25</v>
      </c>
      <c r="O328" s="4" t="n"/>
      <c r="P328" s="2" t="inlineStr">
        <is>
          <t>45212412; 45000000; 45210000</t>
        </is>
      </c>
      <c r="Q328" s="8" t="inlineStr">
        <is>
          <t>Ver</t>
        </is>
      </c>
      <c r="R328" s="8" t="inlineStr">
        <is>
          <t>PCAP</t>
        </is>
      </c>
      <c r="S328" s="9" t="n">
        <v>46310</v>
      </c>
      <c r="T328" s="3" t="n">
        <v>46308.43746527778</v>
      </c>
      <c r="U328" s="2" t="n"/>
    </row>
    <row r="329">
      <c r="A329" s="2" t="inlineStr">
        <is>
          <t>En plazo</t>
        </is>
      </c>
      <c r="B329" s="3" t="n">
        <v>46329.99930555555</v>
      </c>
      <c r="C329" s="5" t="n">
        <v>66115.7</v>
      </c>
      <c r="D329" s="5" t="n">
        <v>66115.7</v>
      </c>
      <c r="E329" s="2" t="inlineStr">
        <is>
          <t>Andalucía</t>
        </is>
      </c>
      <c r="F329" s="2" t="inlineStr">
        <is>
          <t>Almería</t>
        </is>
      </c>
      <c r="G329" s="2" t="n"/>
      <c r="H329" s="2" t="inlineStr">
        <is>
          <t>Junta de Gobierno de la Diputación Provincial de Almería</t>
        </is>
      </c>
      <c r="I329" s="2" t="inlineStr">
        <is>
          <t>Caminos Municipales, Ohanes 57PCAM24-27BII</t>
        </is>
      </c>
      <c r="J329" s="2" t="inlineStr">
        <is>
          <t>2025/D31000/006-013/00259</t>
        </is>
      </c>
      <c r="K329" s="2" t="inlineStr">
        <is>
          <t>Abierto simplificado</t>
        </is>
      </c>
      <c r="L329" s="6" t="n">
        <v>1</v>
      </c>
      <c r="M329" s="2" t="n"/>
      <c r="N329" s="7" t="n">
        <v>0.25</v>
      </c>
      <c r="O329" s="4" t="n"/>
      <c r="P329" s="2" t="inlineStr">
        <is>
          <t>45233222</t>
        </is>
      </c>
      <c r="Q329" s="8" t="inlineStr">
        <is>
          <t>Ver</t>
        </is>
      </c>
      <c r="R329" s="8" t="inlineStr">
        <is>
          <t>PCAP</t>
        </is>
      </c>
      <c r="S329" s="9" t="n">
        <v>46310</v>
      </c>
      <c r="T329" s="3" t="n">
        <v>46308.43667824074</v>
      </c>
      <c r="U329" s="2" t="n"/>
    </row>
    <row r="330">
      <c r="A330" s="2" t="inlineStr">
        <is>
          <t>Resuelta</t>
        </is>
      </c>
      <c r="B330" s="3" t="n">
        <v>45929.99930555555</v>
      </c>
      <c r="C330" s="5" t="n">
        <v>248688.39</v>
      </c>
      <c r="D330" s="5" t="n">
        <v>248688.39</v>
      </c>
      <c r="E330" s="2" t="inlineStr">
        <is>
          <t>Comunitat Valenciana</t>
        </is>
      </c>
      <c r="F330" s="2" t="inlineStr">
        <is>
          <t>Valencia</t>
        </is>
      </c>
      <c r="G330" s="2" t="inlineStr">
        <is>
          <t>Sedaví</t>
        </is>
      </c>
      <c r="H330" s="2" t="inlineStr">
        <is>
          <t>Junta de Gobierno del Ayuntamiento de Sedaví</t>
        </is>
      </c>
      <c r="I330" s="2" t="inlineStr">
        <is>
          <t>Obra de reforma interior del Ayuntamiento por daños DANA</t>
        </is>
      </c>
      <c r="J330" s="2" t="inlineStr">
        <is>
          <t>2025/11</t>
        </is>
      </c>
      <c r="K330" s="2" t="inlineStr">
        <is>
          <t>Abierto simplificado</t>
        </is>
      </c>
      <c r="L330" s="6" t="n">
        <v>5</v>
      </c>
      <c r="M330" s="2" t="n"/>
      <c r="N330" s="7" t="n">
        <v>0</v>
      </c>
      <c r="O330" s="4" t="n"/>
      <c r="P330" s="2" t="inlineStr">
        <is>
          <t>45000000</t>
        </is>
      </c>
      <c r="Q330" s="8" t="inlineStr">
        <is>
          <t>Ver</t>
        </is>
      </c>
      <c r="R330" s="8" t="inlineStr">
        <is>
          <t>PCAP</t>
        </is>
      </c>
      <c r="S330" s="9" t="n">
        <v>46310</v>
      </c>
      <c r="T330" s="3" t="n">
        <v>46308.43458333334</v>
      </c>
      <c r="U330" s="2" t="n"/>
    </row>
    <row r="331">
      <c r="A331" s="2" t="inlineStr">
        <is>
          <t>Pendiente de adjudicación</t>
        </is>
      </c>
      <c r="B331" s="3" t="n">
        <v>46301.99930555555</v>
      </c>
      <c r="C331" s="5" t="n">
        <v>49198.24</v>
      </c>
      <c r="D331" s="5" t="n">
        <v>49198.24</v>
      </c>
      <c r="E331" s="2" t="inlineStr">
        <is>
          <t>Comunitat Valenciana</t>
        </is>
      </c>
      <c r="F331" s="2" t="inlineStr">
        <is>
          <t>Alicante</t>
        </is>
      </c>
      <c r="G331" s="2" t="inlineStr">
        <is>
          <t>Pego</t>
        </is>
      </c>
      <c r="H331" s="2" t="inlineStr">
        <is>
          <t>Alcaldía del Ayuntamiento de Pego</t>
        </is>
      </c>
      <c r="I331" s="2" t="inlineStr">
        <is>
          <t>Remodelación de la calle Ramón y Cajal a plataforma única.</t>
        </is>
      </c>
      <c r="J331" s="2" t="inlineStr">
        <is>
          <t>2052/2026</t>
        </is>
      </c>
      <c r="K331" s="2" t="inlineStr">
        <is>
          <t>Abierto simplificado</t>
        </is>
      </c>
      <c r="L331" s="6" t="n">
        <v>2</v>
      </c>
      <c r="M331" s="2" t="inlineStr">
        <is>
          <t>G6-1</t>
        </is>
      </c>
      <c r="N331" s="7" t="n">
        <v>0</v>
      </c>
      <c r="O331" s="4" t="n"/>
      <c r="P331" s="2" t="inlineStr">
        <is>
          <t>45233251</t>
        </is>
      </c>
      <c r="Q331" s="8" t="inlineStr">
        <is>
          <t>Ver</t>
        </is>
      </c>
      <c r="R331" s="8" t="inlineStr">
        <is>
          <t>PCAP</t>
        </is>
      </c>
      <c r="S331" s="9" t="n">
        <v>46310</v>
      </c>
      <c r="T331" s="3" t="n">
        <v>46308.43315972222</v>
      </c>
      <c r="U331" s="2" t="n"/>
    </row>
    <row r="332">
      <c r="A332" s="2" t="inlineStr">
        <is>
          <t>Resuelta</t>
        </is>
      </c>
      <c r="B332" s="3" t="n">
        <v>46288.99930555555</v>
      </c>
      <c r="C332" s="5" t="n">
        <v>13970</v>
      </c>
      <c r="D332" s="5" t="n">
        <v>13970</v>
      </c>
      <c r="E332" s="2" t="inlineStr">
        <is>
          <t>Comunitat Valenciana</t>
        </is>
      </c>
      <c r="F332" s="2" t="inlineStr">
        <is>
          <t>Valencia</t>
        </is>
      </c>
      <c r="G332" s="2" t="n"/>
      <c r="H332" s="2" t="inlineStr">
        <is>
          <t>Sexta Zona de la Guardia Civil en la Comunidad Valenciana</t>
        </is>
      </c>
      <c r="I332" s="2" t="inlineStr">
        <is>
          <t>Obra de rehabilitación y adecuación de las instalaciones y el vallado del Grupo Cinológico de la 6ª Zona de la Guardia civil en la Comunidad Valenciana, ubicado en el recinto del Acuartelamiento de Almussafes (Valencia).</t>
        </is>
      </c>
      <c r="J332" s="2" t="inlineStr">
        <is>
          <t>P/0180/Y/26/2</t>
        </is>
      </c>
      <c r="K332" s="2" t="inlineStr">
        <is>
          <t>Abierto simplificado</t>
        </is>
      </c>
      <c r="L332" s="6" t="n">
        <v>2</v>
      </c>
      <c r="M332" s="2" t="n"/>
      <c r="N332" s="7" t="n">
        <v>0</v>
      </c>
      <c r="O332" s="4" t="n"/>
      <c r="P332" s="2" t="inlineStr">
        <is>
          <t>45000000</t>
        </is>
      </c>
      <c r="Q332" s="8" t="inlineStr">
        <is>
          <t>Ver</t>
        </is>
      </c>
      <c r="R332" s="8" t="inlineStr">
        <is>
          <t>PCAP</t>
        </is>
      </c>
      <c r="S332" s="9" t="n">
        <v>46310</v>
      </c>
      <c r="T332" s="3" t="n">
        <v>46308.43181712963</v>
      </c>
      <c r="U332" s="2" t="n"/>
    </row>
    <row r="333">
      <c r="A333" s="2" t="inlineStr">
        <is>
          <t>En plazo</t>
        </is>
      </c>
      <c r="B333" s="3" t="n">
        <v>46328.58333333334</v>
      </c>
      <c r="C333" s="5" t="n">
        <v>283254.39</v>
      </c>
      <c r="D333" s="5" t="n">
        <v>283254.39</v>
      </c>
      <c r="E333" s="2" t="inlineStr">
        <is>
          <t>Comunitat Valenciana</t>
        </is>
      </c>
      <c r="F333" s="2" t="inlineStr">
        <is>
          <t>Valencia</t>
        </is>
      </c>
      <c r="G333" s="2" t="inlineStr">
        <is>
          <t>REQUENA</t>
        </is>
      </c>
      <c r="H333" s="2" t="inlineStr">
        <is>
          <t>Junta de Gobierno Local del Ayuntamiento de Requena</t>
        </is>
      </c>
      <c r="I333" s="2" t="inlineStr">
        <is>
          <t>Ejecucion de Dos pistas de Padel y cubierta</t>
        </is>
      </c>
      <c r="J333" s="2" t="inlineStr">
        <is>
          <t>2984184A</t>
        </is>
      </c>
      <c r="K333" s="2" t="inlineStr">
        <is>
          <t>Abierto simplificado</t>
        </is>
      </c>
      <c r="L333" s="6" t="n">
        <v>3</v>
      </c>
      <c r="M333" s="2" t="n"/>
      <c r="N333" s="7" t="n">
        <v>0</v>
      </c>
      <c r="O333" s="4" t="n"/>
      <c r="P333" s="2" t="inlineStr">
        <is>
          <t>45212200</t>
        </is>
      </c>
      <c r="Q333" s="8" t="inlineStr">
        <is>
          <t>Ver</t>
        </is>
      </c>
      <c r="R333" s="8" t="inlineStr">
        <is>
          <t>PCAP</t>
        </is>
      </c>
      <c r="S333" s="9" t="n">
        <v>46310</v>
      </c>
      <c r="T333" s="3" t="n">
        <v>46308.4302662037</v>
      </c>
      <c r="U333" s="2" t="n"/>
    </row>
    <row r="334">
      <c r="A334" s="2" t="inlineStr">
        <is>
          <t>Resuelta</t>
        </is>
      </c>
      <c r="B334" s="3" t="n">
        <v>46262.75</v>
      </c>
      <c r="C334" s="5" t="n">
        <v>56000</v>
      </c>
      <c r="D334" s="5" t="n">
        <v>56000</v>
      </c>
      <c r="E334" s="2" t="inlineStr">
        <is>
          <t>Comunitat Valenciana</t>
        </is>
      </c>
      <c r="F334" s="2" t="inlineStr">
        <is>
          <t>Valencia</t>
        </is>
      </c>
      <c r="G334" s="2" t="n"/>
      <c r="H334" s="2" t="inlineStr">
        <is>
          <t>Empresa de Transformación Agraria S.A.,S.M.E., M.P., (TRAGSA)</t>
        </is>
      </c>
      <c r="I334"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334" s="2" t="inlineStr">
        <is>
          <t>TSA0081958-007</t>
        </is>
      </c>
      <c r="K334" s="2" t="inlineStr">
        <is>
          <t>Abierto</t>
        </is>
      </c>
      <c r="L334" s="6" t="n">
        <v>12</v>
      </c>
      <c r="M334" s="2" t="n"/>
      <c r="N334" s="7" t="n">
        <v>0</v>
      </c>
      <c r="O334" s="4" t="n"/>
      <c r="P334" s="2" t="inlineStr">
        <is>
          <t>45500000</t>
        </is>
      </c>
      <c r="Q334" s="8" t="inlineStr">
        <is>
          <t>Ver</t>
        </is>
      </c>
      <c r="R334" s="8" t="inlineStr">
        <is>
          <t>PCAP</t>
        </is>
      </c>
      <c r="S334" s="9" t="n">
        <v>46310</v>
      </c>
      <c r="T334" s="3" t="n">
        <v>46308.42991898148</v>
      </c>
      <c r="U334" s="2" t="n"/>
    </row>
    <row r="335">
      <c r="A335" s="2" t="inlineStr">
        <is>
          <t>En plazo</t>
        </is>
      </c>
      <c r="B335" s="3" t="n">
        <v>46328.58333333334</v>
      </c>
      <c r="C335" s="5" t="n">
        <v>557102.23</v>
      </c>
      <c r="D335" s="5" t="n">
        <v>557102.23</v>
      </c>
      <c r="E335" s="2" t="inlineStr">
        <is>
          <t>Comunitat Valenciana</t>
        </is>
      </c>
      <c r="F335" s="2" t="inlineStr">
        <is>
          <t>Valencia</t>
        </is>
      </c>
      <c r="G335" s="2" t="inlineStr">
        <is>
          <t>REQUENA</t>
        </is>
      </c>
      <c r="H335" s="2" t="inlineStr">
        <is>
          <t>Junta de Gobierno Local del Ayuntamiento de Requena</t>
        </is>
      </c>
      <c r="I335" s="2" t="inlineStr">
        <is>
          <t>Demolicion y construccion Centro Social de Campo Arcís</t>
        </is>
      </c>
      <c r="J335" s="2" t="inlineStr">
        <is>
          <t>2896352M</t>
        </is>
      </c>
      <c r="K335" s="2" t="inlineStr">
        <is>
          <t>Abierto simplificado</t>
        </is>
      </c>
      <c r="L335" s="6" t="n">
        <v>24</v>
      </c>
      <c r="M335" s="2" t="n"/>
      <c r="N335" s="7" t="n">
        <v>0</v>
      </c>
      <c r="O335" s="4" t="n"/>
      <c r="P335" s="2" t="inlineStr">
        <is>
          <t>45211350; 45111100</t>
        </is>
      </c>
      <c r="Q335" s="8" t="inlineStr">
        <is>
          <t>Ver</t>
        </is>
      </c>
      <c r="R335" s="8" t="inlineStr">
        <is>
          <t>PCAP</t>
        </is>
      </c>
      <c r="S335" s="9" t="n">
        <v>46310</v>
      </c>
      <c r="T335" s="3" t="n">
        <v>46308.42965277778</v>
      </c>
      <c r="U335" s="2" t="n"/>
    </row>
    <row r="336">
      <c r="A336" s="2" t="inlineStr">
        <is>
          <t>En plazo</t>
        </is>
      </c>
      <c r="B336" s="3" t="n">
        <v>46329.99930555555</v>
      </c>
      <c r="C336" s="5" t="n">
        <v>74380.17</v>
      </c>
      <c r="D336" s="5" t="n">
        <v>74380.17</v>
      </c>
      <c r="E336" s="2" t="inlineStr">
        <is>
          <t>Andalucía</t>
        </is>
      </c>
      <c r="F336" s="2" t="inlineStr">
        <is>
          <t>Almería</t>
        </is>
      </c>
      <c r="G336" s="2" t="n"/>
      <c r="H336" s="2" t="inlineStr">
        <is>
          <t>Junta de Gobierno de la Diputación Provincial de Almería</t>
        </is>
      </c>
      <c r="I336" s="2" t="inlineStr">
        <is>
          <t>Caminos Municipales, Arboleas 15PCAM24-27BII</t>
        </is>
      </c>
      <c r="J336" s="2" t="inlineStr">
        <is>
          <t>2025/D31000/006-013/00269</t>
        </is>
      </c>
      <c r="K336" s="2" t="inlineStr">
        <is>
          <t>Abierto simplificado</t>
        </is>
      </c>
      <c r="L336" s="6" t="n">
        <v>2</v>
      </c>
      <c r="M336" s="2" t="n"/>
      <c r="N336" s="7" t="n">
        <v>0.25</v>
      </c>
      <c r="O336" s="4" t="n"/>
      <c r="P336" s="2" t="inlineStr">
        <is>
          <t>45233222</t>
        </is>
      </c>
      <c r="Q336" s="8" t="inlineStr">
        <is>
          <t>Ver</t>
        </is>
      </c>
      <c r="R336" s="8" t="inlineStr">
        <is>
          <t>PCAP</t>
        </is>
      </c>
      <c r="S336" s="9" t="n">
        <v>46310</v>
      </c>
      <c r="T336" s="3" t="n">
        <v>46308.429375</v>
      </c>
      <c r="U336" s="2" t="n"/>
    </row>
    <row r="337">
      <c r="A337" s="2" t="inlineStr">
        <is>
          <t>Pendiente de adjudicación</t>
        </is>
      </c>
      <c r="B337" s="3" t="n">
        <v>46050.99930555555</v>
      </c>
      <c r="C337" s="5" t="n">
        <v>40460.01</v>
      </c>
      <c r="D337" s="5" t="n">
        <v>40460.01</v>
      </c>
      <c r="E337" s="2" t="inlineStr">
        <is>
          <t>Comunitat Valenciana</t>
        </is>
      </c>
      <c r="F337" s="2" t="inlineStr">
        <is>
          <t>Alicante</t>
        </is>
      </c>
      <c r="G337" s="2" t="n"/>
      <c r="H337" s="2" t="inlineStr">
        <is>
          <t>Presidencia de la Diputación Provincial de Alicante</t>
        </is>
      </c>
      <c r="I337" s="2" t="inlineStr">
        <is>
          <t>Obras de instalaciones de nuevos elementos de control en Comunidad Regantes Riegos Levante Margen Derecha del Río Segura</t>
        </is>
      </c>
      <c r="J337" s="2" t="inlineStr">
        <is>
          <t>O4S-259/2025</t>
        </is>
      </c>
      <c r="K337" s="2" t="inlineStr">
        <is>
          <t>Abierto simplificado</t>
        </is>
      </c>
      <c r="L337" s="6" t="n">
        <v>2</v>
      </c>
      <c r="M337" s="2" t="n"/>
      <c r="N337" s="7" t="n">
        <v>0.2</v>
      </c>
      <c r="O337" s="4" t="n"/>
      <c r="P337" s="2" t="inlineStr">
        <is>
          <t>45232121</t>
        </is>
      </c>
      <c r="Q337" s="8" t="inlineStr">
        <is>
          <t>Ver</t>
        </is>
      </c>
      <c r="R337" s="8" t="inlineStr">
        <is>
          <t>PCAP</t>
        </is>
      </c>
      <c r="S337" s="9" t="n">
        <v>46310</v>
      </c>
      <c r="T337" s="3" t="n">
        <v>46308.42788194444</v>
      </c>
      <c r="U337" s="2" t="n"/>
    </row>
    <row r="338">
      <c r="A338" s="2" t="inlineStr">
        <is>
          <t>Pendiente de adjudicación</t>
        </is>
      </c>
      <c r="B338" s="3" t="n">
        <v>46218.58333333334</v>
      </c>
      <c r="C338" s="5" t="n">
        <v>9786106.130000001</v>
      </c>
      <c r="D338" s="5" t="n">
        <v>10764716.74</v>
      </c>
      <c r="E338" s="2" t="inlineStr">
        <is>
          <t>Comunitat Valenciana</t>
        </is>
      </c>
      <c r="F338" s="2" t="inlineStr">
        <is>
          <t>Alicante</t>
        </is>
      </c>
      <c r="G338" s="2" t="inlineStr">
        <is>
          <t>Alicante</t>
        </is>
      </c>
      <c r="H338" s="2" t="inlineStr">
        <is>
          <t>Dirección General de Gestión Económica, Contratación e Infraestructuras de la Conselleria de Sanidad</t>
        </is>
      </c>
      <c r="I338" s="2" t="inlineStr">
        <is>
          <t>obras mediante procedimiento abierto, para la nueva construcción del centro de salud la Condomina de Alacant (Alicante).</t>
        </is>
      </c>
      <c r="J338" s="2" t="inlineStr">
        <is>
          <t>361/2026</t>
        </is>
      </c>
      <c r="K338" s="2" t="inlineStr">
        <is>
          <t>Abierto</t>
        </is>
      </c>
      <c r="L338" s="6" t="n">
        <v>24</v>
      </c>
      <c r="M338" s="2" t="inlineStr">
        <is>
          <t>C*-6</t>
        </is>
      </c>
      <c r="N338" s="7" t="n">
        <v>0.1</v>
      </c>
      <c r="O338" s="4" t="n"/>
      <c r="P338" s="2" t="inlineStr">
        <is>
          <t>45215100</t>
        </is>
      </c>
      <c r="Q338" s="8" t="inlineStr">
        <is>
          <t>Ver</t>
        </is>
      </c>
      <c r="R338" s="8" t="inlineStr">
        <is>
          <t>PCAP</t>
        </is>
      </c>
      <c r="S338" s="9" t="n">
        <v>46310</v>
      </c>
      <c r="T338" s="3" t="n">
        <v>46308.4278587963</v>
      </c>
      <c r="U338" s="2" t="n"/>
    </row>
    <row r="339">
      <c r="A339" s="2" t="inlineStr">
        <is>
          <t>Adjudicada</t>
        </is>
      </c>
      <c r="B339" s="3" t="n"/>
      <c r="C339" s="5" t="n">
        <v>0</v>
      </c>
      <c r="D339" s="5" t="n">
        <v>5953500</v>
      </c>
      <c r="E339" s="2" t="inlineStr">
        <is>
          <t>Andalucía</t>
        </is>
      </c>
      <c r="F339" s="2" t="n"/>
      <c r="G339" s="2" t="n"/>
      <c r="H339" s="2" t="inlineStr">
        <is>
          <t>ADIF Alta Velocidad - Presidencia</t>
        </is>
      </c>
      <c r="I339" s="2" t="inlineStr">
        <is>
          <t>Emergencia de las obras y de los servicios de estabilización del talud situado entre los puntos kilométricos 120+849 al 121+389, de la línea de Alta Velocidad 030 Córdoba – Málaga.Obra</t>
        </is>
      </c>
      <c r="J339" s="2" t="inlineStr">
        <is>
          <t>3.26/20810.0034</t>
        </is>
      </c>
      <c r="K339" s="2" t="inlineStr">
        <is>
          <t>Negociado sin publicidad</t>
        </is>
      </c>
      <c r="L339" s="6" t="n">
        <v>4</v>
      </c>
      <c r="M339" s="2" t="n"/>
      <c r="N339" s="7" t="n">
        <v>0</v>
      </c>
      <c r="O339" s="4" t="n"/>
      <c r="P339" s="2" t="inlineStr">
        <is>
          <t>45450000</t>
        </is>
      </c>
      <c r="Q339" s="8" t="inlineStr">
        <is>
          <t>Ver</t>
        </is>
      </c>
      <c r="R339" s="2" t="n"/>
      <c r="S339" s="9" t="n">
        <v>46310</v>
      </c>
      <c r="T339" s="3" t="n">
        <v>46308.42665509259</v>
      </c>
      <c r="U339" s="2" t="n"/>
    </row>
    <row r="340">
      <c r="A340" s="2" t="inlineStr">
        <is>
          <t>En plazo</t>
        </is>
      </c>
      <c r="B340" s="3" t="n">
        <v>46322.58333333334</v>
      </c>
      <c r="C340" s="5" t="n">
        <v>52220.57</v>
      </c>
      <c r="D340" s="5" t="n">
        <v>52220.57</v>
      </c>
      <c r="E340" s="2" t="inlineStr">
        <is>
          <t>Comunitat Valenciana</t>
        </is>
      </c>
      <c r="F340" s="2" t="inlineStr">
        <is>
          <t>Valencia</t>
        </is>
      </c>
      <c r="G340" s="2" t="inlineStr">
        <is>
          <t>SAN ANTONIO DE REQUENA</t>
        </is>
      </c>
      <c r="H340" s="2" t="inlineStr">
        <is>
          <t>Alcaldía del Ayuntamiento de Requena</t>
        </is>
      </c>
      <c r="I340" s="2" t="inlineStr">
        <is>
          <t>Reurbanizacion Plaza San Antonio Abad de los Isidros</t>
        </is>
      </c>
      <c r="J340" s="2" t="inlineStr">
        <is>
          <t>2980642F</t>
        </is>
      </c>
      <c r="K340" s="2" t="inlineStr">
        <is>
          <t>Abierto simplificado</t>
        </is>
      </c>
      <c r="L340" s="6" t="n">
        <v>3</v>
      </c>
      <c r="M340" s="2" t="n"/>
      <c r="N340" s="7" t="n">
        <v>0</v>
      </c>
      <c r="O340" s="4" t="n"/>
      <c r="P340" s="2" t="inlineStr">
        <is>
          <t>45212100</t>
        </is>
      </c>
      <c r="Q340" s="8" t="inlineStr">
        <is>
          <t>Ver</t>
        </is>
      </c>
      <c r="R340" s="8" t="inlineStr">
        <is>
          <t>PCAP</t>
        </is>
      </c>
      <c r="S340" s="9" t="n">
        <v>46310</v>
      </c>
      <c r="T340" s="3" t="n">
        <v>46308.4252662037</v>
      </c>
      <c r="U340" s="2" t="n"/>
    </row>
    <row r="341">
      <c r="A341" s="2" t="inlineStr">
        <is>
          <t>En plazo</t>
        </is>
      </c>
      <c r="B341" s="3" t="n">
        <v>46328.58333333334</v>
      </c>
      <c r="C341" s="5" t="n">
        <v>77863.62</v>
      </c>
      <c r="D341" s="5" t="n">
        <v>77863.62</v>
      </c>
      <c r="E341" s="2" t="inlineStr">
        <is>
          <t>Comunitat Valenciana</t>
        </is>
      </c>
      <c r="F341" s="2" t="inlineStr">
        <is>
          <t>Valencia</t>
        </is>
      </c>
      <c r="G341" s="2" t="inlineStr">
        <is>
          <t>HORTUNAS-REQUENA</t>
        </is>
      </c>
      <c r="H341" s="2" t="inlineStr">
        <is>
          <t>Alcaldía del Ayuntamiento de Requena</t>
        </is>
      </c>
      <c r="I341" s="2" t="inlineStr">
        <is>
          <t>Reforma del bar - Centro sociocultural de Hortunas :accesibilidad, climatización, y ventilacion, iluminacion y equipamiento</t>
        </is>
      </c>
      <c r="J341" s="2" t="inlineStr">
        <is>
          <t>2982725Z</t>
        </is>
      </c>
      <c r="K341" s="2" t="inlineStr">
        <is>
          <t>Abierto simplificado</t>
        </is>
      </c>
      <c r="L341" s="6" t="n">
        <v>3</v>
      </c>
      <c r="M341" s="2" t="n"/>
      <c r="N341" s="7" t="n">
        <v>0</v>
      </c>
      <c r="O341" s="4" t="n"/>
      <c r="P341" s="2" t="inlineStr">
        <is>
          <t>45000000</t>
        </is>
      </c>
      <c r="Q341" s="8" t="inlineStr">
        <is>
          <t>Ver</t>
        </is>
      </c>
      <c r="R341" s="8" t="inlineStr">
        <is>
          <t>PCAP</t>
        </is>
      </c>
      <c r="S341" s="9" t="n">
        <v>46310</v>
      </c>
      <c r="T341" s="3" t="n">
        <v>46308.42457175926</v>
      </c>
      <c r="U341" s="2" t="n"/>
    </row>
    <row r="342">
      <c r="A342" s="2" t="inlineStr">
        <is>
          <t>Adjudicada</t>
        </is>
      </c>
      <c r="B342" s="3" t="n"/>
      <c r="C342" s="5" t="n">
        <v>0</v>
      </c>
      <c r="D342" s="5" t="n">
        <v>367500</v>
      </c>
      <c r="E342" s="2" t="inlineStr">
        <is>
          <t>Andalucía</t>
        </is>
      </c>
      <c r="F342" s="2" t="n"/>
      <c r="G342" s="2" t="n"/>
      <c r="H342" s="2" t="inlineStr">
        <is>
          <t>ADIF Alta Velocidad - Presidencia</t>
        </is>
      </c>
      <c r="I342" s="2" t="inlineStr">
        <is>
          <t>Emergencia de las obras y de los servicios de estabilización del talud situado entre los puntos kilométricos 120+849 al 121+389, de la línea de Alta Velocidad 030 Córdoba – Málaga. Asistencia Técnica</t>
        </is>
      </c>
      <c r="J342" s="2" t="inlineStr">
        <is>
          <t>3.26/20810.0035</t>
        </is>
      </c>
      <c r="K342" s="2" t="inlineStr">
        <is>
          <t>Negociado sin publicidad</t>
        </is>
      </c>
      <c r="L342" s="6" t="n">
        <v>4</v>
      </c>
      <c r="M342" s="2" t="n"/>
      <c r="N342" s="7" t="n">
        <v>0</v>
      </c>
      <c r="O342" s="4" t="n"/>
      <c r="P342" s="2" t="inlineStr">
        <is>
          <t>45450000</t>
        </is>
      </c>
      <c r="Q342" s="8" t="inlineStr">
        <is>
          <t>Ver</t>
        </is>
      </c>
      <c r="R342" s="2" t="n"/>
      <c r="S342" s="9" t="n">
        <v>46310</v>
      </c>
      <c r="T342" s="3" t="n">
        <v>46308.42375</v>
      </c>
      <c r="U342" s="2" t="n"/>
    </row>
    <row r="343">
      <c r="A343" s="2" t="inlineStr">
        <is>
          <t>Pendiente de adjudicación</t>
        </is>
      </c>
      <c r="B343" s="3" t="n">
        <v>46280.99930555555</v>
      </c>
      <c r="C343" s="5" t="n">
        <v>206380.16</v>
      </c>
      <c r="D343" s="5" t="n">
        <v>206380.16</v>
      </c>
      <c r="E343" s="2" t="inlineStr">
        <is>
          <t>Comunitat Valenciana</t>
        </is>
      </c>
      <c r="F343" s="2" t="inlineStr">
        <is>
          <t>Castellón</t>
        </is>
      </c>
      <c r="G343" s="2" t="n"/>
      <c r="H343" s="2" t="inlineStr">
        <is>
          <t>Junta de Gobierno Local del Ayuntamiento de Alcalà de Xivert</t>
        </is>
      </c>
      <c r="I343" s="2" t="inlineStr">
        <is>
          <t>Obras de mejora, accesibilidad, peatonalización y asfaltado de la C/ Rench de Alcossebre</t>
        </is>
      </c>
      <c r="J343" s="2" t="inlineStr">
        <is>
          <t>2353/2026</t>
        </is>
      </c>
      <c r="K343" s="2" t="inlineStr">
        <is>
          <t>Abierto simplificado</t>
        </is>
      </c>
      <c r="L343" s="6" t="n">
        <v>3</v>
      </c>
      <c r="M343" s="2" t="n"/>
      <c r="N343" s="7" t="n">
        <v>0.25</v>
      </c>
      <c r="O343" s="4" t="n">
        <v>2</v>
      </c>
      <c r="P343" s="2" t="inlineStr">
        <is>
          <t>45233140; 45233200</t>
        </is>
      </c>
      <c r="Q343" s="8" t="inlineStr">
        <is>
          <t>Ver</t>
        </is>
      </c>
      <c r="R343" s="8" t="inlineStr">
        <is>
          <t>PCAP</t>
        </is>
      </c>
      <c r="S343" s="9" t="n">
        <v>46310</v>
      </c>
      <c r="T343" s="3" t="n">
        <v>46308.42225694445</v>
      </c>
      <c r="U343" s="2" t="n"/>
    </row>
    <row r="344">
      <c r="A344" s="2" t="inlineStr">
        <is>
          <t>Resuelta</t>
        </is>
      </c>
      <c r="B344" s="3" t="n">
        <v>46175.5</v>
      </c>
      <c r="C344" s="5" t="n">
        <v>4408429.38</v>
      </c>
      <c r="D344" s="5" t="n">
        <v>4408429.38</v>
      </c>
      <c r="E344" s="2" t="inlineStr">
        <is>
          <t>Andalucía</t>
        </is>
      </c>
      <c r="F344" s="2" t="inlineStr">
        <is>
          <t>Sevilla</t>
        </is>
      </c>
      <c r="G344" s="2" t="inlineStr">
        <is>
          <t>Sevilla</t>
        </is>
      </c>
      <c r="H344" s="2" t="inlineStr">
        <is>
          <t>Consejería Delegada de la Empresa Metropolitana de Abastecimiento y Saneamiento de Aguas de Sevilla S.A. (EMASESA)</t>
        </is>
      </c>
      <c r="I344" s="2" t="inlineStr">
        <is>
          <t>Proyecto para la renovación de las redes de abastecimiento y saneamiento en Avda. de la Reina Mercedes. Distrito Bellavista- La Palmera, Sevilla.</t>
        </is>
      </c>
      <c r="J344" s="2" t="inlineStr">
        <is>
          <t>0552/2026</t>
        </is>
      </c>
      <c r="K344" s="2" t="inlineStr">
        <is>
          <t>Abierto</t>
        </is>
      </c>
      <c r="L344" s="6" t="n">
        <v>15.6</v>
      </c>
      <c r="M344" s="2" t="inlineStr">
        <is>
          <t>E1-4; G6-4</t>
        </is>
      </c>
      <c r="N344" s="7" t="n">
        <v>0.47</v>
      </c>
      <c r="O344" s="4" t="n"/>
      <c r="P344" s="2" t="inlineStr">
        <is>
          <t>45231300</t>
        </is>
      </c>
      <c r="Q344" s="8" t="inlineStr">
        <is>
          <t>Ver</t>
        </is>
      </c>
      <c r="R344" s="8" t="inlineStr">
        <is>
          <t>PCAP</t>
        </is>
      </c>
      <c r="S344" s="9" t="n">
        <v>46310</v>
      </c>
      <c r="T344" s="3" t="n">
        <v>46308.42040509259</v>
      </c>
      <c r="U344" s="2" t="n"/>
    </row>
    <row r="345">
      <c r="A345" s="2" t="inlineStr">
        <is>
          <t>Adjudicada</t>
        </is>
      </c>
      <c r="B345" s="3" t="n">
        <v>46133.99930555555</v>
      </c>
      <c r="C345" s="5" t="n">
        <v>400823.14</v>
      </c>
      <c r="D345" s="5" t="n">
        <v>400823.14</v>
      </c>
      <c r="E345" s="2" t="inlineStr">
        <is>
          <t>Comunitat Valenciana</t>
        </is>
      </c>
      <c r="F345" s="2" t="inlineStr">
        <is>
          <t>Alicante</t>
        </is>
      </c>
      <c r="G345" s="2" t="n"/>
      <c r="H345" s="2" t="inlineStr">
        <is>
          <t>Junta de Gobierno del Ayuntamiento de Orihuela</t>
        </is>
      </c>
      <c r="I345" s="2" t="inlineStr">
        <is>
          <t>Renovación de parque ingeniero Juan Garcia en Orihuela</t>
        </is>
      </c>
      <c r="J345" s="2" t="inlineStr">
        <is>
          <t>47379/2025</t>
        </is>
      </c>
      <c r="K345" s="2" t="inlineStr">
        <is>
          <t>Abierto simplificado</t>
        </is>
      </c>
      <c r="L345" s="6" t="n">
        <v>6</v>
      </c>
      <c r="M345" s="2" t="n"/>
      <c r="N345" s="7" t="n">
        <v>0.25</v>
      </c>
      <c r="O345" s="4" t="n"/>
      <c r="P345" s="2" t="inlineStr">
        <is>
          <t>45000000; 45232000; 45310000; 45220000; 39000000</t>
        </is>
      </c>
      <c r="Q345" s="8" t="inlineStr">
        <is>
          <t>Ver</t>
        </is>
      </c>
      <c r="R345" s="8" t="inlineStr">
        <is>
          <t>PCAP</t>
        </is>
      </c>
      <c r="S345" s="9" t="n">
        <v>46310</v>
      </c>
      <c r="T345" s="3" t="n">
        <v>46308.41590277778</v>
      </c>
      <c r="U345" s="2" t="n"/>
    </row>
    <row r="346">
      <c r="A346" s="2" t="inlineStr">
        <is>
          <t>Adjudicada</t>
        </is>
      </c>
      <c r="B346" s="3" t="n">
        <v>46283.99930555555</v>
      </c>
      <c r="C346" s="5" t="n">
        <v>79126.28</v>
      </c>
      <c r="D346" s="5" t="n">
        <v>79126.28</v>
      </c>
      <c r="E346" s="2" t="inlineStr">
        <is>
          <t>Andalucía</t>
        </is>
      </c>
      <c r="F346" s="2" t="inlineStr">
        <is>
          <t>Málaga</t>
        </is>
      </c>
      <c r="G346" s="2" t="n"/>
      <c r="H346" s="2" t="inlineStr">
        <is>
          <t>Junta de Gobierno del Ayuntamiento de Fuengirola</t>
        </is>
      </c>
      <c r="I346" s="2" t="inlineStr">
        <is>
          <t>Obras de reordenación del tráfico Calle Deportes.</t>
        </is>
      </c>
      <c r="J346" s="2" t="inlineStr">
        <is>
          <t>CONTR-2026000082</t>
        </is>
      </c>
      <c r="K346" s="2" t="inlineStr">
        <is>
          <t>Abierto simplificado</t>
        </is>
      </c>
      <c r="L346" s="6" t="n">
        <v>1.3</v>
      </c>
      <c r="M346" s="2" t="n"/>
      <c r="N346" s="7" t="n">
        <v>0</v>
      </c>
      <c r="O346" s="4" t="n"/>
      <c r="P346" s="2" t="inlineStr">
        <is>
          <t>45233140</t>
        </is>
      </c>
      <c r="Q346" s="8" t="inlineStr">
        <is>
          <t>Ver</t>
        </is>
      </c>
      <c r="R346" s="8" t="inlineStr">
        <is>
          <t>PCAP</t>
        </is>
      </c>
      <c r="S346" s="9" t="n">
        <v>46310</v>
      </c>
      <c r="T346" s="3" t="n">
        <v>46308.41313657408</v>
      </c>
      <c r="U346" s="2" t="n"/>
    </row>
    <row r="347">
      <c r="A347" s="2" t="inlineStr">
        <is>
          <t>Resuelta</t>
        </is>
      </c>
      <c r="B347" s="3" t="n">
        <v>46171.54166666666</v>
      </c>
      <c r="C347" s="5" t="n">
        <v>7499719.54</v>
      </c>
      <c r="D347" s="5" t="n">
        <v>7499719.54</v>
      </c>
      <c r="E347" s="2" t="inlineStr">
        <is>
          <t>Andalucía</t>
        </is>
      </c>
      <c r="F347" s="2" t="inlineStr">
        <is>
          <t>Huelva</t>
        </is>
      </c>
      <c r="G347" s="2" t="inlineStr">
        <is>
          <t>MAZAGÓN - HUELVA</t>
        </is>
      </c>
      <c r="H347" s="2" t="inlineStr">
        <is>
          <t>Consejo de Administración de Sociedad Mercantil Estatal Aguas de las Cuencas de España, S.A. (ACUAES)</t>
        </is>
      </c>
      <c r="I347" s="2" t="inlineStr">
        <is>
          <t>Ejecución de las obras del proyecto "Nueva EDAR de Mazagón (Huelva). Ampliación de la capacidad de tratamiento". Fase 1, cofinanciado por el Programa Plurirregional de España FEDER 2021 - 2027.</t>
        </is>
      </c>
      <c r="J347" s="2" t="inlineStr">
        <is>
          <t>ACE/422.01/25/OBRA/01</t>
        </is>
      </c>
      <c r="K347" s="2" t="inlineStr">
        <is>
          <t>Abierto</t>
        </is>
      </c>
      <c r="L347" s="6" t="n">
        <v>22</v>
      </c>
      <c r="M347" s="2" t="inlineStr">
        <is>
          <t>K8-4</t>
        </is>
      </c>
      <c r="N347" s="7" t="n">
        <v>0.45</v>
      </c>
      <c r="O347" s="4" t="n"/>
      <c r="P347" s="2" t="inlineStr">
        <is>
          <t>45232420</t>
        </is>
      </c>
      <c r="Q347" s="8" t="inlineStr">
        <is>
          <t>Ver</t>
        </is>
      </c>
      <c r="R347" s="8" t="inlineStr">
        <is>
          <t>PCAP</t>
        </is>
      </c>
      <c r="S347" s="9" t="n">
        <v>46310</v>
      </c>
      <c r="T347" s="3" t="n">
        <v>46308.40811342592</v>
      </c>
      <c r="U347" s="2" t="n"/>
    </row>
    <row r="348">
      <c r="A348" s="2" t="inlineStr">
        <is>
          <t>Pendiente de adjudicación</t>
        </is>
      </c>
      <c r="B348" s="3" t="n">
        <v>46224.99930555555</v>
      </c>
      <c r="C348" s="5" t="n">
        <v>1742416.42</v>
      </c>
      <c r="D348" s="5" t="n">
        <v>1742416.42</v>
      </c>
      <c r="E348" s="2" t="inlineStr">
        <is>
          <t>Andalucía</t>
        </is>
      </c>
      <c r="F348" s="2" t="inlineStr">
        <is>
          <t>Málaga</t>
        </is>
      </c>
      <c r="G348" s="2" t="n"/>
      <c r="H348" s="2" t="inlineStr">
        <is>
          <t>Presidencia de la Diputación Provincial de Málaga</t>
        </is>
      </c>
      <c r="I348" s="2" t="inlineStr">
        <is>
          <t>PSH.-2026/001. Mejora de señalización horizontal en la red de carreteras provincial.</t>
        </is>
      </c>
      <c r="J348" s="2" t="inlineStr">
        <is>
          <t>PSH.-2026/001</t>
        </is>
      </c>
      <c r="K348" s="2" t="inlineStr">
        <is>
          <t>Abierto</t>
        </is>
      </c>
      <c r="L348" s="6" t="n">
        <v>3</v>
      </c>
      <c r="M348" s="2" t="n"/>
      <c r="N348" s="7" t="n">
        <v>0</v>
      </c>
      <c r="O348" s="4" t="n">
        <v>4</v>
      </c>
      <c r="P348" s="2" t="inlineStr">
        <is>
          <t>45233221</t>
        </is>
      </c>
      <c r="Q348" s="8" t="inlineStr">
        <is>
          <t>Ver</t>
        </is>
      </c>
      <c r="R348" s="8" t="inlineStr">
        <is>
          <t>PCAP</t>
        </is>
      </c>
      <c r="S348" s="9" t="n">
        <v>46310</v>
      </c>
      <c r="T348" s="3" t="n">
        <v>46308.40452546296</v>
      </c>
      <c r="U348" s="2" t="n"/>
    </row>
    <row r="349">
      <c r="A349" s="2" t="inlineStr">
        <is>
          <t>En plazo</t>
        </is>
      </c>
      <c r="B349" s="3" t="n">
        <v>46335.72916666666</v>
      </c>
      <c r="C349" s="5" t="n">
        <v>152189.84</v>
      </c>
      <c r="D349" s="5" t="n">
        <v>152189.84</v>
      </c>
      <c r="E349" s="2" t="inlineStr">
        <is>
          <t>Andalucía</t>
        </is>
      </c>
      <c r="F349" s="2" t="inlineStr">
        <is>
          <t>Granada</t>
        </is>
      </c>
      <c r="G349" s="2" t="n"/>
      <c r="H349" s="2" t="inlineStr">
        <is>
          <t>Junta de Gobierno del Ayuntamiento de Granada</t>
        </is>
      </c>
      <c r="I349" s="2" t="inlineStr">
        <is>
          <t>Contrato de obras para la ejecución del proyecto de remodelación de la plaza Doctor López Neyra - Granada</t>
        </is>
      </c>
      <c r="J349" s="2" t="inlineStr">
        <is>
          <t>OBR-2026000112</t>
        </is>
      </c>
      <c r="K349" s="2" t="inlineStr">
        <is>
          <t>Abierto</t>
        </is>
      </c>
      <c r="L349" s="6" t="n">
        <v>3</v>
      </c>
      <c r="M349" s="2" t="n"/>
      <c r="N349" s="7" t="n">
        <v>0.4</v>
      </c>
      <c r="O349" s="4" t="n"/>
      <c r="P349" s="2" t="inlineStr">
        <is>
          <t>45000000; 45233252; 45112700</t>
        </is>
      </c>
      <c r="Q349" s="8" t="inlineStr">
        <is>
          <t>Ver</t>
        </is>
      </c>
      <c r="R349" s="8" t="inlineStr">
        <is>
          <t>PCAP</t>
        </is>
      </c>
      <c r="S349" s="9" t="n">
        <v>46310</v>
      </c>
      <c r="T349" s="3" t="n">
        <v>46308.40351851852</v>
      </c>
      <c r="U349" s="2" t="n"/>
    </row>
    <row r="350">
      <c r="A350" s="2" t="inlineStr">
        <is>
          <t>Resuelta</t>
        </is>
      </c>
      <c r="B350" s="3" t="n">
        <v>46232.99930555555</v>
      </c>
      <c r="C350" s="5" t="n">
        <v>243762.7</v>
      </c>
      <c r="D350" s="5" t="n">
        <v>243762.7</v>
      </c>
      <c r="E350" s="2" t="inlineStr">
        <is>
          <t>Comunitat Valenciana</t>
        </is>
      </c>
      <c r="F350" s="2" t="inlineStr">
        <is>
          <t>Castellón</t>
        </is>
      </c>
      <c r="G350" s="2" t="n"/>
      <c r="H350" s="2" t="inlineStr">
        <is>
          <t>Alcaldía del Ayuntamiento de Oropesa del Mar</t>
        </is>
      </c>
      <c r="I350" s="2" t="inlineStr">
        <is>
          <t>El objeto del presente contrato es ejecutar las obras correspondientes para la adecuación del solar para CEIP número 3 del municipio de Oropesa del Mar.</t>
        </is>
      </c>
      <c r="J350" s="2" t="inlineStr">
        <is>
          <t>4-SERV2026</t>
        </is>
      </c>
      <c r="K350" s="2" t="inlineStr">
        <is>
          <t>Abierto simplificado</t>
        </is>
      </c>
      <c r="L350" s="6" t="n">
        <v>3</v>
      </c>
      <c r="M350" s="2" t="n"/>
      <c r="N350" s="7" t="n">
        <v>0</v>
      </c>
      <c r="O350" s="4" t="n"/>
      <c r="P350" s="2" t="inlineStr">
        <is>
          <t>45100000; 45111000; 45231000; 45112500</t>
        </is>
      </c>
      <c r="Q350" s="8" t="inlineStr">
        <is>
          <t>Ver</t>
        </is>
      </c>
      <c r="R350" s="8" t="inlineStr">
        <is>
          <t>PCAP</t>
        </is>
      </c>
      <c r="S350" s="9" t="n">
        <v>46310</v>
      </c>
      <c r="T350" s="3" t="n">
        <v>46308.40290509259</v>
      </c>
      <c r="U350" s="2" t="n"/>
    </row>
    <row r="351">
      <c r="A351" s="2" t="inlineStr">
        <is>
          <t>Pendiente de adjudicación</t>
        </is>
      </c>
      <c r="B351" s="3" t="n">
        <v>46238.99930555555</v>
      </c>
      <c r="C351" s="5" t="n">
        <v>53510.52</v>
      </c>
      <c r="D351" s="5" t="n">
        <v>53510.52</v>
      </c>
      <c r="E351" s="2" t="inlineStr">
        <is>
          <t>Andalucía</t>
        </is>
      </c>
      <c r="F351" s="2" t="inlineStr">
        <is>
          <t>Granada</t>
        </is>
      </c>
      <c r="G351" s="2" t="inlineStr">
        <is>
          <t>Monachil</t>
        </is>
      </c>
      <c r="H351" s="2" t="inlineStr">
        <is>
          <t>Junta de Gobierno del Ayuntamiento de Monachil</t>
        </is>
      </c>
      <c r="I351" s="2" t="inlineStr">
        <is>
          <t>Obras de Refuerzo de Firme</t>
        </is>
      </c>
      <c r="J351" s="2" t="inlineStr">
        <is>
          <t>2463/2026</t>
        </is>
      </c>
      <c r="K351" s="2" t="inlineStr">
        <is>
          <t>Abierto simplificado</t>
        </is>
      </c>
      <c r="L351" s="6" t="n">
        <v>1</v>
      </c>
      <c r="M351" s="2" t="n"/>
      <c r="N351" s="7" t="n">
        <v>0</v>
      </c>
      <c r="O351" s="4" t="n"/>
      <c r="P351" s="2" t="inlineStr">
        <is>
          <t>45233200; 45233222</t>
        </is>
      </c>
      <c r="Q351" s="8" t="inlineStr">
        <is>
          <t>Ver</t>
        </is>
      </c>
      <c r="R351" s="8" t="inlineStr">
        <is>
          <t>PCAP</t>
        </is>
      </c>
      <c r="S351" s="9" t="n">
        <v>46310</v>
      </c>
      <c r="T351" s="3" t="n">
        <v>46308.39984953704</v>
      </c>
      <c r="U351" s="2" t="n"/>
    </row>
    <row r="352">
      <c r="A352" s="2" t="inlineStr">
        <is>
          <t>En plazo</t>
        </is>
      </c>
      <c r="B352" s="3" t="n">
        <v>46328.99930555555</v>
      </c>
      <c r="C352" s="5" t="n">
        <v>90909.09</v>
      </c>
      <c r="D352" s="5" t="n">
        <v>90909.09</v>
      </c>
      <c r="E352" s="2" t="inlineStr">
        <is>
          <t>Andalucía</t>
        </is>
      </c>
      <c r="F352" s="2" t="inlineStr">
        <is>
          <t>Cádiz</t>
        </is>
      </c>
      <c r="G352" s="2" t="inlineStr">
        <is>
          <t>El Gastor</t>
        </is>
      </c>
      <c r="H352" s="2" t="inlineStr">
        <is>
          <t>Alcaldía del Ayuntamiento de El Gastor</t>
        </is>
      </c>
      <c r="I352" s="2" t="inlineStr">
        <is>
          <t>Terminación de la Residencia Municipal de Mayores de El Gastor.</t>
        </is>
      </c>
      <c r="J352" s="2" t="inlineStr">
        <is>
          <t>796/2026</t>
        </is>
      </c>
      <c r="K352" s="2" t="inlineStr">
        <is>
          <t>Abierto simplificado</t>
        </is>
      </c>
      <c r="L352" s="6" t="n">
        <v>6</v>
      </c>
      <c r="M352" s="2" t="n"/>
      <c r="N352" s="7" t="n">
        <v>0</v>
      </c>
      <c r="O352" s="4" t="n"/>
      <c r="P352" s="2" t="inlineStr">
        <is>
          <t>45200000</t>
        </is>
      </c>
      <c r="Q352" s="8" t="inlineStr">
        <is>
          <t>Ver</t>
        </is>
      </c>
      <c r="R352" s="8" t="inlineStr">
        <is>
          <t>PCAP</t>
        </is>
      </c>
      <c r="S352" s="9" t="n">
        <v>46310</v>
      </c>
      <c r="T352" s="3" t="n">
        <v>46308.39884259259</v>
      </c>
      <c r="U352" s="2" t="n"/>
    </row>
    <row r="353">
      <c r="A353" s="2" t="inlineStr">
        <is>
          <t>En plazo</t>
        </is>
      </c>
      <c r="B353" s="3" t="n">
        <v>46335.58333333334</v>
      </c>
      <c r="C353" s="5" t="n">
        <v>86000</v>
      </c>
      <c r="D353" s="5" t="n">
        <v>86000</v>
      </c>
      <c r="E353" s="2" t="inlineStr">
        <is>
          <t>Andalucía</t>
        </is>
      </c>
      <c r="F353" s="2" t="inlineStr">
        <is>
          <t>Huelva</t>
        </is>
      </c>
      <c r="G353" s="2" t="inlineStr">
        <is>
          <t>Palos de la Frontera.</t>
        </is>
      </c>
      <c r="H353" s="2" t="inlineStr">
        <is>
          <t>Alcaldia del Ayuntamiento de Palos de la Frontera</t>
        </is>
      </c>
      <c r="I353" s="2" t="inlineStr">
        <is>
          <t>Contratación de las obras de ejecución de revestimiento cerámico del muro y los edificios anexos de la Plaza de la Cruz de Palos de la Frontera.</t>
        </is>
      </c>
      <c r="J353" s="2" t="inlineStr">
        <is>
          <t>Contrato de Obras 11/2026</t>
        </is>
      </c>
      <c r="K353" s="2" t="inlineStr">
        <is>
          <t>Abierto</t>
        </is>
      </c>
      <c r="L353" s="6" t="n">
        <v>4</v>
      </c>
      <c r="M353" s="2" t="n"/>
      <c r="N353" s="7" t="n">
        <v>0.4</v>
      </c>
      <c r="O353" s="4" t="n"/>
      <c r="P353" s="2" t="inlineStr">
        <is>
          <t>45432210; 44111300</t>
        </is>
      </c>
      <c r="Q353" s="8" t="inlineStr">
        <is>
          <t>Ver</t>
        </is>
      </c>
      <c r="R353" s="8" t="inlineStr">
        <is>
          <t>PCAP</t>
        </is>
      </c>
      <c r="S353" s="9" t="n">
        <v>46310</v>
      </c>
      <c r="T353" s="3" t="n">
        <v>46308.39758101852</v>
      </c>
      <c r="U353" s="2" t="n"/>
    </row>
    <row r="354">
      <c r="A354" s="2" t="inlineStr">
        <is>
          <t>Pendiente de adjudicación</t>
        </is>
      </c>
      <c r="B354" s="3" t="n">
        <v>46300.79166666666</v>
      </c>
      <c r="C354" s="5" t="n">
        <v>98391.53</v>
      </c>
      <c r="D354" s="5" t="n">
        <v>98391.53</v>
      </c>
      <c r="E354" s="2" t="inlineStr">
        <is>
          <t>Andalucía</t>
        </is>
      </c>
      <c r="F354" s="2" t="inlineStr">
        <is>
          <t>Granada</t>
        </is>
      </c>
      <c r="G354" s="2" t="inlineStr">
        <is>
          <t>Zafarraya</t>
        </is>
      </c>
      <c r="H354" s="2" t="inlineStr">
        <is>
          <t>Alcaldia del Ayuntamiento de Zafarraya</t>
        </is>
      </c>
      <c r="I354" s="2" t="inlineStr">
        <is>
          <t>Obras de hormigonado y acondicionamiento de dos tramos del camino de Las Parideras de Zafarraya.</t>
        </is>
      </c>
      <c r="J354" s="2" t="inlineStr">
        <is>
          <t>1504/2026</t>
        </is>
      </c>
      <c r="K354" s="2" t="inlineStr">
        <is>
          <t>Abierto</t>
        </is>
      </c>
      <c r="L354" s="6" t="n">
        <v>4</v>
      </c>
      <c r="M354" s="2" t="n"/>
      <c r="N354" s="7" t="n">
        <v>0</v>
      </c>
      <c r="O354" s="4" t="n"/>
      <c r="P354" s="2" t="inlineStr">
        <is>
          <t>45231600; 45262300</t>
        </is>
      </c>
      <c r="Q354" s="8" t="inlineStr">
        <is>
          <t>Ver</t>
        </is>
      </c>
      <c r="R354" s="8" t="inlineStr">
        <is>
          <t>PCAP</t>
        </is>
      </c>
      <c r="S354" s="9" t="n">
        <v>46310</v>
      </c>
      <c r="T354" s="3" t="n">
        <v>46308.39467592593</v>
      </c>
      <c r="U354" s="2" t="n"/>
    </row>
    <row r="355">
      <c r="A355" s="2" t="inlineStr">
        <is>
          <t>Resuelta</t>
        </is>
      </c>
      <c r="B355" s="3" t="n">
        <v>46245.375</v>
      </c>
      <c r="C355" s="5" t="n">
        <v>99878.75</v>
      </c>
      <c r="D355" s="5" t="n">
        <v>99878.75</v>
      </c>
      <c r="E355" s="2" t="inlineStr">
        <is>
          <t>Andalucía</t>
        </is>
      </c>
      <c r="F355" s="2" t="inlineStr">
        <is>
          <t>Cádiz</t>
        </is>
      </c>
      <c r="G355" s="2" t="n"/>
      <c r="H355" s="2" t="inlineStr">
        <is>
          <t>Intendente de San Fernando</t>
        </is>
      </c>
      <c r="I355" s="2" t="inlineStr">
        <is>
          <t>Obras de conservación en impermeabilización de la Iglesia "Nª Sª del Rosario"</t>
        </is>
      </c>
      <c r="J355" s="2" t="inlineStr">
        <is>
          <t>2026/AR43U/00001765E</t>
        </is>
      </c>
      <c r="K355" s="2" t="inlineStr">
        <is>
          <t>Abierto simplificado</t>
        </is>
      </c>
      <c r="L355" s="6" t="n">
        <v>2.3</v>
      </c>
      <c r="M355" s="2" t="n"/>
      <c r="N355" s="7" t="n">
        <v>0</v>
      </c>
      <c r="O355" s="4" t="n"/>
      <c r="P355" s="2" t="inlineStr">
        <is>
          <t>45261214</t>
        </is>
      </c>
      <c r="Q355" s="8" t="inlineStr">
        <is>
          <t>Ver</t>
        </is>
      </c>
      <c r="R355" s="8" t="inlineStr">
        <is>
          <t>PCAP</t>
        </is>
      </c>
      <c r="S355" s="9" t="n">
        <v>46310</v>
      </c>
      <c r="T355" s="3" t="n">
        <v>46308.38732638889</v>
      </c>
      <c r="U355" s="2" t="n"/>
    </row>
    <row r="356">
      <c r="A356" s="2" t="inlineStr">
        <is>
          <t>Resuelta</t>
        </is>
      </c>
      <c r="B356" s="3" t="n">
        <v>46213.54166666666</v>
      </c>
      <c r="C356" s="5" t="n">
        <v>393281.94</v>
      </c>
      <c r="D356" s="5" t="n">
        <v>393281.94</v>
      </c>
      <c r="E356" s="2" t="inlineStr">
        <is>
          <t>Andalucía</t>
        </is>
      </c>
      <c r="F356" s="2" t="inlineStr">
        <is>
          <t>Almería</t>
        </is>
      </c>
      <c r="G356" s="2" t="inlineStr">
        <is>
          <t>Almeria</t>
        </is>
      </c>
      <c r="H356" s="2" t="inlineStr">
        <is>
          <t>Rectorado de la Universidad de Almería</t>
        </is>
      </c>
      <c r="I356" s="2" t="inlineStr">
        <is>
          <t>obra la adaptación de las Aulas a Docencia Avanzada de la Universidad de Almería</t>
        </is>
      </c>
      <c r="J356" s="2" t="inlineStr">
        <is>
          <t>1094</t>
        </is>
      </c>
      <c r="K356" s="2" t="inlineStr">
        <is>
          <t>Abierto simplificado</t>
        </is>
      </c>
      <c r="L356" s="6" t="n">
        <v>5</v>
      </c>
      <c r="M356" s="2" t="n"/>
      <c r="N356" s="7" t="n">
        <v>0.2</v>
      </c>
      <c r="O356" s="4" t="n"/>
      <c r="P356" s="2" t="inlineStr">
        <is>
          <t>45210000; 45214400; 45214000</t>
        </is>
      </c>
      <c r="Q356" s="8" t="inlineStr">
        <is>
          <t>Ver</t>
        </is>
      </c>
      <c r="R356" s="8" t="inlineStr">
        <is>
          <t>PCAP</t>
        </is>
      </c>
      <c r="S356" s="9" t="n">
        <v>46310</v>
      </c>
      <c r="T356" s="3" t="n">
        <v>46308.38399305556</v>
      </c>
      <c r="U356" s="2" t="n"/>
    </row>
    <row r="357">
      <c r="A357" s="2" t="inlineStr">
        <is>
          <t>Pendiente de adjudicación</t>
        </is>
      </c>
      <c r="B357" s="3" t="n">
        <v>46300.99930555555</v>
      </c>
      <c r="C357" s="5" t="n">
        <v>1561590.24</v>
      </c>
      <c r="D357" s="5" t="n">
        <v>1561590.24</v>
      </c>
      <c r="E357" s="2" t="inlineStr">
        <is>
          <t>Andalucía</t>
        </is>
      </c>
      <c r="F357" s="2" t="inlineStr">
        <is>
          <t>Granada</t>
        </is>
      </c>
      <c r="G357" s="2" t="n"/>
      <c r="H357" s="2" t="inlineStr">
        <is>
          <t>Alcaldía del Ayuntamiento de Atarfe</t>
        </is>
      </c>
      <c r="I357" s="2" t="inlineStr">
        <is>
          <t>Obra para la reforma integral y puesta en valor del Parque Los Olivares de Elvira como refugio climático</t>
        </is>
      </c>
      <c r="J357" s="2" t="inlineStr">
        <is>
          <t>5782/2026</t>
        </is>
      </c>
      <c r="K357" s="2" t="inlineStr">
        <is>
          <t>Abierto</t>
        </is>
      </c>
      <c r="L357" s="6" t="n">
        <v>21</v>
      </c>
      <c r="M357" s="2" t="n"/>
      <c r="N357" s="7" t="n">
        <v>0</v>
      </c>
      <c r="O357" s="4" t="n"/>
      <c r="P357" s="2" t="inlineStr">
        <is>
          <t>45000000; 45112700; 45210000; 45100000</t>
        </is>
      </c>
      <c r="Q357" s="8" t="inlineStr">
        <is>
          <t>Ver</t>
        </is>
      </c>
      <c r="R357" s="8" t="inlineStr">
        <is>
          <t>PCAP</t>
        </is>
      </c>
      <c r="S357" s="9" t="n">
        <v>46310</v>
      </c>
      <c r="T357" s="3" t="n">
        <v>46308.38209490741</v>
      </c>
      <c r="U357" s="2" t="n"/>
    </row>
    <row r="358">
      <c r="A358" s="2" t="inlineStr">
        <is>
          <t>Resuelta</t>
        </is>
      </c>
      <c r="B358" s="3" t="n">
        <v>46302.58333333334</v>
      </c>
      <c r="C358" s="5" t="n">
        <v>74703.53</v>
      </c>
      <c r="D358" s="5" t="n">
        <v>74703.53</v>
      </c>
      <c r="E358" s="2" t="inlineStr">
        <is>
          <t>Andalucía</t>
        </is>
      </c>
      <c r="F358" s="2" t="inlineStr">
        <is>
          <t>Cádiz</t>
        </is>
      </c>
      <c r="G358" s="2" t="inlineStr">
        <is>
          <t>Algeciras</t>
        </is>
      </c>
      <c r="H358" s="2" t="inlineStr">
        <is>
          <t>TGSS-Dirección provincial de Cádiz</t>
        </is>
      </c>
      <c r="I358"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358" s="2" t="inlineStr">
        <is>
          <t>2026/110260</t>
        </is>
      </c>
      <c r="K358" s="2" t="inlineStr">
        <is>
          <t>Abierto simplificado</t>
        </is>
      </c>
      <c r="L358" s="6" t="n">
        <v>3</v>
      </c>
      <c r="M358" s="2" t="n"/>
      <c r="N358" s="7" t="n">
        <v>0</v>
      </c>
      <c r="O358" s="4" t="n"/>
      <c r="P358" s="2" t="inlineStr">
        <is>
          <t>45261420; 45442300; 45246400</t>
        </is>
      </c>
      <c r="Q358" s="8" t="inlineStr">
        <is>
          <t>Ver</t>
        </is>
      </c>
      <c r="R358" s="8" t="inlineStr">
        <is>
          <t>PCAP</t>
        </is>
      </c>
      <c r="S358" s="9" t="n">
        <v>46310</v>
      </c>
      <c r="T358" s="3" t="n">
        <v>46308.37878472222</v>
      </c>
      <c r="U358" s="2" t="n"/>
    </row>
    <row r="359">
      <c r="A359" s="2" t="inlineStr">
        <is>
          <t>Resuelta</t>
        </is>
      </c>
      <c r="B359" s="3" t="n">
        <v>46224.99930555555</v>
      </c>
      <c r="C359" s="5" t="n">
        <v>627891.59</v>
      </c>
      <c r="D359" s="5" t="n">
        <v>627891.59</v>
      </c>
      <c r="E359" s="2" t="inlineStr">
        <is>
          <t>Andalucía</t>
        </is>
      </c>
      <c r="F359" s="2" t="inlineStr">
        <is>
          <t>Granada</t>
        </is>
      </c>
      <c r="G359" s="2" t="inlineStr">
        <is>
          <t>Gójar</t>
        </is>
      </c>
      <c r="H359" s="2" t="inlineStr">
        <is>
          <t>Junta de Gobierno Local del Ayuntamiento de Gójar</t>
        </is>
      </c>
      <c r="I359" s="2" t="inlineStr">
        <is>
          <t>Obras de demolición de los vestuarios existentes y construcción de un nuevo edificio destinado a vestuarios deportivos y cafetería en el Polideportivo Municipal de Gójar, situado en Camino de la Sierra n.º 26, Gójar (Granada).</t>
        </is>
      </c>
      <c r="J359" s="2" t="inlineStr">
        <is>
          <t>156/2026</t>
        </is>
      </c>
      <c r="K359" s="2" t="inlineStr">
        <is>
          <t>Abierto simplificado</t>
        </is>
      </c>
      <c r="L359" s="6" t="n">
        <v>8</v>
      </c>
      <c r="M359" s="2" t="n"/>
      <c r="N359" s="7" t="n">
        <v>0</v>
      </c>
      <c r="O359" s="4" t="n"/>
      <c r="P359" s="2" t="inlineStr">
        <is>
          <t>45212200; 45212000; 45111100; 45210000</t>
        </is>
      </c>
      <c r="Q359" s="8" t="inlineStr">
        <is>
          <t>Ver</t>
        </is>
      </c>
      <c r="R359" s="8" t="inlineStr">
        <is>
          <t>PCAP</t>
        </is>
      </c>
      <c r="S359" s="9" t="n">
        <v>46310</v>
      </c>
      <c r="T359" s="3" t="n">
        <v>46308.3785300926</v>
      </c>
      <c r="U359" s="2" t="n"/>
    </row>
    <row r="360">
      <c r="A360" s="2" t="inlineStr">
        <is>
          <t>Pendiente de adjudicación</t>
        </is>
      </c>
      <c r="B360" s="3" t="n">
        <v>46303.625</v>
      </c>
      <c r="C360" s="5" t="n">
        <v>1334731.63</v>
      </c>
      <c r="D360" s="5" t="n">
        <v>1334731.63</v>
      </c>
      <c r="E360" s="2" t="inlineStr">
        <is>
          <t>Andalucía</t>
        </is>
      </c>
      <c r="F360" s="2" t="inlineStr">
        <is>
          <t>Córdoba</t>
        </is>
      </c>
      <c r="G360" s="2" t="inlineStr">
        <is>
          <t>Villanueva de Córdoba</t>
        </is>
      </c>
      <c r="H360" s="2" t="inlineStr">
        <is>
          <t>Pleno del Ayuntamiento de Villanueva de Córdoba</t>
        </is>
      </c>
      <c r="I360" s="2" t="inlineStr">
        <is>
          <t>Ejecución de las obras del Plan de Asfaltado Extraordinario para reparación y reconstrucción de infraestructuras urbanas del núcleo urbano de Villanueva de Córdoba.</t>
        </is>
      </c>
      <c r="J360" s="2" t="inlineStr">
        <is>
          <t>1869/2026</t>
        </is>
      </c>
      <c r="K360" s="2" t="inlineStr">
        <is>
          <t>Abierto</t>
        </is>
      </c>
      <c r="L360" s="6" t="n">
        <v>4</v>
      </c>
      <c r="M360" s="2" t="inlineStr">
        <is>
          <t>G4-4</t>
        </is>
      </c>
      <c r="N360" s="7" t="n">
        <v>0</v>
      </c>
      <c r="O360" s="4" t="n"/>
      <c r="P360" s="2" t="inlineStr">
        <is>
          <t>45233222; 45233252</t>
        </is>
      </c>
      <c r="Q360" s="8" t="inlineStr">
        <is>
          <t>Ver</t>
        </is>
      </c>
      <c r="R360" s="8" t="inlineStr">
        <is>
          <t>PCAP</t>
        </is>
      </c>
      <c r="S360" s="9" t="n">
        <v>46310</v>
      </c>
      <c r="T360" s="3" t="n">
        <v>46308.37787037037</v>
      </c>
      <c r="U360" s="2" t="n"/>
    </row>
    <row r="361">
      <c r="A361" s="2" t="inlineStr">
        <is>
          <t>Resuelta</t>
        </is>
      </c>
      <c r="B361" s="3" t="n">
        <v>46196.99930555555</v>
      </c>
      <c r="C361" s="5" t="n">
        <v>244629.29</v>
      </c>
      <c r="D361" s="5" t="n">
        <v>244629.29</v>
      </c>
      <c r="E361" s="2" t="inlineStr">
        <is>
          <t>Comunitat Valenciana</t>
        </is>
      </c>
      <c r="F361" s="2" t="inlineStr">
        <is>
          <t>Valencia</t>
        </is>
      </c>
      <c r="G361" s="2" t="inlineStr">
        <is>
          <t>Cortes de Pallás</t>
        </is>
      </c>
      <c r="H361" s="2" t="inlineStr">
        <is>
          <t>Alcaldía del Ayuntamiento de Cortes de Pallás</t>
        </is>
      </c>
      <c r="I361" s="2" t="inlineStr">
        <is>
          <t>Proyecto de Habilitación local para gimnasio</t>
        </is>
      </c>
      <c r="J361" s="2" t="inlineStr">
        <is>
          <t>221791K.v2</t>
        </is>
      </c>
      <c r="K361" s="2" t="inlineStr">
        <is>
          <t>Abierto simplificado</t>
        </is>
      </c>
      <c r="L361" s="6" t="n">
        <v>6</v>
      </c>
      <c r="M361" s="2" t="inlineStr">
        <is>
          <t>C*-2</t>
        </is>
      </c>
      <c r="N361" s="7" t="n">
        <v>0</v>
      </c>
      <c r="O361" s="4" t="n"/>
      <c r="P361" s="2" t="inlineStr">
        <is>
          <t>45212222; 45200000</t>
        </is>
      </c>
      <c r="Q361" s="8" t="inlineStr">
        <is>
          <t>Ver</t>
        </is>
      </c>
      <c r="R361" s="8" t="inlineStr">
        <is>
          <t>PCAP</t>
        </is>
      </c>
      <c r="S361" s="9" t="n">
        <v>46310</v>
      </c>
      <c r="T361" s="3" t="n">
        <v>46308.37706018519</v>
      </c>
      <c r="U361" s="2" t="n"/>
    </row>
    <row r="362">
      <c r="A362" s="2" t="inlineStr">
        <is>
          <t>Pendiente de adjudicación</t>
        </is>
      </c>
      <c r="B362" s="3" t="n">
        <v>46282.58333333334</v>
      </c>
      <c r="C362" s="5" t="n">
        <v>964851.3100000001</v>
      </c>
      <c r="D362" s="5" t="n">
        <v>964851.3100000001</v>
      </c>
      <c r="E362" s="2" t="inlineStr">
        <is>
          <t>Comunitat Valenciana</t>
        </is>
      </c>
      <c r="F362" s="2" t="inlineStr">
        <is>
          <t>Valencia</t>
        </is>
      </c>
      <c r="G362" s="2" t="n"/>
      <c r="H362" s="2" t="inlineStr">
        <is>
          <t>Alcaldía del Ayuntamiento de Riba-roja de Túria</t>
        </is>
      </c>
      <c r="I362"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362" s="2" t="inlineStr">
        <is>
          <t>37/2026</t>
        </is>
      </c>
      <c r="K362" s="2" t="inlineStr">
        <is>
          <t>Abierto simplificado</t>
        </is>
      </c>
      <c r="L362" s="6" t="n">
        <v>8</v>
      </c>
      <c r="M362" s="2" t="n"/>
      <c r="N362" s="7" t="n">
        <v>0</v>
      </c>
      <c r="O362" s="4" t="n"/>
      <c r="P362" s="2" t="inlineStr">
        <is>
          <t>45233140; 45112710; 45316110; 45316000; 45233222; 45232150; 34928400; 44162500; 77310000</t>
        </is>
      </c>
      <c r="Q362" s="8" t="inlineStr">
        <is>
          <t>Ver</t>
        </is>
      </c>
      <c r="R362" s="8" t="inlineStr">
        <is>
          <t>PCAP</t>
        </is>
      </c>
      <c r="S362" s="9" t="n">
        <v>46310</v>
      </c>
      <c r="T362" s="3" t="n">
        <v>46308.37311342593</v>
      </c>
      <c r="U362" s="2" t="n"/>
    </row>
    <row r="363">
      <c r="A363" s="2" t="inlineStr">
        <is>
          <t>Pendiente de adjudicación</t>
        </is>
      </c>
      <c r="B363" s="3" t="n">
        <v>46245.99930555555</v>
      </c>
      <c r="C363" s="5" t="n">
        <v>177332.61</v>
      </c>
      <c r="D363" s="5" t="n">
        <v>177332.61</v>
      </c>
      <c r="E363" s="2" t="inlineStr">
        <is>
          <t>Andalucía</t>
        </is>
      </c>
      <c r="F363" s="2" t="inlineStr">
        <is>
          <t>Almería</t>
        </is>
      </c>
      <c r="G363" s="2" t="n"/>
      <c r="H363" s="2" t="inlineStr">
        <is>
          <t>Junta de Gobierno del Ayuntamiento de Almería</t>
        </is>
      </c>
      <c r="I363" s="2" t="inlineStr">
        <is>
          <t>Contrato de Obras para la reposición y reparación de barandillas en vía pública</t>
        </is>
      </c>
      <c r="J363" s="2" t="inlineStr">
        <is>
          <t>AYAL-2026000152</t>
        </is>
      </c>
      <c r="K363" s="2" t="inlineStr">
        <is>
          <t>Abierto simplificado</t>
        </is>
      </c>
      <c r="L363" s="6" t="n">
        <v>3</v>
      </c>
      <c r="M363" s="2" t="n"/>
      <c r="N363" s="7" t="n">
        <v>0</v>
      </c>
      <c r="O363" s="4" t="n"/>
      <c r="P363" s="2" t="inlineStr">
        <is>
          <t>45342000; 45262640; 45233293</t>
        </is>
      </c>
      <c r="Q363" s="8" t="inlineStr">
        <is>
          <t>Ver</t>
        </is>
      </c>
      <c r="R363" s="8" t="inlineStr">
        <is>
          <t>PCAP</t>
        </is>
      </c>
      <c r="S363" s="9" t="n">
        <v>46310</v>
      </c>
      <c r="T363" s="3" t="n">
        <v>46308.37190972222</v>
      </c>
      <c r="U363" s="2" t="n"/>
    </row>
    <row r="364">
      <c r="A364" s="2" t="inlineStr">
        <is>
          <t>Pendiente de adjudicación</t>
        </is>
      </c>
      <c r="B364" s="3" t="n">
        <v>46248.54166666666</v>
      </c>
      <c r="C364" s="5" t="n">
        <v>135136.69</v>
      </c>
      <c r="D364" s="5" t="n">
        <v>162164.03</v>
      </c>
      <c r="E364" s="2" t="inlineStr">
        <is>
          <t>Andalucía</t>
        </is>
      </c>
      <c r="F364" s="2" t="inlineStr">
        <is>
          <t>Málaga</t>
        </is>
      </c>
      <c r="G364" s="2" t="n"/>
      <c r="H364" s="2" t="inlineStr">
        <is>
          <t>Junta de Gobierno del Ayuntamiento de Málaga</t>
        </is>
      </c>
      <c r="I364" s="2" t="inlineStr">
        <is>
          <t>Obras de Construcción de Depósito de Regulación de Agua para Riego en Cl Alcalde Tomás Domínguez</t>
        </is>
      </c>
      <c r="J364" s="2" t="inlineStr">
        <is>
          <t>60/26</t>
        </is>
      </c>
      <c r="K364" s="2" t="inlineStr">
        <is>
          <t>Abierto simplificado</t>
        </is>
      </c>
      <c r="L364" s="6" t="n">
        <v>7</v>
      </c>
      <c r="M364" s="2" t="n"/>
      <c r="N364" s="7" t="n">
        <v>0</v>
      </c>
      <c r="O364" s="4" t="n"/>
      <c r="P364" s="2" t="inlineStr">
        <is>
          <t>45232152</t>
        </is>
      </c>
      <c r="Q364" s="8" t="inlineStr">
        <is>
          <t>Ver</t>
        </is>
      </c>
      <c r="R364" s="8" t="inlineStr">
        <is>
          <t>PCAP</t>
        </is>
      </c>
      <c r="S364" s="9" t="n">
        <v>46310</v>
      </c>
      <c r="T364" s="3" t="n">
        <v>46308.36747685185</v>
      </c>
      <c r="U364" s="2" t="n"/>
    </row>
    <row r="365">
      <c r="A365" s="2" t="inlineStr">
        <is>
          <t>Pendiente de adjudicación</t>
        </is>
      </c>
      <c r="B365" s="3" t="n">
        <v>46294.99930555555</v>
      </c>
      <c r="C365" s="5" t="n">
        <v>66115.7</v>
      </c>
      <c r="D365" s="5" t="n">
        <v>66115.7</v>
      </c>
      <c r="E365" s="2" t="inlineStr">
        <is>
          <t>Andalucía</t>
        </is>
      </c>
      <c r="F365" s="2" t="inlineStr">
        <is>
          <t>Almería</t>
        </is>
      </c>
      <c r="G365" s="2" t="n"/>
      <c r="H365" s="2" t="inlineStr">
        <is>
          <t>Junta de Gobierno de la Diputación Provincial de Almería</t>
        </is>
      </c>
      <c r="I365" s="2" t="inlineStr">
        <is>
          <t>Caminos Municipales, Alhabia 9PCAM24-27BII</t>
        </is>
      </c>
      <c r="J365" s="2" t="inlineStr">
        <is>
          <t>2025/D31000/006-013/00263</t>
        </is>
      </c>
      <c r="K365" s="2" t="inlineStr">
        <is>
          <t>Abierto simplificado</t>
        </is>
      </c>
      <c r="L365" s="6" t="n">
        <v>2</v>
      </c>
      <c r="M365" s="2" t="n"/>
      <c r="N365" s="7" t="n">
        <v>0.25</v>
      </c>
      <c r="O365" s="4" t="n"/>
      <c r="P365" s="2" t="inlineStr">
        <is>
          <t>45233222</t>
        </is>
      </c>
      <c r="Q365" s="8" t="inlineStr">
        <is>
          <t>Ver</t>
        </is>
      </c>
      <c r="R365" s="8" t="inlineStr">
        <is>
          <t>PCAP</t>
        </is>
      </c>
      <c r="S365" s="9" t="n">
        <v>46310</v>
      </c>
      <c r="T365" s="3" t="n">
        <v>46308.36564814814</v>
      </c>
      <c r="U365" s="2" t="n"/>
    </row>
    <row r="366">
      <c r="A366" s="2" t="inlineStr">
        <is>
          <t>Pendiente de adjudicación</t>
        </is>
      </c>
      <c r="B366" s="3" t="n">
        <v>46294.99930555555</v>
      </c>
      <c r="C366" s="5" t="n">
        <v>74380.17</v>
      </c>
      <c r="D366" s="5" t="n">
        <v>74380.17</v>
      </c>
      <c r="E366" s="2" t="inlineStr">
        <is>
          <t>Andalucía</t>
        </is>
      </c>
      <c r="F366" s="2" t="inlineStr">
        <is>
          <t>Almería</t>
        </is>
      </c>
      <c r="G366" s="2" t="n"/>
      <c r="H366" s="2" t="inlineStr">
        <is>
          <t>Junta de Gobierno de la Diputación Provincial de Almería</t>
        </is>
      </c>
      <c r="I366" s="2" t="inlineStr">
        <is>
          <t>Pavimentación Caminos Municipales. Vera 89PCAM24-27BII</t>
        </is>
      </c>
      <c r="J366" s="2" t="inlineStr">
        <is>
          <t>2025/D31000/006-013/00299</t>
        </is>
      </c>
      <c r="K366" s="2" t="inlineStr">
        <is>
          <t>Abierto simplificado</t>
        </is>
      </c>
      <c r="L366" s="6" t="n">
        <v>2</v>
      </c>
      <c r="M366" s="2" t="n"/>
      <c r="N366" s="7" t="n">
        <v>0.25</v>
      </c>
      <c r="O366" s="4" t="n"/>
      <c r="P366" s="2" t="inlineStr">
        <is>
          <t>45233222</t>
        </is>
      </c>
      <c r="Q366" s="8" t="inlineStr">
        <is>
          <t>Ver</t>
        </is>
      </c>
      <c r="R366" s="8" t="inlineStr">
        <is>
          <t>PCAP</t>
        </is>
      </c>
      <c r="S366" s="9" t="n">
        <v>46310</v>
      </c>
      <c r="T366" s="3" t="n">
        <v>46308.36511574074</v>
      </c>
      <c r="U366" s="2" t="n"/>
    </row>
    <row r="367">
      <c r="A367" s="2" t="inlineStr">
        <is>
          <t>Pendiente de adjudicación</t>
        </is>
      </c>
      <c r="B367" s="3" t="n">
        <v>46293.99930555555</v>
      </c>
      <c r="C367" s="5" t="n">
        <v>185950.41</v>
      </c>
      <c r="D367" s="5" t="n">
        <v>185950.41</v>
      </c>
      <c r="E367" s="2" t="inlineStr">
        <is>
          <t>Andalucía</t>
        </is>
      </c>
      <c r="F367" s="2" t="inlineStr">
        <is>
          <t>Almería</t>
        </is>
      </c>
      <c r="G367" s="2" t="n"/>
      <c r="H367" s="2" t="inlineStr">
        <is>
          <t>Junta de Gobierno de la Diputación Provincial de Almería</t>
        </is>
      </c>
      <c r="I367" s="2" t="inlineStr">
        <is>
          <t>Construcción De Local Para Farmacia En Benizalón 48PPOS24-27BII</t>
        </is>
      </c>
      <c r="J367" s="2" t="inlineStr">
        <is>
          <t>2025/D31000/006-013/00219</t>
        </is>
      </c>
      <c r="K367" s="2" t="inlineStr">
        <is>
          <t>Abierto simplificado</t>
        </is>
      </c>
      <c r="L367" s="6" t="n">
        <v>12.2</v>
      </c>
      <c r="M367" s="2" t="n"/>
      <c r="N367" s="7" t="n">
        <v>0.25</v>
      </c>
      <c r="O367" s="4" t="n"/>
      <c r="P367" s="2" t="inlineStr">
        <is>
          <t>45210000</t>
        </is>
      </c>
      <c r="Q367" s="8" t="inlineStr">
        <is>
          <t>Ver</t>
        </is>
      </c>
      <c r="R367" s="8" t="inlineStr">
        <is>
          <t>PCAP</t>
        </is>
      </c>
      <c r="S367" s="9" t="n">
        <v>46310</v>
      </c>
      <c r="T367" s="3" t="n">
        <v>46308.36445601852</v>
      </c>
      <c r="U367" s="2" t="n"/>
    </row>
    <row r="368">
      <c r="A368" s="2" t="inlineStr">
        <is>
          <t>Pendiente de adjudicación</t>
        </is>
      </c>
      <c r="B368" s="3" t="n">
        <v>46282.99930555555</v>
      </c>
      <c r="C368" s="5" t="n">
        <v>181818.18</v>
      </c>
      <c r="D368" s="5" t="n">
        <v>181818.18</v>
      </c>
      <c r="E368" s="2" t="inlineStr">
        <is>
          <t>Andalucía</t>
        </is>
      </c>
      <c r="F368" s="2" t="inlineStr">
        <is>
          <t>Almería</t>
        </is>
      </c>
      <c r="G368" s="2" t="n"/>
      <c r="H368" s="2" t="inlineStr">
        <is>
          <t>Junta de Gobierno de la Diputación Provincial de Almería</t>
        </is>
      </c>
      <c r="I368" s="2" t="inlineStr">
        <is>
          <t>Rehabilitación De Firme Y Mejora De Diversos Tramos De Caminos Municipales En Tijola 17PG2026</t>
        </is>
      </c>
      <c r="J368" s="2" t="inlineStr">
        <is>
          <t>2026/D31000/006-013/00058</t>
        </is>
      </c>
      <c r="K368" s="2" t="inlineStr">
        <is>
          <t>Abierto simplificado</t>
        </is>
      </c>
      <c r="L368" s="6" t="n">
        <v>3</v>
      </c>
      <c r="M368" s="2" t="n"/>
      <c r="N368" s="7" t="n">
        <v>0.25</v>
      </c>
      <c r="O368" s="4" t="n"/>
      <c r="P368" s="2" t="inlineStr">
        <is>
          <t>45233220</t>
        </is>
      </c>
      <c r="Q368" s="8" t="inlineStr">
        <is>
          <t>Ver</t>
        </is>
      </c>
      <c r="R368" s="8" t="inlineStr">
        <is>
          <t>PCAP</t>
        </is>
      </c>
      <c r="S368" s="9" t="n">
        <v>46310</v>
      </c>
      <c r="T368" s="3" t="n">
        <v>46308.36378472222</v>
      </c>
      <c r="U368" s="2" t="n"/>
    </row>
    <row r="369">
      <c r="A369" s="2" t="inlineStr">
        <is>
          <t>Pendiente de adjudicación</t>
        </is>
      </c>
      <c r="B369" s="3" t="n">
        <v>46295.99930555555</v>
      </c>
      <c r="C369" s="5" t="n">
        <v>57851.24</v>
      </c>
      <c r="D369" s="5" t="n">
        <v>57851.24</v>
      </c>
      <c r="E369" s="2" t="inlineStr">
        <is>
          <t>Andalucía</t>
        </is>
      </c>
      <c r="F369" s="2" t="inlineStr">
        <is>
          <t>Almería</t>
        </is>
      </c>
      <c r="G369" s="2" t="n"/>
      <c r="H369" s="2" t="inlineStr">
        <is>
          <t>Junta de Gobierno de la Diputación Provincial de Almería</t>
        </is>
      </c>
      <c r="I369" s="2" t="inlineStr">
        <is>
          <t>Reparación De Daños En Puente Sobre El Río Andarax. T.m. De Rioja. 6PG2026</t>
        </is>
      </c>
      <c r="J369" s="2" t="inlineStr">
        <is>
          <t>2026/D31000/006-013/00016</t>
        </is>
      </c>
      <c r="K369" s="2" t="inlineStr">
        <is>
          <t>Abierto simplificado</t>
        </is>
      </c>
      <c r="L369" s="6" t="n">
        <v>3</v>
      </c>
      <c r="M369" s="2" t="n"/>
      <c r="N369" s="7" t="n">
        <v>0</v>
      </c>
      <c r="O369" s="4" t="n"/>
      <c r="P369" s="2" t="inlineStr">
        <is>
          <t>45233220</t>
        </is>
      </c>
      <c r="Q369" s="8" t="inlineStr">
        <is>
          <t>Ver</t>
        </is>
      </c>
      <c r="R369" s="8" t="inlineStr">
        <is>
          <t>PCAP</t>
        </is>
      </c>
      <c r="S369" s="9" t="n">
        <v>46310</v>
      </c>
      <c r="T369" s="3" t="n">
        <v>46308.36280092593</v>
      </c>
      <c r="U369" s="2" t="n"/>
    </row>
    <row r="370">
      <c r="A370" s="2" t="inlineStr">
        <is>
          <t>Adjudicada</t>
        </is>
      </c>
      <c r="B370" s="3" t="n">
        <v>46276.58333333334</v>
      </c>
      <c r="C370" s="5" t="n">
        <v>91600.75</v>
      </c>
      <c r="D370" s="5" t="n">
        <v>91600.75</v>
      </c>
      <c r="E370" s="2" t="inlineStr">
        <is>
          <t>Comunitat Valenciana</t>
        </is>
      </c>
      <c r="F370" s="2" t="inlineStr">
        <is>
          <t>Valencia</t>
        </is>
      </c>
      <c r="G370" s="2" t="n"/>
      <c r="H370" s="2" t="inlineStr">
        <is>
          <t>Concejalía Delegada de Contratación del Ayuntamiento de Gandía</t>
        </is>
      </c>
      <c r="I370" s="2" t="inlineStr">
        <is>
          <t>Contrato de obras consistente en la ejecución del proyecto de mejora, modernización y dotación de infraestructuras y servicios en el Polígono Rajolar (IVACE ejercicios 2025-2026).</t>
        </is>
      </c>
      <c r="J370" s="2" t="inlineStr">
        <is>
          <t>CONT-058/2026 (41989/2026)</t>
        </is>
      </c>
      <c r="K370" s="2" t="inlineStr">
        <is>
          <t>Abierto simplificado</t>
        </is>
      </c>
      <c r="L370" s="6" t="n">
        <v>2</v>
      </c>
      <c r="M370" s="2" t="n"/>
      <c r="N370" s="7" t="n">
        <v>0</v>
      </c>
      <c r="O370" s="4" t="n"/>
      <c r="P370" s="2" t="inlineStr">
        <is>
          <t>45233200; 45310000; 45112710</t>
        </is>
      </c>
      <c r="Q370" s="8" t="inlineStr">
        <is>
          <t>Ver</t>
        </is>
      </c>
      <c r="R370" s="8" t="inlineStr">
        <is>
          <t>PCAP</t>
        </is>
      </c>
      <c r="S370" s="9" t="n">
        <v>46310</v>
      </c>
      <c r="T370" s="3" t="n">
        <v>46308.3594212963</v>
      </c>
      <c r="U370" s="2" t="n"/>
    </row>
    <row r="371">
      <c r="A371" s="2" t="inlineStr">
        <is>
          <t>En plazo</t>
        </is>
      </c>
      <c r="B371" s="3" t="n">
        <v>46328.99930555555</v>
      </c>
      <c r="C371" s="5" t="n">
        <v>171523.49</v>
      </c>
      <c r="D371" s="5" t="n">
        <v>171523.49</v>
      </c>
      <c r="E371" s="2" t="inlineStr">
        <is>
          <t>Andalucía</t>
        </is>
      </c>
      <c r="F371" s="2" t="inlineStr">
        <is>
          <t>Málaga</t>
        </is>
      </c>
      <c r="G371" s="2" t="n"/>
      <c r="H371" s="2" t="inlineStr">
        <is>
          <t>Junta de Gobierno del Ayuntamiento de Nerja</t>
        </is>
      </c>
      <c r="I371" s="2" t="inlineStr">
        <is>
          <t>Obras correspondientes al Proyecto de urbanización de las actuaciones aisladas AA-14 y AA-35 del P.G.O.U. de Nerja.</t>
        </is>
      </c>
      <c r="J371" s="2" t="inlineStr">
        <is>
          <t>2026/6/S245</t>
        </is>
      </c>
      <c r="K371" s="2" t="inlineStr">
        <is>
          <t>Abierto simplificado</t>
        </is>
      </c>
      <c r="L371" s="6" t="n">
        <v>3</v>
      </c>
      <c r="M371" s="2" t="n"/>
      <c r="N371" s="7" t="n">
        <v>0</v>
      </c>
      <c r="O371" s="4" t="n"/>
      <c r="P371" s="2" t="inlineStr">
        <is>
          <t>45231100; 45220000; 45233252; 45233140</t>
        </is>
      </c>
      <c r="Q371" s="8" t="inlineStr">
        <is>
          <t>Ver</t>
        </is>
      </c>
      <c r="R371" s="8" t="inlineStr">
        <is>
          <t>PCAP</t>
        </is>
      </c>
      <c r="S371" s="9" t="n">
        <v>46310</v>
      </c>
      <c r="T371" s="3" t="n">
        <v>46308.35864583333</v>
      </c>
      <c r="U371" s="2" t="n"/>
    </row>
    <row r="372">
      <c r="A372" s="2" t="inlineStr">
        <is>
          <t>Resuelta</t>
        </is>
      </c>
      <c r="B372" s="3" t="n">
        <v>45905.75</v>
      </c>
      <c r="C372" s="5" t="n">
        <v>1306985.35</v>
      </c>
      <c r="D372" s="5" t="n">
        <v>1568382.42</v>
      </c>
      <c r="E372" s="2" t="inlineStr">
        <is>
          <t>Andalucía</t>
        </is>
      </c>
      <c r="F372" s="2" t="inlineStr">
        <is>
          <t>Málaga</t>
        </is>
      </c>
      <c r="G372" s="2" t="n"/>
      <c r="H372" s="2" t="inlineStr">
        <is>
          <t>Consejero Delegado de la Empresa Municipal de Aguas de Málaga S.A.</t>
        </is>
      </c>
      <c r="I372" s="2" t="inlineStr">
        <is>
          <t>Obras de Separación de redes en la calle Abogado Federico Orellana Toledano (Málaga) (Expdte Ingeniería: 108/2020)</t>
        </is>
      </c>
      <c r="J372" s="2" t="inlineStr">
        <is>
          <t>25-522-4</t>
        </is>
      </c>
      <c r="K372" s="2" t="inlineStr">
        <is>
          <t>Abierto</t>
        </is>
      </c>
      <c r="L372" s="6" t="n">
        <v>11</v>
      </c>
      <c r="M372" s="2" t="n"/>
      <c r="N372" s="7" t="n">
        <v>0</v>
      </c>
      <c r="O372" s="4" t="n"/>
      <c r="P372" s="2" t="inlineStr">
        <is>
          <t>45000000</t>
        </is>
      </c>
      <c r="Q372" s="8" t="inlineStr">
        <is>
          <t>Ver</t>
        </is>
      </c>
      <c r="R372" s="8" t="inlineStr">
        <is>
          <t>PCAP</t>
        </is>
      </c>
      <c r="S372" s="9" t="n">
        <v>46310</v>
      </c>
      <c r="T372" s="3" t="n">
        <v>46308.35751157408</v>
      </c>
      <c r="U372" s="2" t="n"/>
    </row>
    <row r="373">
      <c r="A373" s="2" t="inlineStr">
        <is>
          <t>Pendiente de adjudicación</t>
        </is>
      </c>
      <c r="B373" s="3" t="n">
        <v>46209.99930555555</v>
      </c>
      <c r="C373" s="5" t="n">
        <v>111140.49</v>
      </c>
      <c r="D373" s="5" t="n">
        <v>111140.49</v>
      </c>
      <c r="E373" s="2" t="inlineStr">
        <is>
          <t>Andalucía</t>
        </is>
      </c>
      <c r="F373" s="2" t="inlineStr">
        <is>
          <t>Córdoba</t>
        </is>
      </c>
      <c r="G373" s="2" t="n"/>
      <c r="H373" s="2" t="inlineStr">
        <is>
          <t>Diputado delegado de Infraestructuras, Sostenibilidad y Agricultura</t>
        </is>
      </c>
      <c r="I373" s="2" t="inlineStr">
        <is>
          <t>Contrato de obra de Reordenación de la confluencia de las calles Murillo y Olavides. Peñarroya-Pueblonuevo (Córdoba)</t>
        </is>
      </c>
      <c r="J373" s="2" t="inlineStr">
        <is>
          <t>413/26</t>
        </is>
      </c>
      <c r="K373" s="2" t="inlineStr">
        <is>
          <t>Abierto</t>
        </is>
      </c>
      <c r="L373" s="6" t="n">
        <v>5</v>
      </c>
      <c r="M373" s="2" t="n"/>
      <c r="N373" s="7" t="n">
        <v>0.4</v>
      </c>
      <c r="O373" s="4" t="n"/>
      <c r="P373" s="2" t="inlineStr">
        <is>
          <t>45232411; 45233160; 45233252; 45232410</t>
        </is>
      </c>
      <c r="Q373" s="8" t="inlineStr">
        <is>
          <t>Ver</t>
        </is>
      </c>
      <c r="R373" s="8" t="inlineStr">
        <is>
          <t>PCAP</t>
        </is>
      </c>
      <c r="S373" s="9" t="n">
        <v>46310</v>
      </c>
      <c r="T373" s="3" t="n">
        <v>46308.35682870371</v>
      </c>
      <c r="U373" s="2" t="n"/>
    </row>
    <row r="374">
      <c r="A374" s="2" t="inlineStr">
        <is>
          <t>Resuelta</t>
        </is>
      </c>
      <c r="B374" s="3" t="n">
        <v>46037.99930555555</v>
      </c>
      <c r="C374" s="5" t="n">
        <v>49586.78</v>
      </c>
      <c r="D374" s="5" t="n">
        <v>49586.78</v>
      </c>
      <c r="E374" s="2" t="inlineStr">
        <is>
          <t>Comunitat Valenciana</t>
        </is>
      </c>
      <c r="F374" s="2" t="inlineStr">
        <is>
          <t>Alicante</t>
        </is>
      </c>
      <c r="G374" s="2" t="n"/>
      <c r="H374" s="2" t="inlineStr">
        <is>
          <t>Presidencia de la Diputación Provincial de Alicante</t>
        </is>
      </c>
      <c r="I374" s="2" t="inlineStr">
        <is>
          <t>Obras de adecuación y mejora de área infantil en la plaza Juan Pablo II, en el municipio de Daya Vieja.</t>
        </is>
      </c>
      <c r="J374" s="2" t="inlineStr">
        <is>
          <t>O4S-249/2025</t>
        </is>
      </c>
      <c r="K374" s="2" t="inlineStr">
        <is>
          <t>Abierto simplificado</t>
        </is>
      </c>
      <c r="L374" s="6" t="n">
        <v>2</v>
      </c>
      <c r="M374" s="2" t="n"/>
      <c r="N374" s="7" t="n">
        <v>0</v>
      </c>
      <c r="O374" s="4" t="n"/>
      <c r="P374" s="2" t="inlineStr">
        <is>
          <t>45112700</t>
        </is>
      </c>
      <c r="Q374" s="8" t="inlineStr">
        <is>
          <t>Ver</t>
        </is>
      </c>
      <c r="R374" s="8" t="inlineStr">
        <is>
          <t>PCAP</t>
        </is>
      </c>
      <c r="S374" s="9" t="n">
        <v>46310</v>
      </c>
      <c r="T374" s="3" t="n">
        <v>46308.35675925926</v>
      </c>
      <c r="U374" s="2" t="n"/>
    </row>
    <row r="375">
      <c r="A375" s="2" t="inlineStr">
        <is>
          <t>Pendiente de adjudicación</t>
        </is>
      </c>
      <c r="B375" s="3" t="n">
        <v>46297.625</v>
      </c>
      <c r="C375" s="5" t="n">
        <v>42803.27</v>
      </c>
      <c r="D375" s="5" t="n">
        <v>42803.27</v>
      </c>
      <c r="E375" s="2" t="inlineStr">
        <is>
          <t>Andalucía</t>
        </is>
      </c>
      <c r="F375" s="2" t="inlineStr">
        <is>
          <t>Sevilla</t>
        </is>
      </c>
      <c r="G375" s="2" t="inlineStr">
        <is>
          <t>AGUADULCE</t>
        </is>
      </c>
      <c r="H375" s="2" t="inlineStr">
        <is>
          <t>Alcaldía del Ayuntamiento de Aguadulce</t>
        </is>
      </c>
      <c r="I375" s="2" t="inlineStr">
        <is>
          <t>construccion de modulo de 66 nichos en cementerio municipal</t>
        </is>
      </c>
      <c r="J375" s="2" t="inlineStr">
        <is>
          <t>1114/2026</t>
        </is>
      </c>
      <c r="K375" s="2" t="inlineStr">
        <is>
          <t>Abierto simplificado</t>
        </is>
      </c>
      <c r="L375" s="6" t="n">
        <v>3</v>
      </c>
      <c r="M375" s="2" t="n"/>
      <c r="N375" s="7" t="n">
        <v>0</v>
      </c>
      <c r="O375" s="4" t="n"/>
      <c r="P375" s="2" t="inlineStr">
        <is>
          <t>45215400</t>
        </is>
      </c>
      <c r="Q375" s="8" t="inlineStr">
        <is>
          <t>Ver</t>
        </is>
      </c>
      <c r="R375" s="8" t="inlineStr">
        <is>
          <t>PCAP</t>
        </is>
      </c>
      <c r="S375" s="9" t="n">
        <v>46310</v>
      </c>
      <c r="T375" s="3" t="n">
        <v>46308.35385416666</v>
      </c>
      <c r="U375" s="2" t="n"/>
    </row>
    <row r="376">
      <c r="A376" s="2" t="inlineStr">
        <is>
          <t>Pendiente de adjudicación</t>
        </is>
      </c>
      <c r="B376" s="3" t="n">
        <v>46286.72916666666</v>
      </c>
      <c r="C376" s="5" t="n">
        <v>3300525.62</v>
      </c>
      <c r="D376" s="5" t="n">
        <v>3300525.62</v>
      </c>
      <c r="E376" s="2" t="inlineStr">
        <is>
          <t>Andalucía</t>
        </is>
      </c>
      <c r="F376" s="2" t="inlineStr">
        <is>
          <t>Granada</t>
        </is>
      </c>
      <c r="G376" s="2" t="n"/>
      <c r="H376" s="2" t="inlineStr">
        <is>
          <t>Junta de Gobierno del Ayuntamiento de Granada</t>
        </is>
      </c>
      <c r="I376" s="2" t="inlineStr">
        <is>
          <t>Contrato de obras de elaboración de proyecto y ejecución de las obras de adaptación climática de espacios exteriores (Plan de Actuación Integrado Granada Cohesión Conexión 2030)</t>
        </is>
      </c>
      <c r="J376" s="2" t="inlineStr">
        <is>
          <t>OBR-2026000100</t>
        </is>
      </c>
      <c r="K376" s="2" t="inlineStr">
        <is>
          <t>Abierto</t>
        </is>
      </c>
      <c r="L376" s="6" t="n">
        <v>10</v>
      </c>
      <c r="M376" s="2" t="n"/>
      <c r="N376" s="7" t="n">
        <v>0.27</v>
      </c>
      <c r="O376" s="4" t="n">
        <v>2</v>
      </c>
      <c r="P376" s="2" t="inlineStr">
        <is>
          <t>45223210; 45223110; 45212190; 45233250; 45233251; 45330000; 45232120; 71242000; 71240000; 45112710; 45223100</t>
        </is>
      </c>
      <c r="Q376" s="8" t="inlineStr">
        <is>
          <t>Ver</t>
        </is>
      </c>
      <c r="R376" s="8" t="inlineStr">
        <is>
          <t>PCAP</t>
        </is>
      </c>
      <c r="S376" s="9" t="n">
        <v>46310</v>
      </c>
      <c r="T376" s="3" t="n">
        <v>46308.35216435185</v>
      </c>
      <c r="U376" s="2" t="n"/>
    </row>
    <row r="377">
      <c r="A377" s="2" t="inlineStr">
        <is>
          <t>Resuelta</t>
        </is>
      </c>
      <c r="B377" s="3" t="n">
        <v>45950.99930555555</v>
      </c>
      <c r="C377" s="5" t="n">
        <v>349637.49</v>
      </c>
      <c r="D377" s="5" t="n">
        <v>349637.49</v>
      </c>
      <c r="E377" s="2" t="inlineStr">
        <is>
          <t>Andalucía</t>
        </is>
      </c>
      <c r="F377" s="2" t="inlineStr">
        <is>
          <t>Málaga</t>
        </is>
      </c>
      <c r="G377" s="2" t="inlineStr">
        <is>
          <t>Villanueva de Algaidas (Málaga)</t>
        </is>
      </c>
      <c r="H377" s="2" t="inlineStr">
        <is>
          <t>Alcaldía del Ayuntamiento de Villanueva de Algaidas</t>
        </is>
      </c>
      <c r="I377" s="2" t="inlineStr">
        <is>
          <t>Remodelación calle Archidona. Tramo 5</t>
        </is>
      </c>
      <c r="J377" s="2" t="inlineStr">
        <is>
          <t>937/2024</t>
        </is>
      </c>
      <c r="K377" s="2" t="inlineStr">
        <is>
          <t>Abierto simplificado</t>
        </is>
      </c>
      <c r="L377" s="6" t="n">
        <v>5</v>
      </c>
      <c r="M377" s="2" t="n"/>
      <c r="N377" s="7" t="n">
        <v>0</v>
      </c>
      <c r="O377" s="4" t="n"/>
      <c r="P377" s="2" t="inlineStr">
        <is>
          <t>45232410; 45233200</t>
        </is>
      </c>
      <c r="Q377" s="8" t="inlineStr">
        <is>
          <t>Ver</t>
        </is>
      </c>
      <c r="R377" s="8" t="inlineStr">
        <is>
          <t>PCAP</t>
        </is>
      </c>
      <c r="S377" s="9" t="n">
        <v>46310</v>
      </c>
      <c r="T377" s="3" t="n">
        <v>46308.35211805555</v>
      </c>
      <c r="U377" s="2" t="n"/>
    </row>
    <row r="378">
      <c r="A378" s="2" t="inlineStr">
        <is>
          <t>Resuelta</t>
        </is>
      </c>
      <c r="B378" s="3" t="n">
        <v>46247.99930555555</v>
      </c>
      <c r="C378" s="5" t="n">
        <v>82639.3</v>
      </c>
      <c r="D378" s="5" t="n">
        <v>82639.3</v>
      </c>
      <c r="E378" s="2" t="inlineStr">
        <is>
          <t>Andalucía</t>
        </is>
      </c>
      <c r="F378" s="2" t="inlineStr">
        <is>
          <t>Jaén</t>
        </is>
      </c>
      <c r="G378" s="2" t="inlineStr">
        <is>
          <t>Canena</t>
        </is>
      </c>
      <c r="H378" s="2" t="inlineStr">
        <is>
          <t>Alcaldía del Ayuntamiento de Canena</t>
        </is>
      </c>
      <c r="I378" s="2" t="inlineStr">
        <is>
          <t>Actuación de emergencia en la red de saneamiento en esquina calle Altozano y calle Iglesia, Canena (Jaén)</t>
        </is>
      </c>
      <c r="J378" s="2" t="inlineStr">
        <is>
          <t>190/2026</t>
        </is>
      </c>
      <c r="K378" s="2" t="inlineStr">
        <is>
          <t>Abierto simplificado</t>
        </is>
      </c>
      <c r="L378" s="6" t="n">
        <v>3</v>
      </c>
      <c r="M378" s="2" t="n"/>
      <c r="N378" s="7" t="n">
        <v>0</v>
      </c>
      <c r="O378" s="4" t="n"/>
      <c r="P378" s="2" t="inlineStr">
        <is>
          <t>45231300</t>
        </is>
      </c>
      <c r="Q378" s="8" t="inlineStr">
        <is>
          <t>Ver</t>
        </is>
      </c>
      <c r="R378" s="8" t="inlineStr">
        <is>
          <t>PCAP</t>
        </is>
      </c>
      <c r="S378" s="9" t="n">
        <v>46310</v>
      </c>
      <c r="T378" s="3" t="n">
        <v>46308.34502314815</v>
      </c>
      <c r="U378" s="2" t="n"/>
    </row>
    <row r="379">
      <c r="A379" s="2" t="inlineStr">
        <is>
          <t>En plazo</t>
        </is>
      </c>
      <c r="B379" s="3" t="n">
        <v>46321.99930555555</v>
      </c>
      <c r="C379" s="5" t="n">
        <v>425420.9</v>
      </c>
      <c r="D379" s="5" t="n">
        <v>425420.9</v>
      </c>
      <c r="E379" s="2" t="inlineStr">
        <is>
          <t>Comunitat Valenciana</t>
        </is>
      </c>
      <c r="F379" s="2" t="inlineStr">
        <is>
          <t>Valencia</t>
        </is>
      </c>
      <c r="G379" s="2" t="inlineStr">
        <is>
          <t>Bétera</t>
        </is>
      </c>
      <c r="H379" s="2" t="inlineStr">
        <is>
          <t>Junta de Gobierno del Ayuntamiento de Bétera</t>
        </is>
      </c>
      <c r="I379" s="2" t="inlineStr">
        <is>
          <t>Construcción y puesta en servicio de una planta de carbón activo en uno de los pozos de abastecimiento de agua de consumo de Bétera</t>
        </is>
      </c>
      <c r="J379" s="2" t="inlineStr">
        <is>
          <t>495/2026</t>
        </is>
      </c>
      <c r="K379" s="2" t="inlineStr">
        <is>
          <t>Abierto simplificado</t>
        </is>
      </c>
      <c r="L379" s="6" t="n">
        <v>4</v>
      </c>
      <c r="M379" s="2" t="inlineStr">
        <is>
          <t>K8-3</t>
        </is>
      </c>
      <c r="N379" s="7" t="n">
        <v>0.25</v>
      </c>
      <c r="O379" s="4" t="n"/>
      <c r="P379" s="2" t="inlineStr">
        <is>
          <t>45252126</t>
        </is>
      </c>
      <c r="Q379" s="8" t="inlineStr">
        <is>
          <t>Ver</t>
        </is>
      </c>
      <c r="R379" s="8" t="inlineStr">
        <is>
          <t>PCAP</t>
        </is>
      </c>
      <c r="S379" s="9" t="n">
        <v>46310</v>
      </c>
      <c r="T379" s="3" t="n">
        <v>46308.32517361111</v>
      </c>
      <c r="U379" s="2" t="n"/>
    </row>
    <row r="380">
      <c r="A380" s="2" t="inlineStr">
        <is>
          <t>Pendiente de adjudicación</t>
        </is>
      </c>
      <c r="B380" s="3" t="n">
        <v>46288.58333333334</v>
      </c>
      <c r="C380" s="5" t="n">
        <v>175123.22</v>
      </c>
      <c r="D380" s="5" t="n">
        <v>175123.22</v>
      </c>
      <c r="E380" s="2" t="inlineStr">
        <is>
          <t>Andalucía</t>
        </is>
      </c>
      <c r="F380" s="2" t="inlineStr">
        <is>
          <t>Sevilla</t>
        </is>
      </c>
      <c r="G380" s="2" t="n"/>
      <c r="H380" s="2" t="inlineStr">
        <is>
          <t>Junta de Gobierno Local del Ayuntamiento de Osuna</t>
        </is>
      </c>
      <c r="I380"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80" s="2" t="inlineStr">
        <is>
          <t>2342/2026</t>
        </is>
      </c>
      <c r="K380" s="2" t="inlineStr">
        <is>
          <t>Abierto</t>
        </is>
      </c>
      <c r="L380" s="6" t="n">
        <v>8</v>
      </c>
      <c r="M380" s="2" t="n"/>
      <c r="N380" s="7" t="n">
        <v>0.45</v>
      </c>
      <c r="O380" s="4" t="n"/>
      <c r="P380" s="2" t="inlineStr">
        <is>
          <t>45232400; 45233252; 45232150</t>
        </is>
      </c>
      <c r="Q380" s="8" t="inlineStr">
        <is>
          <t>Ver</t>
        </is>
      </c>
      <c r="R380" s="8" t="inlineStr">
        <is>
          <t>PCAP</t>
        </is>
      </c>
      <c r="S380" s="9" t="n">
        <v>46310</v>
      </c>
      <c r="T380" s="3" t="n">
        <v>46308.32128472222</v>
      </c>
      <c r="U380" s="2" t="n"/>
    </row>
    <row r="381">
      <c r="A381" s="2" t="inlineStr">
        <is>
          <t>Resuelta</t>
        </is>
      </c>
      <c r="B381" s="3" t="n">
        <v>46269.99930555555</v>
      </c>
      <c r="C381" s="5" t="n">
        <v>99153.17999999999</v>
      </c>
      <c r="D381" s="5" t="n">
        <v>99153.17999999999</v>
      </c>
      <c r="E381" s="2" t="inlineStr">
        <is>
          <t>Comunitat Valenciana</t>
        </is>
      </c>
      <c r="F381" s="2" t="inlineStr">
        <is>
          <t>Valencia</t>
        </is>
      </c>
      <c r="G381" s="2" t="n"/>
      <c r="H381" s="2" t="inlineStr">
        <is>
          <t>Alcaldía del Ayuntamiento de Alginet</t>
        </is>
      </c>
      <c r="I381" s="2" t="inlineStr">
        <is>
          <t>Obras para la creación de espacios lúdicos en parque Sant Josep, Parque Hort de Feliu y Ronda Pintor José Espert - calle de la Belenguera.</t>
        </is>
      </c>
      <c r="J381" s="2" t="inlineStr">
        <is>
          <t>2885075Z</t>
        </is>
      </c>
      <c r="K381" s="2" t="inlineStr">
        <is>
          <t>Abierto simplificado</t>
        </is>
      </c>
      <c r="L381" s="6" t="n">
        <v>6</v>
      </c>
      <c r="M381" s="2" t="n"/>
      <c r="N381" s="7" t="n">
        <v>0</v>
      </c>
      <c r="O381" s="4" t="n"/>
      <c r="P381" s="2" t="inlineStr">
        <is>
          <t>45236210; 45112723; 43325000</t>
        </is>
      </c>
      <c r="Q381" s="8" t="inlineStr">
        <is>
          <t>Ver</t>
        </is>
      </c>
      <c r="R381" s="8" t="inlineStr">
        <is>
          <t>PCAP</t>
        </is>
      </c>
      <c r="S381" s="9" t="n">
        <v>46310</v>
      </c>
      <c r="T381" s="3" t="n">
        <v>46308.29914351852</v>
      </c>
      <c r="U381" s="2" t="n"/>
    </row>
    <row r="382">
      <c r="A382" s="2" t="inlineStr">
        <is>
          <t>Pendiente de adjudicación</t>
        </is>
      </c>
      <c r="B382" s="3" t="n">
        <v>46286.99930555555</v>
      </c>
      <c r="C382" s="5" t="n">
        <v>139012.15</v>
      </c>
      <c r="D382" s="5" t="n">
        <v>139012.15</v>
      </c>
      <c r="E382" s="2" t="inlineStr">
        <is>
          <t>Comunitat Valenciana</t>
        </is>
      </c>
      <c r="F382" s="2" t="inlineStr">
        <is>
          <t>Valencia</t>
        </is>
      </c>
      <c r="G382" s="2" t="n"/>
      <c r="H382" s="2" t="inlineStr">
        <is>
          <t>Junta de Gobierno del Ayuntamiento de Sagunto</t>
        </is>
      </c>
      <c r="I382" s="2" t="inlineStr">
        <is>
          <t>Contrato de obras para la adecuación integral y creación de nuevas áreas funcionales en la Plaza Padre Jaime para la configuración de un gran parque urbano inclusivo.</t>
        </is>
      </c>
      <c r="J382" s="2" t="inlineStr">
        <is>
          <t>43/26-C</t>
        </is>
      </c>
      <c r="K382" s="2" t="inlineStr">
        <is>
          <t>Abierto</t>
        </is>
      </c>
      <c r="L382" s="6" t="n">
        <v>4</v>
      </c>
      <c r="M382" s="2" t="n"/>
      <c r="N382" s="7" t="n">
        <v>0.45</v>
      </c>
      <c r="O382" s="4" t="n"/>
      <c r="P382" s="2" t="inlineStr">
        <is>
          <t>45000000; 37535240; 45113000; 37535210; 37535250</t>
        </is>
      </c>
      <c r="Q382" s="8" t="inlineStr">
        <is>
          <t>Ver</t>
        </is>
      </c>
      <c r="R382" s="8" t="inlineStr">
        <is>
          <t>PCAP</t>
        </is>
      </c>
      <c r="S382" s="9" t="n">
        <v>46310</v>
      </c>
      <c r="T382" s="3" t="n">
        <v>46308.29854166666</v>
      </c>
      <c r="U382" s="2" t="n"/>
    </row>
    <row r="383">
      <c r="A383" s="2" t="inlineStr">
        <is>
          <t>Resuelta</t>
        </is>
      </c>
      <c r="B383" s="3" t="n">
        <v>46237.79166666666</v>
      </c>
      <c r="C383" s="5" t="n">
        <v>493301.67</v>
      </c>
      <c r="D383" s="5" t="n">
        <v>493301.67</v>
      </c>
      <c r="E383" s="2" t="inlineStr">
        <is>
          <t>Andalucía</t>
        </is>
      </c>
      <c r="F383" s="2" t="inlineStr">
        <is>
          <t>Jaén</t>
        </is>
      </c>
      <c r="G383" s="2" t="n"/>
      <c r="H383" s="2" t="inlineStr">
        <is>
          <t>Alcaldía del Ayuntamiento de Jaén</t>
        </is>
      </c>
      <c r="I383" s="2" t="inlineStr">
        <is>
          <t>Contratación de las obras de reparación de cubiertas del pabellón principal de la Salobreja</t>
        </is>
      </c>
      <c r="J383" s="2" t="inlineStr">
        <is>
          <t>2026000050</t>
        </is>
      </c>
      <c r="K383" s="2" t="inlineStr">
        <is>
          <t>Abierto</t>
        </is>
      </c>
      <c r="L383" s="6" t="n">
        <v>3</v>
      </c>
      <c r="M383" s="2" t="n"/>
      <c r="N383" s="7" t="n">
        <v>0.4</v>
      </c>
      <c r="O383" s="4" t="n"/>
      <c r="P383" s="2" t="inlineStr">
        <is>
          <t>45261900</t>
        </is>
      </c>
      <c r="Q383" s="8" t="inlineStr">
        <is>
          <t>Ver</t>
        </is>
      </c>
      <c r="R383" s="8" t="inlineStr">
        <is>
          <t>PCAP</t>
        </is>
      </c>
      <c r="S383" s="9" t="n">
        <v>46310</v>
      </c>
      <c r="T383" s="3" t="n">
        <v>46306.48440972222</v>
      </c>
      <c r="U383" s="2" t="n"/>
    </row>
    <row r="384">
      <c r="A384" s="2" t="inlineStr">
        <is>
          <t>En plazo</t>
        </is>
      </c>
      <c r="B384" s="3" t="n">
        <v>46311.75</v>
      </c>
      <c r="C384" s="5" t="n">
        <v>20042739.4</v>
      </c>
      <c r="D384" s="5" t="n">
        <v>20042739.4</v>
      </c>
      <c r="E384" s="2" t="inlineStr">
        <is>
          <t>Andalucía</t>
        </is>
      </c>
      <c r="F384" s="2" t="inlineStr">
        <is>
          <t>Almería</t>
        </is>
      </c>
      <c r="G384" s="2" t="inlineStr">
        <is>
          <t>Almería</t>
        </is>
      </c>
      <c r="H384" s="2" t="inlineStr">
        <is>
          <t>Presidencia de la Autoridad Portuaria de Almería</t>
        </is>
      </c>
      <c r="I384" s="2" t="inlineStr">
        <is>
          <t>Actuaciones en el frente litoral en espacios Puerto-Ciudad de Almería</t>
        </is>
      </c>
      <c r="J384" s="2" t="inlineStr">
        <is>
          <t>15/O/A/AL26</t>
        </is>
      </c>
      <c r="K384" s="2" t="inlineStr">
        <is>
          <t>Abierto</t>
        </is>
      </c>
      <c r="L384" s="6" t="n">
        <v>24</v>
      </c>
      <c r="M384" s="2" t="inlineStr">
        <is>
          <t>G6-5</t>
        </is>
      </c>
      <c r="N384" s="7" t="n">
        <v>0.45</v>
      </c>
      <c r="O384" s="4" t="n"/>
      <c r="P384" s="2" t="inlineStr">
        <is>
          <t>45233140; 45262311; 71351810; 45233200; 45211360; 45231400; 45231300; 45223810</t>
        </is>
      </c>
      <c r="Q384" s="8" t="inlineStr">
        <is>
          <t>Ver</t>
        </is>
      </c>
      <c r="R384" s="8" t="inlineStr">
        <is>
          <t>PCAP</t>
        </is>
      </c>
      <c r="S384" s="9" t="n">
        <v>46310</v>
      </c>
      <c r="T384" s="3" t="n">
        <v>46306.44572916667</v>
      </c>
      <c r="U384" s="2" t="n"/>
    </row>
    <row r="385">
      <c r="A385" s="2" t="inlineStr">
        <is>
          <t>Resuelta</t>
        </is>
      </c>
      <c r="B385" s="3" t="n">
        <v>46265.99930555555</v>
      </c>
      <c r="C385" s="5" t="n">
        <v>179216.44</v>
      </c>
      <c r="D385" s="5" t="n">
        <v>215059.73</v>
      </c>
      <c r="E385" s="2" t="inlineStr">
        <is>
          <t>Andalucía</t>
        </is>
      </c>
      <c r="F385" s="2" t="inlineStr">
        <is>
          <t>Sevilla</t>
        </is>
      </c>
      <c r="G385" s="2" t="inlineStr">
        <is>
          <t>Carmona</t>
        </is>
      </c>
      <c r="H385" s="2" t="inlineStr">
        <is>
          <t>Consejo de Administración de Limpieza y Mantenimiento de Carmona, S.L.U.</t>
        </is>
      </c>
      <c r="I385" s="2" t="inlineStr">
        <is>
          <t>Obras de demolición de edificaciones en antiguo cine Rialto y adecuación de los espacios para establecimiento de zona de estacionamiento público</t>
        </is>
      </c>
      <c r="J385" s="2" t="inlineStr">
        <is>
          <t>2026-L32</t>
        </is>
      </c>
      <c r="K385" s="2" t="inlineStr">
        <is>
          <t>Abierto</t>
        </is>
      </c>
      <c r="L385" s="6" t="n">
        <v>5</v>
      </c>
      <c r="M385" s="2" t="n"/>
      <c r="N385" s="7" t="n">
        <v>0.48</v>
      </c>
      <c r="O385" s="4" t="n"/>
      <c r="P385" s="2" t="inlineStr">
        <is>
          <t>45110000; 45111100; 45233120; 45215400</t>
        </is>
      </c>
      <c r="Q385" s="8" t="inlineStr">
        <is>
          <t>Ver</t>
        </is>
      </c>
      <c r="R385" s="8" t="inlineStr">
        <is>
          <t>PCAP</t>
        </is>
      </c>
      <c r="S385" s="9" t="n">
        <v>46310</v>
      </c>
      <c r="T385" s="3" t="n">
        <v>46305.51399305555</v>
      </c>
      <c r="U385" s="2" t="n"/>
    </row>
    <row r="386">
      <c r="A386" s="2" t="inlineStr">
        <is>
          <t>Pendiente de adjudicación</t>
        </is>
      </c>
      <c r="B386" s="3" t="n">
        <v>46320.99930555555</v>
      </c>
      <c r="C386" s="5" t="n">
        <v>71557.14999999999</v>
      </c>
      <c r="D386" s="5" t="n">
        <v>86584.14999999999</v>
      </c>
      <c r="E386" s="2" t="inlineStr">
        <is>
          <t>Andalucía</t>
        </is>
      </c>
      <c r="F386" s="2" t="inlineStr">
        <is>
          <t>Huelva</t>
        </is>
      </c>
      <c r="G386" s="2" t="inlineStr">
        <is>
          <t>Arroyomolinos de Leon</t>
        </is>
      </c>
      <c r="H386" s="2" t="inlineStr">
        <is>
          <t>Alcaldía del Ayuntamiento de Arroyomolinos de León</t>
        </is>
      </c>
      <c r="I386" s="2" t="inlineStr">
        <is>
          <t>Obras de conservación, habitabilidad, mejora en materia de accesibilidad y eficiencia energética en edificio de tipología tradicional con uso de almacén para la implantación de casa de la mujer en Arroyomolinos de León</t>
        </is>
      </c>
      <c r="J386" s="2" t="inlineStr">
        <is>
          <t>1/2026</t>
        </is>
      </c>
      <c r="K386" s="2" t="inlineStr">
        <is>
          <t>Negociado sin publicidad</t>
        </is>
      </c>
      <c r="L386" s="6" t="n">
        <v>1.5</v>
      </c>
      <c r="M386" s="2" t="n"/>
      <c r="N386" s="7" t="n">
        <v>0</v>
      </c>
      <c r="O386" s="4" t="n"/>
      <c r="P386" s="2" t="inlineStr">
        <is>
          <t>45200000</t>
        </is>
      </c>
      <c r="Q386" s="8" t="inlineStr">
        <is>
          <t>Ver</t>
        </is>
      </c>
      <c r="R386" s="8" t="inlineStr">
        <is>
          <t>PCAP</t>
        </is>
      </c>
      <c r="S386" s="9" t="n">
        <v>46310</v>
      </c>
      <c r="T386" s="3" t="n">
        <v>46305.42913194445</v>
      </c>
      <c r="U386" s="2" t="n"/>
    </row>
    <row r="387">
      <c r="A387" s="2" t="inlineStr">
        <is>
          <t>En plazo</t>
        </is>
      </c>
      <c r="B387" s="3" t="n">
        <v>46325.99930555555</v>
      </c>
      <c r="C387" s="5" t="n">
        <v>220331.08</v>
      </c>
      <c r="D387" s="5" t="n">
        <v>220331.08</v>
      </c>
      <c r="E387" s="2" t="inlineStr">
        <is>
          <t>Andalucía</t>
        </is>
      </c>
      <c r="F387" s="2" t="inlineStr">
        <is>
          <t>Sevilla</t>
        </is>
      </c>
      <c r="G387" s="2" t="inlineStr">
        <is>
          <t>Alcalá de Guadaíra</t>
        </is>
      </c>
      <c r="H387" s="2" t="inlineStr">
        <is>
          <t>Junta de Gobierno Local del Ayuntamiento de Alcalá de Guadaíra</t>
        </is>
      </c>
      <c r="I387" s="2" t="inlineStr">
        <is>
          <t>obras adecuación de la infraestructura eléctrica de comunicaciones del parque empresarial las espaldillas asociada a la plataforma para la gestión de parques empresariales inteligentes de Alcalá de Guadaíra (C-2026/029)</t>
        </is>
      </c>
      <c r="J387" s="2" t="inlineStr">
        <is>
          <t>694/2026</t>
        </is>
      </c>
      <c r="K387" s="2" t="inlineStr">
        <is>
          <t>Abierto simplificado</t>
        </is>
      </c>
      <c r="L387" s="6" t="n">
        <v>4</v>
      </c>
      <c r="M387" s="2" t="n"/>
      <c r="N387" s="7" t="n">
        <v>0.25</v>
      </c>
      <c r="O387" s="4" t="n"/>
      <c r="P387" s="2" t="inlineStr">
        <is>
          <t>45314000; 45311000; 32400000; 32570000</t>
        </is>
      </c>
      <c r="Q387" s="8" t="inlineStr">
        <is>
          <t>Ver</t>
        </is>
      </c>
      <c r="R387" s="8" t="inlineStr">
        <is>
          <t>PCAP</t>
        </is>
      </c>
      <c r="S387" s="9" t="n">
        <v>46310</v>
      </c>
      <c r="T387" s="3" t="n">
        <v>46304.89554398148</v>
      </c>
      <c r="U387" s="2" t="n"/>
    </row>
    <row r="388">
      <c r="A388" s="2" t="inlineStr">
        <is>
          <t>En plazo</t>
        </is>
      </c>
      <c r="B388" s="3" t="n">
        <v>46330.99305555555</v>
      </c>
      <c r="C388" s="5" t="n">
        <v>67725.88</v>
      </c>
      <c r="D388" s="5" t="n">
        <v>67725.88</v>
      </c>
      <c r="E388" s="2" t="inlineStr">
        <is>
          <t>Andalucía</t>
        </is>
      </c>
      <c r="F388" s="2" t="inlineStr">
        <is>
          <t>Sevilla</t>
        </is>
      </c>
      <c r="G388" s="2" t="n"/>
      <c r="H388" s="2" t="inlineStr">
        <is>
          <t>Alcaldía del Ayuntamiento de Almadén de la Plata</t>
        </is>
      </c>
      <c r="I388" s="2" t="inlineStr">
        <is>
          <t>Licitación "obras de implantación de farolas fotovoltaicas en entornos rurales del término municipal de Almadén de la Plata".</t>
        </is>
      </c>
      <c r="J388" s="2" t="inlineStr">
        <is>
          <t>P4100900B-2026/000015-PAA</t>
        </is>
      </c>
      <c r="K388" s="2" t="inlineStr">
        <is>
          <t>Abierto</t>
        </is>
      </c>
      <c r="L388" s="6" t="n">
        <v>4</v>
      </c>
      <c r="M388" s="2" t="n"/>
      <c r="N388" s="7" t="n">
        <v>0.4</v>
      </c>
      <c r="O388" s="4" t="n"/>
      <c r="P388" s="2" t="inlineStr">
        <is>
          <t>45316100</t>
        </is>
      </c>
      <c r="Q388" s="8" t="inlineStr">
        <is>
          <t>Ver</t>
        </is>
      </c>
      <c r="R388" s="8" t="inlineStr">
        <is>
          <t>PCAP</t>
        </is>
      </c>
      <c r="S388" s="9" t="n">
        <v>46310</v>
      </c>
      <c r="T388" s="3" t="n">
        <v>46304.86631944445</v>
      </c>
      <c r="U388" s="2" t="n"/>
    </row>
    <row r="389">
      <c r="A389" s="2" t="inlineStr">
        <is>
          <t>En plazo</t>
        </is>
      </c>
      <c r="B389" s="3" t="n">
        <v>46324.99930555555</v>
      </c>
      <c r="C389" s="5" t="n">
        <v>568417.8100000001</v>
      </c>
      <c r="D389" s="5" t="n">
        <v>568417.8100000001</v>
      </c>
      <c r="E389" s="2" t="inlineStr">
        <is>
          <t>Andalucía</t>
        </is>
      </c>
      <c r="F389" s="2" t="inlineStr">
        <is>
          <t>Huelva</t>
        </is>
      </c>
      <c r="G389" s="2" t="inlineStr">
        <is>
          <t>BONARES</t>
        </is>
      </c>
      <c r="H389" s="2" t="inlineStr">
        <is>
          <t>Alcaldia del Ayuntamiento de Bonares</t>
        </is>
      </c>
      <c r="I389" s="2" t="inlineStr">
        <is>
          <t>Creación de aparcamiento y plaza pública ajardinada en Avda. Nuestra Señora del Rocío nº 3 de Bonares (Huelva</t>
        </is>
      </c>
      <c r="J389" s="2" t="inlineStr">
        <is>
          <t>4654/2026</t>
        </is>
      </c>
      <c r="K389" s="2" t="inlineStr">
        <is>
          <t>Abierto simplificado</t>
        </is>
      </c>
      <c r="L389" s="6" t="n">
        <v>12</v>
      </c>
      <c r="M389" s="2" t="inlineStr">
        <is>
          <t>C*-3</t>
        </is>
      </c>
      <c r="N389" s="7" t="n">
        <v>0</v>
      </c>
      <c r="O389" s="4" t="n"/>
      <c r="P389" s="2" t="inlineStr">
        <is>
          <t>45220000; 45223000; 45000000</t>
        </is>
      </c>
      <c r="Q389" s="8" t="inlineStr">
        <is>
          <t>Ver</t>
        </is>
      </c>
      <c r="R389" s="8" t="inlineStr">
        <is>
          <t>PCAP</t>
        </is>
      </c>
      <c r="S389" s="9" t="n">
        <v>46310</v>
      </c>
      <c r="T389" s="3" t="n">
        <v>46304.83042824074</v>
      </c>
      <c r="U389" s="2" t="n"/>
    </row>
    <row r="390">
      <c r="A390" s="2" t="inlineStr">
        <is>
          <t>Pendiente de adjudicación</t>
        </is>
      </c>
      <c r="B390" s="3" t="n">
        <v>46296.99930555555</v>
      </c>
      <c r="C390" s="5" t="n">
        <v>104297.52</v>
      </c>
      <c r="D390" s="5" t="n">
        <v>104297.52</v>
      </c>
      <c r="E390" s="2" t="inlineStr">
        <is>
          <t>Andalucía</t>
        </is>
      </c>
      <c r="F390" s="2" t="inlineStr">
        <is>
          <t>Granada</t>
        </is>
      </c>
      <c r="G390" s="2" t="inlineStr">
        <is>
          <t>Acula</t>
        </is>
      </c>
      <c r="H390" s="2" t="inlineStr">
        <is>
          <t>Alcaldía del Ayuntamiento de Ventas de Huelma</t>
        </is>
      </c>
      <c r="I390" s="2" t="inlineStr">
        <is>
          <t>Actuaciones de renovación de redes de abastecimiento y saneamiento en viales a Acula (Pz. Constitucion) PPOYS 2026-2027: 2026/4/PPOYS-169/1</t>
        </is>
      </c>
      <c r="J390" s="2" t="inlineStr">
        <is>
          <t>124/2025 N</t>
        </is>
      </c>
      <c r="K390" s="2" t="inlineStr">
        <is>
          <t>Abierto simplificado</t>
        </is>
      </c>
      <c r="L390" s="6" t="n">
        <v>4</v>
      </c>
      <c r="M390" s="2" t="n"/>
      <c r="N390" s="7" t="n">
        <v>0</v>
      </c>
      <c r="O390" s="4" t="n"/>
      <c r="P390" s="2" t="inlineStr">
        <is>
          <t>45233140; 45232410; 45233222; 45316100; 44162500; 45232200; 45232000</t>
        </is>
      </c>
      <c r="Q390" s="8" t="inlineStr">
        <is>
          <t>Ver</t>
        </is>
      </c>
      <c r="R390" s="8" t="inlineStr">
        <is>
          <t>PCAP</t>
        </is>
      </c>
      <c r="S390" s="9" t="n">
        <v>46310</v>
      </c>
      <c r="T390" s="3" t="n">
        <v>46304.7459837963</v>
      </c>
      <c r="U390" s="2" t="n"/>
    </row>
    <row r="391">
      <c r="A391" s="2" t="inlineStr">
        <is>
          <t>En plazo</t>
        </is>
      </c>
      <c r="B391" s="3" t="n">
        <v>46324.99930555555</v>
      </c>
      <c r="C391" s="5" t="n">
        <v>122183.25</v>
      </c>
      <c r="D391" s="5" t="n">
        <v>122183.25</v>
      </c>
      <c r="E391" s="2" t="inlineStr">
        <is>
          <t>Andalucía</t>
        </is>
      </c>
      <c r="F391" s="2" t="inlineStr">
        <is>
          <t>Huelva</t>
        </is>
      </c>
      <c r="G391" s="2" t="inlineStr">
        <is>
          <t>BONARES</t>
        </is>
      </c>
      <c r="H391" s="2" t="inlineStr">
        <is>
          <t>Alcaldia del Ayuntamiento de Bonares</t>
        </is>
      </c>
      <c r="I391" s="2" t="inlineStr">
        <is>
          <t>Obras de asfaltado y triple tratamiento de caminos rurales. Año 2026.</t>
        </is>
      </c>
      <c r="J391" s="2" t="inlineStr">
        <is>
          <t>4259/2026</t>
        </is>
      </c>
      <c r="K391" s="2" t="inlineStr">
        <is>
          <t>Abierto simplificado</t>
        </is>
      </c>
      <c r="L391" s="6" t="n">
        <v>6</v>
      </c>
      <c r="M391" s="2" t="n"/>
      <c r="N391" s="7" t="n">
        <v>0</v>
      </c>
      <c r="O391" s="4" t="n"/>
      <c r="P391" s="2" t="inlineStr">
        <is>
          <t>45233222</t>
        </is>
      </c>
      <c r="Q391" s="8" t="inlineStr">
        <is>
          <t>Ver</t>
        </is>
      </c>
      <c r="R391" s="8" t="inlineStr">
        <is>
          <t>PCAP</t>
        </is>
      </c>
      <c r="S391" s="9" t="n">
        <v>46310</v>
      </c>
      <c r="T391" s="3" t="n">
        <v>46304.7455787037</v>
      </c>
      <c r="U391" s="2" t="n"/>
    </row>
    <row r="392">
      <c r="A392" s="2" t="inlineStr">
        <is>
          <t>En plazo</t>
        </is>
      </c>
      <c r="B392" s="3" t="n">
        <v>46337.58333333334</v>
      </c>
      <c r="C392" s="5" t="n">
        <v>238677.73</v>
      </c>
      <c r="D392" s="5" t="n">
        <v>238677.73</v>
      </c>
      <c r="E392" s="2" t="inlineStr">
        <is>
          <t>Andalucía</t>
        </is>
      </c>
      <c r="F392" s="2" t="inlineStr">
        <is>
          <t>Sevilla</t>
        </is>
      </c>
      <c r="G392" s="2" t="inlineStr">
        <is>
          <t>Sevilla</t>
        </is>
      </c>
      <c r="H392" s="2" t="inlineStr">
        <is>
          <t>Compras de la Corporación de Radio y Televisión Española S.A.</t>
        </is>
      </c>
      <c r="I392" s="2" t="inlineStr">
        <is>
          <t>Sustitución ascensores CPP RTVE Andalucía en Sevilla</t>
        </is>
      </c>
      <c r="J392" s="2" t="inlineStr">
        <is>
          <t>S-04054-2026</t>
        </is>
      </c>
      <c r="K392" s="2" t="inlineStr">
        <is>
          <t>Abierto</t>
        </is>
      </c>
      <c r="L392" s="6" t="n">
        <v>5</v>
      </c>
      <c r="M392" s="2" t="n"/>
      <c r="N392" s="7" t="n">
        <v>0.4</v>
      </c>
      <c r="O392" s="4" t="n"/>
      <c r="P392" s="2" t="inlineStr">
        <is>
          <t>45313100; 45313000</t>
        </is>
      </c>
      <c r="Q392" s="8" t="inlineStr">
        <is>
          <t>Ver</t>
        </is>
      </c>
      <c r="R392" s="8" t="inlineStr">
        <is>
          <t>PCAP</t>
        </is>
      </c>
      <c r="S392" s="9" t="n">
        <v>46310</v>
      </c>
      <c r="T392" s="3" t="n">
        <v>46304.70791666667</v>
      </c>
      <c r="U392" s="2" t="n"/>
    </row>
    <row r="393">
      <c r="A393" s="2" t="inlineStr">
        <is>
          <t>Pendiente de adjudicación</t>
        </is>
      </c>
      <c r="B393" s="3" t="n">
        <v>46268.45833333334</v>
      </c>
      <c r="C393" s="5" t="n">
        <v>948799.2</v>
      </c>
      <c r="D393" s="5" t="n">
        <v>948799.2</v>
      </c>
      <c r="E393" s="2" t="inlineStr">
        <is>
          <t>Andalucía</t>
        </is>
      </c>
      <c r="F393" s="2" t="inlineStr">
        <is>
          <t>Granada</t>
        </is>
      </c>
      <c r="G393" s="2" t="n"/>
      <c r="H393" s="2" t="inlineStr">
        <is>
          <t>ADIF Alta Velocidad - Presidencia</t>
        </is>
      </c>
      <c r="I393" s="2" t="inlineStr">
        <is>
          <t>Obras de ejecución del proyecto de estabilización de taludes mediante colocación de malla en terraplenes del entorno de la subestación electrica de Íllora de la L.A.V Antequera-Granada sin afecciones a la circulación</t>
        </is>
      </c>
      <c r="J393" s="2" t="inlineStr">
        <is>
          <t>3.26/20810.0067</t>
        </is>
      </c>
      <c r="K393" s="2" t="inlineStr">
        <is>
          <t>Abierto</t>
        </is>
      </c>
      <c r="L393" s="6" t="n">
        <v>6</v>
      </c>
      <c r="M393" s="2" t="inlineStr">
        <is>
          <t>A2-4</t>
        </is>
      </c>
      <c r="N393" s="7" t="n">
        <v>0</v>
      </c>
      <c r="O393" s="4" t="n"/>
      <c r="P393" s="2" t="inlineStr">
        <is>
          <t>45111200</t>
        </is>
      </c>
      <c r="Q393" s="8" t="inlineStr">
        <is>
          <t>Ver</t>
        </is>
      </c>
      <c r="R393" s="8" t="inlineStr">
        <is>
          <t>PCAP</t>
        </is>
      </c>
      <c r="S393" s="9" t="n">
        <v>46310</v>
      </c>
      <c r="T393" s="3" t="n">
        <v>46304.61934027778</v>
      </c>
      <c r="U393" s="2" t="n"/>
    </row>
    <row r="394">
      <c r="A394" s="2" t="inlineStr">
        <is>
          <t>En plazo</t>
        </is>
      </c>
      <c r="B394" s="3" t="n">
        <v>46324.99930555555</v>
      </c>
      <c r="C394" s="5" t="n">
        <v>60942.13</v>
      </c>
      <c r="D394" s="5" t="n">
        <v>60942.13</v>
      </c>
      <c r="E394" s="2" t="inlineStr">
        <is>
          <t>Andalucía</t>
        </is>
      </c>
      <c r="F394" s="2" t="inlineStr">
        <is>
          <t>Jaén</t>
        </is>
      </c>
      <c r="G394" s="2" t="inlineStr">
        <is>
          <t>QUESADA</t>
        </is>
      </c>
      <c r="H394" s="2" t="inlineStr">
        <is>
          <t>Alcaldia del Ayuntamiento de Quesada</t>
        </is>
      </c>
      <c r="I394" s="2" t="inlineStr">
        <is>
          <t>Contratación obra: Reparación camino del Santo (Quesada)</t>
        </is>
      </c>
      <c r="J394" s="2" t="inlineStr">
        <is>
          <t>1549/2026</t>
        </is>
      </c>
      <c r="K394" s="2" t="inlineStr">
        <is>
          <t>Abierto</t>
        </is>
      </c>
      <c r="L394" s="6" t="n">
        <v>2</v>
      </c>
      <c r="M394" s="2" t="n"/>
      <c r="N394" s="7" t="n">
        <v>0</v>
      </c>
      <c r="O394" s="4" t="n"/>
      <c r="P394" s="2" t="inlineStr">
        <is>
          <t>45233222; 45233160</t>
        </is>
      </c>
      <c r="Q394" s="8" t="inlineStr">
        <is>
          <t>Ver</t>
        </is>
      </c>
      <c r="R394" s="8" t="inlineStr">
        <is>
          <t>PCAP</t>
        </is>
      </c>
      <c r="S394" s="9" t="n">
        <v>46310</v>
      </c>
      <c r="T394" s="3" t="n">
        <v>46304.61648148148</v>
      </c>
      <c r="U394" s="2" t="n"/>
    </row>
    <row r="395">
      <c r="A395" s="2" t="inlineStr">
        <is>
          <t>En plazo</t>
        </is>
      </c>
      <c r="B395" s="3" t="n">
        <v>46324.99930555555</v>
      </c>
      <c r="C395" s="5" t="n">
        <v>1170584.07</v>
      </c>
      <c r="D395" s="5" t="n">
        <v>1170584.07</v>
      </c>
      <c r="E395" s="2" t="inlineStr">
        <is>
          <t>Andalucía</t>
        </is>
      </c>
      <c r="F395" s="2" t="inlineStr">
        <is>
          <t>Sevilla</t>
        </is>
      </c>
      <c r="G395" s="2" t="n"/>
      <c r="H395" s="2" t="inlineStr">
        <is>
          <t>Pleno del Ayuntamiento de La Roda de Andalucía</t>
        </is>
      </c>
      <c r="I395" s="2" t="inlineStr">
        <is>
          <t>Contrato de obras para ejecución del "Proyecto básico y de terminación del pabellón polideportivo cubierto municipal"</t>
        </is>
      </c>
      <c r="J395" s="2" t="inlineStr">
        <is>
          <t>P4108200I-2026/000011-PAAS</t>
        </is>
      </c>
      <c r="K395" s="2" t="inlineStr">
        <is>
          <t>Abierto simplificado</t>
        </is>
      </c>
      <c r="L395" s="6" t="n">
        <v>18</v>
      </c>
      <c r="M395" s="2" t="inlineStr">
        <is>
          <t>C4-3</t>
        </is>
      </c>
      <c r="N395" s="7" t="n">
        <v>0</v>
      </c>
      <c r="O395" s="4" t="n"/>
      <c r="P395" s="2" t="inlineStr">
        <is>
          <t>45000000</t>
        </is>
      </c>
      <c r="Q395" s="8" t="inlineStr">
        <is>
          <t>Ver</t>
        </is>
      </c>
      <c r="R395" s="8" t="inlineStr">
        <is>
          <t>PCAP</t>
        </is>
      </c>
      <c r="S395" s="9" t="n">
        <v>46310</v>
      </c>
      <c r="T395" s="3" t="n">
        <v>46304.61491898148</v>
      </c>
      <c r="U395" s="2" t="n"/>
    </row>
    <row r="396">
      <c r="A396" s="2" t="inlineStr">
        <is>
          <t>Pendiente de adjudicación</t>
        </is>
      </c>
      <c r="B396" s="3" t="n">
        <v>46279.99930555555</v>
      </c>
      <c r="C396" s="5" t="n">
        <v>495867.77</v>
      </c>
      <c r="D396" s="5" t="n">
        <v>495867.77</v>
      </c>
      <c r="E396" s="2" t="inlineStr">
        <is>
          <t>Andalucía</t>
        </is>
      </c>
      <c r="F396" s="2" t="inlineStr">
        <is>
          <t>Granada</t>
        </is>
      </c>
      <c r="G396" s="2" t="n"/>
      <c r="H396" s="2" t="inlineStr">
        <is>
          <t>Junta de Gobierno del Ayuntamiento de Armilla</t>
        </is>
      </c>
      <c r="I396" s="2" t="inlineStr">
        <is>
          <t>Ejecución de las obras de renovación e instalación de elementos recreativos infantiles en parques municipales de Armilla.</t>
        </is>
      </c>
      <c r="J396" s="2" t="inlineStr">
        <is>
          <t>2026-7803</t>
        </is>
      </c>
      <c r="K396" s="2" t="inlineStr">
        <is>
          <t>Abierto simplificado</t>
        </is>
      </c>
      <c r="L396" s="6" t="n">
        <v>1</v>
      </c>
      <c r="M396" s="2" t="n"/>
      <c r="N396" s="7" t="n">
        <v>0</v>
      </c>
      <c r="O396" s="4" t="n">
        <v>5</v>
      </c>
      <c r="P396" s="2" t="inlineStr">
        <is>
          <t>45212140; 45212100</t>
        </is>
      </c>
      <c r="Q396" s="8" t="inlineStr">
        <is>
          <t>Ver</t>
        </is>
      </c>
      <c r="R396" s="8" t="inlineStr">
        <is>
          <t>PCAP</t>
        </is>
      </c>
      <c r="S396" s="9" t="n">
        <v>46310</v>
      </c>
      <c r="T396" s="3" t="n">
        <v>46304.60900462963</v>
      </c>
      <c r="U396" s="2" t="n"/>
    </row>
    <row r="397">
      <c r="A397" s="2" t="inlineStr">
        <is>
          <t>Adjudicada</t>
        </is>
      </c>
      <c r="B397" s="3" t="n">
        <v>46244.99930555555</v>
      </c>
      <c r="C397" s="5" t="n">
        <v>1487603.31</v>
      </c>
      <c r="D397" s="5" t="n">
        <v>1487603.31</v>
      </c>
      <c r="E397" s="2" t="inlineStr">
        <is>
          <t>Andalucía</t>
        </is>
      </c>
      <c r="F397" s="2" t="inlineStr">
        <is>
          <t>Granada</t>
        </is>
      </c>
      <c r="G397" s="2" t="n"/>
      <c r="H397" s="2" t="inlineStr">
        <is>
          <t>Alcaldía del Ayuntamiento de Las Gabias</t>
        </is>
      </c>
      <c r="I397" s="2" t="inlineStr">
        <is>
          <t>Ejecución de la obra definida en el proyecto de ampliación del vial de Carlos Cano.</t>
        </is>
      </c>
      <c r="J397" s="2" t="inlineStr">
        <is>
          <t>100/2026</t>
        </is>
      </c>
      <c r="K397" s="2" t="inlineStr">
        <is>
          <t>Abierto simplificado</t>
        </is>
      </c>
      <c r="L397" s="6" t="n">
        <v>11</v>
      </c>
      <c r="M397" s="2" t="n"/>
      <c r="N397" s="7" t="n">
        <v>0</v>
      </c>
      <c r="O397" s="4" t="n"/>
      <c r="P397" s="2" t="inlineStr">
        <is>
          <t>45112000; 45233122; 45233253; 45233128</t>
        </is>
      </c>
      <c r="Q397" s="8" t="inlineStr">
        <is>
          <t>Ver</t>
        </is>
      </c>
      <c r="R397" s="8" t="inlineStr">
        <is>
          <t>PCAP</t>
        </is>
      </c>
      <c r="S397" s="9" t="n">
        <v>46310</v>
      </c>
      <c r="T397" s="3" t="n">
        <v>46304.60699074074</v>
      </c>
      <c r="U397" s="2" t="n"/>
    </row>
    <row r="398">
      <c r="A398" s="2" t="inlineStr">
        <is>
          <t>En plazo</t>
        </is>
      </c>
      <c r="B398" s="3" t="n">
        <v>46321.625</v>
      </c>
      <c r="C398" s="5" t="n">
        <v>76946.25999999999</v>
      </c>
      <c r="D398" s="5" t="n">
        <v>76946.25999999999</v>
      </c>
      <c r="E398" s="2" t="inlineStr">
        <is>
          <t>Andalucía</t>
        </is>
      </c>
      <c r="F398" s="2" t="inlineStr">
        <is>
          <t>Córdoba</t>
        </is>
      </c>
      <c r="G398" s="2" t="n"/>
      <c r="H398" s="2" t="inlineStr">
        <is>
          <t>TGSS-Dirección provincial de Córdoba</t>
        </is>
      </c>
      <c r="I398" s="2" t="inlineStr">
        <is>
          <t>Obras de adecuación y mejora de la sala de subastas de la sede de la Dirección Provincial de la Tesorería General de la Seguridad Social de Córdoba, sita en Ronda de los Tejares, 23-25.</t>
        </is>
      </c>
      <c r="J398" s="2" t="inlineStr">
        <is>
          <t>2026/140155</t>
        </is>
      </c>
      <c r="K398" s="2" t="inlineStr">
        <is>
          <t>Abierto simplificado</t>
        </is>
      </c>
      <c r="L398" s="6" t="n">
        <v>2</v>
      </c>
      <c r="M398" s="2" t="n"/>
      <c r="N398" s="7" t="n">
        <v>0</v>
      </c>
      <c r="O398" s="4" t="n"/>
      <c r="P398" s="2" t="inlineStr">
        <is>
          <t>45453100; 45310000</t>
        </is>
      </c>
      <c r="Q398" s="8" t="inlineStr">
        <is>
          <t>Ver</t>
        </is>
      </c>
      <c r="R398" s="8" t="inlineStr">
        <is>
          <t>PCAP</t>
        </is>
      </c>
      <c r="S398" s="9" t="n">
        <v>46310</v>
      </c>
      <c r="T398" s="3" t="n">
        <v>46304.59569444445</v>
      </c>
      <c r="U398" s="2" t="n"/>
    </row>
    <row r="399">
      <c r="A399" s="2" t="inlineStr">
        <is>
          <t>Pendiente de adjudicación</t>
        </is>
      </c>
      <c r="B399" s="3" t="n">
        <v>46211.99930555555</v>
      </c>
      <c r="C399" s="5" t="n">
        <v>849986.51</v>
      </c>
      <c r="D399" s="5" t="n">
        <v>849986.51</v>
      </c>
      <c r="E399" s="2" t="inlineStr">
        <is>
          <t>Andalucía</t>
        </is>
      </c>
      <c r="F399" s="2" t="inlineStr">
        <is>
          <t>Sevilla</t>
        </is>
      </c>
      <c r="G399" s="2" t="inlineStr">
        <is>
          <t>Mairena del Aljarafe</t>
        </is>
      </c>
      <c r="H399" s="2" t="inlineStr">
        <is>
          <t>Consejo de Gobierno de la Gerencia Municipal de Urbanismo del Ayuntamiento de Mairena del Aljarafe</t>
        </is>
      </c>
      <c r="I399" s="2" t="inlineStr">
        <is>
          <t>Obras de firmes asfálticos 2025 de Mairena del Aljarafe</t>
        </is>
      </c>
      <c r="J399" s="2" t="inlineStr">
        <is>
          <t>359/2026</t>
        </is>
      </c>
      <c r="K399" s="2" t="inlineStr">
        <is>
          <t>Abierto simplificado</t>
        </is>
      </c>
      <c r="L399" s="6" t="n">
        <v>3</v>
      </c>
      <c r="M399" s="2" t="inlineStr">
        <is>
          <t>A*-4</t>
        </is>
      </c>
      <c r="N399" s="7" t="n">
        <v>0</v>
      </c>
      <c r="O399" s="4" t="n"/>
      <c r="P399" s="2" t="inlineStr">
        <is>
          <t>45233252</t>
        </is>
      </c>
      <c r="Q399" s="8" t="inlineStr">
        <is>
          <t>Ver</t>
        </is>
      </c>
      <c r="R399" s="8" t="inlineStr">
        <is>
          <t>PCAP</t>
        </is>
      </c>
      <c r="S399" s="9" t="n">
        <v>46310</v>
      </c>
      <c r="T399" s="3" t="n">
        <v>46304.58962962963</v>
      </c>
      <c r="U399" s="2" t="n"/>
    </row>
    <row r="400">
      <c r="A400" s="2" t="inlineStr">
        <is>
          <t>Resuelta</t>
        </is>
      </c>
      <c r="B400" s="3" t="n"/>
      <c r="C400" s="5" t="n">
        <v>7789045.65</v>
      </c>
      <c r="D400" s="5" t="n">
        <v>9424745.24</v>
      </c>
      <c r="E400" s="2" t="inlineStr">
        <is>
          <t>Andalucía</t>
        </is>
      </c>
      <c r="F400" s="2" t="inlineStr">
        <is>
          <t>Granada</t>
        </is>
      </c>
      <c r="G400" s="2" t="n"/>
      <c r="H400" s="2" t="inlineStr">
        <is>
          <t>Demarcación de Carreteras del Estado en Andalucía Oriental</t>
        </is>
      </c>
      <c r="I400" s="2" t="inlineStr">
        <is>
          <t>Reparación de daños localizados en el viaducto del barranco del Caballar en el P.K. 441+500 de la A-7, ampliación vanos 1 a 6 de la estructura. LOTE 1-AMPLIACIÓN. provincia de Almería</t>
        </is>
      </c>
      <c r="J400" s="2" t="inlineStr">
        <is>
          <t>EM22-AL-04.L1. AMPLIACION</t>
        </is>
      </c>
      <c r="K400" s="2" t="inlineStr">
        <is>
          <t>Negociado sin publicidad</t>
        </is>
      </c>
      <c r="L400" s="6" t="n">
        <v>12</v>
      </c>
      <c r="M400" s="2" t="n"/>
      <c r="N400" s="7" t="n"/>
      <c r="O400" s="4" t="n"/>
      <c r="P400" s="2" t="inlineStr">
        <is>
          <t>45000000</t>
        </is>
      </c>
      <c r="Q400" s="8" t="inlineStr">
        <is>
          <t>Ver</t>
        </is>
      </c>
      <c r="R400" s="2" t="n"/>
      <c r="S400" s="9" t="n">
        <v>46310</v>
      </c>
      <c r="T400" s="3" t="n">
        <v>46304.58797453704</v>
      </c>
      <c r="U400" s="2" t="n"/>
    </row>
    <row r="401">
      <c r="A401" s="2" t="inlineStr">
        <is>
          <t>Pendiente de adjudicación</t>
        </is>
      </c>
      <c r="B401" s="3" t="n">
        <v>46189.99930555555</v>
      </c>
      <c r="C401" s="5" t="n">
        <v>125711.75</v>
      </c>
      <c r="D401" s="5" t="n">
        <v>125711.75</v>
      </c>
      <c r="E401" s="2" t="inlineStr">
        <is>
          <t>Andalucía</t>
        </is>
      </c>
      <c r="F401" s="2" t="inlineStr">
        <is>
          <t>Málaga</t>
        </is>
      </c>
      <c r="G401" s="2" t="n"/>
      <c r="H401" s="2" t="inlineStr">
        <is>
          <t>Alcaldía del Ayuntamiento de Villanueva del Trabuco</t>
        </is>
      </c>
      <c r="I401"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401" s="2" t="inlineStr">
        <is>
          <t>90/2026</t>
        </is>
      </c>
      <c r="K401" s="2" t="inlineStr">
        <is>
          <t>Abierto simplificado</t>
        </is>
      </c>
      <c r="L401" s="6" t="n">
        <v>1</v>
      </c>
      <c r="M401" s="2" t="inlineStr">
        <is>
          <t>I9-1</t>
        </is>
      </c>
      <c r="N401" s="7" t="n">
        <v>0</v>
      </c>
      <c r="O401" s="4" t="n"/>
      <c r="P401" s="2" t="inlineStr">
        <is>
          <t>45223000; 09330000; 09332000; 09331200; 31440000; 09331000</t>
        </is>
      </c>
      <c r="Q401" s="8" t="inlineStr">
        <is>
          <t>Ver</t>
        </is>
      </c>
      <c r="R401" s="8" t="inlineStr">
        <is>
          <t>PCAP</t>
        </is>
      </c>
      <c r="S401" s="9" t="n">
        <v>46310</v>
      </c>
      <c r="T401" s="3" t="n">
        <v>46304.58605324074</v>
      </c>
      <c r="U401" s="2" t="n"/>
    </row>
    <row r="402">
      <c r="A402" s="2" t="inlineStr">
        <is>
          <t>Resuelta</t>
        </is>
      </c>
      <c r="B402" s="3" t="n">
        <v>46282.58333333334</v>
      </c>
      <c r="C402" s="5" t="n">
        <v>172972.66</v>
      </c>
      <c r="D402" s="5" t="n">
        <v>172972.66</v>
      </c>
      <c r="E402" s="2" t="inlineStr">
        <is>
          <t>Andalucía</t>
        </is>
      </c>
      <c r="F402" s="2" t="inlineStr">
        <is>
          <t>Cádiz</t>
        </is>
      </c>
      <c r="G402" s="2" t="n"/>
      <c r="H402" s="2" t="inlineStr">
        <is>
          <t>Presidencia de la Autoridad Portuaria de la Bahía de Algeciras</t>
        </is>
      </c>
      <c r="I402" s="2" t="inlineStr">
        <is>
          <t>Proyecto de construcción de puntos limpios para la recogida de aceites usados de embarcaciones pesqueras y deportivas en las instalaciones de la Autoridad Portuaria de la Bahía de Algeciras</t>
        </is>
      </c>
      <c r="J402" s="2" t="inlineStr">
        <is>
          <t>2026-068</t>
        </is>
      </c>
      <c r="K402" s="2" t="inlineStr">
        <is>
          <t>Abierto simplificado</t>
        </is>
      </c>
      <c r="L402" s="6" t="n">
        <v>5</v>
      </c>
      <c r="M402" s="2" t="inlineStr">
        <is>
          <t>B2-2</t>
        </is>
      </c>
      <c r="N402" s="7" t="n">
        <v>0</v>
      </c>
      <c r="O402" s="4" t="n"/>
      <c r="P402" s="2" t="inlineStr">
        <is>
          <t>45000000; 44613800; 45223000</t>
        </is>
      </c>
      <c r="Q402" s="8" t="inlineStr">
        <is>
          <t>Ver</t>
        </is>
      </c>
      <c r="R402" s="8" t="inlineStr">
        <is>
          <t>PCAP</t>
        </is>
      </c>
      <c r="S402" s="9" t="n">
        <v>46310</v>
      </c>
      <c r="T402" s="3" t="n">
        <v>46304.58417824074</v>
      </c>
      <c r="U402" s="2" t="n"/>
    </row>
    <row r="403">
      <c r="A403" s="2" t="inlineStr">
        <is>
          <t>En plazo</t>
        </is>
      </c>
      <c r="B403" s="3" t="n">
        <v>46324.99930555555</v>
      </c>
      <c r="C403" s="5" t="n">
        <v>396285.58</v>
      </c>
      <c r="D403" s="5" t="n">
        <v>396285.58</v>
      </c>
      <c r="E403" s="2" t="inlineStr">
        <is>
          <t>Andalucía</t>
        </is>
      </c>
      <c r="F403" s="2" t="inlineStr">
        <is>
          <t>Cádiz</t>
        </is>
      </c>
      <c r="G403" s="2" t="n"/>
      <c r="H403" s="2" t="inlineStr">
        <is>
          <t>Alcaldía del Ayuntamiento de Algeciras</t>
        </is>
      </c>
      <c r="I403"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403" s="2" t="inlineStr">
        <is>
          <t>36136/2026</t>
        </is>
      </c>
      <c r="K403" s="2" t="inlineStr">
        <is>
          <t>Abierto simplificado</t>
        </is>
      </c>
      <c r="L403" s="6" t="n">
        <v>9</v>
      </c>
      <c r="M403" s="2" t="n"/>
      <c r="N403" s="7" t="n">
        <v>0</v>
      </c>
      <c r="O403" s="4" t="n"/>
      <c r="P403" s="2" t="inlineStr">
        <is>
          <t>45233140</t>
        </is>
      </c>
      <c r="Q403" s="8" t="inlineStr">
        <is>
          <t>Ver</t>
        </is>
      </c>
      <c r="R403" s="8" t="inlineStr">
        <is>
          <t>PCAP</t>
        </is>
      </c>
      <c r="S403" s="9" t="n">
        <v>46310</v>
      </c>
      <c r="T403" s="3" t="n">
        <v>46304.58415509259</v>
      </c>
      <c r="U403" s="2" t="n"/>
    </row>
    <row r="404">
      <c r="A404" s="2" t="inlineStr">
        <is>
          <t>Adjudicada</t>
        </is>
      </c>
      <c r="B404" s="3" t="n">
        <v>46252.41666666666</v>
      </c>
      <c r="C404" s="5" t="n">
        <v>370195.86</v>
      </c>
      <c r="D404" s="5" t="n">
        <v>370195.86</v>
      </c>
      <c r="E404" s="2" t="inlineStr">
        <is>
          <t>Andalucía</t>
        </is>
      </c>
      <c r="F404" s="2" t="inlineStr">
        <is>
          <t>Cádiz</t>
        </is>
      </c>
      <c r="G404" s="2" t="inlineStr">
        <is>
          <t>Cádiz</t>
        </is>
      </c>
      <c r="H404" s="2" t="inlineStr">
        <is>
          <t>Junta de Gobierno del Ayuntamiento de Cádiz</t>
        </is>
      </c>
      <c r="I404" s="2" t="inlineStr">
        <is>
          <t>Señalización Horizontal en la Ciudad de Cádiz.</t>
        </is>
      </c>
      <c r="J404" s="2" t="inlineStr">
        <is>
          <t>2026/087</t>
        </is>
      </c>
      <c r="K404" s="2" t="inlineStr">
        <is>
          <t>Abierto simplificado</t>
        </is>
      </c>
      <c r="L404" s="6" t="n">
        <v>6</v>
      </c>
      <c r="M404" s="2" t="n"/>
      <c r="N404" s="7" t="n">
        <v>0</v>
      </c>
      <c r="O404" s="4" t="n"/>
      <c r="P404" s="2" t="inlineStr">
        <is>
          <t>45233221</t>
        </is>
      </c>
      <c r="Q404" s="8" t="inlineStr">
        <is>
          <t>Ver</t>
        </is>
      </c>
      <c r="R404" s="8" t="inlineStr">
        <is>
          <t>PCAP</t>
        </is>
      </c>
      <c r="S404" s="9" t="n">
        <v>46310</v>
      </c>
      <c r="T404" s="3" t="n">
        <v>46304.57646990741</v>
      </c>
      <c r="U404" s="2" t="n"/>
    </row>
    <row r="405">
      <c r="A405" s="2" t="inlineStr">
        <is>
          <t>En plazo</t>
        </is>
      </c>
      <c r="B405" s="3" t="n">
        <v>46314.99930555555</v>
      </c>
      <c r="C405" s="5" t="n">
        <v>338318.95</v>
      </c>
      <c r="D405" s="5" t="n">
        <v>338318.95</v>
      </c>
      <c r="E405" s="2" t="inlineStr">
        <is>
          <t>Andalucía</t>
        </is>
      </c>
      <c r="F405" s="2" t="inlineStr">
        <is>
          <t>Jaén</t>
        </is>
      </c>
      <c r="G405" s="2" t="inlineStr">
        <is>
          <t>Lupión</t>
        </is>
      </c>
      <c r="H405" s="2" t="inlineStr">
        <is>
          <t>Pleno del Ayuntamiento de Lupión</t>
        </is>
      </c>
      <c r="I405" s="2" t="inlineStr">
        <is>
          <t>Reparación y mejora de los drenajes de aguas pluviales y de los muros de cerramiento deteriorados del campo de futbol de Lupión.</t>
        </is>
      </c>
      <c r="J405" s="2" t="inlineStr">
        <is>
          <t>332/2026</t>
        </is>
      </c>
      <c r="K405" s="2" t="inlineStr">
        <is>
          <t>Abierto simplificado</t>
        </is>
      </c>
      <c r="L405" s="6" t="n">
        <v>5</v>
      </c>
      <c r="M405" s="2" t="inlineStr">
        <is>
          <t>C6-2; G6-2</t>
        </is>
      </c>
      <c r="N405" s="7" t="n">
        <v>0</v>
      </c>
      <c r="O405" s="4" t="n"/>
      <c r="P405" s="2" t="inlineStr">
        <is>
          <t>45212290</t>
        </is>
      </c>
      <c r="Q405" s="8" t="inlineStr">
        <is>
          <t>Ver</t>
        </is>
      </c>
      <c r="R405" s="8" t="inlineStr">
        <is>
          <t>PCAP</t>
        </is>
      </c>
      <c r="S405" s="9" t="n">
        <v>46310</v>
      </c>
      <c r="T405" s="3" t="n">
        <v>46304.57440972222</v>
      </c>
      <c r="U405" s="2" t="n"/>
    </row>
    <row r="406">
      <c r="A406" s="2" t="inlineStr">
        <is>
          <t>Pendiente de adjudicación</t>
        </is>
      </c>
      <c r="B406" s="3" t="n">
        <v>46255.99930555555</v>
      </c>
      <c r="C406" s="5" t="n">
        <v>1354509.35</v>
      </c>
      <c r="D406" s="5" t="n">
        <v>1354509.35</v>
      </c>
      <c r="E406" s="2" t="inlineStr">
        <is>
          <t>Andalucía</t>
        </is>
      </c>
      <c r="F406" s="2" t="inlineStr">
        <is>
          <t>Sevilla</t>
        </is>
      </c>
      <c r="G406" s="2" t="n"/>
      <c r="H406" s="2" t="inlineStr">
        <is>
          <t>Presidencia de la Diputación Provincial de Sevilla</t>
        </is>
      </c>
      <c r="I406" s="2" t="inlineStr">
        <is>
          <t>Obras para la mejora de la red de abastecimiento de agua potable en alta, desde la captación al depósito general, Estepa (Sevilla)</t>
        </is>
      </c>
      <c r="J406" s="2" t="inlineStr">
        <is>
          <t>2026/000329-PAAS</t>
        </is>
      </c>
      <c r="K406" s="2" t="inlineStr">
        <is>
          <t>Abierto simplificado</t>
        </is>
      </c>
      <c r="L406" s="6" t="n">
        <v>6</v>
      </c>
      <c r="M406" s="2" t="inlineStr">
        <is>
          <t>E1-4</t>
        </is>
      </c>
      <c r="N406" s="7" t="n">
        <v>0.25</v>
      </c>
      <c r="O406" s="4" t="n"/>
      <c r="P406" s="2" t="inlineStr">
        <is>
          <t>45240000; 45232150</t>
        </is>
      </c>
      <c r="Q406" s="8" t="inlineStr">
        <is>
          <t>Ver</t>
        </is>
      </c>
      <c r="R406" s="8" t="inlineStr">
        <is>
          <t>PCAP</t>
        </is>
      </c>
      <c r="S406" s="9" t="n">
        <v>46310</v>
      </c>
      <c r="T406" s="3" t="n">
        <v>46304.57388888889</v>
      </c>
      <c r="U406" s="2" t="n"/>
    </row>
    <row r="407">
      <c r="A407" s="2" t="inlineStr">
        <is>
          <t>Plazo vencido</t>
        </is>
      </c>
      <c r="B407" s="3" t="n">
        <v>46308.99930555555</v>
      </c>
      <c r="C407" s="5" t="n">
        <v>182292.68</v>
      </c>
      <c r="D407" s="5" t="n">
        <v>182292.68</v>
      </c>
      <c r="E407" s="2" t="inlineStr">
        <is>
          <t>Andalucía</t>
        </is>
      </c>
      <c r="F407" s="2" t="inlineStr">
        <is>
          <t>Málaga</t>
        </is>
      </c>
      <c r="G407" s="2" t="inlineStr">
        <is>
          <t>Benalmádena</t>
        </is>
      </c>
      <c r="H407" s="2" t="inlineStr">
        <is>
          <t>Concejalía de Hacienda del Ayuntamiento de Benalmádena</t>
        </is>
      </c>
      <c r="I407" s="2" t="inlineStr">
        <is>
          <t>Ejecución de dos bahías de autobuses y dos plataformas para la ubicación de marquesinas FASE I: Avda. Estrella del Mar y Avda. de la Estación, conforme al proyecto de obra redactado por el ICCP D.Jorge Martín Vivas.</t>
        </is>
      </c>
      <c r="J407" s="2" t="inlineStr">
        <is>
          <t>2026/43097X</t>
        </is>
      </c>
      <c r="K407" s="2" t="inlineStr">
        <is>
          <t>Abierto simplificado</t>
        </is>
      </c>
      <c r="L407" s="6" t="n">
        <v>1.5</v>
      </c>
      <c r="M407" s="2" t="n"/>
      <c r="N407" s="7" t="n">
        <v>0</v>
      </c>
      <c r="O407" s="4" t="n"/>
      <c r="P407" s="2" t="inlineStr">
        <is>
          <t>45233252</t>
        </is>
      </c>
      <c r="Q407" s="8" t="inlineStr">
        <is>
          <t>Ver</t>
        </is>
      </c>
      <c r="R407" s="8" t="inlineStr">
        <is>
          <t>PCAP</t>
        </is>
      </c>
      <c r="S407" s="9" t="n">
        <v>46310</v>
      </c>
      <c r="T407" s="3" t="n">
        <v>46304.5718287037</v>
      </c>
      <c r="U407" s="2" t="n"/>
    </row>
    <row r="408">
      <c r="A408" s="2" t="inlineStr">
        <is>
          <t>Pendiente de adjudicación</t>
        </is>
      </c>
      <c r="B408" s="3" t="n">
        <v>46294.99930555555</v>
      </c>
      <c r="C408" s="5" t="n">
        <v>28551.49</v>
      </c>
      <c r="D408" s="5" t="n">
        <v>28551.49</v>
      </c>
      <c r="E408" s="2" t="inlineStr">
        <is>
          <t>Andalucía</t>
        </is>
      </c>
      <c r="F408" s="2" t="inlineStr">
        <is>
          <t>Jaén</t>
        </is>
      </c>
      <c r="G408" s="2" t="inlineStr">
        <is>
          <t>Cárcheles</t>
        </is>
      </c>
      <c r="H408" s="2" t="inlineStr">
        <is>
          <t>Alcaldía del Ayuntamiento de Cárcheles</t>
        </is>
      </c>
      <c r="I408" s="2" t="inlineStr">
        <is>
          <t>Pavimentación y arreglo del parque de la fuente, renovación pavimento asfáltico en calzada municipal y renovación pavimento pétreo acceso a calle a mediodía en Cárcheles (Jaén), mediante lotes (3).</t>
        </is>
      </c>
      <c r="J408" s="2" t="inlineStr">
        <is>
          <t>424/2026</t>
        </is>
      </c>
      <c r="K408" s="2" t="inlineStr">
        <is>
          <t>Abierto simplificado</t>
        </is>
      </c>
      <c r="L408" s="6" t="n">
        <v>1</v>
      </c>
      <c r="M408" s="2" t="n"/>
      <c r="N408" s="7" t="n">
        <v>0</v>
      </c>
      <c r="O408" s="4" t="n">
        <v>3</v>
      </c>
      <c r="P408" s="2" t="inlineStr">
        <is>
          <t>45233200; 45233222; 45233252</t>
        </is>
      </c>
      <c r="Q408" s="8" t="inlineStr">
        <is>
          <t>Ver</t>
        </is>
      </c>
      <c r="R408" s="8" t="inlineStr">
        <is>
          <t>PCAP</t>
        </is>
      </c>
      <c r="S408" s="9" t="n">
        <v>46310</v>
      </c>
      <c r="T408" s="3" t="n">
        <v>46304.57047453704</v>
      </c>
      <c r="U408" s="2" t="n"/>
    </row>
    <row r="409">
      <c r="A409" s="2" t="inlineStr">
        <is>
          <t>Resuelta</t>
        </is>
      </c>
      <c r="B409" s="3" t="n">
        <v>46174.99930555555</v>
      </c>
      <c r="C409" s="5" t="n">
        <v>427251.04</v>
      </c>
      <c r="D409" s="5" t="n">
        <v>512701.25</v>
      </c>
      <c r="E409" s="2" t="inlineStr">
        <is>
          <t>Andalucía</t>
        </is>
      </c>
      <c r="F409" s="2" t="inlineStr">
        <is>
          <t>Málaga</t>
        </is>
      </c>
      <c r="G409" s="2" t="n"/>
      <c r="H409" s="2" t="inlineStr">
        <is>
          <t>Concejalía Delegada en Materia de Contratación del Ayuntamiento de Torremolinos</t>
        </is>
      </c>
      <c r="I409" s="2" t="inlineStr">
        <is>
          <t>Obras del Proyecto de ordinarias de urbanización de C/ Europa Fase 1- PAEM 2023 -2ª FASE</t>
        </is>
      </c>
      <c r="J409" s="2" t="inlineStr">
        <is>
          <t>219/2026</t>
        </is>
      </c>
      <c r="K409" s="2" t="inlineStr">
        <is>
          <t>Abierto</t>
        </is>
      </c>
      <c r="L409" s="6" t="n">
        <v>4</v>
      </c>
      <c r="M409" s="2" t="n"/>
      <c r="N409" s="7" t="n">
        <v>0.3</v>
      </c>
      <c r="O409" s="4" t="n"/>
      <c r="P409" s="2" t="inlineStr">
        <is>
          <t>45220000</t>
        </is>
      </c>
      <c r="Q409" s="8" t="inlineStr">
        <is>
          <t>Ver</t>
        </is>
      </c>
      <c r="R409" s="8" t="inlineStr">
        <is>
          <t>PCAP</t>
        </is>
      </c>
      <c r="S409" s="9" t="n">
        <v>46310</v>
      </c>
      <c r="T409" s="3" t="n">
        <v>46304.5670949074</v>
      </c>
      <c r="U409" s="2" t="n"/>
    </row>
    <row r="410">
      <c r="A410" s="2" t="inlineStr">
        <is>
          <t>Pendiente de adjudicación</t>
        </is>
      </c>
      <c r="B410" s="3" t="n">
        <v>46167.54166666666</v>
      </c>
      <c r="C410" s="5" t="n">
        <v>120460.15</v>
      </c>
      <c r="D410" s="5" t="n">
        <v>120460.15</v>
      </c>
      <c r="E410" s="2" t="inlineStr">
        <is>
          <t>Andalucía</t>
        </is>
      </c>
      <c r="F410" s="2" t="inlineStr">
        <is>
          <t>Granada</t>
        </is>
      </c>
      <c r="G410" s="2" t="inlineStr">
        <is>
          <t>Atarfe (Granada)</t>
        </is>
      </c>
      <c r="H410" s="2" t="inlineStr">
        <is>
          <t>Dirección Gerente de Aguas Vega Sierra Elvira, S.A.</t>
        </is>
      </c>
      <c r="I410" s="2" t="inlineStr">
        <is>
          <t>Renovación de redes de Abastecimiento y Saneamiento en Calle Huertos en Alfacar (Granada)</t>
        </is>
      </c>
      <c r="J410" s="2" t="inlineStr">
        <is>
          <t>Obras 11/2026</t>
        </is>
      </c>
      <c r="K410" s="2" t="inlineStr">
        <is>
          <t>Abierto</t>
        </is>
      </c>
      <c r="L410" s="6" t="n">
        <v>2</v>
      </c>
      <c r="M410" s="2" t="n"/>
      <c r="N410" s="7" t="n">
        <v>0.4</v>
      </c>
      <c r="O410" s="4" t="n"/>
      <c r="P410" s="2" t="inlineStr">
        <is>
          <t>45200000; 45220000; 44160000; 45231100; 45232100</t>
        </is>
      </c>
      <c r="Q410" s="8" t="inlineStr">
        <is>
          <t>Ver</t>
        </is>
      </c>
      <c r="R410" s="8" t="inlineStr">
        <is>
          <t>PCAP</t>
        </is>
      </c>
      <c r="S410" s="9" t="n">
        <v>46310</v>
      </c>
      <c r="T410" s="3" t="n">
        <v>46304.56675925926</v>
      </c>
      <c r="U410" s="2" t="n"/>
    </row>
    <row r="411">
      <c r="A411" s="2" t="inlineStr">
        <is>
          <t>En plazo</t>
        </is>
      </c>
      <c r="B411" s="3" t="n">
        <v>46324.58333333334</v>
      </c>
      <c r="C411" s="5" t="n">
        <v>743801.65</v>
      </c>
      <c r="D411" s="5" t="n">
        <v>743801.65</v>
      </c>
      <c r="E411" s="2" t="inlineStr">
        <is>
          <t>Andalucía</t>
        </is>
      </c>
      <c r="F411" s="2" t="inlineStr">
        <is>
          <t>Sevilla</t>
        </is>
      </c>
      <c r="G411" s="2" t="n"/>
      <c r="H411" s="2" t="inlineStr">
        <is>
          <t>Alcaldia del Ayuntamiento de Pilas</t>
        </is>
      </c>
      <c r="I411" s="2" t="inlineStr">
        <is>
          <t>Ejecución de la obra "Proyecto de reasfaltado 2026, de Pilas (Sevilla).</t>
        </is>
      </c>
      <c r="J411" s="2" t="inlineStr">
        <is>
          <t>P4107500C-2026/000082-PAAS</t>
        </is>
      </c>
      <c r="K411" s="2" t="inlineStr">
        <is>
          <t>Abierto simplificado</t>
        </is>
      </c>
      <c r="L411" s="6" t="n">
        <v>6</v>
      </c>
      <c r="M411" s="2" t="inlineStr">
        <is>
          <t>G4-3; G*-3</t>
        </is>
      </c>
      <c r="N411" s="7" t="n">
        <v>0</v>
      </c>
      <c r="O411" s="4" t="n"/>
      <c r="P411" s="2" t="inlineStr">
        <is>
          <t>45233222</t>
        </is>
      </c>
      <c r="Q411" s="8" t="inlineStr">
        <is>
          <t>Ver</t>
        </is>
      </c>
      <c r="R411" s="8" t="inlineStr">
        <is>
          <t>PCAP</t>
        </is>
      </c>
      <c r="S411" s="9" t="n">
        <v>46310</v>
      </c>
      <c r="T411" s="3" t="n">
        <v>46304.56592592593</v>
      </c>
      <c r="U411" s="2" t="n"/>
    </row>
    <row r="412">
      <c r="A412" s="2" t="inlineStr">
        <is>
          <t>En plazo</t>
        </is>
      </c>
      <c r="B412" s="3" t="n">
        <v>46321.99930555555</v>
      </c>
      <c r="C412" s="5" t="n">
        <v>56990</v>
      </c>
      <c r="D412" s="5" t="n">
        <v>56990</v>
      </c>
      <c r="E412" s="2" t="inlineStr">
        <is>
          <t>Andalucía</t>
        </is>
      </c>
      <c r="F412" s="2" t="inlineStr">
        <is>
          <t>Sevilla</t>
        </is>
      </c>
      <c r="G412" s="2" t="n"/>
      <c r="H412" s="2" t="inlineStr">
        <is>
          <t>Alcaldía del Ayuntamiento de Coria del Río</t>
        </is>
      </c>
      <c r="I412" s="2" t="inlineStr">
        <is>
          <t>Contrato de obras de ampliación de la sede de la Policía Local de Coria del Río, mediante procedimiento abierto supersimplificado.</t>
        </is>
      </c>
      <c r="J412" s="2" t="inlineStr">
        <is>
          <t>P4103400J-2026/000387-PAAB</t>
        </is>
      </c>
      <c r="K412" s="2" t="inlineStr">
        <is>
          <t>Abierto simplificado</t>
        </is>
      </c>
      <c r="L412" s="6" t="n">
        <v>6</v>
      </c>
      <c r="M412" s="2" t="n"/>
      <c r="N412" s="7" t="n">
        <v>0</v>
      </c>
      <c r="O412" s="4" t="n"/>
      <c r="P412" s="2" t="inlineStr">
        <is>
          <t>45216111</t>
        </is>
      </c>
      <c r="Q412" s="8" t="inlineStr">
        <is>
          <t>Ver</t>
        </is>
      </c>
      <c r="R412" s="8" t="inlineStr">
        <is>
          <t>PCAP</t>
        </is>
      </c>
      <c r="S412" s="9" t="n">
        <v>46310</v>
      </c>
      <c r="T412" s="3" t="n">
        <v>46304.55881944444</v>
      </c>
      <c r="U412" s="2" t="n"/>
    </row>
    <row r="413">
      <c r="A413" s="2" t="inlineStr">
        <is>
          <t>Pendiente de adjudicación</t>
        </is>
      </c>
      <c r="B413" s="3" t="n">
        <v>46268.99930555555</v>
      </c>
      <c r="C413" s="5" t="n">
        <v>1697727.74</v>
      </c>
      <c r="D413" s="5" t="n">
        <v>1697727.74</v>
      </c>
      <c r="E413" s="2" t="inlineStr">
        <is>
          <t>Andalucía</t>
        </is>
      </c>
      <c r="F413" s="2" t="inlineStr">
        <is>
          <t>Almería</t>
        </is>
      </c>
      <c r="G413" s="2" t="inlineStr">
        <is>
          <t>Huércal-Overa</t>
        </is>
      </c>
      <c r="H413" s="2" t="inlineStr">
        <is>
          <t>Junta De Gobierno Local del Ayuntamiento de Huércal-Overa</t>
        </is>
      </c>
      <c r="I413" s="2" t="inlineStr">
        <is>
          <t>Contrato de obras de construcción de Pistas de Atletismo y dos Campos de Fútbol 7 en Huércal-Overa</t>
        </is>
      </c>
      <c r="J413" s="2" t="inlineStr">
        <is>
          <t>611/2026</t>
        </is>
      </c>
      <c r="K413" s="2" t="inlineStr">
        <is>
          <t>Abierto simplificado</t>
        </is>
      </c>
      <c r="L413" s="6" t="n">
        <v>8</v>
      </c>
      <c r="M413" s="2" t="inlineStr">
        <is>
          <t>G*-1</t>
        </is>
      </c>
      <c r="N413" s="7" t="n">
        <v>0.25</v>
      </c>
      <c r="O413" s="4" t="n"/>
      <c r="P413" s="2" t="inlineStr">
        <is>
          <t>45212200</t>
        </is>
      </c>
      <c r="Q413" s="8" t="inlineStr">
        <is>
          <t>Ver</t>
        </is>
      </c>
      <c r="R413" s="8" t="inlineStr">
        <is>
          <t>PCAP</t>
        </is>
      </c>
      <c r="S413" s="9" t="n">
        <v>46310</v>
      </c>
      <c r="T413" s="3" t="n">
        <v>46304.55604166666</v>
      </c>
      <c r="U413" s="2" t="n"/>
    </row>
    <row r="414">
      <c r="A414" s="2" t="inlineStr">
        <is>
          <t>Adjudicada</t>
        </is>
      </c>
      <c r="B414" s="3" t="n">
        <v>46188.99930555555</v>
      </c>
      <c r="C414" s="5" t="n">
        <v>150413.22</v>
      </c>
      <c r="D414" s="5" t="n">
        <v>150413.22</v>
      </c>
      <c r="E414" s="2" t="inlineStr">
        <is>
          <t>Andalucía</t>
        </is>
      </c>
      <c r="F414" s="2" t="inlineStr">
        <is>
          <t>Córdoba</t>
        </is>
      </c>
      <c r="G414" s="2" t="n"/>
      <c r="H414" s="2" t="inlineStr">
        <is>
          <t>Diputado delegado de Infraestructuras, Sostenibilidad y Agricultura</t>
        </is>
      </c>
      <c r="I414" s="2" t="inlineStr">
        <is>
          <t>Contratación de las obras de mejora y acondicionamiento del Camino "Del Vicario" en Lucena (Córdoba). Obra incluida en el Plan de Humanización de Entornos Urbanos y Agenda Rural 2024-2027. Programa de Agenda Rural (bienio 26-27)</t>
        </is>
      </c>
      <c r="J414" s="2" t="inlineStr">
        <is>
          <t>351/26</t>
        </is>
      </c>
      <c r="K414" s="2" t="inlineStr">
        <is>
          <t>Abierto</t>
        </is>
      </c>
      <c r="L414" s="6" t="n">
        <v>3</v>
      </c>
      <c r="M414" s="2" t="n"/>
      <c r="N414" s="7" t="n">
        <v>0.4</v>
      </c>
      <c r="O414" s="4" t="n"/>
      <c r="P414" s="2" t="inlineStr">
        <is>
          <t>45233160</t>
        </is>
      </c>
      <c r="Q414" s="8" t="inlineStr">
        <is>
          <t>Ver</t>
        </is>
      </c>
      <c r="R414" s="8" t="inlineStr">
        <is>
          <t>PCAP</t>
        </is>
      </c>
      <c r="S414" s="9" t="n">
        <v>46310</v>
      </c>
      <c r="T414" s="3" t="n">
        <v>46304.5553125</v>
      </c>
      <c r="U414" s="2" t="n"/>
    </row>
    <row r="415">
      <c r="A415" s="2" t="inlineStr">
        <is>
          <t>Adjudicada</t>
        </is>
      </c>
      <c r="B415" s="3" t="n">
        <v>46289.99930555555</v>
      </c>
      <c r="C415" s="5" t="n">
        <v>51436.37</v>
      </c>
      <c r="D415" s="5" t="n">
        <v>51436.37</v>
      </c>
      <c r="E415" s="2" t="inlineStr">
        <is>
          <t>Andalucía</t>
        </is>
      </c>
      <c r="F415" s="2" t="inlineStr">
        <is>
          <t>Granada</t>
        </is>
      </c>
      <c r="G415" s="2" t="n"/>
      <c r="H415" s="2" t="inlineStr">
        <is>
          <t>Alcaldía del Ayuntamiento de Cádiar</t>
        </is>
      </c>
      <c r="I415"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415" s="2" t="inlineStr">
        <is>
          <t>496/2026</t>
        </is>
      </c>
      <c r="K415" s="2" t="inlineStr">
        <is>
          <t>Abierto simplificado</t>
        </is>
      </c>
      <c r="L415" s="6" t="n">
        <v>2</v>
      </c>
      <c r="M415" s="2" t="n"/>
      <c r="N415" s="7" t="n">
        <v>0</v>
      </c>
      <c r="O415" s="4" t="n"/>
      <c r="P415" s="2" t="inlineStr">
        <is>
          <t>45223810; 45262300; 45000000; 45112000</t>
        </is>
      </c>
      <c r="Q415" s="8" t="inlineStr">
        <is>
          <t>Ver</t>
        </is>
      </c>
      <c r="R415" s="2" t="n"/>
      <c r="S415" s="9" t="n">
        <v>46310</v>
      </c>
      <c r="T415" s="3" t="n">
        <v>46304.55481481482</v>
      </c>
      <c r="U415" s="2" t="n"/>
    </row>
    <row r="416">
      <c r="A416" s="2" t="inlineStr">
        <is>
          <t>Pendiente de adjudicación</t>
        </is>
      </c>
      <c r="B416" s="3" t="n">
        <v>46964.60416666666</v>
      </c>
      <c r="C416" s="5" t="n">
        <v>5775000</v>
      </c>
      <c r="D416" s="5" t="n">
        <v>7700000</v>
      </c>
      <c r="E416" s="2" t="inlineStr">
        <is>
          <t>Andalucía</t>
        </is>
      </c>
      <c r="F416" s="2" t="inlineStr">
        <is>
          <t>Almería</t>
        </is>
      </c>
      <c r="G416" s="2" t="inlineStr">
        <is>
          <t>Vera</t>
        </is>
      </c>
      <c r="H416" s="2" t="inlineStr">
        <is>
          <t>Pleno del Ayuntamiento de Vera</t>
        </is>
      </c>
      <c r="I416" s="2" t="inlineStr">
        <is>
          <t>Ejecución de obras habituales para prestación de los servicios públicos de competencia municipal mediante un sistema dinámico de adquisición.</t>
        </is>
      </c>
      <c r="J416" s="2" t="inlineStr">
        <is>
          <t>2911/2024</t>
        </is>
      </c>
      <c r="K416" s="2" t="inlineStr">
        <is>
          <t>Restringido</t>
        </is>
      </c>
      <c r="L416" s="6" t="n"/>
      <c r="M416" s="2" t="n"/>
      <c r="N416" s="7" t="n">
        <v>0.4</v>
      </c>
      <c r="O416" s="4" t="n">
        <v>8</v>
      </c>
      <c r="P416" s="2" t="inlineStr">
        <is>
          <t>45000000; 45111200; 45112710; 45233222; 45400000; 45330000; 45233293; 45316000; 45500000</t>
        </is>
      </c>
      <c r="Q416" s="8" t="inlineStr">
        <is>
          <t>Ver</t>
        </is>
      </c>
      <c r="R416" s="8" t="inlineStr">
        <is>
          <t>PCAP</t>
        </is>
      </c>
      <c r="S416" s="9" t="n">
        <v>46310</v>
      </c>
      <c r="T416" s="3" t="n">
        <v>46304.55150462963</v>
      </c>
      <c r="U416" s="2" t="n"/>
    </row>
    <row r="417">
      <c r="A417" s="2" t="inlineStr">
        <is>
          <t>En plazo</t>
        </is>
      </c>
      <c r="B417" s="3" t="n">
        <v>46324.99930555555</v>
      </c>
      <c r="C417" s="5" t="n">
        <v>82644.63</v>
      </c>
      <c r="D417" s="5" t="n">
        <v>82644.63</v>
      </c>
      <c r="E417" s="2" t="inlineStr">
        <is>
          <t>Andalucía</t>
        </is>
      </c>
      <c r="F417" s="2" t="inlineStr">
        <is>
          <t>Sevilla</t>
        </is>
      </c>
      <c r="G417" s="2" t="inlineStr">
        <is>
          <t>Morón de la Frontera</t>
        </is>
      </c>
      <c r="H417" s="2" t="inlineStr">
        <is>
          <t>Alcaldía del Ayuntamiento de Morón de la Frontera</t>
        </is>
      </c>
      <c r="I417" s="2" t="inlineStr">
        <is>
          <t>Ejecución de las obras definidas en el proyecto técnico denominado "Mejoras en instalaciones de juegos infantiles y gimnásticos".</t>
        </is>
      </c>
      <c r="J417" s="2" t="inlineStr">
        <is>
          <t>1113/2026</t>
        </is>
      </c>
      <c r="K417" s="2" t="inlineStr">
        <is>
          <t>Abierto simplificado</t>
        </is>
      </c>
      <c r="L417" s="6" t="n">
        <v>3</v>
      </c>
      <c r="M417" s="2" t="n"/>
      <c r="N417" s="7" t="n">
        <v>0.2</v>
      </c>
      <c r="O417" s="4" t="n"/>
      <c r="P417" s="2" t="inlineStr">
        <is>
          <t>45212140; 45236210; 37440000; 45236290; 45212200; 37535200; 37410000</t>
        </is>
      </c>
      <c r="Q417" s="8" t="inlineStr">
        <is>
          <t>Ver</t>
        </is>
      </c>
      <c r="R417" s="8" t="inlineStr">
        <is>
          <t>PCAP</t>
        </is>
      </c>
      <c r="S417" s="9" t="n">
        <v>46310</v>
      </c>
      <c r="T417" s="3" t="n">
        <v>46304.54788194445</v>
      </c>
      <c r="U417" s="2" t="n"/>
    </row>
    <row r="418">
      <c r="A418" s="2" t="inlineStr">
        <is>
          <t>Resuelta</t>
        </is>
      </c>
      <c r="B418" s="3" t="n">
        <v>46272.99930555555</v>
      </c>
      <c r="C418" s="5" t="n">
        <v>80951.97</v>
      </c>
      <c r="D418" s="5" t="n">
        <v>80951.97</v>
      </c>
      <c r="E418" s="2" t="inlineStr">
        <is>
          <t>Andalucía</t>
        </is>
      </c>
      <c r="F418" s="2" t="inlineStr">
        <is>
          <t>Granada</t>
        </is>
      </c>
      <c r="G418" s="2" t="n"/>
      <c r="H418" s="2" t="inlineStr">
        <is>
          <t>Alcaldía del Ayuntamiento de Cenes de la Vega</t>
        </is>
      </c>
      <c r="I418" s="2" t="inlineStr">
        <is>
          <t>Pavimentación de Calle Trébol, Cuesta del Cerrillo y Camino Viejo de Güéjar</t>
        </is>
      </c>
      <c r="J418" s="2" t="inlineStr">
        <is>
          <t>2354/2026</t>
        </is>
      </c>
      <c r="K418" s="2" t="inlineStr">
        <is>
          <t>Abierto simplificado</t>
        </is>
      </c>
      <c r="L418" s="6" t="n">
        <v>1</v>
      </c>
      <c r="M418" s="2" t="n"/>
      <c r="N418" s="7" t="n">
        <v>0</v>
      </c>
      <c r="O418" s="4" t="n"/>
      <c r="P418" s="2" t="inlineStr">
        <is>
          <t>45233252</t>
        </is>
      </c>
      <c r="Q418" s="8" t="inlineStr">
        <is>
          <t>Ver</t>
        </is>
      </c>
      <c r="R418" s="8" t="inlineStr">
        <is>
          <t>PCAP</t>
        </is>
      </c>
      <c r="S418" s="9" t="n">
        <v>46310</v>
      </c>
      <c r="T418" s="3" t="n">
        <v>46304.54775462963</v>
      </c>
      <c r="U418" s="2" t="n"/>
    </row>
    <row r="419">
      <c r="A419" s="2" t="inlineStr">
        <is>
          <t>Pendiente de adjudicación</t>
        </is>
      </c>
      <c r="B419" s="3" t="n">
        <v>46293.99930555555</v>
      </c>
      <c r="C419" s="5" t="n">
        <v>57851.24</v>
      </c>
      <c r="D419" s="5" t="n">
        <v>57851.24</v>
      </c>
      <c r="E419" s="2" t="inlineStr">
        <is>
          <t>Andalucía</t>
        </is>
      </c>
      <c r="F419" s="2" t="inlineStr">
        <is>
          <t>Granada</t>
        </is>
      </c>
      <c r="G419" s="2" t="inlineStr">
        <is>
          <t>JUN.</t>
        </is>
      </c>
      <c r="H419" s="2" t="inlineStr">
        <is>
          <t>Alcaldía del Ayuntamiento de Jun</t>
        </is>
      </c>
      <c r="I419" s="2" t="inlineStr">
        <is>
          <t>Pavimentación e instalaciones en calle Colonia.</t>
        </is>
      </c>
      <c r="J419" s="2" t="inlineStr">
        <is>
          <t>270/2026</t>
        </is>
      </c>
      <c r="K419" s="2" t="inlineStr">
        <is>
          <t>Abierto simplificado</t>
        </is>
      </c>
      <c r="L419" s="6" t="n">
        <v>1.4</v>
      </c>
      <c r="M419" s="2" t="n"/>
      <c r="N419" s="7" t="n">
        <v>0</v>
      </c>
      <c r="O419" s="4" t="n"/>
      <c r="P419" s="2" t="inlineStr">
        <is>
          <t>45000000; 45233252; 45316100</t>
        </is>
      </c>
      <c r="Q419" s="8" t="inlineStr">
        <is>
          <t>Ver</t>
        </is>
      </c>
      <c r="R419" s="8" t="inlineStr">
        <is>
          <t>PCAP</t>
        </is>
      </c>
      <c r="S419" s="9" t="n">
        <v>46310</v>
      </c>
      <c r="T419" s="3" t="n">
        <v>46304.54684027778</v>
      </c>
      <c r="U419" s="2" t="n"/>
    </row>
    <row r="420">
      <c r="A420" s="2" t="inlineStr">
        <is>
          <t>En plazo</t>
        </is>
      </c>
      <c r="B420" s="3" t="n">
        <v>46321.99930555555</v>
      </c>
      <c r="C420" s="5" t="n">
        <v>63422.18</v>
      </c>
      <c r="D420" s="5" t="n">
        <v>63422.18</v>
      </c>
      <c r="E420" s="2" t="inlineStr">
        <is>
          <t>Andalucía</t>
        </is>
      </c>
      <c r="F420" s="2" t="inlineStr">
        <is>
          <t>Sevilla</t>
        </is>
      </c>
      <c r="G420" s="2" t="inlineStr">
        <is>
          <t>SALTERAS</t>
        </is>
      </c>
      <c r="H420" s="2" t="inlineStr">
        <is>
          <t>Alcaldía del Ayuntamiento de Salteras</t>
        </is>
      </c>
      <c r="I420"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420" s="2" t="inlineStr">
        <is>
          <t>1021/2026 REASFALTADO VARIAS CALLES</t>
        </is>
      </c>
      <c r="K420" s="2" t="inlineStr">
        <is>
          <t>Abierto simplificado</t>
        </is>
      </c>
      <c r="L420" s="6" t="n">
        <v>4</v>
      </c>
      <c r="M420" s="2" t="n"/>
      <c r="N420" s="7" t="n">
        <v>0</v>
      </c>
      <c r="O420" s="4" t="n"/>
      <c r="P420" s="2" t="inlineStr">
        <is>
          <t>45233222; 45233223</t>
        </is>
      </c>
      <c r="Q420" s="8" t="inlineStr">
        <is>
          <t>Ver</t>
        </is>
      </c>
      <c r="R420" s="8" t="inlineStr">
        <is>
          <t>PCAP</t>
        </is>
      </c>
      <c r="S420" s="9" t="n">
        <v>46310</v>
      </c>
      <c r="T420" s="3" t="n">
        <v>46304.54614583333</v>
      </c>
      <c r="U420" s="2" t="n"/>
    </row>
    <row r="421">
      <c r="A421" s="2" t="inlineStr">
        <is>
          <t>Pendiente de adjudicación</t>
        </is>
      </c>
      <c r="B421" s="3" t="n">
        <v>46294.99930555555</v>
      </c>
      <c r="C421" s="5" t="n">
        <v>1221212.29</v>
      </c>
      <c r="D421" s="5" t="n">
        <v>1221212.29</v>
      </c>
      <c r="E421" s="2" t="inlineStr">
        <is>
          <t>Andalucía</t>
        </is>
      </c>
      <c r="F421" s="2" t="inlineStr">
        <is>
          <t>Córdoba</t>
        </is>
      </c>
      <c r="G421" s="2" t="inlineStr">
        <is>
          <t>Montoro (Córdoba)</t>
        </is>
      </c>
      <c r="H421" s="2" t="inlineStr">
        <is>
          <t>Junta de Gobierno de la Diputación Provincial de Córdoba</t>
        </is>
      </c>
      <c r="I421" s="2" t="inlineStr">
        <is>
          <t>Nuevo campo de fútbol de césped artificial en el SG-D6 y SG-V7 "LLanos de Cristo" del PGOU vigente, en Puente Genil (Córdoba). Obra incluida en el Plan Provincial de Obras y Servicios 2024-2027 (bienio 2025-2026)</t>
        </is>
      </c>
      <c r="J421" s="2" t="inlineStr">
        <is>
          <t>646/26</t>
        </is>
      </c>
      <c r="K421" s="2" t="inlineStr">
        <is>
          <t>Abierto</t>
        </is>
      </c>
      <c r="L421" s="6" t="n">
        <v>12</v>
      </c>
      <c r="M421" s="2" t="inlineStr">
        <is>
          <t>C2-2; C6-3; I9-2; C4-2</t>
        </is>
      </c>
      <c r="N421" s="7" t="n">
        <v>0.25</v>
      </c>
      <c r="O421" s="4" t="n"/>
      <c r="P421" s="2" t="inlineStr">
        <is>
          <t>45200000; 45212224; 45212221; 45212213; 45212230; 45212200</t>
        </is>
      </c>
      <c r="Q421" s="8" t="inlineStr">
        <is>
          <t>Ver</t>
        </is>
      </c>
      <c r="R421" s="8" t="inlineStr">
        <is>
          <t>PCAP</t>
        </is>
      </c>
      <c r="S421" s="9" t="n">
        <v>46310</v>
      </c>
      <c r="T421" s="3" t="n">
        <v>46304.54408564815</v>
      </c>
      <c r="U421" s="2" t="n"/>
    </row>
    <row r="422">
      <c r="A422" s="2" t="inlineStr">
        <is>
          <t>Pendiente de adjudicación</t>
        </is>
      </c>
      <c r="B422" s="3" t="n">
        <v>46287.99930555555</v>
      </c>
      <c r="C422" s="5" t="n">
        <v>479338.84</v>
      </c>
      <c r="D422" s="5" t="n">
        <v>479338.84</v>
      </c>
      <c r="E422" s="2" t="inlineStr">
        <is>
          <t>Andalucía</t>
        </is>
      </c>
      <c r="F422" s="2" t="inlineStr">
        <is>
          <t>Córdoba</t>
        </is>
      </c>
      <c r="G422" s="2" t="n"/>
      <c r="H422" s="2" t="inlineStr">
        <is>
          <t>Junta de Gobierno de la Diputación Provincial de Córdoba</t>
        </is>
      </c>
      <c r="I422" s="2" t="inlineStr">
        <is>
          <t>Refuerzo del firme de la CO-6413 "de la CO-6411 a el Puerto del Caballón" entre los pp.kk 24+000 y 32+160 (Córdoba)</t>
        </is>
      </c>
      <c r="J422" s="2" t="inlineStr">
        <is>
          <t>701/26</t>
        </is>
      </c>
      <c r="K422" s="2" t="inlineStr">
        <is>
          <t>Abierto</t>
        </is>
      </c>
      <c r="L422" s="6" t="n">
        <v>1</v>
      </c>
      <c r="M422" s="2" t="n"/>
      <c r="N422" s="7" t="n">
        <v>0.4</v>
      </c>
      <c r="O422" s="4" t="n"/>
      <c r="P422" s="2" t="inlineStr">
        <is>
          <t>45233000; 45233140</t>
        </is>
      </c>
      <c r="Q422" s="8" t="inlineStr">
        <is>
          <t>Ver</t>
        </is>
      </c>
      <c r="R422" s="8" t="inlineStr">
        <is>
          <t>PCAP</t>
        </is>
      </c>
      <c r="S422" s="9" t="n">
        <v>46310</v>
      </c>
      <c r="T422" s="3" t="n">
        <v>46304.54342592593</v>
      </c>
      <c r="U422" s="2" t="n"/>
    </row>
    <row r="423">
      <c r="A423" s="2" t="inlineStr">
        <is>
          <t>Pendiente de adjudicación</t>
        </is>
      </c>
      <c r="B423" s="3" t="n">
        <v>46287.99930555555</v>
      </c>
      <c r="C423" s="5" t="n">
        <v>603305.79</v>
      </c>
      <c r="D423" s="5" t="n">
        <v>603305.79</v>
      </c>
      <c r="E423" s="2" t="inlineStr">
        <is>
          <t>Andalucía</t>
        </is>
      </c>
      <c r="F423" s="2" t="inlineStr">
        <is>
          <t>Córdoba</t>
        </is>
      </c>
      <c r="G423" s="2" t="n"/>
      <c r="H423" s="2" t="inlineStr">
        <is>
          <t>Junta de Gobierno de la Diputación Provincial de Córdoba</t>
        </is>
      </c>
      <c r="I423" s="2" t="inlineStr">
        <is>
          <t>Obras de ampliación de la calzada de la CO-6304 "de la A-3150 al L.P. de Sevilla por el Calonge" entre los pp.kk. 0+000 y 3+681, en Palma del Río (Córdoba)</t>
        </is>
      </c>
      <c r="J423" s="2" t="inlineStr">
        <is>
          <t>718/26</t>
        </is>
      </c>
      <c r="K423" s="2" t="inlineStr">
        <is>
          <t>Abierto</t>
        </is>
      </c>
      <c r="L423" s="6" t="n">
        <v>3</v>
      </c>
      <c r="M423" s="2" t="inlineStr">
        <is>
          <t>G4-3</t>
        </is>
      </c>
      <c r="N423" s="7" t="n">
        <v>0.4</v>
      </c>
      <c r="O423" s="4" t="n"/>
      <c r="P423" s="2" t="inlineStr">
        <is>
          <t>45233000</t>
        </is>
      </c>
      <c r="Q423" s="8" t="inlineStr">
        <is>
          <t>Ver</t>
        </is>
      </c>
      <c r="R423" s="8" t="inlineStr">
        <is>
          <t>PCAP</t>
        </is>
      </c>
      <c r="S423" s="9" t="n">
        <v>46310</v>
      </c>
      <c r="T423" s="3" t="n">
        <v>46304.5422337963</v>
      </c>
      <c r="U423" s="2" t="n"/>
    </row>
    <row r="424">
      <c r="A424" s="2" t="inlineStr">
        <is>
          <t>Resuelta</t>
        </is>
      </c>
      <c r="B424" s="3" t="n">
        <v>46272.99930555555</v>
      </c>
      <c r="C424" s="5" t="n">
        <v>69080.17</v>
      </c>
      <c r="D424" s="5" t="n">
        <v>69080.17</v>
      </c>
      <c r="E424" s="2" t="inlineStr">
        <is>
          <t>Andalucía</t>
        </is>
      </c>
      <c r="F424" s="2" t="inlineStr">
        <is>
          <t>Granada</t>
        </is>
      </c>
      <c r="G424" s="2" t="n"/>
      <c r="H424" s="2" t="inlineStr">
        <is>
          <t>Alcaldía del Ayuntamiento de Cenes de la Vega</t>
        </is>
      </c>
      <c r="I424" s="2" t="inlineStr">
        <is>
          <t>Llevar a cabo las obras descritas en el PROYECTO de pavimentación de la calle arco y camino viejo de Guejar, suscrito por José Medialdea Cela, arquitecto</t>
        </is>
      </c>
      <c r="J424" s="2" t="inlineStr">
        <is>
          <t>2352/2026</t>
        </is>
      </c>
      <c r="K424" s="2" t="inlineStr">
        <is>
          <t>Abierto simplificado</t>
        </is>
      </c>
      <c r="L424" s="6" t="n">
        <v>2</v>
      </c>
      <c r="M424" s="2" t="n"/>
      <c r="N424" s="7" t="n">
        <v>0</v>
      </c>
      <c r="O424" s="4" t="n"/>
      <c r="P424" s="2" t="inlineStr">
        <is>
          <t>45233252</t>
        </is>
      </c>
      <c r="Q424" s="8" t="inlineStr">
        <is>
          <t>Ver</t>
        </is>
      </c>
      <c r="R424" s="8" t="inlineStr">
        <is>
          <t>PCAP</t>
        </is>
      </c>
      <c r="S424" s="9" t="n">
        <v>46310</v>
      </c>
      <c r="T424" s="3" t="n">
        <v>46304.53863425926</v>
      </c>
      <c r="U424" s="2" t="n"/>
    </row>
    <row r="425">
      <c r="A425" s="2" t="inlineStr">
        <is>
          <t>Adjudicada</t>
        </is>
      </c>
      <c r="B425" s="3" t="n">
        <v>46254.99930555555</v>
      </c>
      <c r="C425" s="5" t="n">
        <v>61983.47</v>
      </c>
      <c r="D425" s="5" t="n">
        <v>61983.47</v>
      </c>
      <c r="E425" s="2" t="inlineStr">
        <is>
          <t>Andalucía</t>
        </is>
      </c>
      <c r="F425" s="2" t="inlineStr">
        <is>
          <t>Sevilla</t>
        </is>
      </c>
      <c r="G425" s="2" t="n"/>
      <c r="H425" s="2" t="inlineStr">
        <is>
          <t>Junta de Gobierno del Ayuntamiento de Dos Hermanas</t>
        </is>
      </c>
      <c r="I425"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425" s="2" t="inlineStr">
        <is>
          <t>2026000024</t>
        </is>
      </c>
      <c r="K425" s="2" t="inlineStr">
        <is>
          <t>Abierto simplificado</t>
        </is>
      </c>
      <c r="L425" s="6" t="n">
        <v>3</v>
      </c>
      <c r="M425" s="2" t="n"/>
      <c r="N425" s="7" t="n">
        <v>0</v>
      </c>
      <c r="O425" s="4" t="n"/>
      <c r="P425" s="2" t="inlineStr">
        <is>
          <t>45233200; 45111100; 45112000</t>
        </is>
      </c>
      <c r="Q425" s="8" t="inlineStr">
        <is>
          <t>Ver</t>
        </is>
      </c>
      <c r="R425" s="8" t="inlineStr">
        <is>
          <t>PCAP</t>
        </is>
      </c>
      <c r="S425" s="9" t="n">
        <v>46310</v>
      </c>
      <c r="T425" s="3" t="n">
        <v>46304.53302083333</v>
      </c>
      <c r="U425" s="2" t="n"/>
    </row>
    <row r="426">
      <c r="A426" s="2" t="inlineStr">
        <is>
          <t>En plazo</t>
        </is>
      </c>
      <c r="B426" s="3" t="n">
        <v>46324.58333333334</v>
      </c>
      <c r="C426" s="5" t="n">
        <v>224803.83</v>
      </c>
      <c r="D426" s="5" t="n">
        <v>224803.83</v>
      </c>
      <c r="E426" s="2" t="inlineStr">
        <is>
          <t>Andalucía</t>
        </is>
      </c>
      <c r="F426" s="2" t="inlineStr">
        <is>
          <t>Cádiz</t>
        </is>
      </c>
      <c r="G426" s="2" t="inlineStr">
        <is>
          <t>La Línea de la Concepción</t>
        </is>
      </c>
      <c r="H426" s="2" t="inlineStr">
        <is>
          <t>Alcaldía del Ayuntamiento de la Línea de la Concepción</t>
        </is>
      </c>
      <c r="I426" s="2" t="inlineStr">
        <is>
          <t>Contrato de obra de reparación de cubiertas de edificios municipales o de uso municipal, en La Línea de la Concepción (Cádiz)</t>
        </is>
      </c>
      <c r="J426" s="2" t="inlineStr">
        <is>
          <t>89/26</t>
        </is>
      </c>
      <c r="K426" s="2" t="inlineStr">
        <is>
          <t>Abierto</t>
        </is>
      </c>
      <c r="L426" s="6" t="n">
        <v>4</v>
      </c>
      <c r="M426" s="2" t="inlineStr">
        <is>
          <t>C7-2</t>
        </is>
      </c>
      <c r="N426" s="7" t="n">
        <v>0.25</v>
      </c>
      <c r="O426" s="4" t="n"/>
      <c r="P426" s="2" t="inlineStr">
        <is>
          <t>45261900; 45260000; 45000000; 45261000; 45200000</t>
        </is>
      </c>
      <c r="Q426" s="8" t="inlineStr">
        <is>
          <t>Ver</t>
        </is>
      </c>
      <c r="R426" s="8" t="inlineStr">
        <is>
          <t>PCAP</t>
        </is>
      </c>
      <c r="S426" s="9" t="n">
        <v>46310</v>
      </c>
      <c r="T426" s="3" t="n">
        <v>46304.53011574074</v>
      </c>
      <c r="U426" s="2" t="n"/>
    </row>
    <row r="427">
      <c r="A427" s="2" t="inlineStr">
        <is>
          <t>Pendiente de adjudicación</t>
        </is>
      </c>
      <c r="B427" s="3" t="n">
        <v>46303.99930555555</v>
      </c>
      <c r="C427" s="5" t="n">
        <v>49653.78</v>
      </c>
      <c r="D427" s="5" t="n">
        <v>49653.78</v>
      </c>
      <c r="E427" s="2" t="inlineStr">
        <is>
          <t>Andalucía</t>
        </is>
      </c>
      <c r="F427" s="2" t="inlineStr">
        <is>
          <t>Córdoba</t>
        </is>
      </c>
      <c r="G427" s="2" t="inlineStr">
        <is>
          <t>La Carlota (Córdoba)</t>
        </is>
      </c>
      <c r="H427" s="2" t="inlineStr">
        <is>
          <t>Alcaldía de Ayuntamiento de la Carlota</t>
        </is>
      </c>
      <c r="I427" s="2" t="inlineStr">
        <is>
          <t>Contrato de obras para construcción de servicios y pavimentación en tramo de calle Gran Carlota La Carlota (Córdoba). Siguiendo las determinaciones marcadas en el Proyecto de la obra.</t>
        </is>
      </c>
      <c r="J427" s="2" t="inlineStr">
        <is>
          <t>GEX 2026/10924 La Carlota</t>
        </is>
      </c>
      <c r="K427" s="2" t="inlineStr">
        <is>
          <t>Abierto simplificado</t>
        </is>
      </c>
      <c r="L427" s="6" t="n">
        <v>2</v>
      </c>
      <c r="M427" s="2" t="n"/>
      <c r="N427" s="7" t="n">
        <v>0</v>
      </c>
      <c r="O427" s="4" t="n"/>
      <c r="P427" s="2" t="inlineStr">
        <is>
          <t>45220000; 45232400; 45233140; 45233222; 45232150; 45316100; 45314300; 45315300; 45232410</t>
        </is>
      </c>
      <c r="Q427" s="8" t="inlineStr">
        <is>
          <t>Ver</t>
        </is>
      </c>
      <c r="R427" s="8" t="inlineStr">
        <is>
          <t>PCAP</t>
        </is>
      </c>
      <c r="S427" s="9" t="n">
        <v>46310</v>
      </c>
      <c r="T427" s="3" t="n">
        <v>46304.52862268518</v>
      </c>
      <c r="U427" s="2" t="n"/>
    </row>
    <row r="428">
      <c r="A428" s="2" t="inlineStr">
        <is>
          <t>Pendiente de adjudicación</t>
        </is>
      </c>
      <c r="B428" s="3" t="n">
        <v>46231.99930555555</v>
      </c>
      <c r="C428" s="5" t="n">
        <v>227272.73</v>
      </c>
      <c r="D428" s="5" t="n">
        <v>227272.73</v>
      </c>
      <c r="E428" s="2" t="inlineStr">
        <is>
          <t>Andalucía</t>
        </is>
      </c>
      <c r="F428" s="2" t="inlineStr">
        <is>
          <t>Sevilla</t>
        </is>
      </c>
      <c r="G428" s="2" t="inlineStr">
        <is>
          <t>SANLÚCAR LA MAYOR</t>
        </is>
      </c>
      <c r="H428" s="2" t="inlineStr">
        <is>
          <t>Alcaldía del Ayuntamiento de Sanlúcar la Mayor</t>
        </is>
      </c>
      <c r="I428" s="2" t="inlineStr">
        <is>
          <t>Obras definidas en el Proyecto de mejora de asfaltado de calzada de viarios del Municipio.</t>
        </is>
      </c>
      <c r="J428" s="2" t="inlineStr">
        <is>
          <t>2026/CTT_01/000022 - 31/26.-CTOS</t>
        </is>
      </c>
      <c r="K428" s="2" t="inlineStr">
        <is>
          <t>Abierto simplificado</t>
        </is>
      </c>
      <c r="L428" s="6" t="n">
        <v>2</v>
      </c>
      <c r="M428" s="2" t="n"/>
      <c r="N428" s="7" t="n">
        <v>0</v>
      </c>
      <c r="O428" s="4" t="n"/>
      <c r="P428" s="2" t="inlineStr">
        <is>
          <t>45233222</t>
        </is>
      </c>
      <c r="Q428" s="8" t="inlineStr">
        <is>
          <t>Ver</t>
        </is>
      </c>
      <c r="R428" s="8" t="inlineStr">
        <is>
          <t>PCAP</t>
        </is>
      </c>
      <c r="S428" s="9" t="n">
        <v>46310</v>
      </c>
      <c r="T428" s="3" t="n">
        <v>46304.52857638889</v>
      </c>
      <c r="U428" s="2" t="n"/>
    </row>
    <row r="429">
      <c r="A429" s="2" t="inlineStr">
        <is>
          <t>Adjudicada</t>
        </is>
      </c>
      <c r="B429" s="3" t="n">
        <v>46197.99930555555</v>
      </c>
      <c r="C429" s="5" t="n">
        <v>712760.24</v>
      </c>
      <c r="D429" s="5" t="n">
        <v>712760.24</v>
      </c>
      <c r="E429" s="2" t="inlineStr">
        <is>
          <t>Andalucía</t>
        </is>
      </c>
      <c r="F429" s="2" t="inlineStr">
        <is>
          <t>Sevilla</t>
        </is>
      </c>
      <c r="G429" s="2" t="n"/>
      <c r="H429" s="2" t="inlineStr">
        <is>
          <t>Junta de Gobierno del Ayuntamiento de Villamanrique de la Condesa</t>
        </is>
      </c>
      <c r="I429" s="2" t="inlineStr">
        <is>
          <t>Renovación y Mejora del Complejo Polideportivo Municipal.</t>
        </is>
      </c>
      <c r="J429" s="2" t="inlineStr">
        <is>
          <t>624/2026</t>
        </is>
      </c>
      <c r="K429" s="2" t="inlineStr">
        <is>
          <t>Abierto simplificado</t>
        </is>
      </c>
      <c r="L429" s="6" t="n">
        <v>6</v>
      </c>
      <c r="M429" s="2" t="n"/>
      <c r="N429" s="7" t="n">
        <v>0</v>
      </c>
      <c r="O429" s="4" t="n">
        <v>3</v>
      </c>
      <c r="P429" s="2" t="inlineStr">
        <is>
          <t>45212220; 45200000</t>
        </is>
      </c>
      <c r="Q429" s="8" t="inlineStr">
        <is>
          <t>Ver</t>
        </is>
      </c>
      <c r="R429" s="8" t="inlineStr">
        <is>
          <t>PCAP</t>
        </is>
      </c>
      <c r="S429" s="9" t="n">
        <v>46310</v>
      </c>
      <c r="T429" s="3" t="n">
        <v>46304.52151620371</v>
      </c>
      <c r="U429" s="2" t="n"/>
    </row>
    <row r="430">
      <c r="A430" s="2" t="inlineStr">
        <is>
          <t>Pendiente de adjudicación</t>
        </is>
      </c>
      <c r="B430" s="3" t="n">
        <v>46295.99930555555</v>
      </c>
      <c r="C430" s="5" t="n">
        <v>1608264.46</v>
      </c>
      <c r="D430" s="5" t="n">
        <v>1608264.46</v>
      </c>
      <c r="E430" s="2" t="inlineStr">
        <is>
          <t>Andalucía</t>
        </is>
      </c>
      <c r="F430" s="2" t="inlineStr">
        <is>
          <t>Málaga</t>
        </is>
      </c>
      <c r="G430" s="2" t="n"/>
      <c r="H430" s="2" t="inlineStr">
        <is>
          <t>Presidencia de la Diputación Provincial de Málaga</t>
        </is>
      </c>
      <c r="I430" s="2" t="inlineStr">
        <is>
          <t>PC.-2026/001. Rehabilitación estructural de la plataforma de un tramo de la Crta. MA-4402, de A-343 a la Joya (P.K.3+100 a 5+000).</t>
        </is>
      </c>
      <c r="J430" s="2" t="inlineStr">
        <is>
          <t>PC.-2026/001</t>
        </is>
      </c>
      <c r="K430" s="2" t="inlineStr">
        <is>
          <t>Abierto</t>
        </is>
      </c>
      <c r="L430" s="6" t="n">
        <v>10</v>
      </c>
      <c r="M430" s="2" t="inlineStr">
        <is>
          <t>G6-4</t>
        </is>
      </c>
      <c r="N430" s="7" t="n">
        <v>0</v>
      </c>
      <c r="O430" s="4" t="n"/>
      <c r="P430" s="2" t="inlineStr">
        <is>
          <t>45233142</t>
        </is>
      </c>
      <c r="Q430" s="8" t="inlineStr">
        <is>
          <t>Ver</t>
        </is>
      </c>
      <c r="R430" s="8" t="inlineStr">
        <is>
          <t>PCAP</t>
        </is>
      </c>
      <c r="S430" s="9" t="n">
        <v>46310</v>
      </c>
      <c r="T430" s="3" t="n">
        <v>46304.52140046296</v>
      </c>
      <c r="U430" s="2" t="n"/>
    </row>
    <row r="431">
      <c r="A431" s="2" t="inlineStr">
        <is>
          <t>Pendiente de adjudicación</t>
        </is>
      </c>
      <c r="B431" s="3" t="n">
        <v>46121.99930555555</v>
      </c>
      <c r="C431" s="5" t="n">
        <v>481033.42</v>
      </c>
      <c r="D431" s="5" t="n">
        <v>481033.42</v>
      </c>
      <c r="E431" s="2" t="inlineStr">
        <is>
          <t>Andalucía</t>
        </is>
      </c>
      <c r="F431" s="2" t="inlineStr">
        <is>
          <t>Cádiz</t>
        </is>
      </c>
      <c r="G431" s="2" t="n"/>
      <c r="H431" s="2" t="inlineStr">
        <is>
          <t>Alcaldia del Ayuntamiento de San Fernando</t>
        </is>
      </c>
      <c r="I431" s="2" t="inlineStr">
        <is>
          <t>Obras del Proyecto de remodelación de la calle Bonifaz (tramo entre Méndez Núñez y Carraca) en San Fernando</t>
        </is>
      </c>
      <c r="J431" s="2" t="inlineStr">
        <is>
          <t>SC 29/2026</t>
        </is>
      </c>
      <c r="K431" s="2" t="inlineStr">
        <is>
          <t>Abierto simplificado</t>
        </is>
      </c>
      <c r="L431" s="6" t="n">
        <v>8</v>
      </c>
      <c r="M431" s="2" t="n"/>
      <c r="N431" s="7" t="n">
        <v>0</v>
      </c>
      <c r="O431" s="4" t="n"/>
      <c r="P431" s="2" t="inlineStr">
        <is>
          <t>45233140; 45316000; 45232410; 45232150; 45233222; 45315600; 45111100</t>
        </is>
      </c>
      <c r="Q431" s="8" t="inlineStr">
        <is>
          <t>Ver</t>
        </is>
      </c>
      <c r="R431" s="8" t="inlineStr">
        <is>
          <t>PCAP</t>
        </is>
      </c>
      <c r="S431" s="9" t="n">
        <v>46310</v>
      </c>
      <c r="T431" s="3" t="n">
        <v>46304.51849537037</v>
      </c>
      <c r="U431" s="2" t="n"/>
    </row>
    <row r="432">
      <c r="A432" s="2" t="inlineStr">
        <is>
          <t>En plazo</t>
        </is>
      </c>
      <c r="B432" s="3" t="n">
        <v>46332.42986111111</v>
      </c>
      <c r="C432" s="5" t="n">
        <v>209012.79</v>
      </c>
      <c r="D432" s="5" t="n">
        <v>252905.48</v>
      </c>
      <c r="E432" s="2" t="inlineStr">
        <is>
          <t>Andalucía</t>
        </is>
      </c>
      <c r="F432" s="2" t="inlineStr">
        <is>
          <t>Granada</t>
        </is>
      </c>
      <c r="G432" s="2" t="inlineStr">
        <is>
          <t>SOPORTUJAR</t>
        </is>
      </c>
      <c r="H432" s="2" t="inlineStr">
        <is>
          <t>Alcaldía del Ayuntamiento de Soportujar</t>
        </is>
      </c>
      <c r="I432" s="2" t="inlineStr">
        <is>
          <t>Construcción de circunvalación de acceso al pueblo habilitando una segunda entrada al mismo de la actuación 4 1 del plan de sostenibilidad turística</t>
        </is>
      </c>
      <c r="J432" s="2" t="inlineStr">
        <is>
          <t>77/2026</t>
        </is>
      </c>
      <c r="K432" s="2" t="inlineStr">
        <is>
          <t>Abierto</t>
        </is>
      </c>
      <c r="L432" s="6" t="n">
        <v>9</v>
      </c>
      <c r="M432" s="2" t="n"/>
      <c r="N432" s="7" t="n">
        <v>0</v>
      </c>
      <c r="O432" s="4" t="n"/>
      <c r="P432" s="2" t="inlineStr">
        <is>
          <t>45233122</t>
        </is>
      </c>
      <c r="Q432" s="8" t="inlineStr">
        <is>
          <t>Ver</t>
        </is>
      </c>
      <c r="R432" s="8" t="inlineStr">
        <is>
          <t>PCAP</t>
        </is>
      </c>
      <c r="S432" s="9" t="n">
        <v>46310</v>
      </c>
      <c r="T432" s="3" t="n">
        <v>46304.51469907408</v>
      </c>
      <c r="U432" s="2" t="n"/>
    </row>
    <row r="433">
      <c r="A433" s="2" t="inlineStr">
        <is>
          <t>Resuelta</t>
        </is>
      </c>
      <c r="B433" s="3" t="n">
        <v>46210.99930555555</v>
      </c>
      <c r="C433" s="5" t="n">
        <v>66115.7</v>
      </c>
      <c r="D433" s="5" t="n">
        <v>66115.7</v>
      </c>
      <c r="E433" s="2" t="inlineStr">
        <is>
          <t>Andalucía</t>
        </is>
      </c>
      <c r="F433" s="2" t="inlineStr">
        <is>
          <t>Almería</t>
        </is>
      </c>
      <c r="G433" s="2" t="n"/>
      <c r="H433" s="2" t="inlineStr">
        <is>
          <t>Junta de Gobierno de la Diputación Provincial de Almería</t>
        </is>
      </c>
      <c r="I433" s="2" t="inlineStr">
        <is>
          <t>Caminos Municipales, Fondón 38PCAM24-27BII</t>
        </is>
      </c>
      <c r="J433" s="2" t="inlineStr">
        <is>
          <t>2026/D31000/006-013/00064</t>
        </is>
      </c>
      <c r="K433" s="2" t="inlineStr">
        <is>
          <t>Abierto simplificado</t>
        </is>
      </c>
      <c r="L433" s="6" t="n">
        <v>2</v>
      </c>
      <c r="M433" s="2" t="n"/>
      <c r="N433" s="7" t="n">
        <v>0.25</v>
      </c>
      <c r="O433" s="4" t="n"/>
      <c r="P433" s="2" t="inlineStr">
        <is>
          <t>45233222</t>
        </is>
      </c>
      <c r="Q433" s="8" t="inlineStr">
        <is>
          <t>Ver</t>
        </is>
      </c>
      <c r="R433" s="8" t="inlineStr">
        <is>
          <t>PCAP</t>
        </is>
      </c>
      <c r="S433" s="9" t="n">
        <v>46310</v>
      </c>
      <c r="T433" s="3" t="n">
        <v>46304.51358796296</v>
      </c>
      <c r="U433" s="2" t="n"/>
    </row>
    <row r="434">
      <c r="A434" s="2" t="inlineStr">
        <is>
          <t>Resuelta</t>
        </is>
      </c>
      <c r="B434" s="3" t="n">
        <v>46279.58333333334</v>
      </c>
      <c r="C434" s="5" t="n">
        <v>130616.72</v>
      </c>
      <c r="D434" s="5" t="n">
        <v>130616.72</v>
      </c>
      <c r="E434" s="2" t="inlineStr">
        <is>
          <t>Andalucía</t>
        </is>
      </c>
      <c r="F434" s="2" t="inlineStr">
        <is>
          <t>Jaén</t>
        </is>
      </c>
      <c r="G434" s="2" t="inlineStr">
        <is>
          <t>Alcaudete</t>
        </is>
      </c>
      <c r="H434" s="2" t="inlineStr">
        <is>
          <t>Alcaldía del Ayuntamiento de Alcaudete</t>
        </is>
      </c>
      <c r="I434" s="2" t="inlineStr">
        <is>
          <t>Urbanización del vial prolongación Camino Viejo de la Fuensanta de Alcaudete (Jaén).</t>
        </is>
      </c>
      <c r="J434" s="2" t="inlineStr">
        <is>
          <t>5904/2026</t>
        </is>
      </c>
      <c r="K434" s="2" t="inlineStr">
        <is>
          <t>Abierto simplificado</t>
        </is>
      </c>
      <c r="L434" s="6" t="n">
        <v>5</v>
      </c>
      <c r="M434" s="2" t="n"/>
      <c r="N434" s="7" t="n">
        <v>0</v>
      </c>
      <c r="O434" s="4" t="n"/>
      <c r="P434" s="2" t="inlineStr">
        <is>
          <t>45220000; 45233140; 45233252</t>
        </is>
      </c>
      <c r="Q434" s="8" t="inlineStr">
        <is>
          <t>Ver</t>
        </is>
      </c>
      <c r="R434" s="8" t="inlineStr">
        <is>
          <t>PCAP</t>
        </is>
      </c>
      <c r="S434" s="9" t="n">
        <v>46310</v>
      </c>
      <c r="T434" s="3" t="n">
        <v>46304.51325231481</v>
      </c>
      <c r="U434" s="2" t="n"/>
    </row>
    <row r="435">
      <c r="A435" s="2" t="inlineStr">
        <is>
          <t>En plazo</t>
        </is>
      </c>
      <c r="B435" s="3" t="n">
        <v>46322.99930555555</v>
      </c>
      <c r="C435" s="5" t="n">
        <v>206584.58</v>
      </c>
      <c r="D435" s="5" t="n">
        <v>206584.58</v>
      </c>
      <c r="E435" s="2" t="inlineStr">
        <is>
          <t>Andalucía</t>
        </is>
      </c>
      <c r="F435" s="2" t="inlineStr">
        <is>
          <t>Sevilla</t>
        </is>
      </c>
      <c r="G435" s="2" t="n"/>
      <c r="H435" s="2" t="inlineStr">
        <is>
          <t>Alcaldía del Ayuntamiento de Lora del Río</t>
        </is>
      </c>
      <c r="I435"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435" s="2" t="inlineStr">
        <is>
          <t>9046/2026</t>
        </is>
      </c>
      <c r="K435" s="2" t="inlineStr">
        <is>
          <t>Abierto simplificado</t>
        </is>
      </c>
      <c r="L435" s="6" t="n">
        <v>2</v>
      </c>
      <c r="M435" s="2" t="n"/>
      <c r="N435" s="7" t="n">
        <v>0</v>
      </c>
      <c r="O435" s="4" t="n"/>
      <c r="P435" s="2" t="inlineStr">
        <is>
          <t>45233222</t>
        </is>
      </c>
      <c r="Q435" s="8" t="inlineStr">
        <is>
          <t>Ver</t>
        </is>
      </c>
      <c r="R435" s="8" t="inlineStr">
        <is>
          <t>PCAP</t>
        </is>
      </c>
      <c r="S435" s="9" t="n">
        <v>46310</v>
      </c>
      <c r="T435" s="3" t="n">
        <v>46304.50760416667</v>
      </c>
      <c r="U435" s="2" t="n"/>
    </row>
    <row r="436">
      <c r="A436" s="2" t="inlineStr">
        <is>
          <t>Resuelta</t>
        </is>
      </c>
      <c r="B436" s="3" t="n">
        <v>46230.99930555555</v>
      </c>
      <c r="C436" s="5" t="n">
        <v>66115.7</v>
      </c>
      <c r="D436" s="5" t="n">
        <v>66115.7</v>
      </c>
      <c r="E436" s="2" t="inlineStr">
        <is>
          <t>Andalucía</t>
        </is>
      </c>
      <c r="F436" s="2" t="inlineStr">
        <is>
          <t>Almería</t>
        </is>
      </c>
      <c r="G436" s="2" t="n"/>
      <c r="H436" s="2" t="inlineStr">
        <is>
          <t>Junta de Gobierno de la Diputación Provincial de Almería</t>
        </is>
      </c>
      <c r="I436" s="2" t="inlineStr">
        <is>
          <t>Caminos Municipales, Alsodux 13PCAM24-27BII</t>
        </is>
      </c>
      <c r="J436" s="2" t="inlineStr">
        <is>
          <t>2025/D31000/006-013/00266</t>
        </is>
      </c>
      <c r="K436" s="2" t="inlineStr">
        <is>
          <t>Abierto simplificado</t>
        </is>
      </c>
      <c r="L436" s="6" t="n">
        <v>2</v>
      </c>
      <c r="M436" s="2" t="n"/>
      <c r="N436" s="7" t="n">
        <v>0.25</v>
      </c>
      <c r="O436" s="4" t="n"/>
      <c r="P436" s="2" t="inlineStr">
        <is>
          <t>45233222</t>
        </is>
      </c>
      <c r="Q436" s="8" t="inlineStr">
        <is>
          <t>Ver</t>
        </is>
      </c>
      <c r="R436" s="8" t="inlineStr">
        <is>
          <t>PCAP</t>
        </is>
      </c>
      <c r="S436" s="9" t="n">
        <v>46310</v>
      </c>
      <c r="T436" s="3" t="n">
        <v>46304.50708333333</v>
      </c>
      <c r="U436" s="2" t="n"/>
    </row>
    <row r="437">
      <c r="A437" s="2" t="inlineStr">
        <is>
          <t>En plazo</t>
        </is>
      </c>
      <c r="B437" s="3" t="n">
        <v>46322.99930555555</v>
      </c>
      <c r="C437" s="5" t="n">
        <v>264905.5</v>
      </c>
      <c r="D437" s="5" t="n">
        <v>264905.5</v>
      </c>
      <c r="E437" s="2" t="inlineStr">
        <is>
          <t>Andalucía</t>
        </is>
      </c>
      <c r="F437" s="2" t="inlineStr">
        <is>
          <t>Sevilla</t>
        </is>
      </c>
      <c r="G437" s="2" t="n"/>
      <c r="H437" s="2" t="inlineStr">
        <is>
          <t>Alcaldía del Ayuntamiento de Lora del Río</t>
        </is>
      </c>
      <c r="I437"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437" s="2" t="inlineStr">
        <is>
          <t>9045/2026</t>
        </is>
      </c>
      <c r="K437" s="2" t="inlineStr">
        <is>
          <t>Abierto simplificado</t>
        </is>
      </c>
      <c r="L437" s="6" t="n">
        <v>2</v>
      </c>
      <c r="M437" s="2" t="n"/>
      <c r="N437" s="7" t="n">
        <v>0</v>
      </c>
      <c r="O437" s="4" t="n"/>
      <c r="P437" s="2" t="inlineStr">
        <is>
          <t>45233222</t>
        </is>
      </c>
      <c r="Q437" s="8" t="inlineStr">
        <is>
          <t>Ver</t>
        </is>
      </c>
      <c r="R437" s="8" t="inlineStr">
        <is>
          <t>PCAP</t>
        </is>
      </c>
      <c r="S437" s="9" t="n">
        <v>46310</v>
      </c>
      <c r="T437" s="3" t="n">
        <v>46304.50619212963</v>
      </c>
      <c r="U437" s="2" t="n"/>
    </row>
    <row r="438">
      <c r="A438" s="2" t="inlineStr">
        <is>
          <t>Resuelta</t>
        </is>
      </c>
      <c r="B438" s="3" t="n"/>
      <c r="C438" s="5" t="n">
        <v>250332.59</v>
      </c>
      <c r="D438" s="5" t="n">
        <v>302902.59</v>
      </c>
      <c r="E438" s="2" t="inlineStr">
        <is>
          <t>Andalucía</t>
        </is>
      </c>
      <c r="F438" s="2" t="inlineStr">
        <is>
          <t>Granada</t>
        </is>
      </c>
      <c r="G438" s="2" t="n"/>
      <c r="H438" s="2" t="inlineStr">
        <is>
          <t>Demarcación de Carreteras del Estado en Andalucía Oriental</t>
        </is>
      </c>
      <c r="I438"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438" s="2" t="inlineStr">
        <is>
          <t>EM22-AL-04.L2</t>
        </is>
      </c>
      <c r="K438" s="2" t="inlineStr">
        <is>
          <t>Restringido</t>
        </is>
      </c>
      <c r="L438" s="6" t="n">
        <v>9</v>
      </c>
      <c r="M438" s="2" t="n"/>
      <c r="N438" s="7" t="n"/>
      <c r="O438" s="4" t="n"/>
      <c r="P438" s="2" t="inlineStr">
        <is>
          <t>45000000</t>
        </is>
      </c>
      <c r="Q438" s="8" t="inlineStr">
        <is>
          <t>Ver</t>
        </is>
      </c>
      <c r="R438" s="2" t="n"/>
      <c r="S438" s="9" t="n">
        <v>46310</v>
      </c>
      <c r="T438" s="3" t="n">
        <v>46304.50513888889</v>
      </c>
      <c r="U438" s="2" t="n"/>
    </row>
    <row r="439">
      <c r="A439" s="2" t="inlineStr">
        <is>
          <t>Resuelta</t>
        </is>
      </c>
      <c r="B439" s="3" t="n">
        <v>46218.99930555555</v>
      </c>
      <c r="C439" s="5" t="n">
        <v>66115.7</v>
      </c>
      <c r="D439" s="5" t="n">
        <v>66115.7</v>
      </c>
      <c r="E439" s="2" t="inlineStr">
        <is>
          <t>Andalucía</t>
        </is>
      </c>
      <c r="F439" s="2" t="inlineStr">
        <is>
          <t>Almería</t>
        </is>
      </c>
      <c r="G439" s="2" t="n"/>
      <c r="H439" s="2" t="inlineStr">
        <is>
          <t>Junta de Gobierno de la Diputación Provincial de Almería</t>
        </is>
      </c>
      <c r="I439" s="2" t="inlineStr">
        <is>
          <t>Caminos Municipales, Fines 36PCAM24-27BII</t>
        </is>
      </c>
      <c r="J439" s="2" t="inlineStr">
        <is>
          <t>2025/D31000/006-013/00286</t>
        </is>
      </c>
      <c r="K439" s="2" t="inlineStr">
        <is>
          <t>Abierto simplificado</t>
        </is>
      </c>
      <c r="L439" s="6" t="n">
        <v>1</v>
      </c>
      <c r="M439" s="2" t="n"/>
      <c r="N439" s="7" t="n">
        <v>0.25</v>
      </c>
      <c r="O439" s="4" t="n"/>
      <c r="P439" s="2" t="inlineStr">
        <is>
          <t>45233222</t>
        </is>
      </c>
      <c r="Q439" s="8" t="inlineStr">
        <is>
          <t>Ver</t>
        </is>
      </c>
      <c r="R439" s="8" t="inlineStr">
        <is>
          <t>PCAP</t>
        </is>
      </c>
      <c r="S439" s="9" t="n">
        <v>46310</v>
      </c>
      <c r="T439" s="3" t="n">
        <v>46304.50460648148</v>
      </c>
      <c r="U439" s="2" t="n"/>
    </row>
    <row r="440">
      <c r="A440" s="2" t="inlineStr">
        <is>
          <t>Resuelta</t>
        </is>
      </c>
      <c r="B440" s="3" t="n">
        <v>46279.99930555555</v>
      </c>
      <c r="C440" s="5" t="n">
        <v>91342.14999999999</v>
      </c>
      <c r="D440" s="5" t="n">
        <v>91342.14999999999</v>
      </c>
      <c r="E440" s="2" t="inlineStr">
        <is>
          <t>Andalucía</t>
        </is>
      </c>
      <c r="F440" s="2" t="inlineStr">
        <is>
          <t>Granada</t>
        </is>
      </c>
      <c r="G440" s="2" t="inlineStr">
        <is>
          <t>DEIFONTES</t>
        </is>
      </c>
      <c r="H440" s="2" t="inlineStr">
        <is>
          <t>Presidencia de la Diputación Provincial de Granada</t>
        </is>
      </c>
      <c r="I440" s="2" t="inlineStr">
        <is>
          <t>2026/4/PPOYS-61 "Deifontes, rehabilitación estructural de firmes tramo Av. Andalucía y encuentro C/ Marqués de Casablanca"</t>
        </is>
      </c>
      <c r="J440" s="2" t="inlineStr">
        <is>
          <t>OB-063/26</t>
        </is>
      </c>
      <c r="K440" s="2" t="inlineStr">
        <is>
          <t>Abierto simplificado</t>
        </is>
      </c>
      <c r="L440" s="6" t="n">
        <v>5</v>
      </c>
      <c r="M440" s="2" t="inlineStr">
        <is>
          <t>G6-1; E7-1</t>
        </is>
      </c>
      <c r="N440" s="7" t="n">
        <v>0</v>
      </c>
      <c r="O440" s="4" t="n"/>
      <c r="P440" s="2" t="inlineStr">
        <is>
          <t>45231100; 45233252</t>
        </is>
      </c>
      <c r="Q440" s="8" t="inlineStr">
        <is>
          <t>Ver</t>
        </is>
      </c>
      <c r="R440" s="8" t="inlineStr">
        <is>
          <t>PCAP</t>
        </is>
      </c>
      <c r="S440" s="9" t="n">
        <v>46310</v>
      </c>
      <c r="T440" s="3" t="n">
        <v>46304.5040162037</v>
      </c>
      <c r="U440" s="2" t="n"/>
    </row>
    <row r="441">
      <c r="A441" s="2" t="inlineStr">
        <is>
          <t>Resuelta</t>
        </is>
      </c>
      <c r="B441" s="3" t="n"/>
      <c r="C441" s="5" t="n">
        <v>557740.71</v>
      </c>
      <c r="D441" s="5" t="n">
        <v>674866.26</v>
      </c>
      <c r="E441" s="2" t="inlineStr">
        <is>
          <t>Andalucía</t>
        </is>
      </c>
      <c r="F441" s="2" t="inlineStr">
        <is>
          <t>Granada</t>
        </is>
      </c>
      <c r="G441" s="2" t="n"/>
      <c r="H441" s="2" t="inlineStr">
        <is>
          <t>Demarcación de Carreteras del Estado en Andalucía Oriental</t>
        </is>
      </c>
      <c r="I441" s="2" t="inlineStr">
        <is>
          <t>“Reparación de daños localizados en el viaducto del barranco del Caballar en el P.K. 441+500 de la A-7, provincia de Almería”. LOTE 1</t>
        </is>
      </c>
      <c r="J441" s="2" t="inlineStr">
        <is>
          <t>EM22-AL-04.L1</t>
        </is>
      </c>
      <c r="K441" s="2" t="inlineStr">
        <is>
          <t>Restringido</t>
        </is>
      </c>
      <c r="L441" s="6" t="n">
        <v>9</v>
      </c>
      <c r="M441" s="2" t="n"/>
      <c r="N441" s="7" t="n"/>
      <c r="O441" s="4" t="n"/>
      <c r="P441" s="2" t="inlineStr">
        <is>
          <t>45000000</t>
        </is>
      </c>
      <c r="Q441" s="8" t="inlineStr">
        <is>
          <t>Ver</t>
        </is>
      </c>
      <c r="R441" s="2" t="n"/>
      <c r="S441" s="9" t="n">
        <v>46310</v>
      </c>
      <c r="T441" s="3" t="n">
        <v>46304.50293981482</v>
      </c>
      <c r="U441" s="2" t="n"/>
    </row>
    <row r="442">
      <c r="A442" s="2" t="inlineStr">
        <is>
          <t>Resuelta</t>
        </is>
      </c>
      <c r="B442" s="3" t="n">
        <v>46218.99930555555</v>
      </c>
      <c r="C442" s="5" t="n">
        <v>66115.7</v>
      </c>
      <c r="D442" s="5" t="n">
        <v>66115.7</v>
      </c>
      <c r="E442" s="2" t="inlineStr">
        <is>
          <t>Andalucía</t>
        </is>
      </c>
      <c r="F442" s="2" t="inlineStr">
        <is>
          <t>Almería</t>
        </is>
      </c>
      <c r="G442" s="2" t="n"/>
      <c r="H442" s="2" t="inlineStr">
        <is>
          <t>Junta de Gobierno de la Diputación Provincial de Almería</t>
        </is>
      </c>
      <c r="I442" s="2" t="inlineStr">
        <is>
          <t>Caminos Municipales, Albanchez 3PCAM24-27BII</t>
        </is>
      </c>
      <c r="J442" s="2" t="inlineStr">
        <is>
          <t>2025/D31000/006-013/00258</t>
        </is>
      </c>
      <c r="K442" s="2" t="inlineStr">
        <is>
          <t>Abierto simplificado</t>
        </is>
      </c>
      <c r="L442" s="6" t="n">
        <v>1</v>
      </c>
      <c r="M442" s="2" t="n"/>
      <c r="N442" s="7" t="n">
        <v>0.25</v>
      </c>
      <c r="O442" s="4" t="n"/>
      <c r="P442" s="2" t="inlineStr">
        <is>
          <t>45233222</t>
        </is>
      </c>
      <c r="Q442" s="8" t="inlineStr">
        <is>
          <t>Ver</t>
        </is>
      </c>
      <c r="R442" s="8" t="inlineStr">
        <is>
          <t>PCAP</t>
        </is>
      </c>
      <c r="S442" s="9" t="n">
        <v>46310</v>
      </c>
      <c r="T442" s="3" t="n">
        <v>46304.50086805555</v>
      </c>
      <c r="U442" s="2" t="n"/>
    </row>
    <row r="443">
      <c r="A443" s="2" t="inlineStr">
        <is>
          <t>Pendiente de adjudicación</t>
        </is>
      </c>
      <c r="B443" s="3" t="n">
        <v>46268.99930555555</v>
      </c>
      <c r="C443" s="5" t="n">
        <v>231194.41</v>
      </c>
      <c r="D443" s="5" t="n">
        <v>231194.41</v>
      </c>
      <c r="E443" s="2" t="inlineStr">
        <is>
          <t>Andalucía</t>
        </is>
      </c>
      <c r="F443" s="2" t="inlineStr">
        <is>
          <t>Cádiz</t>
        </is>
      </c>
      <c r="G443" s="2" t="inlineStr">
        <is>
          <t>Los BArrios</t>
        </is>
      </c>
      <c r="H443" s="2" t="inlineStr">
        <is>
          <t>Alcaldía del Ayuntamiento de Los Barrios (Cádiz)</t>
        </is>
      </c>
      <c r="I443"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443" s="2" t="inlineStr">
        <is>
          <t>58/26</t>
        </is>
      </c>
      <c r="K443" s="2" t="inlineStr">
        <is>
          <t>Abierto simplificado</t>
        </is>
      </c>
      <c r="L443" s="6" t="n">
        <v>4</v>
      </c>
      <c r="M443" s="2" t="n"/>
      <c r="N443" s="7" t="n">
        <v>0</v>
      </c>
      <c r="O443" s="4" t="n">
        <v>3</v>
      </c>
      <c r="P443" s="2" t="inlineStr">
        <is>
          <t>45233140</t>
        </is>
      </c>
      <c r="Q443" s="8" t="inlineStr">
        <is>
          <t>Ver</t>
        </is>
      </c>
      <c r="R443" s="8" t="inlineStr">
        <is>
          <t>PCAP</t>
        </is>
      </c>
      <c r="S443" s="9" t="n">
        <v>46310</v>
      </c>
      <c r="T443" s="3" t="n">
        <v>46304.49858796296</v>
      </c>
      <c r="U443" s="2" t="n"/>
    </row>
    <row r="444">
      <c r="A444" s="2" t="inlineStr">
        <is>
          <t>Pendiente de adjudicación</t>
        </is>
      </c>
      <c r="B444" s="3" t="n">
        <v>46295.99930555555</v>
      </c>
      <c r="C444" s="5" t="n">
        <v>1025680.86</v>
      </c>
      <c r="D444" s="5" t="n">
        <v>1025680.86</v>
      </c>
      <c r="E444" s="2" t="inlineStr">
        <is>
          <t>Andalucía</t>
        </is>
      </c>
      <c r="F444" s="2" t="inlineStr">
        <is>
          <t>Cádiz</t>
        </is>
      </c>
      <c r="G444" s="2" t="inlineStr">
        <is>
          <t>Los Barrios</t>
        </is>
      </c>
      <c r="H444" s="2" t="inlineStr">
        <is>
          <t>Alcaldía del Ayuntamiento de Los Barrios (Cádiz)</t>
        </is>
      </c>
      <c r="I444" s="2" t="inlineStr">
        <is>
          <t>Contrato de obras del Proyecto Municipal de nuevas instalaciones náutico-deportivas en el estuario del río Palmones TM de Los Barrios, (Cádiz).</t>
        </is>
      </c>
      <c r="J444" s="2" t="inlineStr">
        <is>
          <t>67.26</t>
        </is>
      </c>
      <c r="K444" s="2" t="inlineStr">
        <is>
          <t>Abierto simplificado</t>
        </is>
      </c>
      <c r="L444" s="6" t="n">
        <v>4</v>
      </c>
      <c r="M444" s="2" t="inlineStr">
        <is>
          <t>F*-4</t>
        </is>
      </c>
      <c r="N444" s="7" t="n">
        <v>0</v>
      </c>
      <c r="O444" s="4" t="n"/>
      <c r="P444" s="2" t="inlineStr">
        <is>
          <t>45241300; 34515000</t>
        </is>
      </c>
      <c r="Q444" s="8" t="inlineStr">
        <is>
          <t>Ver</t>
        </is>
      </c>
      <c r="R444" s="8" t="inlineStr">
        <is>
          <t>PCAP</t>
        </is>
      </c>
      <c r="S444" s="9" t="n">
        <v>46310</v>
      </c>
      <c r="T444" s="3" t="n">
        <v>46304.49732638889</v>
      </c>
      <c r="U444" s="2" t="n"/>
    </row>
    <row r="445">
      <c r="A445" s="2" t="inlineStr">
        <is>
          <t>En plazo</t>
        </is>
      </c>
      <c r="B445" s="3" t="n">
        <v>46324.99930555555</v>
      </c>
      <c r="C445" s="5" t="n">
        <v>134772.28</v>
      </c>
      <c r="D445" s="5" t="n">
        <v>134772.28</v>
      </c>
      <c r="E445" s="2" t="inlineStr">
        <is>
          <t>Andalucía</t>
        </is>
      </c>
      <c r="F445" s="2" t="inlineStr">
        <is>
          <t>Granada</t>
        </is>
      </c>
      <c r="G445" s="2" t="n"/>
      <c r="H445" s="2" t="inlineStr">
        <is>
          <t>Junta de Gobierno del Ayuntamiento de Cájar</t>
        </is>
      </c>
      <c r="I445" s="2" t="inlineStr">
        <is>
          <t>Contrato de obras para la ejecución del "Proyecto de acerado de la vía de acceso a Cájar en su entrada en la población por Avenida Huétor Vega y que comunica con los municipios colindantes de Huétor Vega y Monachil".</t>
        </is>
      </c>
      <c r="J445" s="2" t="inlineStr">
        <is>
          <t>133/2026</t>
        </is>
      </c>
      <c r="K445" s="2" t="inlineStr">
        <is>
          <t>Abierto simplificado</t>
        </is>
      </c>
      <c r="L445" s="6" t="n">
        <v>6</v>
      </c>
      <c r="M445" s="2" t="n"/>
      <c r="N445" s="7" t="n">
        <v>0</v>
      </c>
      <c r="O445" s="4" t="n"/>
      <c r="P445" s="2" t="inlineStr">
        <is>
          <t>45233340</t>
        </is>
      </c>
      <c r="Q445" s="8" t="inlineStr">
        <is>
          <t>Ver</t>
        </is>
      </c>
      <c r="R445" s="8" t="inlineStr">
        <is>
          <t>PCAP</t>
        </is>
      </c>
      <c r="S445" s="9" t="n">
        <v>46310</v>
      </c>
      <c r="T445" s="3" t="n">
        <v>46304.49677083334</v>
      </c>
      <c r="U445" s="2" t="n"/>
    </row>
    <row r="446">
      <c r="A446" s="2" t="inlineStr">
        <is>
          <t>Resuelta</t>
        </is>
      </c>
      <c r="B446" s="3" t="n">
        <v>46157.41666666666</v>
      </c>
      <c r="C446" s="5" t="n">
        <v>52000</v>
      </c>
      <c r="D446" s="5" t="n">
        <v>52000</v>
      </c>
      <c r="E446" s="2" t="inlineStr">
        <is>
          <t>Andalucía</t>
        </is>
      </c>
      <c r="F446" s="2" t="inlineStr">
        <is>
          <t>Cádiz</t>
        </is>
      </c>
      <c r="G446" s="2" t="n"/>
      <c r="H446" s="2" t="inlineStr">
        <is>
          <t>Comité Central de Compras de Navantia S.A., S.M.E.</t>
        </is>
      </c>
      <c r="I446" s="2" t="inlineStr">
        <is>
          <t>La presente licitación tiene por objeto la contratación de la obra de sustitución de las puertas de extracción de la cabina de chorro nº2 Navantia San Fernando.</t>
        </is>
      </c>
      <c r="J446" s="2" t="inlineStr">
        <is>
          <t>5100063547 - Sust de las puertas de extracción</t>
        </is>
      </c>
      <c r="K446" s="2" t="inlineStr">
        <is>
          <t>Normas internas</t>
        </is>
      </c>
      <c r="L446" s="6" t="n">
        <v>1.9</v>
      </c>
      <c r="M446" s="2" t="n"/>
      <c r="N446" s="7" t="n">
        <v>1</v>
      </c>
      <c r="O446" s="4" t="n"/>
      <c r="P446" s="2" t="inlineStr">
        <is>
          <t>45000000; 45421131</t>
        </is>
      </c>
      <c r="Q446" s="8" t="inlineStr">
        <is>
          <t>Ver</t>
        </is>
      </c>
      <c r="R446" s="8" t="inlineStr">
        <is>
          <t>PCAP</t>
        </is>
      </c>
      <c r="S446" s="9" t="n">
        <v>46310</v>
      </c>
      <c r="T446" s="3" t="n">
        <v>46304.49297453704</v>
      </c>
      <c r="U446" s="2" t="n"/>
    </row>
    <row r="447">
      <c r="A447" s="2" t="inlineStr">
        <is>
          <t>Resuelta</t>
        </is>
      </c>
      <c r="B447" s="3" t="n">
        <v>46266.41666666666</v>
      </c>
      <c r="C447" s="5" t="n">
        <v>63000</v>
      </c>
      <c r="D447" s="5" t="n">
        <v>63000</v>
      </c>
      <c r="E447" s="2" t="inlineStr">
        <is>
          <t>Andalucía</t>
        </is>
      </c>
      <c r="F447" s="2" t="inlineStr">
        <is>
          <t>Huelva</t>
        </is>
      </c>
      <c r="G447" s="2" t="n"/>
      <c r="H447" s="2" t="inlineStr">
        <is>
          <t>Empresa de Transformación Agraria S.A.,S.M.E., M.P., (TRAGSA)</t>
        </is>
      </c>
      <c r="I4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7" s="2" t="inlineStr">
        <is>
          <t>TSA0080057-240</t>
        </is>
      </c>
      <c r="K447" s="2" t="inlineStr">
        <is>
          <t>Abierto</t>
        </is>
      </c>
      <c r="L447" s="6" t="n">
        <v>8</v>
      </c>
      <c r="M447" s="2" t="n"/>
      <c r="N447" s="7" t="n">
        <v>0</v>
      </c>
      <c r="O447" s="4" t="n"/>
      <c r="P447" s="2" t="inlineStr">
        <is>
          <t>45500000</t>
        </is>
      </c>
      <c r="Q447" s="8" t="inlineStr">
        <is>
          <t>Ver</t>
        </is>
      </c>
      <c r="R447" s="8" t="inlineStr">
        <is>
          <t>PCAP</t>
        </is>
      </c>
      <c r="S447" s="9" t="n">
        <v>46310</v>
      </c>
      <c r="T447" s="3" t="n">
        <v>46304.49168981481</v>
      </c>
      <c r="U447" s="2" t="n"/>
    </row>
    <row r="448">
      <c r="A448" s="2" t="inlineStr">
        <is>
          <t>Resuelta</t>
        </is>
      </c>
      <c r="B448" s="3" t="n">
        <v>46266.41666666666</v>
      </c>
      <c r="C448" s="5" t="n">
        <v>63000</v>
      </c>
      <c r="D448" s="5" t="n">
        <v>63000</v>
      </c>
      <c r="E448" s="2" t="inlineStr">
        <is>
          <t>Andalucía</t>
        </is>
      </c>
      <c r="F448" s="2" t="inlineStr">
        <is>
          <t>Huelva</t>
        </is>
      </c>
      <c r="G448" s="2" t="n"/>
      <c r="H448" s="2" t="inlineStr">
        <is>
          <t>Empresa de Transformación Agraria S.A.,S.M.E., M.P., (TRAGSA)</t>
        </is>
      </c>
      <c r="I44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8" s="2" t="inlineStr">
        <is>
          <t>TSA0080057-237</t>
        </is>
      </c>
      <c r="K448" s="2" t="inlineStr">
        <is>
          <t>Abierto</t>
        </is>
      </c>
      <c r="L448" s="6" t="n">
        <v>8</v>
      </c>
      <c r="M448" s="2" t="n"/>
      <c r="N448" s="7" t="n">
        <v>0</v>
      </c>
      <c r="O448" s="4" t="n"/>
      <c r="P448" s="2" t="inlineStr">
        <is>
          <t>45500000</t>
        </is>
      </c>
      <c r="Q448" s="8" t="inlineStr">
        <is>
          <t>Ver</t>
        </is>
      </c>
      <c r="R448" s="8" t="inlineStr">
        <is>
          <t>PCAP</t>
        </is>
      </c>
      <c r="S448" s="9" t="n">
        <v>46310</v>
      </c>
      <c r="T448" s="3" t="n">
        <v>46304.4897337963</v>
      </c>
      <c r="U448" s="2" t="n"/>
    </row>
    <row r="449">
      <c r="A449" s="2" t="inlineStr">
        <is>
          <t>Resuelta</t>
        </is>
      </c>
      <c r="B449" s="3" t="n">
        <v>46259.41666666666</v>
      </c>
      <c r="C449" s="5" t="n">
        <v>63000</v>
      </c>
      <c r="D449" s="5" t="n">
        <v>63000</v>
      </c>
      <c r="E449" s="2" t="inlineStr">
        <is>
          <t>Andalucía</t>
        </is>
      </c>
      <c r="F449" s="2" t="inlineStr">
        <is>
          <t>Huelva</t>
        </is>
      </c>
      <c r="G449" s="2" t="n"/>
      <c r="H449" s="2" t="inlineStr">
        <is>
          <t>Empresa de Transformación Agraria S.A.,S.M.E., M.P., (TRAGSA)</t>
        </is>
      </c>
      <c r="I4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9" s="2" t="inlineStr">
        <is>
          <t>TSA0080057-235</t>
        </is>
      </c>
      <c r="K449" s="2" t="inlineStr">
        <is>
          <t>Abierto</t>
        </is>
      </c>
      <c r="L449" s="6" t="n">
        <v>8</v>
      </c>
      <c r="M449" s="2" t="n"/>
      <c r="N449" s="7" t="n">
        <v>0</v>
      </c>
      <c r="O449" s="4" t="n"/>
      <c r="P449" s="2" t="inlineStr">
        <is>
          <t>45500000</t>
        </is>
      </c>
      <c r="Q449" s="8" t="inlineStr">
        <is>
          <t>Ver</t>
        </is>
      </c>
      <c r="R449" s="8" t="inlineStr">
        <is>
          <t>PCAP</t>
        </is>
      </c>
      <c r="S449" s="9" t="n">
        <v>46310</v>
      </c>
      <c r="T449" s="3" t="n">
        <v>46304.48721064815</v>
      </c>
      <c r="U449" s="2" t="n"/>
    </row>
    <row r="450">
      <c r="A450" s="2" t="inlineStr">
        <is>
          <t>Resuelta</t>
        </is>
      </c>
      <c r="B450" s="3" t="n">
        <v>46259.41666666666</v>
      </c>
      <c r="C450" s="5" t="n">
        <v>63000</v>
      </c>
      <c r="D450" s="5" t="n">
        <v>63000</v>
      </c>
      <c r="E450" s="2" t="inlineStr">
        <is>
          <t>Andalucía</t>
        </is>
      </c>
      <c r="F450" s="2" t="inlineStr">
        <is>
          <t>Huelva</t>
        </is>
      </c>
      <c r="G450" s="2" t="n"/>
      <c r="H450" s="2" t="inlineStr">
        <is>
          <t>Empresa de Transformación Agraria S.A.,S.M.E., M.P., (TRAGSA)</t>
        </is>
      </c>
      <c r="I45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50" s="2" t="inlineStr">
        <is>
          <t>TSA0080057-232</t>
        </is>
      </c>
      <c r="K450" s="2" t="inlineStr">
        <is>
          <t>Abierto</t>
        </is>
      </c>
      <c r="L450" s="6" t="n">
        <v>8</v>
      </c>
      <c r="M450" s="2" t="n"/>
      <c r="N450" s="7" t="n">
        <v>0</v>
      </c>
      <c r="O450" s="4" t="n"/>
      <c r="P450" s="2" t="inlineStr">
        <is>
          <t>45500000</t>
        </is>
      </c>
      <c r="Q450" s="8" t="inlineStr">
        <is>
          <t>Ver</t>
        </is>
      </c>
      <c r="R450" s="8" t="inlineStr">
        <is>
          <t>PCAP</t>
        </is>
      </c>
      <c r="S450" s="9" t="n">
        <v>46310</v>
      </c>
      <c r="T450" s="3" t="n">
        <v>46304.48612268519</v>
      </c>
      <c r="U450" s="2" t="n"/>
    </row>
    <row r="451">
      <c r="A451" s="2" t="inlineStr">
        <is>
          <t>Resuelta</t>
        </is>
      </c>
      <c r="B451" s="3" t="n">
        <v>46252.41666666666</v>
      </c>
      <c r="C451" s="5" t="n">
        <v>22500</v>
      </c>
      <c r="D451" s="5" t="n">
        <v>22500</v>
      </c>
      <c r="E451" s="2" t="inlineStr">
        <is>
          <t>Andalucía</t>
        </is>
      </c>
      <c r="F451" s="2" t="inlineStr">
        <is>
          <t>Huelva</t>
        </is>
      </c>
      <c r="G451" s="2" t="n"/>
      <c r="H451" s="2" t="inlineStr">
        <is>
          <t>Empresa de Transformación Agraria S.A.,S.M.E., M.P., (TRAGSA)</t>
        </is>
      </c>
      <c r="I4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51" s="2" t="inlineStr">
        <is>
          <t>TSA0080057-222</t>
        </is>
      </c>
      <c r="K451" s="2" t="inlineStr">
        <is>
          <t>Abierto</t>
        </is>
      </c>
      <c r="L451" s="6" t="n">
        <v>7</v>
      </c>
      <c r="M451" s="2" t="n"/>
      <c r="N451" s="7" t="n">
        <v>0</v>
      </c>
      <c r="O451" s="4" t="n"/>
      <c r="P451" s="2" t="inlineStr">
        <is>
          <t>45500000</t>
        </is>
      </c>
      <c r="Q451" s="8" t="inlineStr">
        <is>
          <t>Ver</t>
        </is>
      </c>
      <c r="R451" s="8" t="inlineStr">
        <is>
          <t>PCAP</t>
        </is>
      </c>
      <c r="S451" s="9" t="n">
        <v>46310</v>
      </c>
      <c r="T451" s="3" t="n">
        <v>46304.48461805555</v>
      </c>
      <c r="U451" s="2" t="n"/>
    </row>
    <row r="452">
      <c r="A452" s="2" t="inlineStr">
        <is>
          <t>Adjudicada</t>
        </is>
      </c>
      <c r="B452" s="3" t="n"/>
      <c r="C452" s="5" t="n">
        <v>21520.52</v>
      </c>
      <c r="D452" s="5" t="n">
        <v>21520.52</v>
      </c>
      <c r="E452" s="2" t="inlineStr">
        <is>
          <t>Andalucía</t>
        </is>
      </c>
      <c r="F452" s="2" t="inlineStr">
        <is>
          <t>Cádiz</t>
        </is>
      </c>
      <c r="G452" s="2" t="inlineStr">
        <is>
          <t>Cádiz</t>
        </is>
      </c>
      <c r="H452" s="2" t="inlineStr">
        <is>
          <t>Aena. Dirección del Aeropuerto de Jerez</t>
        </is>
      </c>
      <c r="I452" s="2" t="inlineStr">
        <is>
          <t>Reparación Cubierta Superior De Tejas Del Edificio Terminal Del Aeropuerto De Jerez</t>
        </is>
      </c>
      <c r="J452" s="2" t="inlineStr">
        <is>
          <t>XRY-77/2026</t>
        </is>
      </c>
      <c r="K452" s="2" t="inlineStr">
        <is>
          <t>Normas internas</t>
        </is>
      </c>
      <c r="L452" s="6" t="n">
        <v>2</v>
      </c>
      <c r="M452" s="2" t="n"/>
      <c r="N452" s="7" t="n"/>
      <c r="O452" s="4" t="n"/>
      <c r="P452" s="2" t="inlineStr">
        <is>
          <t>45261420</t>
        </is>
      </c>
      <c r="Q452" s="8" t="inlineStr">
        <is>
          <t>Ver</t>
        </is>
      </c>
      <c r="R452" s="2" t="n"/>
      <c r="S452" s="9" t="n">
        <v>46310</v>
      </c>
      <c r="T452" s="3" t="n">
        <v>46304.48222222222</v>
      </c>
      <c r="U452" s="2" t="n"/>
    </row>
    <row r="453">
      <c r="A453" s="2" t="inlineStr">
        <is>
          <t>Resuelta</t>
        </is>
      </c>
      <c r="B453" s="3" t="n">
        <v>46296.35416666666</v>
      </c>
      <c r="C453" s="5" t="n">
        <v>30924.58</v>
      </c>
      <c r="D453" s="5" t="n">
        <v>30924.58</v>
      </c>
      <c r="E453" s="2" t="inlineStr">
        <is>
          <t>Andalucía</t>
        </is>
      </c>
      <c r="F453" s="2" t="inlineStr">
        <is>
          <t>Cádiz</t>
        </is>
      </c>
      <c r="G453" s="2" t="n"/>
      <c r="H453" s="2" t="inlineStr">
        <is>
          <t>Intendente de San Fernando</t>
        </is>
      </c>
      <c r="I453" s="2" t="inlineStr">
        <is>
          <t>INFRA 26-061 CB Reparaciones de línea eléctrica en baja tensión en canalización subterránea en la Clica. Lote 7</t>
        </is>
      </c>
      <c r="J453" s="2" t="inlineStr">
        <is>
          <t>2026/AR43U/00002530E</t>
        </is>
      </c>
      <c r="K453" s="2" t="inlineStr">
        <is>
          <t>Abierto</t>
        </is>
      </c>
      <c r="L453" s="6" t="n">
        <v>0.3</v>
      </c>
      <c r="M453" s="2" t="n"/>
      <c r="N453" s="7" t="n">
        <v>0</v>
      </c>
      <c r="O453" s="4" t="n"/>
      <c r="P453" s="2" t="inlineStr">
        <is>
          <t>45310000</t>
        </is>
      </c>
      <c r="Q453" s="8" t="inlineStr">
        <is>
          <t>Ver</t>
        </is>
      </c>
      <c r="R453" s="8" t="inlineStr">
        <is>
          <t>PCAP</t>
        </is>
      </c>
      <c r="S453" s="9" t="n">
        <v>46310</v>
      </c>
      <c r="T453" s="3" t="n">
        <v>46304.47384259259</v>
      </c>
      <c r="U453" s="2" t="n"/>
    </row>
    <row r="454">
      <c r="A454" s="2" t="inlineStr">
        <is>
          <t>Resuelta</t>
        </is>
      </c>
      <c r="B454" s="3" t="n">
        <v>46262.99930555555</v>
      </c>
      <c r="C454" s="5" t="n">
        <v>162688.4</v>
      </c>
      <c r="D454" s="5" t="n">
        <v>162688.4</v>
      </c>
      <c r="E454" s="2" t="inlineStr">
        <is>
          <t>Andalucía</t>
        </is>
      </c>
      <c r="F454" s="2" t="inlineStr">
        <is>
          <t>Cádiz</t>
        </is>
      </c>
      <c r="G454" s="2" t="inlineStr">
        <is>
          <t>Chipiona</t>
        </is>
      </c>
      <c r="H454" s="2" t="inlineStr">
        <is>
          <t>Alcaldía del Ayuntamiento de Chipiona</t>
        </is>
      </c>
      <c r="I454"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454" s="2" t="inlineStr">
        <is>
          <t>9050 PAS Asfaltado camino Machuelas Alcubilla ...</t>
        </is>
      </c>
      <c r="K454" s="2" t="inlineStr">
        <is>
          <t>Abierto simplificado</t>
        </is>
      </c>
      <c r="L454" s="6" t="n">
        <v>1.5</v>
      </c>
      <c r="M454" s="2" t="n"/>
      <c r="N454" s="7" t="n">
        <v>0</v>
      </c>
      <c r="O454" s="4" t="n"/>
      <c r="P454" s="2" t="inlineStr">
        <is>
          <t>45233160; 45233141; 45233100</t>
        </is>
      </c>
      <c r="Q454" s="8" t="inlineStr">
        <is>
          <t>Ver</t>
        </is>
      </c>
      <c r="R454" s="8" t="inlineStr">
        <is>
          <t>PCAP</t>
        </is>
      </c>
      <c r="S454" s="9" t="n">
        <v>46310</v>
      </c>
      <c r="T454" s="3" t="n">
        <v>46304.47145833333</v>
      </c>
      <c r="U454" s="2" t="n"/>
    </row>
    <row r="455">
      <c r="A455" s="2" t="inlineStr">
        <is>
          <t>Pendiente de adjudicación</t>
        </is>
      </c>
      <c r="B455" s="3" t="n">
        <v>46300.99930555555</v>
      </c>
      <c r="C455" s="5" t="n">
        <v>199449.23</v>
      </c>
      <c r="D455" s="5" t="n">
        <v>199449.23</v>
      </c>
      <c r="E455" s="2" t="inlineStr">
        <is>
          <t>Andalucía</t>
        </is>
      </c>
      <c r="F455" s="2" t="inlineStr">
        <is>
          <t>Sevilla</t>
        </is>
      </c>
      <c r="G455" s="2" t="inlineStr">
        <is>
          <t>Alcalá de Guadaíra</t>
        </is>
      </c>
      <c r="H455" s="2" t="inlineStr">
        <is>
          <t>Junta de Gobierno Local del Ayuntamiento de Alcalá de Guadaíra</t>
        </is>
      </c>
      <c r="I455" s="2" t="inlineStr">
        <is>
          <t>obras de instalación de sistema de alimentación ininterrumpida (SAI) en la Casa Consistorial (C-2025/089)</t>
        </is>
      </c>
      <c r="J455" s="2" t="inlineStr">
        <is>
          <t>12936/2025</t>
        </is>
      </c>
      <c r="K455" s="2" t="inlineStr">
        <is>
          <t>Abierto simplificado</t>
        </is>
      </c>
      <c r="L455" s="6" t="n">
        <v>4</v>
      </c>
      <c r="M455" s="2" t="n"/>
      <c r="N455" s="7" t="n">
        <v>0.25</v>
      </c>
      <c r="O455" s="4" t="n"/>
      <c r="P455" s="2" t="inlineStr">
        <is>
          <t>45315300; 31682500; 31154000; 31682530; 31682510</t>
        </is>
      </c>
      <c r="Q455" s="8" t="inlineStr">
        <is>
          <t>Ver</t>
        </is>
      </c>
      <c r="R455" s="8" t="inlineStr">
        <is>
          <t>PCAP</t>
        </is>
      </c>
      <c r="S455" s="9" t="n">
        <v>46310</v>
      </c>
      <c r="T455" s="3" t="n">
        <v>46304.4708912037</v>
      </c>
      <c r="U455" s="2" t="n"/>
    </row>
    <row r="456">
      <c r="A456" s="2" t="inlineStr">
        <is>
          <t>En plazo</t>
        </is>
      </c>
      <c r="B456" s="3" t="n">
        <v>46315.99930555555</v>
      </c>
      <c r="C456" s="5" t="n">
        <v>194214.88</v>
      </c>
      <c r="D456" s="5" t="n">
        <v>194214.88</v>
      </c>
      <c r="E456" s="2" t="inlineStr">
        <is>
          <t>Andalucía</t>
        </is>
      </c>
      <c r="F456" s="2" t="inlineStr">
        <is>
          <t>Almería</t>
        </is>
      </c>
      <c r="G456" s="2" t="n"/>
      <c r="H456" s="2" t="inlineStr">
        <is>
          <t>Junta de Gobierno de la Diputación Provincial de Almería</t>
        </is>
      </c>
      <c r="I456" s="2" t="inlineStr">
        <is>
          <t>Instalación De Puntos De Recarga De Vehículos Eléctricos E Instalación Solar Fotovoltaica En El Pabellón Moisés Ruiz, Almería. 8PGM2026</t>
        </is>
      </c>
      <c r="J456" s="2" t="inlineStr">
        <is>
          <t>2026/D31000/006-013/00067</t>
        </is>
      </c>
      <c r="K456" s="2" t="inlineStr">
        <is>
          <t>Abierto simplificado</t>
        </is>
      </c>
      <c r="L456" s="6" t="n">
        <v>4</v>
      </c>
      <c r="M456" s="2" t="n"/>
      <c r="N456" s="7" t="n">
        <v>0.25</v>
      </c>
      <c r="O456" s="4" t="n"/>
      <c r="P456" s="2" t="inlineStr">
        <is>
          <t>45310000</t>
        </is>
      </c>
      <c r="Q456" s="8" t="inlineStr">
        <is>
          <t>Ver</t>
        </is>
      </c>
      <c r="R456" s="8" t="inlineStr">
        <is>
          <t>PCAP</t>
        </is>
      </c>
      <c r="S456" s="9" t="n">
        <v>46310</v>
      </c>
      <c r="T456" s="3" t="n">
        <v>46304.46920138889</v>
      </c>
      <c r="U456" s="2" t="n"/>
    </row>
    <row r="457">
      <c r="A457" s="2" t="inlineStr">
        <is>
          <t>Resuelta</t>
        </is>
      </c>
      <c r="B457" s="3" t="n">
        <v>46252.99930555555</v>
      </c>
      <c r="C457" s="5" t="n">
        <v>78004.5</v>
      </c>
      <c r="D457" s="5" t="n">
        <v>78004.5</v>
      </c>
      <c r="E457" s="2" t="inlineStr">
        <is>
          <t>Andalucía</t>
        </is>
      </c>
      <c r="F457" s="2" t="inlineStr">
        <is>
          <t>Málaga</t>
        </is>
      </c>
      <c r="G457" s="2" t="n"/>
      <c r="H457" s="2" t="inlineStr">
        <is>
          <t>Junta de Gobierno del Ayuntamiento de Fuengirola</t>
        </is>
      </c>
      <c r="I457" s="2" t="inlineStr">
        <is>
          <t>Obras de acondicionamiento del Pump Track, caminos y carriles en el Parque de La Loma</t>
        </is>
      </c>
      <c r="J457" s="2" t="inlineStr">
        <is>
          <t>CONTR-2026000065</t>
        </is>
      </c>
      <c r="K457" s="2" t="inlineStr">
        <is>
          <t>Abierto simplificado</t>
        </is>
      </c>
      <c r="L457" s="6" t="n">
        <v>1</v>
      </c>
      <c r="M457" s="2" t="n"/>
      <c r="N457" s="7" t="n">
        <v>0</v>
      </c>
      <c r="O457" s="4" t="n"/>
      <c r="P457" s="2" t="inlineStr">
        <is>
          <t>45432100; 45233161; 45421144; 45223110</t>
        </is>
      </c>
      <c r="Q457" s="8" t="inlineStr">
        <is>
          <t>Ver</t>
        </is>
      </c>
      <c r="R457" s="8" t="inlineStr">
        <is>
          <t>PCAP</t>
        </is>
      </c>
      <c r="S457" s="9" t="n">
        <v>46310</v>
      </c>
      <c r="T457" s="3" t="n">
        <v>46304.46082175926</v>
      </c>
      <c r="U457" s="2" t="n"/>
    </row>
    <row r="458">
      <c r="A458" s="2" t="inlineStr">
        <is>
          <t>En plazo</t>
        </is>
      </c>
      <c r="B458" s="3" t="n">
        <v>46321.79166666666</v>
      </c>
      <c r="C458" s="5" t="n">
        <v>1650495.98</v>
      </c>
      <c r="D458" s="5" t="n">
        <v>1650495.98</v>
      </c>
      <c r="E458" s="2" t="inlineStr">
        <is>
          <t>Andalucía</t>
        </is>
      </c>
      <c r="F458" s="2" t="inlineStr">
        <is>
          <t>Málaga</t>
        </is>
      </c>
      <c r="G458" s="2" t="n"/>
      <c r="H458" s="2" t="inlineStr">
        <is>
          <t>Instituto de Turismo de España (TURESPAÑA)</t>
        </is>
      </c>
      <c r="I458" s="2" t="inlineStr">
        <is>
          <t>Contrato para la ejecución de obras de la Fase II de las obras para la protección y consolidación del frente de acantilado del parador de turismo de Nerja (Málaga)</t>
        </is>
      </c>
      <c r="J458" s="2" t="inlineStr">
        <is>
          <t>020026C00098</t>
        </is>
      </c>
      <c r="K458" s="2" t="inlineStr">
        <is>
          <t>Abierto simplificado</t>
        </is>
      </c>
      <c r="L458" s="6" t="n">
        <v>10</v>
      </c>
      <c r="M458" s="2" t="n"/>
      <c r="N458" s="7" t="n">
        <v>0</v>
      </c>
      <c r="O458" s="4" t="n"/>
      <c r="P458" s="2" t="inlineStr">
        <is>
          <t>45200000</t>
        </is>
      </c>
      <c r="Q458" s="8" t="inlineStr">
        <is>
          <t>Ver</t>
        </is>
      </c>
      <c r="R458" s="8" t="inlineStr">
        <is>
          <t>PCAP</t>
        </is>
      </c>
      <c r="S458" s="9" t="n">
        <v>46310</v>
      </c>
      <c r="T458" s="3" t="n">
        <v>46304.45849537037</v>
      </c>
      <c r="U458" s="2" t="n"/>
    </row>
    <row r="459">
      <c r="A459" s="2" t="inlineStr">
        <is>
          <t>En plazo</t>
        </is>
      </c>
      <c r="B459" s="3" t="n">
        <v>46330.99930555555</v>
      </c>
      <c r="C459" s="5" t="n">
        <v>65234.6</v>
      </c>
      <c r="D459" s="5" t="n">
        <v>78933.87</v>
      </c>
      <c r="E459" s="2" t="inlineStr">
        <is>
          <t>Andalucía</t>
        </is>
      </c>
      <c r="F459" s="2" t="inlineStr">
        <is>
          <t>Granada</t>
        </is>
      </c>
      <c r="G459" s="2" t="n"/>
      <c r="H459" s="2" t="inlineStr">
        <is>
          <t>Alcaldia del Ayuntamiento de Motril</t>
        </is>
      </c>
      <c r="I459" s="2" t="inlineStr">
        <is>
          <t>Preparación de parcela para circuito BMX en Ronda de Levante, Motril (1ª fase)</t>
        </is>
      </c>
      <c r="J459" s="2" t="inlineStr">
        <is>
          <t>OBR/ABR/CONTRATACION2026000053</t>
        </is>
      </c>
      <c r="K459" s="2" t="inlineStr">
        <is>
          <t>Abierto</t>
        </is>
      </c>
      <c r="L459" s="6" t="n">
        <v>4</v>
      </c>
      <c r="M459" s="2" t="inlineStr">
        <is>
          <t>A2-1</t>
        </is>
      </c>
      <c r="N459" s="7" t="n">
        <v>0</v>
      </c>
      <c r="O459" s="4" t="n"/>
      <c r="P459" s="2" t="inlineStr">
        <is>
          <t>45233162</t>
        </is>
      </c>
      <c r="Q459" s="8" t="inlineStr">
        <is>
          <t>Ver</t>
        </is>
      </c>
      <c r="R459" s="8" t="inlineStr">
        <is>
          <t>PCAP</t>
        </is>
      </c>
      <c r="S459" s="9" t="n">
        <v>46310</v>
      </c>
      <c r="T459" s="3" t="n">
        <v>46304.45704861111</v>
      </c>
      <c r="U459" s="2" t="n"/>
    </row>
    <row r="460">
      <c r="A460" s="2" t="inlineStr">
        <is>
          <t>En plazo</t>
        </is>
      </c>
      <c r="B460" s="3" t="n">
        <v>46317.99930555555</v>
      </c>
      <c r="C460" s="5" t="n">
        <v>700330.77</v>
      </c>
      <c r="D460" s="5" t="n">
        <v>700330.77</v>
      </c>
      <c r="E460" s="2" t="inlineStr">
        <is>
          <t>Andalucía</t>
        </is>
      </c>
      <c r="F460" s="2" t="inlineStr">
        <is>
          <t>Córdoba</t>
        </is>
      </c>
      <c r="G460" s="2" t="n"/>
      <c r="H460" s="2" t="inlineStr">
        <is>
          <t>Junta de Gobierno Local del Ayuntamiento de Hornachuelos</t>
        </is>
      </c>
      <c r="I460" s="2" t="inlineStr">
        <is>
          <t>Contratación de la obra relativa al proyecto de construcción de pabellón polivalente para actividades relacionadas con el desarrollo económico en el recinto ferial Las Erillas (zona norte) de Hornachuelos (Córdoba)</t>
        </is>
      </c>
      <c r="J460" s="2" t="inlineStr">
        <is>
          <t>10893/2026</t>
        </is>
      </c>
      <c r="K460" s="2" t="inlineStr">
        <is>
          <t>Abierto</t>
        </is>
      </c>
      <c r="L460" s="6" t="n">
        <v>7</v>
      </c>
      <c r="M460" s="2" t="inlineStr">
        <is>
          <t>C4-2</t>
        </is>
      </c>
      <c r="N460" s="7" t="n">
        <v>0</v>
      </c>
      <c r="O460" s="4" t="n"/>
      <c r="P460" s="2" t="inlineStr">
        <is>
          <t>45212000</t>
        </is>
      </c>
      <c r="Q460" s="8" t="inlineStr">
        <is>
          <t>Ver</t>
        </is>
      </c>
      <c r="R460" s="8" t="inlineStr">
        <is>
          <t>PCAP</t>
        </is>
      </c>
      <c r="S460" s="9" t="n">
        <v>46310</v>
      </c>
      <c r="T460" s="3" t="n">
        <v>46304.45023148148</v>
      </c>
      <c r="U460" s="2" t="n"/>
    </row>
    <row r="461">
      <c r="A461" s="2" t="inlineStr">
        <is>
          <t>En plazo</t>
        </is>
      </c>
      <c r="B461" s="3" t="n">
        <v>46324.99930555555</v>
      </c>
      <c r="C461" s="5" t="n">
        <v>148914.21</v>
      </c>
      <c r="D461" s="5" t="n">
        <v>148914.21</v>
      </c>
      <c r="E461" s="2" t="inlineStr">
        <is>
          <t>Andalucía</t>
        </is>
      </c>
      <c r="F461" s="2" t="inlineStr">
        <is>
          <t>Huelva</t>
        </is>
      </c>
      <c r="G461" s="2" t="n"/>
      <c r="H461" s="2" t="inlineStr">
        <is>
          <t>Junta de Gobierno Local del Ayuntamiento de Bollullos Par del Condado</t>
        </is>
      </c>
      <c r="I461" s="2" t="inlineStr">
        <is>
          <t>Actuación de rehabilitación de firmes pavimentados en Bollullos Par del Condado</t>
        </is>
      </c>
      <c r="J461" s="2" t="inlineStr">
        <is>
          <t>CONAD0000035 2026</t>
        </is>
      </c>
      <c r="K461" s="2" t="inlineStr">
        <is>
          <t>Abierto simplificado</t>
        </is>
      </c>
      <c r="L461" s="6" t="n">
        <v>2</v>
      </c>
      <c r="M461" s="2" t="inlineStr">
        <is>
          <t>G4-1</t>
        </is>
      </c>
      <c r="N461" s="7" t="n">
        <v>0</v>
      </c>
      <c r="O461" s="4" t="n"/>
      <c r="P461" s="2" t="inlineStr">
        <is>
          <t>45233252</t>
        </is>
      </c>
      <c r="Q461" s="8" t="inlineStr">
        <is>
          <t>Ver</t>
        </is>
      </c>
      <c r="R461" s="8" t="inlineStr">
        <is>
          <t>PCAP</t>
        </is>
      </c>
      <c r="S461" s="9" t="n">
        <v>46310</v>
      </c>
      <c r="T461" s="3" t="n">
        <v>46304.44199074074</v>
      </c>
      <c r="U461" s="2" t="n"/>
    </row>
    <row r="462">
      <c r="A462" s="2" t="inlineStr">
        <is>
          <t>Adjudicada</t>
        </is>
      </c>
      <c r="B462" s="3" t="n">
        <v>46238.99930555555</v>
      </c>
      <c r="C462" s="5" t="n">
        <v>4947025.22</v>
      </c>
      <c r="D462" s="5" t="n">
        <v>4947025.22</v>
      </c>
      <c r="E462" s="2" t="inlineStr">
        <is>
          <t>Andalucía</t>
        </is>
      </c>
      <c r="F462" s="2" t="inlineStr">
        <is>
          <t>Cádiz</t>
        </is>
      </c>
      <c r="G462" s="2" t="inlineStr">
        <is>
          <t>Algeciras</t>
        </is>
      </c>
      <c r="H462" s="2" t="inlineStr">
        <is>
          <t>Alcaldía del Ayuntamiento de Algeciras</t>
        </is>
      </c>
      <c r="I462" s="2" t="inlineStr">
        <is>
          <t>OPA - Tren de Borrascas - Plan de Asfaltado en Viales de Algeciras</t>
        </is>
      </c>
      <c r="J462" s="2" t="inlineStr">
        <is>
          <t>24747/2026</t>
        </is>
      </c>
      <c r="K462" s="2" t="inlineStr">
        <is>
          <t>Abierto</t>
        </is>
      </c>
      <c r="L462" s="6" t="n">
        <v>8</v>
      </c>
      <c r="M462" s="2" t="n"/>
      <c r="N462" s="7" t="n">
        <v>0</v>
      </c>
      <c r="O462" s="4" t="n">
        <v>4</v>
      </c>
      <c r="P462" s="2" t="inlineStr">
        <is>
          <t>45233140; 71317210</t>
        </is>
      </c>
      <c r="Q462" s="8" t="inlineStr">
        <is>
          <t>Ver</t>
        </is>
      </c>
      <c r="R462" s="8" t="inlineStr">
        <is>
          <t>PCAP</t>
        </is>
      </c>
      <c r="S462" s="9" t="n">
        <v>46310</v>
      </c>
      <c r="T462" s="3" t="n">
        <v>46304.44104166667</v>
      </c>
      <c r="U462" s="2" t="n"/>
    </row>
    <row r="463">
      <c r="A463" s="2" t="inlineStr">
        <is>
          <t>Resuelta</t>
        </is>
      </c>
      <c r="B463" s="3" t="n">
        <v>46294.375</v>
      </c>
      <c r="C463" s="5" t="n">
        <v>39991.08</v>
      </c>
      <c r="D463" s="5" t="n">
        <v>39991.08</v>
      </c>
      <c r="E463" s="2" t="inlineStr">
        <is>
          <t>Andalucía</t>
        </is>
      </c>
      <c r="F463" s="2" t="inlineStr">
        <is>
          <t>Cádiz</t>
        </is>
      </c>
      <c r="G463" s="2" t="n"/>
      <c r="H463" s="2" t="inlineStr">
        <is>
          <t>Intendente de San Fernando</t>
        </is>
      </c>
      <c r="I463" s="2" t="inlineStr">
        <is>
          <t>INFRA26-050 CB Reparación de muro de piscina de CDSCA oficiales. Lote 7.</t>
        </is>
      </c>
      <c r="J463" s="2" t="inlineStr">
        <is>
          <t>2026/AR43U/00002543E</t>
        </is>
      </c>
      <c r="K463" s="2" t="inlineStr">
        <is>
          <t>Abierto</t>
        </is>
      </c>
      <c r="L463" s="6" t="n">
        <v>2</v>
      </c>
      <c r="M463" s="2" t="n"/>
      <c r="N463" s="7" t="n">
        <v>0</v>
      </c>
      <c r="O463" s="4" t="n"/>
      <c r="P463" s="2" t="inlineStr">
        <is>
          <t>45000000</t>
        </is>
      </c>
      <c r="Q463" s="8" t="inlineStr">
        <is>
          <t>Ver</t>
        </is>
      </c>
      <c r="R463" s="8" t="inlineStr">
        <is>
          <t>PCAP</t>
        </is>
      </c>
      <c r="S463" s="9" t="n">
        <v>46310</v>
      </c>
      <c r="T463" s="3" t="n">
        <v>46304.43069444445</v>
      </c>
      <c r="U463" s="2" t="n"/>
    </row>
    <row r="464">
      <c r="A464" s="2" t="inlineStr">
        <is>
          <t>Pendiente de adjudicación</t>
        </is>
      </c>
      <c r="B464" s="3" t="n">
        <v>46245.99930555555</v>
      </c>
      <c r="C464" s="5" t="n">
        <v>41668.4</v>
      </c>
      <c r="D464" s="5" t="n">
        <v>41668.4</v>
      </c>
      <c r="E464" s="2" t="inlineStr">
        <is>
          <t>Andalucía</t>
        </is>
      </c>
      <c r="F464" s="2" t="inlineStr">
        <is>
          <t>Córdoba</t>
        </is>
      </c>
      <c r="G464" s="2" t="inlineStr">
        <is>
          <t>Pedro Abad</t>
        </is>
      </c>
      <c r="H464" s="2" t="inlineStr">
        <is>
          <t>Alcaldía de Ayuntamiento de Pedro Abad</t>
        </is>
      </c>
      <c r="I464" s="2" t="inlineStr">
        <is>
          <t>Obras de remodelación de acerados en parque de la Barriada Pablo Iglesias de Pedro Abad</t>
        </is>
      </c>
      <c r="J464" s="2" t="inlineStr">
        <is>
          <t>GEX 3298/2026</t>
        </is>
      </c>
      <c r="K464" s="2" t="inlineStr">
        <is>
          <t>Abierto simplificado</t>
        </is>
      </c>
      <c r="L464" s="6" t="n">
        <v>2</v>
      </c>
      <c r="M464" s="2" t="n"/>
      <c r="N464" s="7" t="n">
        <v>0</v>
      </c>
      <c r="O464" s="4" t="n"/>
      <c r="P464" s="2" t="inlineStr">
        <is>
          <t>45211360</t>
        </is>
      </c>
      <c r="Q464" s="8" t="inlineStr">
        <is>
          <t>Ver</t>
        </is>
      </c>
      <c r="R464" s="8" t="inlineStr">
        <is>
          <t>PCAP</t>
        </is>
      </c>
      <c r="S464" s="9" t="n">
        <v>46310</v>
      </c>
      <c r="T464" s="3" t="n">
        <v>46304.43016203704</v>
      </c>
      <c r="U464" s="2" t="n"/>
    </row>
    <row r="465">
      <c r="A465" s="2" t="inlineStr">
        <is>
          <t>Resuelta</t>
        </is>
      </c>
      <c r="B465" s="3" t="n">
        <v>46297.375</v>
      </c>
      <c r="C465" s="5" t="n">
        <v>49460.96</v>
      </c>
      <c r="D465" s="5" t="n">
        <v>49460.96</v>
      </c>
      <c r="E465" s="2" t="inlineStr">
        <is>
          <t>Andalucía</t>
        </is>
      </c>
      <c r="F465" s="2" t="inlineStr">
        <is>
          <t>Cádiz</t>
        </is>
      </c>
      <c r="G465" s="2" t="n"/>
      <c r="H465" s="2" t="inlineStr">
        <is>
          <t>Intendente de San Fernando</t>
        </is>
      </c>
      <c r="I465" s="2" t="inlineStr">
        <is>
          <t>INFRA26-061 CB Reparaciones en redes de baja tensión: ADU, red trenzada CT6-CGP y línea subterránea CT3-Esteros. Lote 1</t>
        </is>
      </c>
      <c r="J465" s="2" t="inlineStr">
        <is>
          <t>2026/AR43U/00002525E</t>
        </is>
      </c>
      <c r="K465" s="2" t="inlineStr">
        <is>
          <t>Abierto</t>
        </is>
      </c>
      <c r="L465" s="6" t="n">
        <v>1.7</v>
      </c>
      <c r="M465" s="2" t="n"/>
      <c r="N465" s="7" t="n">
        <v>0</v>
      </c>
      <c r="O465" s="4" t="n"/>
      <c r="P465" s="2" t="inlineStr">
        <is>
          <t>45310000</t>
        </is>
      </c>
      <c r="Q465" s="8" t="inlineStr">
        <is>
          <t>Ver</t>
        </is>
      </c>
      <c r="R465" s="8" t="inlineStr">
        <is>
          <t>PCAP</t>
        </is>
      </c>
      <c r="S465" s="9" t="n">
        <v>46310</v>
      </c>
      <c r="T465" s="3" t="n">
        <v>46304.42888888889</v>
      </c>
      <c r="U465" s="2" t="n"/>
    </row>
    <row r="466">
      <c r="A466" s="2" t="inlineStr">
        <is>
          <t>En plazo</t>
        </is>
      </c>
      <c r="B466" s="3" t="n">
        <v>46321</v>
      </c>
      <c r="C466" s="5" t="n">
        <v>46868.12</v>
      </c>
      <c r="D466" s="5" t="n">
        <v>46868.12</v>
      </c>
      <c r="E466" s="2" t="inlineStr">
        <is>
          <t>Andalucía</t>
        </is>
      </c>
      <c r="F466" s="2" t="inlineStr">
        <is>
          <t>Jaén</t>
        </is>
      </c>
      <c r="G466" s="2" t="inlineStr">
        <is>
          <t>BEGÍJAR</t>
        </is>
      </c>
      <c r="H466" s="2" t="inlineStr">
        <is>
          <t>Alcaldía del Ayuntamiento de Begíjar</t>
        </is>
      </c>
      <c r="I466" s="2" t="inlineStr">
        <is>
          <t>Mejora de la eficiencia energética de iluminación y pavimentación en C/ Ejido</t>
        </is>
      </c>
      <c r="J466" s="2" t="inlineStr">
        <is>
          <t>570/2026</t>
        </is>
      </c>
      <c r="K466" s="2" t="inlineStr">
        <is>
          <t>Abierto simplificado</t>
        </is>
      </c>
      <c r="L466" s="6" t="n">
        <v>3</v>
      </c>
      <c r="M466" s="2" t="n"/>
      <c r="N466" s="7" t="n">
        <v>0</v>
      </c>
      <c r="O466" s="4" t="n"/>
      <c r="P466" s="2" t="inlineStr">
        <is>
          <t>45233252</t>
        </is>
      </c>
      <c r="Q466" s="8" t="inlineStr">
        <is>
          <t>Ver</t>
        </is>
      </c>
      <c r="R466" s="8" t="inlineStr">
        <is>
          <t>PCAP</t>
        </is>
      </c>
      <c r="S466" s="9" t="n">
        <v>46310</v>
      </c>
      <c r="T466" s="3" t="n">
        <v>46304.42729166667</v>
      </c>
      <c r="U466" s="2" t="n"/>
    </row>
    <row r="467">
      <c r="A467" s="2" t="inlineStr">
        <is>
          <t>En plazo</t>
        </is>
      </c>
      <c r="B467" s="3" t="n">
        <v>46321.58333333334</v>
      </c>
      <c r="C467" s="5" t="n">
        <v>69444.63</v>
      </c>
      <c r="D467" s="5" t="n">
        <v>69444.63</v>
      </c>
      <c r="E467" s="2" t="inlineStr">
        <is>
          <t>Andalucía</t>
        </is>
      </c>
      <c r="F467" s="2" t="inlineStr">
        <is>
          <t>Sevilla</t>
        </is>
      </c>
      <c r="G467" s="2" t="n"/>
      <c r="H467" s="2" t="inlineStr">
        <is>
          <t>Alcaldía del Ayuntamiento de Pruna</t>
        </is>
      </c>
      <c r="I467" s="2" t="inlineStr">
        <is>
          <t>Patcul</t>
        </is>
      </c>
      <c r="J467" s="2" t="inlineStr">
        <is>
          <t>P4107600A-2026/000010-PAAB</t>
        </is>
      </c>
      <c r="K467" s="2" t="inlineStr">
        <is>
          <t>Abierto simplificado</t>
        </is>
      </c>
      <c r="L467" s="6" t="n">
        <v>4</v>
      </c>
      <c r="M467" s="2" t="n"/>
      <c r="N467" s="7" t="n">
        <v>0</v>
      </c>
      <c r="O467" s="4" t="n">
        <v>2</v>
      </c>
      <c r="P467" s="2" t="inlineStr">
        <is>
          <t>45233140</t>
        </is>
      </c>
      <c r="Q467" s="8" t="inlineStr">
        <is>
          <t>Ver</t>
        </is>
      </c>
      <c r="R467" s="8" t="inlineStr">
        <is>
          <t>PCAP</t>
        </is>
      </c>
      <c r="S467" s="9" t="n">
        <v>46310</v>
      </c>
      <c r="T467" s="3" t="n">
        <v>46304.42538194444</v>
      </c>
      <c r="U467" s="2" t="n"/>
    </row>
    <row r="468">
      <c r="A468" s="2" t="inlineStr">
        <is>
          <t>Adjudicada</t>
        </is>
      </c>
      <c r="B468" s="3" t="n">
        <v>46279.99930555555</v>
      </c>
      <c r="C468" s="5" t="n">
        <v>209942.25</v>
      </c>
      <c r="D468" s="5" t="n">
        <v>209942.25</v>
      </c>
      <c r="E468" s="2" t="inlineStr">
        <is>
          <t>Andalucía</t>
        </is>
      </c>
      <c r="F468" s="2" t="inlineStr">
        <is>
          <t>Huelva</t>
        </is>
      </c>
      <c r="G468" s="2" t="inlineStr">
        <is>
          <t>Punta Umbría</t>
        </is>
      </c>
      <c r="H468" s="2" t="inlineStr">
        <is>
          <t>Alcaldía del Ayuntamiento de Punta umbría</t>
        </is>
      </c>
      <c r="I468" s="2" t="inlineStr">
        <is>
          <t>Obras del Proyecto de Reurbanización de la Calle Góndola, tramo entre cuesta de La Pamblanca y Calle Galatea, en el Municipio de Punta Umbría (Huelva).</t>
        </is>
      </c>
      <c r="J468" s="2" t="inlineStr">
        <is>
          <t>4832/2026</t>
        </is>
      </c>
      <c r="K468" s="2" t="inlineStr">
        <is>
          <t>Abierto simplificado</t>
        </is>
      </c>
      <c r="L468" s="6" t="n">
        <v>4</v>
      </c>
      <c r="M468" s="2" t="n"/>
      <c r="N468" s="7" t="n">
        <v>0</v>
      </c>
      <c r="O468" s="4" t="n"/>
      <c r="P468" s="2" t="inlineStr">
        <is>
          <t>45111000; 45233293; 45233140; 45231110; 45231300</t>
        </is>
      </c>
      <c r="Q468" s="8" t="inlineStr">
        <is>
          <t>Ver</t>
        </is>
      </c>
      <c r="R468" s="8" t="inlineStr">
        <is>
          <t>PCAP</t>
        </is>
      </c>
      <c r="S468" s="9" t="n">
        <v>46310</v>
      </c>
      <c r="T468" s="3" t="n">
        <v>46304.4221412037</v>
      </c>
      <c r="U468" s="2" t="n"/>
    </row>
    <row r="469">
      <c r="A469" s="2" t="inlineStr">
        <is>
          <t>En plazo</t>
        </is>
      </c>
      <c r="B469" s="3" t="n">
        <v>46314.54166666666</v>
      </c>
      <c r="C469" s="5" t="n">
        <v>3230429.22</v>
      </c>
      <c r="D469" s="5" t="n">
        <v>3230429.22</v>
      </c>
      <c r="E469" s="2" t="inlineStr">
        <is>
          <t>Andalucía</t>
        </is>
      </c>
      <c r="F469" s="2" t="n"/>
      <c r="G469" s="2" t="n"/>
      <c r="H469" s="2" t="inlineStr">
        <is>
          <t>ADIF - Presidencia</t>
        </is>
      </c>
      <c r="I46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469" s="2" t="inlineStr">
        <is>
          <t>3.26/27507.0212</t>
        </is>
      </c>
      <c r="K469" s="2" t="inlineStr">
        <is>
          <t>Abierto</t>
        </is>
      </c>
      <c r="L469" s="6" t="n">
        <v>16</v>
      </c>
      <c r="M469" s="2" t="inlineStr">
        <is>
          <t>D5-5</t>
        </is>
      </c>
      <c r="N469" s="7" t="n">
        <v>0.49</v>
      </c>
      <c r="O469" s="4" t="n"/>
      <c r="P469" s="2" t="inlineStr">
        <is>
          <t>45234100</t>
        </is>
      </c>
      <c r="Q469" s="8" t="inlineStr">
        <is>
          <t>Ver</t>
        </is>
      </c>
      <c r="R469" s="8" t="inlineStr">
        <is>
          <t>PCAP</t>
        </is>
      </c>
      <c r="S469" s="9" t="n">
        <v>46310</v>
      </c>
      <c r="T469" s="3" t="n">
        <v>46304.42159722222</v>
      </c>
      <c r="U469" s="2" t="n"/>
    </row>
    <row r="470">
      <c r="A470" s="2" t="inlineStr">
        <is>
          <t>Pendiente de adjudicación</t>
        </is>
      </c>
      <c r="B470" s="3" t="n">
        <v>46232.99930555555</v>
      </c>
      <c r="C470" s="5" t="n">
        <v>234308.78</v>
      </c>
      <c r="D470" s="5" t="n">
        <v>234308.78</v>
      </c>
      <c r="E470" s="2" t="inlineStr">
        <is>
          <t>Andalucía</t>
        </is>
      </c>
      <c r="F470" s="2" t="inlineStr">
        <is>
          <t>Málaga</t>
        </is>
      </c>
      <c r="G470" s="2" t="n"/>
      <c r="H470" s="2" t="inlineStr">
        <is>
          <t>Junta de Gobierno del Ayuntamiento de Marbella</t>
        </is>
      </c>
      <c r="I470" s="2" t="inlineStr">
        <is>
          <t>Contratación de la obra denominada: Reforma de Local de Participación Ciudadana en la Patera, T.M. Marbella (Málaga)</t>
        </is>
      </c>
      <c r="J470" s="2" t="inlineStr">
        <is>
          <t>D OB 81/26</t>
        </is>
      </c>
      <c r="K470" s="2" t="inlineStr">
        <is>
          <t>Abierto</t>
        </is>
      </c>
      <c r="L470" s="6" t="n">
        <v>4</v>
      </c>
      <c r="M470" s="2" t="n"/>
      <c r="N470" s="7" t="n">
        <v>0.45</v>
      </c>
      <c r="O470" s="4" t="n"/>
      <c r="P470" s="2" t="inlineStr">
        <is>
          <t>45400000</t>
        </is>
      </c>
      <c r="Q470" s="8" t="inlineStr">
        <is>
          <t>Ver</t>
        </is>
      </c>
      <c r="R470" s="8" t="inlineStr">
        <is>
          <t>PCAP</t>
        </is>
      </c>
      <c r="S470" s="9" t="n">
        <v>46310</v>
      </c>
      <c r="T470" s="3" t="n">
        <v>46304.42149305555</v>
      </c>
      <c r="U470" s="2" t="n"/>
    </row>
    <row r="471">
      <c r="A471" s="2" t="inlineStr">
        <is>
          <t>Pendiente de adjudicación</t>
        </is>
      </c>
      <c r="B471" s="3" t="n">
        <v>46232.99930555555</v>
      </c>
      <c r="C471" s="5" t="n">
        <v>249569.13</v>
      </c>
      <c r="D471" s="5" t="n">
        <v>249569.13</v>
      </c>
      <c r="E471" s="2" t="inlineStr">
        <is>
          <t>Andalucía</t>
        </is>
      </c>
      <c r="F471" s="2" t="inlineStr">
        <is>
          <t>Málaga</t>
        </is>
      </c>
      <c r="G471" s="2" t="n"/>
      <c r="H471" s="2" t="inlineStr">
        <is>
          <t>Junta de Gobierno del Ayuntamiento de Marbella</t>
        </is>
      </c>
      <c r="I471" s="2" t="inlineStr">
        <is>
          <t>Contratación de las Obras Acondicionamiento del Local Municipal ubicado en calle Juanar, La Patera. T.M. Marbella (Málaga)</t>
        </is>
      </c>
      <c r="J471" s="2" t="inlineStr">
        <is>
          <t>D OB 80/26</t>
        </is>
      </c>
      <c r="K471" s="2" t="inlineStr">
        <is>
          <t>Abierto</t>
        </is>
      </c>
      <c r="L471" s="6" t="n">
        <v>4</v>
      </c>
      <c r="M471" s="2" t="n"/>
      <c r="N471" s="7" t="n">
        <v>0.45</v>
      </c>
      <c r="O471" s="4" t="n"/>
      <c r="P471" s="2" t="inlineStr">
        <is>
          <t>45000000; 45400000</t>
        </is>
      </c>
      <c r="Q471" s="8" t="inlineStr">
        <is>
          <t>Ver</t>
        </is>
      </c>
      <c r="R471" s="8" t="inlineStr">
        <is>
          <t>PCAP</t>
        </is>
      </c>
      <c r="S471" s="9" t="n">
        <v>46310</v>
      </c>
      <c r="T471" s="3" t="n">
        <v>46304.42046296296</v>
      </c>
      <c r="U471" s="2" t="n"/>
    </row>
    <row r="472">
      <c r="A472" s="2" t="inlineStr">
        <is>
          <t>En plazo</t>
        </is>
      </c>
      <c r="B472" s="3" t="n">
        <v>46330.99930555555</v>
      </c>
      <c r="C472" s="5" t="n">
        <v>86607.78</v>
      </c>
      <c r="D472" s="5" t="n">
        <v>346431.12</v>
      </c>
      <c r="E472" s="2" t="inlineStr">
        <is>
          <t>Andalucía</t>
        </is>
      </c>
      <c r="F472" s="2" t="inlineStr">
        <is>
          <t>Sevilla</t>
        </is>
      </c>
      <c r="G472" s="2" t="n"/>
      <c r="H472" s="2" t="inlineStr">
        <is>
          <t>Comisión Ejecutiva de la Limpieza Pública y Protección Ambiental Sociedad Anónima Municipal (LIPASAM)</t>
        </is>
      </c>
      <c r="I472" s="2" t="inlineStr">
        <is>
          <t>Obras de montaje, desmontaje y alquiler de estructuras modulares, cubrición, distribución interna, entarimado y decoración de la caseta de LIPASAM, durante la Feria de abril de Sevilla</t>
        </is>
      </c>
      <c r="J472" s="2" t="inlineStr">
        <is>
          <t>C.E. 32/2026</t>
        </is>
      </c>
      <c r="K472" s="2" t="inlineStr">
        <is>
          <t>Abierto simplificado</t>
        </is>
      </c>
      <c r="L472" s="6" t="n">
        <v>12</v>
      </c>
      <c r="M472" s="2" t="n"/>
      <c r="N472" s="7" t="n">
        <v>0.25</v>
      </c>
      <c r="O472" s="4" t="n"/>
      <c r="P472" s="2" t="inlineStr">
        <is>
          <t>45223100; 45262420; 45223800; 45420000</t>
        </is>
      </c>
      <c r="Q472" s="8" t="inlineStr">
        <is>
          <t>Ver</t>
        </is>
      </c>
      <c r="R472" s="8" t="inlineStr">
        <is>
          <t>PCAP</t>
        </is>
      </c>
      <c r="S472" s="9" t="n">
        <v>46310</v>
      </c>
      <c r="T472" s="3" t="n">
        <v>46304.39957175926</v>
      </c>
      <c r="U472" s="2" t="n"/>
    </row>
    <row r="473">
      <c r="A473" s="2" t="inlineStr">
        <is>
          <t>Adjudicada</t>
        </is>
      </c>
      <c r="B473" s="3" t="n">
        <v>46272.99930555555</v>
      </c>
      <c r="C473" s="5" t="n">
        <v>136013.07</v>
      </c>
      <c r="D473" s="5" t="n">
        <v>136013.07</v>
      </c>
      <c r="E473" s="2" t="inlineStr">
        <is>
          <t>Andalucía</t>
        </is>
      </c>
      <c r="F473" s="2" t="inlineStr">
        <is>
          <t>Jaén</t>
        </is>
      </c>
      <c r="G473" s="2" t="inlineStr">
        <is>
          <t>MARMOLEJO</t>
        </is>
      </c>
      <c r="H473" s="2" t="inlineStr">
        <is>
          <t>Junta de Gobierno Local del Ayuntamiento de Marmolejo</t>
        </is>
      </c>
      <c r="I47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473" s="2" t="inlineStr">
        <is>
          <t>2065/2026</t>
        </is>
      </c>
      <c r="K473" s="2" t="inlineStr">
        <is>
          <t>Abierto simplificado</t>
        </is>
      </c>
      <c r="L473" s="6" t="n">
        <v>6</v>
      </c>
      <c r="M473" s="2" t="n"/>
      <c r="N473" s="7" t="n">
        <v>0</v>
      </c>
      <c r="O473" s="4" t="n"/>
      <c r="P473" s="2" t="inlineStr">
        <is>
          <t>45233252; 45112100; 45232150; 45232400</t>
        </is>
      </c>
      <c r="Q473" s="8" t="inlineStr">
        <is>
          <t>Ver</t>
        </is>
      </c>
      <c r="R473" s="8" t="inlineStr">
        <is>
          <t>PCAP</t>
        </is>
      </c>
      <c r="S473" s="9" t="n">
        <v>46310</v>
      </c>
      <c r="T473" s="3" t="n">
        <v>46304.39688657408</v>
      </c>
      <c r="U473" s="2" t="n"/>
    </row>
    <row r="474">
      <c r="A474" s="2" t="inlineStr">
        <is>
          <t>En plazo</t>
        </is>
      </c>
      <c r="B474" s="3" t="n">
        <v>46324.99930555555</v>
      </c>
      <c r="C474" s="5" t="n">
        <v>95337.44</v>
      </c>
      <c r="D474" s="5" t="n">
        <v>95337.44</v>
      </c>
      <c r="E474" s="2" t="inlineStr">
        <is>
          <t>Andalucía</t>
        </is>
      </c>
      <c r="F474" s="2" t="inlineStr">
        <is>
          <t>Huelva</t>
        </is>
      </c>
      <c r="G474" s="2" t="n"/>
      <c r="H474" s="2" t="inlineStr">
        <is>
          <t>Junta de Gobierno del Ayuntamiento de Almonte</t>
        </is>
      </c>
      <c r="I47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474" s="2" t="inlineStr">
        <is>
          <t>14709/2026</t>
        </is>
      </c>
      <c r="K474" s="2" t="inlineStr">
        <is>
          <t>Abierto simplificado</t>
        </is>
      </c>
      <c r="L474" s="6" t="n">
        <v>6</v>
      </c>
      <c r="M474" s="2" t="n"/>
      <c r="N474" s="7" t="n">
        <v>0.25</v>
      </c>
      <c r="O474" s="4" t="n"/>
      <c r="P474" s="2" t="inlineStr">
        <is>
          <t>45212000</t>
        </is>
      </c>
      <c r="Q474" s="8" t="inlineStr">
        <is>
          <t>Ver</t>
        </is>
      </c>
      <c r="R474" s="8" t="inlineStr">
        <is>
          <t>PCAP</t>
        </is>
      </c>
      <c r="S474" s="9" t="n">
        <v>46310</v>
      </c>
      <c r="T474" s="3" t="n">
        <v>46304.39412037037</v>
      </c>
      <c r="U474" s="2" t="n"/>
    </row>
    <row r="475">
      <c r="A475" s="2" t="inlineStr">
        <is>
          <t>En plazo</t>
        </is>
      </c>
      <c r="B475" s="3" t="n">
        <v>46325.625</v>
      </c>
      <c r="C475" s="5" t="n">
        <v>460056.37</v>
      </c>
      <c r="D475" s="5" t="n">
        <v>460056.37</v>
      </c>
      <c r="E475" s="2" t="inlineStr">
        <is>
          <t>Andalucía</t>
        </is>
      </c>
      <c r="F475" s="2" t="inlineStr">
        <is>
          <t>Cádiz</t>
        </is>
      </c>
      <c r="G475" s="2" t="n"/>
      <c r="H475" s="2" t="inlineStr">
        <is>
          <t>Comité Ejecutivo del Consorcio de la Zona Franca de Cádiz</t>
        </is>
      </c>
      <c r="I47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475" s="2" t="inlineStr">
        <is>
          <t>CO-0190-2026-00-A</t>
        </is>
      </c>
      <c r="K475" s="2" t="inlineStr">
        <is>
          <t>Abierto simplificado</t>
        </is>
      </c>
      <c r="L475" s="6" t="n">
        <v>4</v>
      </c>
      <c r="M475" s="2" t="n"/>
      <c r="N475" s="7" t="n">
        <v>0.25</v>
      </c>
      <c r="O475" s="4" t="n"/>
      <c r="P475" s="2" t="inlineStr">
        <is>
          <t>45231400</t>
        </is>
      </c>
      <c r="Q475" s="8" t="inlineStr">
        <is>
          <t>Ver</t>
        </is>
      </c>
      <c r="R475" s="8" t="inlineStr">
        <is>
          <t>PCAP</t>
        </is>
      </c>
      <c r="S475" s="9" t="n">
        <v>46310</v>
      </c>
      <c r="T475" s="3" t="n">
        <v>46304.38386574074</v>
      </c>
      <c r="U475" s="2" t="n"/>
    </row>
    <row r="476">
      <c r="A476" s="2" t="inlineStr">
        <is>
          <t>En plazo</t>
        </is>
      </c>
      <c r="B476" s="3" t="n">
        <v>46321.99930555555</v>
      </c>
      <c r="C476" s="5" t="n">
        <v>65049.6</v>
      </c>
      <c r="D476" s="5" t="n">
        <v>65049.6</v>
      </c>
      <c r="E476" s="2" t="inlineStr">
        <is>
          <t>Andalucía</t>
        </is>
      </c>
      <c r="F476" s="2" t="inlineStr">
        <is>
          <t>Sevilla</t>
        </is>
      </c>
      <c r="G476" s="2" t="inlineStr">
        <is>
          <t>Mairena del Aljarafe</t>
        </is>
      </c>
      <c r="H476" s="2" t="inlineStr">
        <is>
          <t>Presidencia del Instituto Municipal de Dinamización Ciudadana del Ayuntamiento de Mairena del Aljarafe</t>
        </is>
      </c>
      <c r="I476" s="2" t="inlineStr">
        <is>
          <t>Obra para la ejecución del proyecto de reducción de ruidos en las instalaciones del conjunto polideportivo Cavaleri, Tramo 1.</t>
        </is>
      </c>
      <c r="J476" s="2" t="inlineStr">
        <is>
          <t>650/2026</t>
        </is>
      </c>
      <c r="K476" s="2" t="inlineStr">
        <is>
          <t>Abierto simplificado</t>
        </is>
      </c>
      <c r="L476" s="6" t="n">
        <v>1</v>
      </c>
      <c r="M476" s="2" t="n"/>
      <c r="N476" s="7" t="n">
        <v>0</v>
      </c>
      <c r="O476" s="4" t="n"/>
      <c r="P476" s="2" t="inlineStr">
        <is>
          <t>45323000; 45262400; 45000000</t>
        </is>
      </c>
      <c r="Q476" s="8" t="inlineStr">
        <is>
          <t>Ver</t>
        </is>
      </c>
      <c r="R476" s="8" t="inlineStr">
        <is>
          <t>PCAP</t>
        </is>
      </c>
      <c r="S476" s="9" t="n">
        <v>46310</v>
      </c>
      <c r="T476" s="3" t="n">
        <v>46304.36513888889</v>
      </c>
      <c r="U476" s="2" t="n"/>
    </row>
    <row r="477">
      <c r="A477" s="2" t="inlineStr">
        <is>
          <t>En plazo</t>
        </is>
      </c>
      <c r="B477" s="3" t="n">
        <v>46321.99930555555</v>
      </c>
      <c r="C477" s="5" t="n">
        <v>636363.64</v>
      </c>
      <c r="D477" s="5" t="n">
        <v>636363.64</v>
      </c>
      <c r="E477" s="2" t="inlineStr">
        <is>
          <t>Andalucía</t>
        </is>
      </c>
      <c r="F477" s="2" t="inlineStr">
        <is>
          <t>Huelva</t>
        </is>
      </c>
      <c r="G477" s="2" t="n"/>
      <c r="H477" s="2" t="inlineStr">
        <is>
          <t>Junta de Gobierno del Ayuntamiento de Almonte</t>
        </is>
      </c>
      <c r="I47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477" s="2" t="inlineStr">
        <is>
          <t>12054/2026</t>
        </is>
      </c>
      <c r="K477" s="2" t="inlineStr">
        <is>
          <t>Abierto simplificado</t>
        </is>
      </c>
      <c r="L477" s="6" t="n">
        <v>10</v>
      </c>
      <c r="M477" s="2" t="inlineStr">
        <is>
          <t>C*-3</t>
        </is>
      </c>
      <c r="N477" s="7" t="n">
        <v>0.25</v>
      </c>
      <c r="O477" s="4" t="n"/>
      <c r="P477" s="2" t="inlineStr">
        <is>
          <t>45200000</t>
        </is>
      </c>
      <c r="Q477" s="8" t="inlineStr">
        <is>
          <t>Ver</t>
        </is>
      </c>
      <c r="R477" s="8" t="inlineStr">
        <is>
          <t>PCAP</t>
        </is>
      </c>
      <c r="S477" s="9" t="n">
        <v>46310</v>
      </c>
      <c r="T477" s="3" t="n">
        <v>46304.36408564815</v>
      </c>
      <c r="U477" s="2" t="n"/>
    </row>
    <row r="478">
      <c r="A478" s="2" t="inlineStr">
        <is>
          <t>Pendiente de adjudicación</t>
        </is>
      </c>
      <c r="B478" s="3" t="n">
        <v>46216.99930555555</v>
      </c>
      <c r="C478" s="5" t="n">
        <v>330578.51</v>
      </c>
      <c r="D478" s="5" t="n">
        <v>330578.51</v>
      </c>
      <c r="E478" s="2" t="inlineStr">
        <is>
          <t>Andalucía</t>
        </is>
      </c>
      <c r="F478" s="2" t="inlineStr">
        <is>
          <t>Córdoba</t>
        </is>
      </c>
      <c r="G478" s="2" t="inlineStr">
        <is>
          <t>Cabra</t>
        </is>
      </c>
      <c r="H478" s="2" t="inlineStr">
        <is>
          <t>Junta de Gobierno de la Diputación Provincial de Córdoba</t>
        </is>
      </c>
      <c r="I478" s="2" t="inlineStr">
        <is>
          <t>Contratación de la obra Rehabilitación y equipamiento del edificio del Molino del Duque, Cabra (Córdoba), obra incluida en los Planes Provinciales de Obras y Servicios 2024-2027</t>
        </is>
      </c>
      <c r="J478" s="2" t="inlineStr">
        <is>
          <t>409/26</t>
        </is>
      </c>
      <c r="K478" s="2" t="inlineStr">
        <is>
          <t>Abierto</t>
        </is>
      </c>
      <c r="L478" s="6" t="n">
        <v>8</v>
      </c>
      <c r="M478" s="2" t="n"/>
      <c r="N478" s="7" t="n">
        <v>0.25</v>
      </c>
      <c r="O478" s="4" t="n"/>
      <c r="P478" s="2" t="inlineStr">
        <is>
          <t>45212314; 45454100; 45262522</t>
        </is>
      </c>
      <c r="Q478" s="8" t="inlineStr">
        <is>
          <t>Ver</t>
        </is>
      </c>
      <c r="R478" s="8" t="inlineStr">
        <is>
          <t>PCAP</t>
        </is>
      </c>
      <c r="S478" s="9" t="n">
        <v>46310</v>
      </c>
      <c r="T478" s="3" t="n">
        <v>46304.36295138889</v>
      </c>
      <c r="U478" s="2" t="n"/>
    </row>
    <row r="479">
      <c r="A479" s="2" t="inlineStr">
        <is>
          <t>Adjudicada</t>
        </is>
      </c>
      <c r="B479" s="3" t="n">
        <v>46267.99930555555</v>
      </c>
      <c r="C479" s="5" t="n">
        <v>106545.5</v>
      </c>
      <c r="D479" s="5" t="n">
        <v>106545.5</v>
      </c>
      <c r="E479" s="2" t="inlineStr">
        <is>
          <t>Andalucía</t>
        </is>
      </c>
      <c r="F479" s="2" t="inlineStr">
        <is>
          <t>Huelva</t>
        </is>
      </c>
      <c r="G479" s="2" t="n"/>
      <c r="H479" s="2" t="inlineStr">
        <is>
          <t>Junta de Gobierno del Ayuntamiento de Almonte</t>
        </is>
      </c>
      <c r="I479" s="2" t="inlineStr">
        <is>
          <t>Ejecución de ampliación de cementerio municipal de Almonte con la construcción de 216 nichos en tres módulos (B1a 24 unidades, C1a 96 unidades y D1a 96 unidades) (obra civil)</t>
        </is>
      </c>
      <c r="J479" s="2" t="inlineStr">
        <is>
          <t>20022/2025</t>
        </is>
      </c>
      <c r="K479" s="2" t="inlineStr">
        <is>
          <t>Abierto simplificado</t>
        </is>
      </c>
      <c r="L479" s="6" t="n">
        <v>1.2</v>
      </c>
      <c r="M479" s="2" t="n"/>
      <c r="N479" s="7" t="n">
        <v>0</v>
      </c>
      <c r="O479" s="4" t="n"/>
      <c r="P479" s="2" t="inlineStr">
        <is>
          <t>45215400</t>
        </is>
      </c>
      <c r="Q479" s="8" t="inlineStr">
        <is>
          <t>Ver</t>
        </is>
      </c>
      <c r="R479" s="8" t="inlineStr">
        <is>
          <t>PCAP</t>
        </is>
      </c>
      <c r="S479" s="9" t="n">
        <v>46310</v>
      </c>
      <c r="T479" s="3" t="n">
        <v>46304.35980324074</v>
      </c>
      <c r="U479" s="2" t="n"/>
    </row>
    <row r="480">
      <c r="A480" s="2" t="inlineStr">
        <is>
          <t>Pendiente de adjudicación</t>
        </is>
      </c>
      <c r="B480" s="3" t="n">
        <v>46289.99930555555</v>
      </c>
      <c r="C480" s="5" t="n">
        <v>48781.49</v>
      </c>
      <c r="D480" s="5" t="n">
        <v>48781.49</v>
      </c>
      <c r="E480" s="2" t="inlineStr">
        <is>
          <t>Andalucía</t>
        </is>
      </c>
      <c r="F480" s="2" t="inlineStr">
        <is>
          <t>Cádiz</t>
        </is>
      </c>
      <c r="G480" s="2" t="inlineStr">
        <is>
          <t>Puerto Real</t>
        </is>
      </c>
      <c r="H480" s="2" t="inlineStr">
        <is>
          <t>Alcaldía del Ayuntamiento de Puerto Real</t>
        </is>
      </c>
      <c r="I480" s="2" t="inlineStr">
        <is>
          <t>B/002/2026: Obras de restitución y refuerzo de infraestructuras de contención y pavimentación en los patios de infantil y primaria del Ceip Trocadero de Puerto Real.</t>
        </is>
      </c>
      <c r="J480" s="2" t="inlineStr">
        <is>
          <t>9980/2026</t>
        </is>
      </c>
      <c r="K480" s="2" t="inlineStr">
        <is>
          <t>Abierto simplificado</t>
        </is>
      </c>
      <c r="L480" s="6" t="n">
        <v>1.5</v>
      </c>
      <c r="M480" s="2" t="n"/>
      <c r="N480" s="7" t="n">
        <v>0.2</v>
      </c>
      <c r="O480" s="4" t="n"/>
      <c r="P480" s="2" t="inlineStr">
        <is>
          <t>45233222; 45112500; 45214200; 45262620; 45261420</t>
        </is>
      </c>
      <c r="Q480" s="8" t="inlineStr">
        <is>
          <t>Ver</t>
        </is>
      </c>
      <c r="R480" s="8" t="inlineStr">
        <is>
          <t>PCAP</t>
        </is>
      </c>
      <c r="S480" s="9" t="n">
        <v>46310</v>
      </c>
      <c r="T480" s="3" t="n">
        <v>46304.35925925926</v>
      </c>
      <c r="U480" s="2" t="n"/>
    </row>
    <row r="481">
      <c r="A481" s="2" t="inlineStr">
        <is>
          <t>Pendiente de adjudicación</t>
        </is>
      </c>
      <c r="B481" s="3" t="n">
        <v>46301.99930555555</v>
      </c>
      <c r="C481" s="5" t="n">
        <v>305785.12</v>
      </c>
      <c r="D481" s="5" t="n">
        <v>305785.12</v>
      </c>
      <c r="E481" s="2" t="inlineStr">
        <is>
          <t>Andalucía</t>
        </is>
      </c>
      <c r="F481" s="2" t="inlineStr">
        <is>
          <t>Sevilla</t>
        </is>
      </c>
      <c r="G481" s="2" t="n"/>
      <c r="H481" s="2" t="inlineStr">
        <is>
          <t>Alcaldía del Ayuntamiento de Alcalá del Río</t>
        </is>
      </c>
      <c r="I481" s="2" t="inlineStr">
        <is>
          <t>Obras de adecuación y mejora de parques municipales y construcción de auditorio al aire libre en Parque Concordia.</t>
        </is>
      </c>
      <c r="J481" s="2" t="inlineStr">
        <is>
          <t>P4100500J-2026/000012-PAAS</t>
        </is>
      </c>
      <c r="K481" s="2" t="inlineStr">
        <is>
          <t>Abierto simplificado</t>
        </is>
      </c>
      <c r="L481" s="6" t="n">
        <v>3</v>
      </c>
      <c r="M481" s="2" t="n"/>
      <c r="N481" s="7" t="n">
        <v>0</v>
      </c>
      <c r="O481" s="4" t="n"/>
      <c r="P481" s="2" t="inlineStr">
        <is>
          <t>45000000</t>
        </is>
      </c>
      <c r="Q481" s="8" t="inlineStr">
        <is>
          <t>Ver</t>
        </is>
      </c>
      <c r="R481" s="8" t="inlineStr">
        <is>
          <t>PCAP</t>
        </is>
      </c>
      <c r="S481" s="9" t="n">
        <v>46310</v>
      </c>
      <c r="T481" s="3" t="n">
        <v>46304.35877314815</v>
      </c>
      <c r="U481" s="2" t="n"/>
    </row>
    <row r="482">
      <c r="A482" s="2" t="inlineStr">
        <is>
          <t>En plazo</t>
        </is>
      </c>
      <c r="B482" s="3" t="n">
        <v>46350.45833333334</v>
      </c>
      <c r="C482" s="5" t="n">
        <v>3246355.87</v>
      </c>
      <c r="D482" s="5" t="n">
        <v>3246355.87</v>
      </c>
      <c r="E482" s="2" t="inlineStr">
        <is>
          <t>Andalucía</t>
        </is>
      </c>
      <c r="F482" s="2" t="inlineStr">
        <is>
          <t>Sevilla</t>
        </is>
      </c>
      <c r="G482" s="2" t="n"/>
      <c r="H482" s="2" t="inlineStr">
        <is>
          <t>Comisión Ejecutiva de la Gerencia de Urbanismo de Sevilla</t>
        </is>
      </c>
      <c r="I482" s="2" t="inlineStr">
        <is>
          <t>Obras del Proyecto básico y de ejecución para rehabilitación, consolidación y puesta en valor de la sala de Profundis y las viviendas anexas del Real Monasterio de Santa Clara.</t>
        </is>
      </c>
      <c r="J482" s="2" t="inlineStr">
        <is>
          <t>19/2026</t>
        </is>
      </c>
      <c r="K482" s="2" t="inlineStr">
        <is>
          <t>Abierto</t>
        </is>
      </c>
      <c r="L482" s="6" t="n">
        <v>18</v>
      </c>
      <c r="M482" s="2" t="inlineStr">
        <is>
          <t>K7-4</t>
        </is>
      </c>
      <c r="N482" s="7" t="n">
        <v>0</v>
      </c>
      <c r="O482" s="4" t="n"/>
      <c r="P482" s="2" t="inlineStr">
        <is>
          <t>45212300</t>
        </is>
      </c>
      <c r="Q482" s="8" t="inlineStr">
        <is>
          <t>Ver</t>
        </is>
      </c>
      <c r="R482" s="8" t="inlineStr">
        <is>
          <t>PCAP</t>
        </is>
      </c>
      <c r="S482" s="9" t="n">
        <v>46310</v>
      </c>
      <c r="T482" s="3" t="n">
        <v>46304.35609953704</v>
      </c>
      <c r="U482" s="2" t="n"/>
    </row>
    <row r="483">
      <c r="A483" s="2" t="inlineStr">
        <is>
          <t>Resuelta</t>
        </is>
      </c>
      <c r="B483" s="3" t="n">
        <v>46167.58333333334</v>
      </c>
      <c r="C483" s="5" t="n">
        <v>15222111.13</v>
      </c>
      <c r="D483" s="5" t="n">
        <v>15222111.13</v>
      </c>
      <c r="E483" s="2" t="inlineStr">
        <is>
          <t>Comunitat Valenciana</t>
        </is>
      </c>
      <c r="F483" s="2" t="inlineStr">
        <is>
          <t>Valencia</t>
        </is>
      </c>
      <c r="G483" s="2" t="inlineStr">
        <is>
          <t>Gandía.</t>
        </is>
      </c>
      <c r="H483" s="2" t="inlineStr">
        <is>
          <t>Secretaría General de la Agencia Estatal Consejo Superior de Investigaciones Científicas</t>
        </is>
      </c>
      <c r="I483" s="2" t="inlineStr">
        <is>
          <t>Obras de construcción del Centro de Investigación en Tecnología para las Ciencias del Mar de la Agencia Estatal Consejo Superior de Investigaciones Científicas.</t>
        </is>
      </c>
      <c r="J483" s="2" t="inlineStr">
        <is>
          <t>34846/26</t>
        </is>
      </c>
      <c r="K483" s="2" t="inlineStr">
        <is>
          <t>Abierto</t>
        </is>
      </c>
      <c r="L483" s="6" t="n">
        <v>18</v>
      </c>
      <c r="M483" s="2" t="inlineStr">
        <is>
          <t>C4-6</t>
        </is>
      </c>
      <c r="N483" s="7" t="n">
        <v>0.25</v>
      </c>
      <c r="O483" s="4" t="n"/>
      <c r="P483" s="2" t="inlineStr">
        <is>
          <t>45214600</t>
        </is>
      </c>
      <c r="Q483" s="8" t="inlineStr">
        <is>
          <t>Ver</t>
        </is>
      </c>
      <c r="R483" s="8" t="inlineStr">
        <is>
          <t>PCAP</t>
        </is>
      </c>
      <c r="S483" s="9" t="n">
        <v>46310</v>
      </c>
      <c r="T483" s="3" t="n">
        <v>46304.33702546296</v>
      </c>
      <c r="U483" s="2" t="n"/>
    </row>
    <row r="484">
      <c r="A484" s="2" t="inlineStr">
        <is>
          <t>Resuelta</t>
        </is>
      </c>
      <c r="B484" s="3" t="n">
        <v>46287.99930555555</v>
      </c>
      <c r="C484" s="5" t="n">
        <v>606600.46</v>
      </c>
      <c r="D484" s="5" t="n">
        <v>606600.46</v>
      </c>
      <c r="E484" s="2" t="inlineStr">
        <is>
          <t>Andalucía</t>
        </is>
      </c>
      <c r="F484" s="2" t="inlineStr">
        <is>
          <t>Cádiz</t>
        </is>
      </c>
      <c r="G484" s="2" t="inlineStr">
        <is>
          <t>Algeciras</t>
        </is>
      </c>
      <c r="H484" s="2" t="inlineStr">
        <is>
          <t>Rectorado de la Universidad de Cádiz</t>
        </is>
      </c>
      <c r="I48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484" s="2" t="inlineStr">
        <is>
          <t>EXP041/2026/19</t>
        </is>
      </c>
      <c r="K484" s="2" t="inlineStr">
        <is>
          <t>Abierto simplificado</t>
        </is>
      </c>
      <c r="L484" s="6" t="n">
        <v>5</v>
      </c>
      <c r="M484" s="2" t="inlineStr">
        <is>
          <t>C*-3</t>
        </is>
      </c>
      <c r="N484" s="7" t="n">
        <v>0.25</v>
      </c>
      <c r="O484" s="4" t="n"/>
      <c r="P484" s="2" t="inlineStr">
        <is>
          <t>45261420; 45261300; 45421100; 45421112; 45432100; 45262520; 45432000; 45261400</t>
        </is>
      </c>
      <c r="Q484" s="8" t="inlineStr">
        <is>
          <t>Ver</t>
        </is>
      </c>
      <c r="R484" s="8" t="inlineStr">
        <is>
          <t>PCAP</t>
        </is>
      </c>
      <c r="S484" s="9" t="n">
        <v>46310</v>
      </c>
      <c r="T484" s="3" t="n">
        <v>46304.33071759259</v>
      </c>
      <c r="U484" s="2" t="n"/>
    </row>
    <row r="485">
      <c r="A485" s="2" t="inlineStr">
        <is>
          <t>Pendiente de adjudicación</t>
        </is>
      </c>
      <c r="B485" s="3" t="n">
        <v>46287.99930555555</v>
      </c>
      <c r="C485" s="5" t="n">
        <v>319993.82</v>
      </c>
      <c r="D485" s="5" t="n">
        <v>319993.82</v>
      </c>
      <c r="E485" s="2" t="inlineStr">
        <is>
          <t>Andalucía</t>
        </is>
      </c>
      <c r="F485" s="2" t="inlineStr">
        <is>
          <t>Cádiz</t>
        </is>
      </c>
      <c r="G485" s="2" t="inlineStr">
        <is>
          <t>Jerez de la Frontera</t>
        </is>
      </c>
      <c r="H485" s="2" t="inlineStr">
        <is>
          <t>Rectorado de la Universidad de Cádiz</t>
        </is>
      </c>
      <c r="I485" s="2" t="inlineStr">
        <is>
          <t>Obra de ejecución del Proyecto de sustitución de equipos y mejoras de la instalación de climatización y ventilación en el Edificio Despachos y Seminarios del Campus de Jerez de la Universidad de Cádiz</t>
        </is>
      </c>
      <c r="J485" s="2" t="inlineStr">
        <is>
          <t>EXP034/2026/19</t>
        </is>
      </c>
      <c r="K485" s="2" t="inlineStr">
        <is>
          <t>Abierto</t>
        </is>
      </c>
      <c r="L485" s="6" t="n">
        <v>4</v>
      </c>
      <c r="M485" s="2" t="n"/>
      <c r="N485" s="7" t="n">
        <v>0.5</v>
      </c>
      <c r="O485" s="4" t="n"/>
      <c r="P485" s="2" t="inlineStr">
        <is>
          <t>45331200; 42512000</t>
        </is>
      </c>
      <c r="Q485" s="8" t="inlineStr">
        <is>
          <t>Ver</t>
        </is>
      </c>
      <c r="R485" s="8" t="inlineStr">
        <is>
          <t>PCAP</t>
        </is>
      </c>
      <c r="S485" s="9" t="n">
        <v>46310</v>
      </c>
      <c r="T485" s="3" t="n">
        <v>46304.32961805556</v>
      </c>
      <c r="U485" s="2" t="n"/>
    </row>
    <row r="486">
      <c r="A486" s="2" t="inlineStr">
        <is>
          <t>En plazo</t>
        </is>
      </c>
      <c r="B486" s="3" t="n">
        <v>46323.99930555555</v>
      </c>
      <c r="C486" s="5" t="n">
        <v>110631.48</v>
      </c>
      <c r="D486" s="5" t="n">
        <v>110631.48</v>
      </c>
      <c r="E486" s="2" t="inlineStr">
        <is>
          <t>Andalucía</t>
        </is>
      </c>
      <c r="F486" s="2" t="inlineStr">
        <is>
          <t>Málaga</t>
        </is>
      </c>
      <c r="G486" s="2" t="inlineStr">
        <is>
          <t>Cómpeta</t>
        </is>
      </c>
      <c r="H486" s="2" t="inlineStr">
        <is>
          <t>Alcaldía del Ayuntamiento de Cómpeta</t>
        </is>
      </c>
      <c r="I486" s="2" t="inlineStr">
        <is>
          <t>Mejora Integral de Calle San Antonio Fase I, en Cómpeta</t>
        </is>
      </c>
      <c r="J486" s="2" t="inlineStr">
        <is>
          <t>1325/2026</t>
        </is>
      </c>
      <c r="K486" s="2" t="inlineStr">
        <is>
          <t>Abierto simplificado</t>
        </is>
      </c>
      <c r="L486" s="6" t="n">
        <v>4</v>
      </c>
      <c r="M486" s="2" t="n"/>
      <c r="N486" s="7" t="n">
        <v>0</v>
      </c>
      <c r="O486" s="4" t="n"/>
      <c r="P486" s="2" t="inlineStr">
        <is>
          <t>45233252; 45233293</t>
        </is>
      </c>
      <c r="Q486" s="8" t="inlineStr">
        <is>
          <t>Ver</t>
        </is>
      </c>
      <c r="R486" s="8" t="inlineStr">
        <is>
          <t>PCAP</t>
        </is>
      </c>
      <c r="S486" s="9" t="n">
        <v>46310</v>
      </c>
      <c r="T486" s="3" t="n">
        <v>46304.29489583334</v>
      </c>
      <c r="U486" s="2" t="n"/>
    </row>
    <row r="487">
      <c r="A487" s="2" t="inlineStr">
        <is>
          <t>En plazo</t>
        </is>
      </c>
      <c r="B487" s="3" t="n">
        <v>46323.99930555555</v>
      </c>
      <c r="C487" s="5" t="n">
        <v>255023.39</v>
      </c>
      <c r="D487" s="5" t="n">
        <v>255023.39</v>
      </c>
      <c r="E487" s="2" t="inlineStr">
        <is>
          <t>Andalucía</t>
        </is>
      </c>
      <c r="F487" s="2" t="inlineStr">
        <is>
          <t>Granada</t>
        </is>
      </c>
      <c r="G487" s="2" t="inlineStr">
        <is>
          <t>POLOPOS MAMOLA</t>
        </is>
      </c>
      <c r="H487" s="2" t="inlineStr">
        <is>
          <t>Alcaldía del Ayuntamiento de Polopos - La Mamola</t>
        </is>
      </c>
      <c r="I487" s="2" t="inlineStr">
        <is>
          <t>Ejecución de las obras del Proyecto de Pavimentación y alumbrado público del Camino de Acceso al Haza del Trigo, T.M. Polopos-La Mamola (Granada).</t>
        </is>
      </c>
      <c r="J487" s="2" t="inlineStr">
        <is>
          <t>267/2025</t>
        </is>
      </c>
      <c r="K487" s="2" t="inlineStr">
        <is>
          <t>Abierto simplificado</t>
        </is>
      </c>
      <c r="L487" s="6" t="n">
        <v>4</v>
      </c>
      <c r="M487" s="2" t="n"/>
      <c r="N487" s="7" t="n">
        <v>0.1</v>
      </c>
      <c r="O487" s="4" t="n"/>
      <c r="P487" s="2" t="inlineStr">
        <is>
          <t>45233222; 45316110</t>
        </is>
      </c>
      <c r="Q487" s="8" t="inlineStr">
        <is>
          <t>Ver</t>
        </is>
      </c>
      <c r="R487" s="8" t="inlineStr">
        <is>
          <t>PCAP</t>
        </is>
      </c>
      <c r="S487" s="9" t="n">
        <v>46310</v>
      </c>
      <c r="T487" s="3" t="n">
        <v>46303.84091435185</v>
      </c>
      <c r="U487" s="2" t="n"/>
    </row>
    <row r="488">
      <c r="A488" s="2" t="inlineStr">
        <is>
          <t>Resuelta</t>
        </is>
      </c>
      <c r="B488" s="3" t="n">
        <v>46265.99930555555</v>
      </c>
      <c r="C488" s="5" t="n">
        <v>80349.59</v>
      </c>
      <c r="D488" s="5" t="n">
        <v>80349.59</v>
      </c>
      <c r="E488" s="2" t="inlineStr">
        <is>
          <t>Andalucía</t>
        </is>
      </c>
      <c r="F488" s="2" t="inlineStr">
        <is>
          <t>Granada</t>
        </is>
      </c>
      <c r="G488" s="2" t="inlineStr">
        <is>
          <t>Alquife</t>
        </is>
      </c>
      <c r="H488" s="2" t="inlineStr">
        <is>
          <t>Pleno del Ayuntamiento de Alquífe</t>
        </is>
      </c>
      <c r="I488" s="2" t="inlineStr">
        <is>
          <t>Contrato de obra de la rehabilitación de la envolvente térmica del edificio municipal Nave de Usos Múltiples: Rehabilitación energética de cubiertas, Alquife (Granada),</t>
        </is>
      </c>
      <c r="J488" s="2" t="inlineStr">
        <is>
          <t>87/2026</t>
        </is>
      </c>
      <c r="K488" s="2" t="inlineStr">
        <is>
          <t>Abierto simplificado</t>
        </is>
      </c>
      <c r="L488" s="6" t="n">
        <v>4</v>
      </c>
      <c r="M488" s="2" t="n"/>
      <c r="N488" s="7" t="n">
        <v>0</v>
      </c>
      <c r="O488" s="4" t="n"/>
      <c r="P488" s="2" t="inlineStr">
        <is>
          <t>45261410; 45320000; 45260000</t>
        </is>
      </c>
      <c r="Q488" s="8" t="inlineStr">
        <is>
          <t>Ver</t>
        </is>
      </c>
      <c r="R488" s="8" t="inlineStr">
        <is>
          <t>PCAP</t>
        </is>
      </c>
      <c r="S488" s="9" t="n">
        <v>46310</v>
      </c>
      <c r="T488" s="3" t="n">
        <v>46303.83800925926</v>
      </c>
      <c r="U488" s="2" t="n"/>
    </row>
    <row r="489">
      <c r="A489" s="2" t="inlineStr">
        <is>
          <t>Resuelta</t>
        </is>
      </c>
      <c r="B489" s="3" t="n">
        <v>46258.99930555555</v>
      </c>
      <c r="C489" s="5" t="n">
        <v>61575.99</v>
      </c>
      <c r="D489" s="5" t="n">
        <v>61575.99</v>
      </c>
      <c r="E489" s="2" t="inlineStr">
        <is>
          <t>Comunitat Valenciana</t>
        </is>
      </c>
      <c r="F489" s="2" t="inlineStr">
        <is>
          <t>Valencia</t>
        </is>
      </c>
      <c r="G489" s="2" t="n"/>
      <c r="H489" s="2" t="inlineStr">
        <is>
          <t>Pleno del Ayuntamiento de Benavites</t>
        </is>
      </c>
      <c r="I489" s="2" t="inlineStr">
        <is>
          <t>Contrato de Obras Adoquinado Calle Les Parres. Entre Benicalaf y Calle Forn y Entre Calle Jose Berenguer y Calle Valencia</t>
        </is>
      </c>
      <c r="J489" s="2" t="inlineStr">
        <is>
          <t>2771197K Bis</t>
        </is>
      </c>
      <c r="K489" s="2" t="inlineStr">
        <is>
          <t>Negociado sin publicidad</t>
        </is>
      </c>
      <c r="L489" s="6" t="n">
        <v>3</v>
      </c>
      <c r="M489" s="2" t="n"/>
      <c r="N489" s="7" t="n">
        <v>0</v>
      </c>
      <c r="O489" s="4" t="n"/>
      <c r="P489" s="2" t="inlineStr">
        <is>
          <t>45233251; 45233252</t>
        </is>
      </c>
      <c r="Q489" s="8" t="inlineStr">
        <is>
          <t>Ver</t>
        </is>
      </c>
      <c r="R489" s="8" t="inlineStr">
        <is>
          <t>PCAP</t>
        </is>
      </c>
      <c r="S489" s="9" t="n">
        <v>46310</v>
      </c>
      <c r="T489" s="3" t="n">
        <v>46303.81520833333</v>
      </c>
      <c r="U489" s="2" t="n"/>
    </row>
    <row r="490">
      <c r="A490" s="2" t="inlineStr">
        <is>
          <t>Resuelta</t>
        </is>
      </c>
      <c r="B490" s="3" t="n">
        <v>46230.79166666666</v>
      </c>
      <c r="C490" s="5" t="n">
        <v>2409750</v>
      </c>
      <c r="D490" s="5" t="n">
        <v>2409750</v>
      </c>
      <c r="E490" s="2" t="inlineStr">
        <is>
          <t>Andalucía</t>
        </is>
      </c>
      <c r="F490" s="2" t="inlineStr">
        <is>
          <t>Granada</t>
        </is>
      </c>
      <c r="G490" s="2" t="n"/>
      <c r="H490" s="2" t="inlineStr">
        <is>
          <t>Pleno del Ayuntamiento de Ogíjares</t>
        </is>
      </c>
      <c r="I490" s="2" t="inlineStr">
        <is>
          <t>Contrato para la ejecución de las obras del teatro municipal - espacio escénico en C/ Cruces de Ogíjares (Granada).</t>
        </is>
      </c>
      <c r="J490" s="2" t="inlineStr">
        <is>
          <t>2297/2026</t>
        </is>
      </c>
      <c r="K490" s="2" t="inlineStr">
        <is>
          <t>Abierto</t>
        </is>
      </c>
      <c r="L490" s="6" t="n">
        <v>18</v>
      </c>
      <c r="M490" s="2" t="inlineStr">
        <is>
          <t>C4-4</t>
        </is>
      </c>
      <c r="N490" s="7" t="n">
        <v>0.49</v>
      </c>
      <c r="O490" s="4" t="n"/>
      <c r="P490" s="2" t="inlineStr">
        <is>
          <t>45212322; 45212300</t>
        </is>
      </c>
      <c r="Q490" s="8" t="inlineStr">
        <is>
          <t>Ver</t>
        </is>
      </c>
      <c r="R490" s="8" t="inlineStr">
        <is>
          <t>PCAP</t>
        </is>
      </c>
      <c r="S490" s="9" t="n">
        <v>46310</v>
      </c>
      <c r="T490" s="3" t="n">
        <v>46303.79818287037</v>
      </c>
      <c r="U490" s="2" t="n"/>
    </row>
    <row r="491">
      <c r="A491" s="2" t="inlineStr">
        <is>
          <t>Adjudicada</t>
        </is>
      </c>
      <c r="B491" s="3" t="n">
        <v>46231.99930555555</v>
      </c>
      <c r="C491" s="5" t="n">
        <v>495866.94</v>
      </c>
      <c r="D491" s="5" t="n">
        <v>495866.94</v>
      </c>
      <c r="E491" s="2" t="inlineStr">
        <is>
          <t>Andalucía</t>
        </is>
      </c>
      <c r="F491" s="2" t="inlineStr">
        <is>
          <t>Sevilla</t>
        </is>
      </c>
      <c r="G491" s="2" t="inlineStr">
        <is>
          <t>SANLÚCAR LA MAYOR</t>
        </is>
      </c>
      <c r="H491" s="2" t="inlineStr">
        <is>
          <t>Alcaldía del Ayuntamiento de Sanlúcar la Mayor</t>
        </is>
      </c>
      <c r="I491" s="2" t="inlineStr">
        <is>
          <t>Obras definidas en el Reformado Proyecto Mejora de Conjunto de Espacios Libres. Enero 2026.</t>
        </is>
      </c>
      <c r="J491" s="2" t="inlineStr">
        <is>
          <t>2026/CTT_01/000023 - 25/26.-CTOS</t>
        </is>
      </c>
      <c r="K491" s="2" t="inlineStr">
        <is>
          <t>Abierto simplificado</t>
        </is>
      </c>
      <c r="L491" s="6" t="n">
        <v>2</v>
      </c>
      <c r="M491" s="2" t="n"/>
      <c r="N491" s="7" t="n">
        <v>0</v>
      </c>
      <c r="O491" s="4" t="n"/>
      <c r="P491" s="2" t="inlineStr">
        <is>
          <t>45112723; 45233200</t>
        </is>
      </c>
      <c r="Q491" s="8" t="inlineStr">
        <is>
          <t>Ver</t>
        </is>
      </c>
      <c r="R491" s="8" t="inlineStr">
        <is>
          <t>PCAP</t>
        </is>
      </c>
      <c r="S491" s="9" t="n">
        <v>46310</v>
      </c>
      <c r="T491" s="3" t="n">
        <v>46303.79420138889</v>
      </c>
      <c r="U491" s="2" t="n"/>
    </row>
    <row r="492">
      <c r="A492" s="2" t="inlineStr">
        <is>
          <t>Adjudicada</t>
        </is>
      </c>
      <c r="B492" s="3" t="n">
        <v>46287.99930555555</v>
      </c>
      <c r="C492" s="5" t="n">
        <v>39865</v>
      </c>
      <c r="D492" s="5" t="n">
        <v>39865</v>
      </c>
      <c r="E492" s="2" t="inlineStr">
        <is>
          <t>Comunitat Valenciana</t>
        </is>
      </c>
      <c r="F492" s="2" t="inlineStr">
        <is>
          <t>Valencia</t>
        </is>
      </c>
      <c r="G492" s="2" t="n"/>
      <c r="H492" s="2" t="inlineStr">
        <is>
          <t>Alcaldía del Ayuntamiento de Benavites</t>
        </is>
      </c>
      <c r="I492" s="2" t="inlineStr">
        <is>
          <t>Contrato de Obras Conservación del interior de la Iglesia de Santiago de Benicalaf. Segundo Tramo de la nave y capillas laterales</t>
        </is>
      </c>
      <c r="J492" s="2" t="inlineStr">
        <is>
          <t>2988643T Bis</t>
        </is>
      </c>
      <c r="K492" s="2" t="inlineStr">
        <is>
          <t>Abierto</t>
        </is>
      </c>
      <c r="L492" s="6" t="n">
        <v>2</v>
      </c>
      <c r="M492" s="2" t="n"/>
      <c r="N492" s="7" t="n">
        <v>0</v>
      </c>
      <c r="O492" s="4" t="n"/>
      <c r="P492" s="2" t="inlineStr">
        <is>
          <t>45212350</t>
        </is>
      </c>
      <c r="Q492" s="8" t="inlineStr">
        <is>
          <t>Ver</t>
        </is>
      </c>
      <c r="R492" s="8" t="inlineStr">
        <is>
          <t>PCAP</t>
        </is>
      </c>
      <c r="S492" s="9" t="n">
        <v>46310</v>
      </c>
      <c r="T492" s="3" t="n">
        <v>46303.79395833334</v>
      </c>
      <c r="U492" s="2" t="n"/>
    </row>
    <row r="493">
      <c r="A493" s="2" t="inlineStr">
        <is>
          <t>Resuelta</t>
        </is>
      </c>
      <c r="B493" s="3" t="n">
        <v>46259.99930555555</v>
      </c>
      <c r="C493" s="5" t="n">
        <v>39865</v>
      </c>
      <c r="D493" s="5" t="n">
        <v>39865</v>
      </c>
      <c r="E493" s="2" t="inlineStr">
        <is>
          <t>Comunitat Valenciana</t>
        </is>
      </c>
      <c r="F493" s="2" t="inlineStr">
        <is>
          <t>Valencia</t>
        </is>
      </c>
      <c r="G493" s="2" t="n"/>
      <c r="H493" s="2" t="inlineStr">
        <is>
          <t>Alcaldía del Ayuntamiento de Benavites</t>
        </is>
      </c>
      <c r="I493" s="2" t="inlineStr">
        <is>
          <t>Contrato de obras conservación del interior de la Iglesia de Santiago de Benicalaf. Segundo tramo de la nave y capillas interiores</t>
        </is>
      </c>
      <c r="J493" s="2" t="inlineStr">
        <is>
          <t>2988643T</t>
        </is>
      </c>
      <c r="K493" s="2" t="inlineStr">
        <is>
          <t>Abierto</t>
        </is>
      </c>
      <c r="L493" s="6" t="n">
        <v>2</v>
      </c>
      <c r="M493" s="2" t="n"/>
      <c r="N493" s="7" t="n">
        <v>0</v>
      </c>
      <c r="O493" s="4" t="n"/>
      <c r="P493" s="2" t="inlineStr">
        <is>
          <t>45212350</t>
        </is>
      </c>
      <c r="Q493" s="8" t="inlineStr">
        <is>
          <t>Ver</t>
        </is>
      </c>
      <c r="R493" s="8" t="inlineStr">
        <is>
          <t>PCAP</t>
        </is>
      </c>
      <c r="S493" s="9" t="n">
        <v>46310</v>
      </c>
      <c r="T493" s="3" t="n">
        <v>46303.78686342593</v>
      </c>
      <c r="U493" s="2" t="n"/>
    </row>
    <row r="494">
      <c r="A494" s="2" t="inlineStr">
        <is>
          <t>Pendiente de adjudicación</t>
        </is>
      </c>
      <c r="B494" s="3" t="n">
        <v>46294.79166666666</v>
      </c>
      <c r="C494" s="5" t="n">
        <v>578214.0699999999</v>
      </c>
      <c r="D494" s="5" t="n">
        <v>578214.0699999999</v>
      </c>
      <c r="E494" s="2" t="inlineStr">
        <is>
          <t>Andalucía</t>
        </is>
      </c>
      <c r="F494" s="2" t="inlineStr">
        <is>
          <t>Granada</t>
        </is>
      </c>
      <c r="G494" s="2" t="n"/>
      <c r="H494" s="2" t="inlineStr">
        <is>
          <t>Junta de Gobierno Local del Ayuntamiento de Ogíjares</t>
        </is>
      </c>
      <c r="I494" s="2" t="inlineStr">
        <is>
          <t>Contrato de obras de construcción de campo de fútbol siete con módulo de vestuarios y sala polivalente en Ogíjares (Granada).</t>
        </is>
      </c>
      <c r="J494" s="2" t="inlineStr">
        <is>
          <t>4249/2026</t>
        </is>
      </c>
      <c r="K494" s="2" t="inlineStr">
        <is>
          <t>Abierto simplificado</t>
        </is>
      </c>
      <c r="L494" s="6" t="n">
        <v>12</v>
      </c>
      <c r="M494" s="2" t="inlineStr">
        <is>
          <t>G6-3</t>
        </is>
      </c>
      <c r="N494" s="7" t="n">
        <v>0</v>
      </c>
      <c r="O494" s="4" t="n"/>
      <c r="P494" s="2" t="inlineStr">
        <is>
          <t>45000000</t>
        </is>
      </c>
      <c r="Q494" s="8" t="inlineStr">
        <is>
          <t>Ver</t>
        </is>
      </c>
      <c r="R494" s="8" t="inlineStr">
        <is>
          <t>PCAP</t>
        </is>
      </c>
      <c r="S494" s="9" t="n">
        <v>46310</v>
      </c>
      <c r="T494" s="3" t="n">
        <v>46303.78684027777</v>
      </c>
      <c r="U494" s="2" t="n"/>
    </row>
    <row r="495">
      <c r="A495" s="2" t="inlineStr">
        <is>
          <t>Adjudicada</t>
        </is>
      </c>
      <c r="B495" s="3" t="n">
        <v>46252.99930555555</v>
      </c>
      <c r="C495" s="5" t="n">
        <v>44476.5</v>
      </c>
      <c r="D495" s="5" t="n">
        <v>44476.5</v>
      </c>
      <c r="E495" s="2" t="inlineStr">
        <is>
          <t>Comunitat Valenciana</t>
        </is>
      </c>
      <c r="F495" s="2" t="inlineStr">
        <is>
          <t>Valencia</t>
        </is>
      </c>
      <c r="G495" s="2" t="n"/>
      <c r="H495" s="2" t="inlineStr">
        <is>
          <t>Alcaldía del Ayuntamiento de Benavites</t>
        </is>
      </c>
      <c r="I495" s="2" t="inlineStr">
        <is>
          <t>Vallado Pista Multideporte</t>
        </is>
      </c>
      <c r="J495" s="2" t="inlineStr">
        <is>
          <t>2786345Z</t>
        </is>
      </c>
      <c r="K495" s="2" t="inlineStr">
        <is>
          <t>Abierto</t>
        </is>
      </c>
      <c r="L495" s="6" t="n">
        <v>1</v>
      </c>
      <c r="M495" s="2" t="n"/>
      <c r="N495" s="7" t="n">
        <v>0</v>
      </c>
      <c r="O495" s="4" t="n"/>
      <c r="P495" s="2" t="inlineStr">
        <is>
          <t>45233293; 43325000</t>
        </is>
      </c>
      <c r="Q495" s="8" t="inlineStr">
        <is>
          <t>Ver</t>
        </is>
      </c>
      <c r="R495" s="8" t="inlineStr">
        <is>
          <t>PCAP</t>
        </is>
      </c>
      <c r="S495" s="9" t="n">
        <v>46310</v>
      </c>
      <c r="T495" s="3" t="n">
        <v>46303.77940972222</v>
      </c>
      <c r="U495" s="2" t="n"/>
    </row>
    <row r="496">
      <c r="A496" s="2" t="inlineStr">
        <is>
          <t>En plazo</t>
        </is>
      </c>
      <c r="B496" s="3" t="n">
        <v>46323.99930555555</v>
      </c>
      <c r="C496" s="5" t="n">
        <v>275535.19</v>
      </c>
      <c r="D496" s="5" t="n">
        <v>303088.7</v>
      </c>
      <c r="E496" s="2" t="inlineStr">
        <is>
          <t>Comunitat Valenciana</t>
        </is>
      </c>
      <c r="F496" s="2" t="inlineStr">
        <is>
          <t>Valencia</t>
        </is>
      </c>
      <c r="G496" s="2" t="n"/>
      <c r="H496" s="2" t="inlineStr">
        <is>
          <t>Alcaldía del Ayuntamiento de Picassent</t>
        </is>
      </c>
      <c r="I496" s="2" t="inlineStr">
        <is>
          <t>Reasfaltado de vías públicas en suelo urbano: Avda. Henry Ford (P.I. Juan Carlos I), Carrer Principal (Polígono Industrial), Carrer 7 (P.I. Canyada del Codonyers), Carrer 6 (Barrio Omet), Carrer Llibertad, Carrer Major y Glorieta Carles Albors/Cristòfol Aguado.</t>
        </is>
      </c>
      <c r="J496" s="2" t="inlineStr">
        <is>
          <t>3031094D</t>
        </is>
      </c>
      <c r="K496" s="2" t="inlineStr">
        <is>
          <t>Abierto simplificado</t>
        </is>
      </c>
      <c r="L496" s="6" t="n">
        <v>3</v>
      </c>
      <c r="M496" s="2" t="n"/>
      <c r="N496" s="7" t="n">
        <v>0</v>
      </c>
      <c r="O496" s="4" t="n"/>
      <c r="P496" s="2" t="inlineStr">
        <is>
          <t>45233252</t>
        </is>
      </c>
      <c r="Q496" s="8" t="inlineStr">
        <is>
          <t>Ver</t>
        </is>
      </c>
      <c r="R496" s="8" t="inlineStr">
        <is>
          <t>PCAP</t>
        </is>
      </c>
      <c r="S496" s="9" t="n">
        <v>46310</v>
      </c>
      <c r="T496" s="3" t="n">
        <v>46303.77586805556</v>
      </c>
      <c r="U496" s="2" t="n"/>
    </row>
    <row r="497">
      <c r="A497" s="2" t="inlineStr">
        <is>
          <t>Resuelta</t>
        </is>
      </c>
      <c r="B497" s="3" t="n">
        <v>46184.99930555555</v>
      </c>
      <c r="C497" s="5" t="n">
        <v>114418.5</v>
      </c>
      <c r="D497" s="5" t="n">
        <v>114418.5</v>
      </c>
      <c r="E497" s="2" t="inlineStr">
        <is>
          <t>Comunitat Valenciana</t>
        </is>
      </c>
      <c r="F497" s="2" t="inlineStr">
        <is>
          <t>Valencia</t>
        </is>
      </c>
      <c r="G497" s="2" t="n"/>
      <c r="H497" s="2" t="inlineStr">
        <is>
          <t>Pleno del Ayuntamiento de Benavites</t>
        </is>
      </c>
      <c r="I497" s="2" t="inlineStr">
        <is>
          <t>Contrato de Obras Accesibilidad, Ventanas y Restauración de Portón. Iglesia de Santiago de Benicalaf</t>
        </is>
      </c>
      <c r="J497" s="2" t="inlineStr">
        <is>
          <t>2871802P</t>
        </is>
      </c>
      <c r="K497" s="2" t="inlineStr">
        <is>
          <t>Abierto</t>
        </is>
      </c>
      <c r="L497" s="6" t="n">
        <v>3</v>
      </c>
      <c r="M497" s="2" t="n"/>
      <c r="N497" s="7" t="n">
        <v>0</v>
      </c>
      <c r="O497" s="4" t="n"/>
      <c r="P497" s="2" t="inlineStr">
        <is>
          <t>45212350</t>
        </is>
      </c>
      <c r="Q497" s="8" t="inlineStr">
        <is>
          <t>Ver</t>
        </is>
      </c>
      <c r="R497" s="8" t="inlineStr">
        <is>
          <t>PCAP</t>
        </is>
      </c>
      <c r="S497" s="9" t="n">
        <v>46310</v>
      </c>
      <c r="T497" s="3" t="n">
        <v>46303.7619675926</v>
      </c>
      <c r="U497" s="2" t="n"/>
    </row>
    <row r="498">
      <c r="A498" s="2" t="inlineStr">
        <is>
          <t>Resuelta</t>
        </is>
      </c>
      <c r="B498" s="3" t="n">
        <v>46174.99930555555</v>
      </c>
      <c r="C498" s="5" t="n">
        <v>51463.47</v>
      </c>
      <c r="D498" s="5" t="n">
        <v>51463.47</v>
      </c>
      <c r="E498" s="2" t="inlineStr">
        <is>
          <t>Comunitat Valenciana</t>
        </is>
      </c>
      <c r="F498" s="2" t="inlineStr">
        <is>
          <t>Valencia</t>
        </is>
      </c>
      <c r="G498" s="2" t="inlineStr">
        <is>
          <t>Benavites</t>
        </is>
      </c>
      <c r="H498" s="2" t="inlineStr">
        <is>
          <t>Alcaldía del Ayuntamiento de Benavites</t>
        </is>
      </c>
      <c r="I498" s="2" t="inlineStr">
        <is>
          <t>Contrato de obras adecuación camino Marchaletes y del Pantano</t>
        </is>
      </c>
      <c r="J498" s="2" t="inlineStr">
        <is>
          <t>2854753K</t>
        </is>
      </c>
      <c r="K498" s="2" t="inlineStr">
        <is>
          <t>Abierto</t>
        </is>
      </c>
      <c r="L498" s="6" t="n">
        <v>2</v>
      </c>
      <c r="M498" s="2" t="n"/>
      <c r="N498" s="7" t="n">
        <v>0</v>
      </c>
      <c r="O498" s="4" t="n"/>
      <c r="P498" s="2" t="inlineStr">
        <is>
          <t>45233251; 45233252</t>
        </is>
      </c>
      <c r="Q498" s="8" t="inlineStr">
        <is>
          <t>Ver</t>
        </is>
      </c>
      <c r="R498" s="8" t="inlineStr">
        <is>
          <t>PCAP</t>
        </is>
      </c>
      <c r="S498" s="9" t="n">
        <v>46310</v>
      </c>
      <c r="T498" s="3" t="n">
        <v>46303.74743055556</v>
      </c>
      <c r="U498" s="2" t="n"/>
    </row>
    <row r="499">
      <c r="A499" s="2" t="inlineStr">
        <is>
          <t>Pendiente de adjudicación</t>
        </is>
      </c>
      <c r="B499" s="3" t="n">
        <v>46167.54166666666</v>
      </c>
      <c r="C499" s="5" t="n">
        <v>107865.37</v>
      </c>
      <c r="D499" s="5" t="n">
        <v>107865.37</v>
      </c>
      <c r="E499" s="2" t="inlineStr">
        <is>
          <t>Andalucía</t>
        </is>
      </c>
      <c r="F499" s="2" t="inlineStr">
        <is>
          <t>Granada</t>
        </is>
      </c>
      <c r="G499" s="2" t="inlineStr">
        <is>
          <t>Atarfe (Granada)</t>
        </is>
      </c>
      <c r="H499" s="2" t="inlineStr">
        <is>
          <t>Dirección Gerente de Aguas Vega Sierra Elvira, S.A.</t>
        </is>
      </c>
      <c r="I499" s="2" t="inlineStr">
        <is>
          <t>Renovación red de abastecimiento en calles Parras y La Paz de Fuente Vaqueros</t>
        </is>
      </c>
      <c r="J499" s="2" t="inlineStr">
        <is>
          <t>Obras 09/2026</t>
        </is>
      </c>
      <c r="K499" s="2" t="inlineStr">
        <is>
          <t>Abierto</t>
        </is>
      </c>
      <c r="L499" s="6" t="n">
        <v>3</v>
      </c>
      <c r="M499" s="2" t="n"/>
      <c r="N499" s="7" t="n">
        <v>0.4</v>
      </c>
      <c r="O499" s="4" t="n"/>
      <c r="P499" s="2" t="inlineStr">
        <is>
          <t>45200000; 45220000; 45231100; 44160000; 45232100</t>
        </is>
      </c>
      <c r="Q499" s="8" t="inlineStr">
        <is>
          <t>Ver</t>
        </is>
      </c>
      <c r="R499" s="8" t="inlineStr">
        <is>
          <t>PCAP</t>
        </is>
      </c>
      <c r="S499" s="9" t="n">
        <v>46310</v>
      </c>
      <c r="T499" s="3" t="n">
        <v>46303.73850694444</v>
      </c>
      <c r="U499" s="2" t="n"/>
    </row>
    <row r="500">
      <c r="A500" s="2" t="inlineStr">
        <is>
          <t>En plazo</t>
        </is>
      </c>
      <c r="B500" s="3" t="n">
        <v>46323.99930555555</v>
      </c>
      <c r="C500" s="5" t="n">
        <v>95819.52</v>
      </c>
      <c r="D500" s="5" t="n">
        <v>95819.52</v>
      </c>
      <c r="E500" s="2" t="inlineStr">
        <is>
          <t>Andalucía</t>
        </is>
      </c>
      <c r="F500" s="2" t="inlineStr">
        <is>
          <t>Málaga</t>
        </is>
      </c>
      <c r="G500" s="2" t="n"/>
      <c r="H500" s="2" t="inlineStr">
        <is>
          <t>Alcaldía del Ayuntamiento de Alcaucín</t>
        </is>
      </c>
      <c r="I500" s="2" t="inlineStr">
        <is>
          <t>Intervención en edificio municipal. Adecuación de espacios para cocina y comedor, y módulo anexo exterior de servicio, en Calle Carrión nº 2, Alcaucín</t>
        </is>
      </c>
      <c r="J500" s="2" t="inlineStr">
        <is>
          <t>1495/2026_COMEDOR</t>
        </is>
      </c>
      <c r="K500" s="2" t="inlineStr">
        <is>
          <t>Abierto simplificado</t>
        </is>
      </c>
      <c r="L500" s="6" t="n">
        <v>3</v>
      </c>
      <c r="M500" s="2" t="n"/>
      <c r="N500" s="7" t="n">
        <v>0</v>
      </c>
      <c r="O500" s="4" t="n"/>
      <c r="P500" s="2" t="inlineStr">
        <is>
          <t>45212500; 45000000; 45331210; 45211350</t>
        </is>
      </c>
      <c r="Q500" s="8" t="inlineStr">
        <is>
          <t>Ver</t>
        </is>
      </c>
      <c r="R500" s="8" t="inlineStr">
        <is>
          <t>PCAP</t>
        </is>
      </c>
      <c r="S500" s="9" t="n">
        <v>46310</v>
      </c>
      <c r="T500" s="3" t="n">
        <v>46303.67493055556</v>
      </c>
      <c r="U500" s="2" t="n"/>
    </row>
    <row r="501">
      <c r="A501" s="2" t="inlineStr">
        <is>
          <t>En plazo</t>
        </is>
      </c>
      <c r="B501" s="3" t="n">
        <v>46323.99930555555</v>
      </c>
      <c r="C501" s="5" t="n">
        <v>132304.2</v>
      </c>
      <c r="D501" s="5" t="n">
        <v>132304.2</v>
      </c>
      <c r="E501" s="2" t="inlineStr">
        <is>
          <t>Comunitat Valenciana</t>
        </is>
      </c>
      <c r="F501" s="2" t="inlineStr">
        <is>
          <t>Valencia</t>
        </is>
      </c>
      <c r="G501" s="2" t="n"/>
      <c r="H501" s="2" t="inlineStr">
        <is>
          <t>Alcaldía del Ayuntamiento de Moixent</t>
        </is>
      </c>
      <c r="I501" s="2" t="inlineStr">
        <is>
          <t>Desvío línea subterránea trifásica a 20 kv, desde el paso a 853154 poli Moinsa existente aportado por la distribuidora, hasta empalmes a realizar en línea 3534 l-07, situado en poli Moinsa, en término municipal de Moixent</t>
        </is>
      </c>
      <c r="J501" s="2" t="inlineStr">
        <is>
          <t>1497/2026</t>
        </is>
      </c>
      <c r="K501" s="2" t="inlineStr">
        <is>
          <t>Abierto simplificado</t>
        </is>
      </c>
      <c r="L501" s="6" t="n">
        <v>2</v>
      </c>
      <c r="M501" s="2" t="inlineStr">
        <is>
          <t>I5-1</t>
        </is>
      </c>
      <c r="N501" s="7" t="n">
        <v>0</v>
      </c>
      <c r="O501" s="4" t="n"/>
      <c r="P501" s="2" t="inlineStr">
        <is>
          <t>45231400; 45232200; 45311100; 45315300; 45310000; 45311000; 45315500</t>
        </is>
      </c>
      <c r="Q501" s="8" t="inlineStr">
        <is>
          <t>Ver</t>
        </is>
      </c>
      <c r="R501" s="8" t="inlineStr">
        <is>
          <t>PCAP</t>
        </is>
      </c>
      <c r="S501" s="9" t="n">
        <v>46310</v>
      </c>
      <c r="T501" s="3" t="n">
        <v>46303.67165509259</v>
      </c>
      <c r="U501" s="2" t="n"/>
    </row>
    <row r="502">
      <c r="A502" s="2" t="inlineStr">
        <is>
          <t>En plazo</t>
        </is>
      </c>
      <c r="B502" s="3" t="n">
        <v>46323.99930555555</v>
      </c>
      <c r="C502" s="5" t="n">
        <v>183966.94</v>
      </c>
      <c r="D502" s="5" t="n">
        <v>183966.94</v>
      </c>
      <c r="E502" s="2" t="inlineStr">
        <is>
          <t>Comunitat Valenciana</t>
        </is>
      </c>
      <c r="F502" s="2" t="inlineStr">
        <is>
          <t>Alicante</t>
        </is>
      </c>
      <c r="G502" s="2" t="inlineStr">
        <is>
          <t>Muro de Alcoy</t>
        </is>
      </c>
      <c r="H502" s="2" t="inlineStr">
        <is>
          <t>Alcaldia del Ayuntamiento de Muro de Alcoy</t>
        </is>
      </c>
      <c r="I502" s="2" t="inlineStr">
        <is>
          <t>Contrato administrativo de obras de ejecución del proyecto "Acondicionamiento de la vía verde del Serpis a su paso por el término de Muro de Alcoy. Tramo CAM rural desde límite tm Cocentaina hasta casco urbano de Muro"</t>
        </is>
      </c>
      <c r="J502" s="2" t="inlineStr">
        <is>
          <t>1529/2026</t>
        </is>
      </c>
      <c r="K502" s="2" t="inlineStr">
        <is>
          <t>Abierto simplificado</t>
        </is>
      </c>
      <c r="L502" s="6" t="n">
        <v>2</v>
      </c>
      <c r="M502" s="2" t="inlineStr">
        <is>
          <t>G*-2</t>
        </is>
      </c>
      <c r="N502" s="7" t="n">
        <v>0</v>
      </c>
      <c r="O502" s="4" t="n"/>
      <c r="P502" s="2" t="inlineStr">
        <is>
          <t>45233140; 45233290; 45233251; 45233252</t>
        </is>
      </c>
      <c r="Q502" s="8" t="inlineStr">
        <is>
          <t>Ver</t>
        </is>
      </c>
      <c r="R502" s="8" t="inlineStr">
        <is>
          <t>PCAP</t>
        </is>
      </c>
      <c r="S502" s="9" t="n">
        <v>46310</v>
      </c>
      <c r="T502" s="3" t="n">
        <v>46303.66119212963</v>
      </c>
      <c r="U502" s="2" t="n"/>
    </row>
    <row r="503">
      <c r="A503" s="2" t="inlineStr">
        <is>
          <t>En plazo</t>
        </is>
      </c>
      <c r="B503" s="3" t="n">
        <v>46329.58333333334</v>
      </c>
      <c r="C503" s="5" t="n">
        <v>392087954.71</v>
      </c>
      <c r="D503" s="5" t="n">
        <v>431296750.18</v>
      </c>
      <c r="E503" s="2" t="inlineStr">
        <is>
          <t>Comunitat Valenciana</t>
        </is>
      </c>
      <c r="F503" s="2" t="inlineStr">
        <is>
          <t>Castellón</t>
        </is>
      </c>
      <c r="G503" s="2" t="inlineStr">
        <is>
          <t>Castelló de la Plana</t>
        </is>
      </c>
      <c r="H503" s="2" t="inlineStr">
        <is>
          <t>Dirección General de Gestión Económica, Contratación e Infraestructuras de la Conselleria de Sanidad</t>
        </is>
      </c>
      <c r="I503" s="2" t="inlineStr">
        <is>
          <t>Obras del Nuevo Hospital General Universitario de Castellón.</t>
        </is>
      </c>
      <c r="J503" s="2" t="inlineStr">
        <is>
          <t>31/2027</t>
        </is>
      </c>
      <c r="K503" s="2" t="inlineStr">
        <is>
          <t>Abierto</t>
        </is>
      </c>
      <c r="L503" s="6" t="n">
        <v>60</v>
      </c>
      <c r="M503" s="2" t="inlineStr">
        <is>
          <t>C*-6</t>
        </is>
      </c>
      <c r="N503" s="7" t="n">
        <v>0.3</v>
      </c>
      <c r="O503" s="4" t="n"/>
      <c r="P503" s="2" t="inlineStr">
        <is>
          <t>45215100</t>
        </is>
      </c>
      <c r="Q503" s="8" t="inlineStr">
        <is>
          <t>Ver</t>
        </is>
      </c>
      <c r="R503" s="8" t="inlineStr">
        <is>
          <t>PCAP</t>
        </is>
      </c>
      <c r="S503" s="9" t="n">
        <v>46310</v>
      </c>
      <c r="T503" s="3" t="n">
        <v>46303.6459375</v>
      </c>
      <c r="U503" s="2" t="n"/>
    </row>
    <row r="504">
      <c r="A504" s="2" t="inlineStr">
        <is>
          <t>En plazo</t>
        </is>
      </c>
      <c r="B504" s="3" t="n">
        <v>46310.79166666666</v>
      </c>
      <c r="C504" s="5" t="n">
        <v>831539.76</v>
      </c>
      <c r="D504" s="5" t="n">
        <v>997847.71</v>
      </c>
      <c r="E504" s="2" t="inlineStr">
        <is>
          <t>Comunitat Valenciana</t>
        </is>
      </c>
      <c r="F504" s="2" t="inlineStr">
        <is>
          <t>Valencia</t>
        </is>
      </c>
      <c r="G504" s="2" t="inlineStr">
        <is>
          <t>Aldaia</t>
        </is>
      </c>
      <c r="H504" s="2" t="inlineStr">
        <is>
          <t>Alcaldía del Ayuntamiento de Aldaia</t>
        </is>
      </c>
      <c r="I504" s="2" t="inlineStr">
        <is>
          <t>DANA2024 Reparación de la Casa de la Música</t>
        </is>
      </c>
      <c r="J504" s="2" t="inlineStr">
        <is>
          <t>2026/C-OBRASA/4</t>
        </is>
      </c>
      <c r="K504" s="2" t="inlineStr">
        <is>
          <t>Abierto simplificado</t>
        </is>
      </c>
      <c r="L504" s="6" t="n">
        <v>6</v>
      </c>
      <c r="M504" s="2" t="inlineStr">
        <is>
          <t>C4-3</t>
        </is>
      </c>
      <c r="N504" s="7" t="n">
        <v>0</v>
      </c>
      <c r="O504" s="4" t="n"/>
      <c r="P504" s="2" t="inlineStr">
        <is>
          <t>45453100; 45262700</t>
        </is>
      </c>
      <c r="Q504" s="8" t="inlineStr">
        <is>
          <t>Ver</t>
        </is>
      </c>
      <c r="R504" s="8" t="inlineStr">
        <is>
          <t>PCAP</t>
        </is>
      </c>
      <c r="S504" s="9" t="n">
        <v>46310</v>
      </c>
      <c r="T504" s="3" t="n">
        <v>46303.64548611111</v>
      </c>
      <c r="U504" s="2" t="n"/>
    </row>
    <row r="505">
      <c r="A505" s="2" t="inlineStr">
        <is>
          <t>En plazo</t>
        </is>
      </c>
      <c r="B505" s="3" t="n">
        <v>46323.99930555555</v>
      </c>
      <c r="C505" s="5" t="n">
        <v>812294</v>
      </c>
      <c r="D505" s="5" t="n">
        <v>812294</v>
      </c>
      <c r="E505" s="2" t="inlineStr">
        <is>
          <t>Comunitat Valenciana</t>
        </is>
      </c>
      <c r="F505" s="2" t="inlineStr">
        <is>
          <t>Valencia</t>
        </is>
      </c>
      <c r="G505" s="2" t="inlineStr">
        <is>
          <t>el Genovés</t>
        </is>
      </c>
      <c r="H505" s="2" t="inlineStr">
        <is>
          <t>Pleno del Ayuntamiento de Genovés</t>
        </is>
      </c>
      <c r="I505" s="2" t="inlineStr">
        <is>
          <t>Construcción de un edificio de nueva planta, destinado a la población joven de la localidad, emplazado en calle Maestro Serrano nº 4 de El Genovés.</t>
        </is>
      </c>
      <c r="J505" s="2" t="inlineStr">
        <is>
          <t>2222/2026</t>
        </is>
      </c>
      <c r="K505" s="2" t="inlineStr">
        <is>
          <t>Abierto simplificado</t>
        </is>
      </c>
      <c r="L505" s="6" t="n">
        <v>10</v>
      </c>
      <c r="M505" s="2" t="inlineStr">
        <is>
          <t>C*-3</t>
        </is>
      </c>
      <c r="N505" s="7" t="n">
        <v>0</v>
      </c>
      <c r="O505" s="4" t="n"/>
      <c r="P505" s="2" t="inlineStr">
        <is>
          <t>45000000; 45220000; 45200000</t>
        </is>
      </c>
      <c r="Q505" s="8" t="inlineStr">
        <is>
          <t>Ver</t>
        </is>
      </c>
      <c r="R505" s="8" t="inlineStr">
        <is>
          <t>PCAP</t>
        </is>
      </c>
      <c r="S505" s="9" t="n">
        <v>46310</v>
      </c>
      <c r="T505" s="3" t="n">
        <v>46303.63530092593</v>
      </c>
      <c r="U505" s="2" t="n"/>
    </row>
    <row r="506">
      <c r="A506" s="2" t="inlineStr">
        <is>
          <t>Pendiente de adjudicación</t>
        </is>
      </c>
      <c r="B506" s="3" t="n">
        <v>46220.58333333334</v>
      </c>
      <c r="C506" s="5" t="n">
        <v>8489993.039999999</v>
      </c>
      <c r="D506" s="5" t="n">
        <v>9338992.34</v>
      </c>
      <c r="E506" s="2" t="inlineStr">
        <is>
          <t>Comunitat Valenciana</t>
        </is>
      </c>
      <c r="F506" s="2" t="inlineStr">
        <is>
          <t>Alicante</t>
        </is>
      </c>
      <c r="G506" s="2" t="inlineStr">
        <is>
          <t>Alcoy (Alicante)</t>
        </is>
      </c>
      <c r="H506" s="2" t="inlineStr">
        <is>
          <t>Dirección General de Gestión Económica, Contratación e Infraestructuras de la Conselleria de Sanidad</t>
        </is>
      </c>
      <c r="I506" s="2" t="inlineStr">
        <is>
          <t>Obras de reforma y ampliación del Centro de Salud La Bassa de Alcoy</t>
        </is>
      </c>
      <c r="J506" s="2" t="inlineStr">
        <is>
          <t>220/2026</t>
        </is>
      </c>
      <c r="K506" s="2" t="inlineStr">
        <is>
          <t>Abierto</t>
        </is>
      </c>
      <c r="L506" s="6" t="n">
        <v>18</v>
      </c>
      <c r="M506" s="2" t="inlineStr">
        <is>
          <t>C4-6; C6-6; C2-6</t>
        </is>
      </c>
      <c r="N506" s="7" t="n">
        <v>0.1</v>
      </c>
      <c r="O506" s="4" t="n"/>
      <c r="P506" s="2" t="inlineStr">
        <is>
          <t>45215100</t>
        </is>
      </c>
      <c r="Q506" s="8" t="inlineStr">
        <is>
          <t>Ver</t>
        </is>
      </c>
      <c r="R506" s="8" t="inlineStr">
        <is>
          <t>PCAP</t>
        </is>
      </c>
      <c r="S506" s="9" t="n">
        <v>46310</v>
      </c>
      <c r="T506" s="3" t="n">
        <v>46303.62693287037</v>
      </c>
      <c r="U506" s="2" t="n"/>
    </row>
    <row r="507">
      <c r="A507" s="2" t="inlineStr">
        <is>
          <t>En plazo</t>
        </is>
      </c>
      <c r="B507" s="3" t="n">
        <v>46316.54166666666</v>
      </c>
      <c r="C507" s="5" t="n">
        <v>79337.55</v>
      </c>
      <c r="D507" s="5" t="n">
        <v>79337.55</v>
      </c>
      <c r="E507" s="2" t="inlineStr">
        <is>
          <t>Andalucía</t>
        </is>
      </c>
      <c r="F507" s="2" t="inlineStr">
        <is>
          <t>Málaga</t>
        </is>
      </c>
      <c r="G507" s="2" t="n"/>
      <c r="H507" s="2" t="inlineStr">
        <is>
          <t>Concejala Delegada de Sostenibilidad Medioambiental del Excmo. Ayuntamiento de Málaga</t>
        </is>
      </c>
      <c r="I507" s="2" t="inlineStr">
        <is>
          <t>Obras de construcción de jardineras en Puente de Tetuán</t>
        </is>
      </c>
      <c r="J507" s="2" t="inlineStr">
        <is>
          <t>PASA 26/21/1112</t>
        </is>
      </c>
      <c r="K507" s="2" t="inlineStr">
        <is>
          <t>Abierto simplificado</t>
        </is>
      </c>
      <c r="L507" s="6" t="n">
        <v>2</v>
      </c>
      <c r="M507" s="2" t="n"/>
      <c r="N507" s="7" t="n">
        <v>0</v>
      </c>
      <c r="O507" s="4" t="n"/>
      <c r="P507" s="2" t="inlineStr">
        <is>
          <t>45112712</t>
        </is>
      </c>
      <c r="Q507" s="8" t="inlineStr">
        <is>
          <t>Ver</t>
        </is>
      </c>
      <c r="R507" s="8" t="inlineStr">
        <is>
          <t>PCAP</t>
        </is>
      </c>
      <c r="S507" s="9" t="n">
        <v>46310</v>
      </c>
      <c r="T507" s="3" t="n">
        <v>46303.62457175926</v>
      </c>
      <c r="U507" s="2" t="n"/>
    </row>
    <row r="508">
      <c r="A508" s="2" t="inlineStr">
        <is>
          <t>Pendiente de adjudicación</t>
        </is>
      </c>
      <c r="B508" s="3" t="n">
        <v>46288.58333333334</v>
      </c>
      <c r="C508" s="5" t="n">
        <v>255222.46</v>
      </c>
      <c r="D508" s="5" t="n">
        <v>255222.46</v>
      </c>
      <c r="E508" s="2" t="inlineStr">
        <is>
          <t>Andalucía</t>
        </is>
      </c>
      <c r="F508" s="2" t="inlineStr">
        <is>
          <t>Huelva</t>
        </is>
      </c>
      <c r="G508" s="2" t="inlineStr">
        <is>
          <t>Palos de la Frontera.</t>
        </is>
      </c>
      <c r="H508" s="2" t="inlineStr">
        <is>
          <t>Alcaldia del Ayuntamiento de Palos de la Frontera</t>
        </is>
      </c>
      <c r="I508" s="2" t="inlineStr">
        <is>
          <t>Contrato de obras del vallado perimetral de la parcela dotacional "VILLA ARGENTINA",T.M. de Palos de la Frontera.</t>
        </is>
      </c>
      <c r="J508" s="2" t="inlineStr">
        <is>
          <t>Contrato de Obras 9/2026</t>
        </is>
      </c>
      <c r="K508" s="2" t="inlineStr">
        <is>
          <t>Abierto</t>
        </is>
      </c>
      <c r="L508" s="6" t="n">
        <v>4</v>
      </c>
      <c r="M508" s="2" t="n"/>
      <c r="N508" s="7" t="n">
        <v>0.3</v>
      </c>
      <c r="O508" s="4" t="n"/>
      <c r="P508" s="2" t="inlineStr">
        <is>
          <t>45223000</t>
        </is>
      </c>
      <c r="Q508" s="8" t="inlineStr">
        <is>
          <t>Ver</t>
        </is>
      </c>
      <c r="R508" s="8" t="inlineStr">
        <is>
          <t>PCAP</t>
        </is>
      </c>
      <c r="S508" s="9" t="n">
        <v>46310</v>
      </c>
      <c r="T508" s="3" t="n">
        <v>46303.62399305555</v>
      </c>
      <c r="U508" s="2" t="n"/>
    </row>
    <row r="509">
      <c r="A509" s="2" t="inlineStr">
        <is>
          <t>Pendiente de adjudicación</t>
        </is>
      </c>
      <c r="B509" s="3" t="n">
        <v>46287.58333333334</v>
      </c>
      <c r="C509" s="5" t="n">
        <v>220556.88</v>
      </c>
      <c r="D509" s="5" t="n">
        <v>220556.88</v>
      </c>
      <c r="E509" s="2" t="inlineStr">
        <is>
          <t>Andalucía</t>
        </is>
      </c>
      <c r="F509" s="2" t="inlineStr">
        <is>
          <t>Huelva</t>
        </is>
      </c>
      <c r="G509" s="2" t="inlineStr">
        <is>
          <t>Palos de la Frontera.</t>
        </is>
      </c>
      <c r="H509" s="2" t="inlineStr">
        <is>
          <t>Alcaldia del Ayuntamiento de Palos de la Frontera</t>
        </is>
      </c>
      <c r="I509"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509" s="2" t="inlineStr">
        <is>
          <t>Contrato de Obras 6/2026</t>
        </is>
      </c>
      <c r="K509" s="2" t="inlineStr">
        <is>
          <t>Abierto</t>
        </is>
      </c>
      <c r="L509" s="6" t="n">
        <v>3</v>
      </c>
      <c r="M509" s="2" t="n"/>
      <c r="N509" s="7" t="n">
        <v>0.45</v>
      </c>
      <c r="O509" s="4" t="n">
        <v>4</v>
      </c>
      <c r="P509" s="2" t="inlineStr">
        <is>
          <t>45421160; 44221120</t>
        </is>
      </c>
      <c r="Q509" s="8" t="inlineStr">
        <is>
          <t>Ver</t>
        </is>
      </c>
      <c r="R509" s="8" t="inlineStr">
        <is>
          <t>PCAP</t>
        </is>
      </c>
      <c r="S509" s="9" t="n">
        <v>46310</v>
      </c>
      <c r="T509" s="3" t="n">
        <v>46303.61884259259</v>
      </c>
      <c r="U509" s="2" t="n"/>
    </row>
    <row r="510">
      <c r="A510" s="2" t="inlineStr">
        <is>
          <t>Pendiente de adjudicación</t>
        </is>
      </c>
      <c r="B510" s="3" t="n">
        <v>46280.99930555555</v>
      </c>
      <c r="C510" s="5" t="n">
        <v>79765.75</v>
      </c>
      <c r="D510" s="5" t="n">
        <v>79765.75</v>
      </c>
      <c r="E510" s="2" t="inlineStr">
        <is>
          <t>Andalucía</t>
        </is>
      </c>
      <c r="F510" s="2" t="inlineStr">
        <is>
          <t>Almería</t>
        </is>
      </c>
      <c r="G510" s="2" t="n"/>
      <c r="H510" s="2" t="inlineStr">
        <is>
          <t>Presidencia del Patronato Municipal de Deportes del Ayuntamiento de Almería</t>
        </is>
      </c>
      <c r="I510" s="2" t="inlineStr">
        <is>
          <t>Reparación de iluminación deportiva en varios Complejos Deportivos Municipales en Almería.</t>
        </is>
      </c>
      <c r="J510" s="2" t="inlineStr">
        <is>
          <t>AYAL-2026000193</t>
        </is>
      </c>
      <c r="K510" s="2" t="inlineStr">
        <is>
          <t>Abierto simplificado</t>
        </is>
      </c>
      <c r="L510" s="6" t="n">
        <v>3</v>
      </c>
      <c r="M510" s="2" t="n"/>
      <c r="N510" s="7" t="n">
        <v>0</v>
      </c>
      <c r="O510" s="4" t="n"/>
      <c r="P510" s="2" t="inlineStr">
        <is>
          <t>45310000</t>
        </is>
      </c>
      <c r="Q510" s="8" t="inlineStr">
        <is>
          <t>Ver</t>
        </is>
      </c>
      <c r="R510" s="8" t="inlineStr">
        <is>
          <t>PCAP</t>
        </is>
      </c>
      <c r="S510" s="9" t="n">
        <v>46310</v>
      </c>
      <c r="T510" s="3" t="n">
        <v>46303.61783564815</v>
      </c>
      <c r="U510" s="2" t="n"/>
    </row>
    <row r="511">
      <c r="A511" s="2" t="inlineStr">
        <is>
          <t>Pendiente de adjudicación</t>
        </is>
      </c>
      <c r="B511" s="3" t="n">
        <v>46233.99930555555</v>
      </c>
      <c r="C511" s="5" t="n">
        <v>64369.68</v>
      </c>
      <c r="D511" s="5" t="n">
        <v>64369.68</v>
      </c>
      <c r="E511" s="2" t="inlineStr">
        <is>
          <t>Comunitat Valenciana</t>
        </is>
      </c>
      <c r="F511" s="2" t="inlineStr">
        <is>
          <t>Valencia</t>
        </is>
      </c>
      <c r="G511" s="2" t="n"/>
      <c r="H511" s="2" t="inlineStr">
        <is>
          <t>Alcaldía del Ayuntamiento de Vilamarxant</t>
        </is>
      </c>
      <c r="I511" s="2" t="inlineStr">
        <is>
          <t>Es objeto del presente contrato las obras de ejecución de colector de saneamiento en Avenida Dos de Mayo de Vilamarxant.</t>
        </is>
      </c>
      <c r="J511" s="2" t="inlineStr">
        <is>
          <t>2519452P</t>
        </is>
      </c>
      <c r="K511" s="2" t="inlineStr">
        <is>
          <t>Abierto simplificado</t>
        </is>
      </c>
      <c r="L511" s="6" t="n">
        <v>1</v>
      </c>
      <c r="M511" s="2" t="inlineStr">
        <is>
          <t>E1-1</t>
        </is>
      </c>
      <c r="N511" s="7" t="n">
        <v>0</v>
      </c>
      <c r="O511" s="4" t="n"/>
      <c r="P511" s="2" t="inlineStr">
        <is>
          <t>45232400; 45232410; 45232411; 45232440</t>
        </is>
      </c>
      <c r="Q511" s="8" t="inlineStr">
        <is>
          <t>Ver</t>
        </is>
      </c>
      <c r="R511" s="8" t="inlineStr">
        <is>
          <t>PCAP</t>
        </is>
      </c>
      <c r="S511" s="9" t="n">
        <v>46310</v>
      </c>
      <c r="T511" s="3" t="n">
        <v>46303.61688657408</v>
      </c>
      <c r="U511" s="2" t="n"/>
    </row>
    <row r="512">
      <c r="A512" s="2" t="inlineStr">
        <is>
          <t>Pendiente de adjudicación</t>
        </is>
      </c>
      <c r="B512" s="3" t="n">
        <v>46296.99930555555</v>
      </c>
      <c r="C512" s="5" t="n">
        <v>373665.15</v>
      </c>
      <c r="D512" s="5" t="n">
        <v>373665.15</v>
      </c>
      <c r="E512" s="2" t="inlineStr">
        <is>
          <t>Comunitat Valenciana</t>
        </is>
      </c>
      <c r="F512" s="2" t="inlineStr">
        <is>
          <t>Valencia</t>
        </is>
      </c>
      <c r="G512" s="2" t="n"/>
      <c r="H512" s="2" t="inlineStr">
        <is>
          <t>Alcaldía del Ayuntamiento de Camporrobles</t>
        </is>
      </c>
      <c r="I512" s="2" t="inlineStr">
        <is>
          <t>Rehabilitacion de la fachada y la cubierta de la Fábrica de Harinas del municipio de Camporrobles como consecuencia de la DANA 2024</t>
        </is>
      </c>
      <c r="J512" s="2" t="inlineStr">
        <is>
          <t>G226/2026F.HarinasDANA</t>
        </is>
      </c>
      <c r="K512" s="2" t="inlineStr">
        <is>
          <t>Abierto simplificado</t>
        </is>
      </c>
      <c r="L512" s="6" t="n">
        <v>9</v>
      </c>
      <c r="M512" s="2" t="n"/>
      <c r="N512" s="7" t="n">
        <v>0</v>
      </c>
      <c r="O512" s="4" t="n"/>
      <c r="P512" s="2" t="inlineStr">
        <is>
          <t>45454100; 45261900; 45443000</t>
        </is>
      </c>
      <c r="Q512" s="8" t="inlineStr">
        <is>
          <t>Ver</t>
        </is>
      </c>
      <c r="R512" s="8" t="inlineStr">
        <is>
          <t>PCAP</t>
        </is>
      </c>
      <c r="S512" s="9" t="n">
        <v>46310</v>
      </c>
      <c r="T512" s="3" t="n">
        <v>46303.61517361111</v>
      </c>
      <c r="U512" s="2" t="n"/>
    </row>
    <row r="513">
      <c r="A513" s="2" t="inlineStr">
        <is>
          <t>Pendiente de adjudicación</t>
        </is>
      </c>
      <c r="B513" s="3" t="n">
        <v>46253.99930555555</v>
      </c>
      <c r="C513" s="5" t="n">
        <v>315131.15</v>
      </c>
      <c r="D513" s="5" t="n">
        <v>315131.15</v>
      </c>
      <c r="E513" s="2" t="inlineStr">
        <is>
          <t>Andalucía</t>
        </is>
      </c>
      <c r="F513" s="2" t="inlineStr">
        <is>
          <t>Almería</t>
        </is>
      </c>
      <c r="G513" s="2" t="n"/>
      <c r="H513" s="2" t="inlineStr">
        <is>
          <t>Presidencia del Patronato Municipal de Deportes del Ayuntamiento de Almería</t>
        </is>
      </c>
      <c r="I513" s="2" t="inlineStr">
        <is>
          <t>Obras de reforma de los vestuarios del Complejo Deportivo Municipal de Los Ángeles.</t>
        </is>
      </c>
      <c r="J513" s="2" t="inlineStr">
        <is>
          <t>2026/36434V</t>
        </is>
      </c>
      <c r="K513" s="2" t="inlineStr">
        <is>
          <t>Abierto simplificado</t>
        </is>
      </c>
      <c r="L513" s="6" t="n">
        <v>7</v>
      </c>
      <c r="M513" s="2" t="n"/>
      <c r="N513" s="7" t="n">
        <v>0</v>
      </c>
      <c r="O513" s="4" t="n"/>
      <c r="P513" s="2" t="inlineStr">
        <is>
          <t>45212200</t>
        </is>
      </c>
      <c r="Q513" s="8" t="inlineStr">
        <is>
          <t>Ver</t>
        </is>
      </c>
      <c r="R513" s="8" t="inlineStr">
        <is>
          <t>PCAP</t>
        </is>
      </c>
      <c r="S513" s="9" t="n">
        <v>46310</v>
      </c>
      <c r="T513" s="3" t="n">
        <v>46303.6128587963</v>
      </c>
      <c r="U513" s="2" t="n"/>
    </row>
    <row r="514">
      <c r="A514" s="2" t="inlineStr">
        <is>
          <t>En plazo</t>
        </is>
      </c>
      <c r="B514" s="3" t="n">
        <v>46323.99930555555</v>
      </c>
      <c r="C514" s="5" t="n">
        <v>82639.55</v>
      </c>
      <c r="D514" s="5" t="n">
        <v>82639.55</v>
      </c>
      <c r="E514" s="2" t="inlineStr">
        <is>
          <t>Andalucía</t>
        </is>
      </c>
      <c r="F514" s="2" t="inlineStr">
        <is>
          <t>Jaén</t>
        </is>
      </c>
      <c r="G514" s="2" t="inlineStr">
        <is>
          <t>TORREPEROGIL</t>
        </is>
      </c>
      <c r="H514" s="2" t="inlineStr">
        <is>
          <t>Alcaldía del Ayuntamiento de Torreperogil</t>
        </is>
      </c>
      <c r="I514" s="2" t="inlineStr">
        <is>
          <t>Recuperación de Muralla histórica y de la cerca del Antiguo Cementerio en calle Perogil, en el municipio de Torreperogil.</t>
        </is>
      </c>
      <c r="J514" s="2" t="inlineStr">
        <is>
          <t>2266/2026</t>
        </is>
      </c>
      <c r="K514" s="2" t="inlineStr">
        <is>
          <t>Abierto simplificado</t>
        </is>
      </c>
      <c r="L514" s="6" t="n">
        <v>5</v>
      </c>
      <c r="M514" s="2" t="n"/>
      <c r="N514" s="7" t="n">
        <v>0.2</v>
      </c>
      <c r="O514" s="4" t="n"/>
      <c r="P514" s="2" t="inlineStr">
        <is>
          <t>45454100</t>
        </is>
      </c>
      <c r="Q514" s="8" t="inlineStr">
        <is>
          <t>Ver</t>
        </is>
      </c>
      <c r="R514" s="8" t="inlineStr">
        <is>
          <t>PCAP</t>
        </is>
      </c>
      <c r="S514" s="9" t="n">
        <v>46310</v>
      </c>
      <c r="T514" s="3" t="n">
        <v>46303.61053240741</v>
      </c>
      <c r="U514" s="2" t="n"/>
    </row>
    <row r="515">
      <c r="A515" s="2" t="inlineStr">
        <is>
          <t>Pendiente de adjudicación</t>
        </is>
      </c>
      <c r="B515" s="3" t="n">
        <v>46287.99930555555</v>
      </c>
      <c r="C515" s="5" t="n">
        <v>817092.0699999999</v>
      </c>
      <c r="D515" s="5" t="n">
        <v>817092.0699999999</v>
      </c>
      <c r="E515" s="2" t="inlineStr">
        <is>
          <t>Andalucía</t>
        </is>
      </c>
      <c r="F515" s="2" t="inlineStr">
        <is>
          <t>Cádiz</t>
        </is>
      </c>
      <c r="G515" s="2" t="n"/>
      <c r="H515" s="2" t="inlineStr">
        <is>
          <t>Alcaldía del Ayuntamiento de Algeciras</t>
        </is>
      </c>
      <c r="I515" s="2" t="inlineStr">
        <is>
          <t>Ejecución pasarela peatonal sobre el río Pícaro, para la conexión de calle Orión con los camarotes de Getares, restauración de parte del margen del río y restitución de senderos peatonales. Parque fluvial de río Pícaro</t>
        </is>
      </c>
      <c r="J515" s="2" t="inlineStr">
        <is>
          <t>28168/2016</t>
        </is>
      </c>
      <c r="K515" s="2" t="inlineStr">
        <is>
          <t>Abierto simplificado</t>
        </is>
      </c>
      <c r="L515" s="6" t="n">
        <v>6</v>
      </c>
      <c r="M515" s="2" t="n"/>
      <c r="N515" s="7" t="n">
        <v>0</v>
      </c>
      <c r="O515" s="4" t="n">
        <v>3</v>
      </c>
      <c r="P515" s="2" t="inlineStr">
        <is>
          <t>45262210; 45246200; 71317210; 45246510; 45262211; 45316100; 45233261; 45221113</t>
        </is>
      </c>
      <c r="Q515" s="8" t="inlineStr">
        <is>
          <t>Ver</t>
        </is>
      </c>
      <c r="R515" s="8" t="inlineStr">
        <is>
          <t>PCAP</t>
        </is>
      </c>
      <c r="S515" s="9" t="n">
        <v>46310</v>
      </c>
      <c r="T515" s="3" t="n">
        <v>46303.60939814815</v>
      </c>
      <c r="U515" s="2" t="n"/>
    </row>
    <row r="516">
      <c r="A516" s="2" t="inlineStr">
        <is>
          <t>En plazo</t>
        </is>
      </c>
      <c r="B516" s="3" t="n">
        <v>46311.54166666666</v>
      </c>
      <c r="C516" s="5" t="n">
        <v>8797967.949999999</v>
      </c>
      <c r="D516" s="5" t="n">
        <v>9239222.58</v>
      </c>
      <c r="E516" s="2" t="inlineStr">
        <is>
          <t>Andalucía</t>
        </is>
      </c>
      <c r="F516" s="2" t="n"/>
      <c r="G516" s="2" t="n"/>
      <c r="H516" s="2" t="inlineStr">
        <is>
          <t>ADIF -Consejo de Administración</t>
        </is>
      </c>
      <c r="I516" s="2" t="inlineStr">
        <is>
          <t>Ejecución de las obras y realización del mantenimiento del proyecto constructivo de telemando de energía del tramo Ronda-Algeciras de la línea Bobadilla-Algeciras</t>
        </is>
      </c>
      <c r="J516" s="2" t="inlineStr">
        <is>
          <t>4.25/06110.0362</t>
        </is>
      </c>
      <c r="K516" s="2" t="inlineStr">
        <is>
          <t>Abierto</t>
        </is>
      </c>
      <c r="L516" s="6" t="n">
        <v>48</v>
      </c>
      <c r="M516" s="2" t="inlineStr">
        <is>
          <t>I7-4</t>
        </is>
      </c>
      <c r="N516" s="7" t="n">
        <v>0.49</v>
      </c>
      <c r="O516" s="4" t="n"/>
      <c r="P516" s="2" t="inlineStr">
        <is>
          <t>45234000</t>
        </is>
      </c>
      <c r="Q516" s="8" t="inlineStr">
        <is>
          <t>Ver</t>
        </is>
      </c>
      <c r="R516" s="8" t="inlineStr">
        <is>
          <t>PCAP</t>
        </is>
      </c>
      <c r="S516" s="9" t="n">
        <v>46310</v>
      </c>
      <c r="T516" s="3" t="n">
        <v>46303.60840277778</v>
      </c>
      <c r="U516" s="2" t="n"/>
    </row>
    <row r="517">
      <c r="A517" s="2" t="inlineStr">
        <is>
          <t>En plazo</t>
        </is>
      </c>
      <c r="B517" s="3" t="n">
        <v>46323.99930555555</v>
      </c>
      <c r="C517" s="5" t="n">
        <v>194290.27</v>
      </c>
      <c r="D517" s="5" t="n">
        <v>194290.27</v>
      </c>
      <c r="E517" s="2" t="inlineStr">
        <is>
          <t>Comunitat Valenciana</t>
        </is>
      </c>
      <c r="F517" s="2" t="inlineStr">
        <is>
          <t>Valencia</t>
        </is>
      </c>
      <c r="G517" s="2" t="n"/>
      <c r="H517" s="2" t="inlineStr">
        <is>
          <t>Pleno del Ayuntamiento de Jarafuel</t>
        </is>
      </c>
      <c r="I517"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517" s="2" t="inlineStr">
        <is>
          <t>332/2026</t>
        </is>
      </c>
      <c r="K517" s="2" t="inlineStr">
        <is>
          <t>Abierto simplificado</t>
        </is>
      </c>
      <c r="L517" s="6" t="n">
        <v>5</v>
      </c>
      <c r="M517" s="2" t="n"/>
      <c r="N517" s="7" t="n">
        <v>0.25</v>
      </c>
      <c r="O517" s="4" t="n"/>
      <c r="P517" s="2" t="inlineStr">
        <is>
          <t>45262700; 45261211; 45453000; 45262660; 39314000; 45210000; 45331220; 45311200; 63000000</t>
        </is>
      </c>
      <c r="Q517" s="8" t="inlineStr">
        <is>
          <t>Ver</t>
        </is>
      </c>
      <c r="R517" s="8" t="inlineStr">
        <is>
          <t>PCAP</t>
        </is>
      </c>
      <c r="S517" s="9" t="n">
        <v>46310</v>
      </c>
      <c r="T517" s="3" t="n">
        <v>46303.60657407407</v>
      </c>
      <c r="U517" s="2" t="n"/>
    </row>
    <row r="518">
      <c r="A518" s="2" t="inlineStr">
        <is>
          <t>En plazo</t>
        </is>
      </c>
      <c r="B518" s="3" t="n">
        <v>46316.625</v>
      </c>
      <c r="C518" s="5" t="n">
        <v>219645.44</v>
      </c>
      <c r="D518" s="5" t="n">
        <v>219645.44</v>
      </c>
      <c r="E518" s="2" t="inlineStr">
        <is>
          <t>Andalucía</t>
        </is>
      </c>
      <c r="F518" s="2" t="inlineStr">
        <is>
          <t>Málaga</t>
        </is>
      </c>
      <c r="G518" s="2" t="n"/>
      <c r="H518" s="2" t="inlineStr">
        <is>
          <t>Pleno del Ayuntamiento de Benarrabá</t>
        </is>
      </c>
      <c r="I518"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518" s="2" t="inlineStr">
        <is>
          <t>2026/204</t>
        </is>
      </c>
      <c r="K518" s="2" t="inlineStr">
        <is>
          <t>Abierto simplificado</t>
        </is>
      </c>
      <c r="L518" s="6" t="n"/>
      <c r="M518" s="2" t="n"/>
      <c r="N518" s="7" t="n">
        <v>0.25</v>
      </c>
      <c r="O518" s="4" t="n"/>
      <c r="P518" s="2" t="inlineStr">
        <is>
          <t>45232150; 09330000; 45300000</t>
        </is>
      </c>
      <c r="Q518" s="8" t="inlineStr">
        <is>
          <t>Ver</t>
        </is>
      </c>
      <c r="R518" s="8" t="inlineStr">
        <is>
          <t>PCAP</t>
        </is>
      </c>
      <c r="S518" s="9" t="n">
        <v>46310</v>
      </c>
      <c r="T518" s="3" t="n">
        <v>46303.60653935185</v>
      </c>
      <c r="U518" s="2" t="n"/>
    </row>
    <row r="519">
      <c r="A519" s="2" t="inlineStr">
        <is>
          <t>En plazo</t>
        </is>
      </c>
      <c r="B519" s="3" t="n">
        <v>46323.99930555555</v>
      </c>
      <c r="C519" s="5" t="n">
        <v>261106.22</v>
      </c>
      <c r="D519" s="5" t="n">
        <v>261106.22</v>
      </c>
      <c r="E519" s="2" t="inlineStr">
        <is>
          <t>Comunitat Valenciana</t>
        </is>
      </c>
      <c r="F519" s="2" t="inlineStr">
        <is>
          <t>Valencia</t>
        </is>
      </c>
      <c r="G519" s="2" t="n"/>
      <c r="H519" s="2" t="inlineStr">
        <is>
          <t>Alcaldía del Ayuntamiento de Vilamarxant</t>
        </is>
      </c>
      <c r="I519" s="2" t="inlineStr">
        <is>
          <t>Es objeto del presente contrato las obras de actuación en zonas verdes calle San Jaime, Plaza del Pilar, calle Mariano Benlliure y calle Puzol de Vilamarxant.</t>
        </is>
      </c>
      <c r="J519" s="2" t="inlineStr">
        <is>
          <t>2998856D</t>
        </is>
      </c>
      <c r="K519" s="2" t="inlineStr">
        <is>
          <t>Abierto simplificado</t>
        </is>
      </c>
      <c r="L519" s="6" t="n">
        <v>3</v>
      </c>
      <c r="M519" s="2" t="n"/>
      <c r="N519" s="7" t="n">
        <v>0</v>
      </c>
      <c r="O519" s="4" t="n"/>
      <c r="P519" s="2" t="inlineStr">
        <is>
          <t>45000000</t>
        </is>
      </c>
      <c r="Q519" s="8" t="inlineStr">
        <is>
          <t>Ver</t>
        </is>
      </c>
      <c r="R519" s="8" t="inlineStr">
        <is>
          <t>PCAP</t>
        </is>
      </c>
      <c r="S519" s="9" t="n">
        <v>46310</v>
      </c>
      <c r="T519" s="3" t="n">
        <v>46303.6059375</v>
      </c>
      <c r="U519" s="2" t="n"/>
    </row>
    <row r="520">
      <c r="A520" s="2" t="inlineStr">
        <is>
          <t>Resuelta</t>
        </is>
      </c>
      <c r="B520" s="3" t="n">
        <v>46299.99930555555</v>
      </c>
      <c r="C520" s="5" t="n">
        <v>236729.02</v>
      </c>
      <c r="D520" s="5" t="n">
        <v>236729.02</v>
      </c>
      <c r="E520" s="2" t="inlineStr">
        <is>
          <t>Andalucía</t>
        </is>
      </c>
      <c r="F520" s="2" t="inlineStr">
        <is>
          <t>Sevilla</t>
        </is>
      </c>
      <c r="G520" s="2" t="n"/>
      <c r="H520" s="2" t="inlineStr">
        <is>
          <t>Alcaldía del Ayuntamiento de Los Molares</t>
        </is>
      </c>
      <c r="I520" s="2" t="inlineStr">
        <is>
          <t>Obra Ejecución Gimnasio Multifuncional aledaño al CEIP San Juan de Ribera de Los Molares</t>
        </is>
      </c>
      <c r="J520" s="2" t="inlineStr">
        <is>
          <t>P4106300I-2026/000030-PAAS</t>
        </is>
      </c>
      <c r="K520" s="2" t="inlineStr">
        <is>
          <t>Abierto simplificado</t>
        </is>
      </c>
      <c r="L520" s="6" t="n">
        <v>7</v>
      </c>
      <c r="M520" s="2" t="n"/>
      <c r="N520" s="7" t="n">
        <v>0</v>
      </c>
      <c r="O520" s="4" t="n"/>
      <c r="P520" s="2" t="inlineStr">
        <is>
          <t>45000000</t>
        </is>
      </c>
      <c r="Q520" s="8" t="inlineStr">
        <is>
          <t>Ver</t>
        </is>
      </c>
      <c r="R520" s="8" t="inlineStr">
        <is>
          <t>PCAP</t>
        </is>
      </c>
      <c r="S520" s="9" t="n">
        <v>46310</v>
      </c>
      <c r="T520" s="3" t="n">
        <v>46303.60574074074</v>
      </c>
      <c r="U520" s="2" t="n"/>
    </row>
    <row r="521">
      <c r="A521" s="2" t="inlineStr">
        <is>
          <t>Pendiente de adjudicación</t>
        </is>
      </c>
      <c r="B521" s="3" t="n">
        <v>46255.5</v>
      </c>
      <c r="C521" s="5" t="n">
        <v>332232.64</v>
      </c>
      <c r="D521" s="5" t="n">
        <v>332232.64</v>
      </c>
      <c r="E521" s="2" t="inlineStr">
        <is>
          <t>Andalucía</t>
        </is>
      </c>
      <c r="F521" s="2" t="inlineStr">
        <is>
          <t>Jaén</t>
        </is>
      </c>
      <c r="G521" s="2" t="inlineStr">
        <is>
          <t>Jaén</t>
        </is>
      </c>
      <c r="H521" s="2" t="inlineStr">
        <is>
          <t>Junta de Gobierno del Ayuntamiento de Torredonjimeno</t>
        </is>
      </c>
      <c r="I521" s="2" t="inlineStr">
        <is>
          <t>Obra de pavimentación del paseo central del parque municipal</t>
        </is>
      </c>
      <c r="J521" s="2" t="inlineStr">
        <is>
          <t>2877/2026</t>
        </is>
      </c>
      <c r="K521" s="2" t="inlineStr">
        <is>
          <t>Abierto simplificado</t>
        </is>
      </c>
      <c r="L521" s="6" t="n">
        <v>4</v>
      </c>
      <c r="M521" s="2" t="n"/>
      <c r="N521" s="7" t="n"/>
      <c r="O521" s="4" t="n"/>
      <c r="P521" s="2" t="inlineStr">
        <is>
          <t>45233251</t>
        </is>
      </c>
      <c r="Q521" s="8" t="inlineStr">
        <is>
          <t>Ver</t>
        </is>
      </c>
      <c r="R521" s="8" t="inlineStr">
        <is>
          <t>PCAP</t>
        </is>
      </c>
      <c r="S521" s="9" t="n">
        <v>46310</v>
      </c>
      <c r="T521" s="3" t="n">
        <v>46303.60503472222</v>
      </c>
      <c r="U521" s="2" t="n"/>
    </row>
    <row r="522">
      <c r="A522" s="2" t="inlineStr">
        <is>
          <t>Pendiente de adjudicación</t>
        </is>
      </c>
      <c r="B522" s="3" t="n">
        <v>46296.99930555555</v>
      </c>
      <c r="C522" s="5" t="n">
        <v>447605.75</v>
      </c>
      <c r="D522" s="5" t="n">
        <v>492366.33</v>
      </c>
      <c r="E522" s="2" t="inlineStr">
        <is>
          <t>Comunitat Valenciana</t>
        </is>
      </c>
      <c r="F522" s="2" t="inlineStr">
        <is>
          <t>Valencia</t>
        </is>
      </c>
      <c r="G522" s="2" t="n"/>
      <c r="H522" s="2" t="inlineStr">
        <is>
          <t>Junta de Gobierno del Ajuntament de València</t>
        </is>
      </c>
      <c r="I522" s="2" t="inlineStr">
        <is>
          <t>Obras de creación del jardín de Monteolivete, en la plaza ubicada entre la calle Escultor José Capuz, avenida Reino de València y calle Luis Oliag.-</t>
        </is>
      </c>
      <c r="J522" s="2" t="inlineStr">
        <is>
          <t>04101/2026/175-O</t>
        </is>
      </c>
      <c r="K522" s="2" t="inlineStr">
        <is>
          <t>Abierto simplificado</t>
        </is>
      </c>
      <c r="L522" s="6" t="n">
        <v>5</v>
      </c>
      <c r="M522" s="2" t="n"/>
      <c r="N522" s="7" t="n">
        <v>0</v>
      </c>
      <c r="O522" s="4" t="n"/>
      <c r="P522" s="2" t="inlineStr">
        <is>
          <t>45112712</t>
        </is>
      </c>
      <c r="Q522" s="8" t="inlineStr">
        <is>
          <t>Ver</t>
        </is>
      </c>
      <c r="R522" s="8" t="inlineStr">
        <is>
          <t>PCAP</t>
        </is>
      </c>
      <c r="S522" s="9" t="n">
        <v>46310</v>
      </c>
      <c r="T522" s="3" t="n">
        <v>46303.60361111111</v>
      </c>
      <c r="U522" s="2" t="n"/>
    </row>
    <row r="523">
      <c r="A523" s="2" t="inlineStr">
        <is>
          <t>Pendiente de adjudicación</t>
        </is>
      </c>
      <c r="B523" s="3" t="n">
        <v>46293.99930555555</v>
      </c>
      <c r="C523" s="5" t="n">
        <v>2354345.62</v>
      </c>
      <c r="D523" s="5" t="n">
        <v>2354345.62</v>
      </c>
      <c r="E523" s="2" t="inlineStr">
        <is>
          <t>Comunitat Valenciana</t>
        </is>
      </c>
      <c r="F523" s="2" t="inlineStr">
        <is>
          <t>Valencia</t>
        </is>
      </c>
      <c r="G523" s="2" t="n"/>
      <c r="H523" s="2" t="inlineStr">
        <is>
          <t>Alcaldía del Ayuntamiento de Manises</t>
        </is>
      </c>
      <c r="I523"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523" s="2" t="inlineStr">
        <is>
          <t>2859424Y</t>
        </is>
      </c>
      <c r="K523" s="2" t="inlineStr">
        <is>
          <t>Abierto</t>
        </is>
      </c>
      <c r="L523" s="6" t="n">
        <v>8</v>
      </c>
      <c r="M523" s="2" t="inlineStr">
        <is>
          <t>B2-5</t>
        </is>
      </c>
      <c r="N523" s="7" t="n">
        <v>0.2</v>
      </c>
      <c r="O523" s="4" t="n"/>
      <c r="P523" s="2" t="inlineStr">
        <is>
          <t>45262620; 45200000; 45111214; 45110000; 45233140</t>
        </is>
      </c>
      <c r="Q523" s="8" t="inlineStr">
        <is>
          <t>Ver</t>
        </is>
      </c>
      <c r="R523" s="8" t="inlineStr">
        <is>
          <t>PCAP</t>
        </is>
      </c>
      <c r="S523" s="9" t="n">
        <v>46310</v>
      </c>
      <c r="T523" s="3" t="n">
        <v>46303.60239583333</v>
      </c>
      <c r="U523" s="2" t="n"/>
    </row>
    <row r="524">
      <c r="A524" s="2" t="inlineStr">
        <is>
          <t>Pendiente de adjudicación</t>
        </is>
      </c>
      <c r="B524" s="3" t="n">
        <v>46276.45833333334</v>
      </c>
      <c r="C524" s="5" t="n">
        <v>445180.47</v>
      </c>
      <c r="D524" s="5" t="n">
        <v>445180.47</v>
      </c>
      <c r="E524" s="2" t="inlineStr">
        <is>
          <t>Andalucía</t>
        </is>
      </c>
      <c r="F524" s="2" t="inlineStr">
        <is>
          <t>Sevilla</t>
        </is>
      </c>
      <c r="G524" s="2" t="n"/>
      <c r="H524" s="2" t="inlineStr">
        <is>
          <t>Comisión Ejecutiva de la Gerencia de Urbanismo de Sevilla</t>
        </is>
      </c>
      <c r="I524" s="2" t="inlineStr">
        <is>
          <t>Obras del proyecto de mejora de la pavimentación con aglomerado asfáltico del tramo de la Avda. de Andalucía entre la Glorieta Sergio Rodríguez Prat y la calle Parque Amate.</t>
        </is>
      </c>
      <c r="J524" s="2" t="inlineStr">
        <is>
          <t>24/2026</t>
        </is>
      </c>
      <c r="K524" s="2" t="inlineStr">
        <is>
          <t>Abierto simplificado</t>
        </is>
      </c>
      <c r="L524" s="6" t="n">
        <v>2</v>
      </c>
      <c r="M524" s="2" t="n"/>
      <c r="N524" s="7" t="n">
        <v>0</v>
      </c>
      <c r="O524" s="4" t="n"/>
      <c r="P524" s="2" t="inlineStr">
        <is>
          <t>45233200; 45233222; 45233223; 45233252</t>
        </is>
      </c>
      <c r="Q524" s="8" t="inlineStr">
        <is>
          <t>Ver</t>
        </is>
      </c>
      <c r="R524" s="8" t="inlineStr">
        <is>
          <t>PCAP</t>
        </is>
      </c>
      <c r="S524" s="9" t="n">
        <v>46310</v>
      </c>
      <c r="T524" s="3" t="n">
        <v>46303.60178240741</v>
      </c>
      <c r="U524" s="2" t="n"/>
    </row>
    <row r="525">
      <c r="A525" s="2" t="inlineStr">
        <is>
          <t>En plazo</t>
        </is>
      </c>
      <c r="B525" s="3" t="n">
        <v>46323.625</v>
      </c>
      <c r="C525" s="5" t="n">
        <v>125823.73</v>
      </c>
      <c r="D525" s="5" t="n">
        <v>125823.73</v>
      </c>
      <c r="E525" s="2" t="inlineStr">
        <is>
          <t>Andalucía</t>
        </is>
      </c>
      <c r="F525" s="2" t="inlineStr">
        <is>
          <t>Huelva</t>
        </is>
      </c>
      <c r="G525" s="2" t="n"/>
      <c r="H525" s="2" t="inlineStr">
        <is>
          <t>Alcaldía del Ayuntamiento de Puebla de Guzmán</t>
        </is>
      </c>
      <c r="I525" s="2" t="inlineStr">
        <is>
          <t>Reurbanización de escalera y acceso norte al Castillo (Iglesia de la Santa Cruz)</t>
        </is>
      </c>
      <c r="J525" s="2" t="inlineStr">
        <is>
          <t>007/2026</t>
        </is>
      </c>
      <c r="K525" s="2" t="inlineStr">
        <is>
          <t>Abierto simplificado</t>
        </is>
      </c>
      <c r="L525" s="6" t="n">
        <v>6</v>
      </c>
      <c r="M525" s="2" t="n"/>
      <c r="N525" s="7" t="n">
        <v>0</v>
      </c>
      <c r="O525" s="4" t="n"/>
      <c r="P525" s="2" t="inlineStr">
        <is>
          <t>45000000; 45111000</t>
        </is>
      </c>
      <c r="Q525" s="8" t="inlineStr">
        <is>
          <t>Ver</t>
        </is>
      </c>
      <c r="R525" s="8" t="inlineStr">
        <is>
          <t>PCAP</t>
        </is>
      </c>
      <c r="S525" s="9" t="n">
        <v>46310</v>
      </c>
      <c r="T525" s="3" t="n">
        <v>46303.60054398148</v>
      </c>
      <c r="U525" s="2" t="n"/>
    </row>
    <row r="526">
      <c r="A526" s="2" t="inlineStr">
        <is>
          <t>En plazo</t>
        </is>
      </c>
      <c r="B526" s="3" t="n">
        <v>46321.375</v>
      </c>
      <c r="C526" s="5" t="n">
        <v>889866.1</v>
      </c>
      <c r="D526" s="5" t="n">
        <v>1067839.32</v>
      </c>
      <c r="E526" s="2" t="inlineStr">
        <is>
          <t>Comunitat Valenciana</t>
        </is>
      </c>
      <c r="F526" s="2" t="inlineStr">
        <is>
          <t>Alicante</t>
        </is>
      </c>
      <c r="G526" s="2" t="inlineStr">
        <is>
          <t>Alicante</t>
        </is>
      </c>
      <c r="H526" s="2" t="inlineStr">
        <is>
          <t>Mercados Centrales De Abastecimiento de Alicante S.A.</t>
        </is>
      </c>
      <c r="I526" s="2" t="inlineStr">
        <is>
          <t>Sustitución de las cubiertas de fibrocemento de la nave III de Mercalicante</t>
        </is>
      </c>
      <c r="J526" s="2" t="inlineStr">
        <is>
          <t>21/2026EXPL</t>
        </is>
      </c>
      <c r="K526" s="2" t="inlineStr">
        <is>
          <t>Abierto simplificado</t>
        </is>
      </c>
      <c r="L526" s="6" t="n">
        <v>10</v>
      </c>
      <c r="M526" s="2" t="n"/>
      <c r="N526" s="7" t="n">
        <v>0.25</v>
      </c>
      <c r="O526" s="4" t="n"/>
      <c r="P526" s="2" t="inlineStr">
        <is>
          <t>45000000; 45421160; 45261220; 45262660; 45261420</t>
        </is>
      </c>
      <c r="Q526" s="8" t="inlineStr">
        <is>
          <t>Ver</t>
        </is>
      </c>
      <c r="R526" s="8" t="inlineStr">
        <is>
          <t>PCAP</t>
        </is>
      </c>
      <c r="S526" s="9" t="n">
        <v>46310</v>
      </c>
      <c r="T526" s="3" t="n">
        <v>46303.59924768518</v>
      </c>
      <c r="U526" s="2" t="n"/>
    </row>
    <row r="527">
      <c r="A527" s="2" t="inlineStr">
        <is>
          <t>Pendiente de adjudicación</t>
        </is>
      </c>
      <c r="B527" s="3" t="n">
        <v>46234.99930555555</v>
      </c>
      <c r="C527" s="5" t="n">
        <v>74670.05</v>
      </c>
      <c r="D527" s="5" t="n">
        <v>74670.05</v>
      </c>
      <c r="E527" s="2" t="inlineStr">
        <is>
          <t>Comunitat Valenciana</t>
        </is>
      </c>
      <c r="F527" s="2" t="inlineStr">
        <is>
          <t>Alicante</t>
        </is>
      </c>
      <c r="G527" s="2" t="n"/>
      <c r="H527" s="2" t="inlineStr">
        <is>
          <t>Presidencia de la Diputación Provincial de Alicante</t>
        </is>
      </c>
      <c r="I527" s="2" t="inlineStr">
        <is>
          <t>Obras de automatización del control de abastecimiento por telelectura del sector 2 (zonas de San Cristóbal, San Jaime, Jovades y La Alcudia) en Cocentaina.</t>
        </is>
      </c>
      <c r="J527" s="2" t="inlineStr">
        <is>
          <t>O4S-092/2026</t>
        </is>
      </c>
      <c r="K527" s="2" t="inlineStr">
        <is>
          <t>Abierto simplificado</t>
        </is>
      </c>
      <c r="L527" s="6" t="n">
        <v>3</v>
      </c>
      <c r="M527" s="2" t="n"/>
      <c r="N527" s="7" t="n">
        <v>0.25</v>
      </c>
      <c r="O527" s="4" t="n"/>
      <c r="P527" s="2" t="inlineStr">
        <is>
          <t>45314000</t>
        </is>
      </c>
      <c r="Q527" s="8" t="inlineStr">
        <is>
          <t>Ver</t>
        </is>
      </c>
      <c r="R527" s="8" t="inlineStr">
        <is>
          <t>PCAP</t>
        </is>
      </c>
      <c r="S527" s="9" t="n">
        <v>46310</v>
      </c>
      <c r="T527" s="3" t="n">
        <v>46303.59365740741</v>
      </c>
      <c r="U527" s="2" t="n"/>
    </row>
    <row r="528">
      <c r="A528" s="2" t="inlineStr">
        <is>
          <t>En plazo</t>
        </is>
      </c>
      <c r="B528" s="3" t="n">
        <v>46318.99930555555</v>
      </c>
      <c r="C528" s="5" t="n">
        <v>69800</v>
      </c>
      <c r="D528" s="5" t="n">
        <v>69800</v>
      </c>
      <c r="E528" s="2" t="inlineStr">
        <is>
          <t>Andalucía</t>
        </is>
      </c>
      <c r="F528" s="2" t="inlineStr">
        <is>
          <t>Granada</t>
        </is>
      </c>
      <c r="G528" s="2" t="inlineStr">
        <is>
          <t>FONELAS</t>
        </is>
      </c>
      <c r="H528" s="2" t="inlineStr">
        <is>
          <t>Alcaldía del Ayuntamiento de Fonelas</t>
        </is>
      </c>
      <c r="I528" s="2" t="inlineStr">
        <is>
          <t>obras de reparación a llevar a cabo en tramos parciales de ambos viales públicos, debido a la erosión y precario estado en el que se encuentran ambos viales a causa de los daños provocados por el temporal acaecido en el mes de febrero-2.026 pasado.</t>
        </is>
      </c>
      <c r="J528" s="2" t="inlineStr">
        <is>
          <t>380/2026</t>
        </is>
      </c>
      <c r="K528" s="2" t="inlineStr">
        <is>
          <t>Abierto simplificado</t>
        </is>
      </c>
      <c r="L528" s="6" t="n">
        <v>2</v>
      </c>
      <c r="M528" s="2" t="n"/>
      <c r="N528" s="7" t="n">
        <v>0</v>
      </c>
      <c r="O528" s="4" t="n"/>
      <c r="P528" s="2" t="inlineStr">
        <is>
          <t>45233222</t>
        </is>
      </c>
      <c r="Q528" s="8" t="inlineStr">
        <is>
          <t>Ver</t>
        </is>
      </c>
      <c r="R528" s="8" t="inlineStr">
        <is>
          <t>PCAP</t>
        </is>
      </c>
      <c r="S528" s="9" t="n">
        <v>46310</v>
      </c>
      <c r="T528" s="3" t="n">
        <v>46303.58402777778</v>
      </c>
      <c r="U528" s="2" t="n"/>
    </row>
    <row r="529">
      <c r="A529" s="2" t="inlineStr">
        <is>
          <t>En plazo</t>
        </is>
      </c>
      <c r="B529" s="3" t="n">
        <v>46321.99930555555</v>
      </c>
      <c r="C529" s="5" t="n">
        <v>68644.88</v>
      </c>
      <c r="D529" s="5" t="n">
        <v>68644.88</v>
      </c>
      <c r="E529" s="2" t="inlineStr">
        <is>
          <t>Comunitat Valenciana</t>
        </is>
      </c>
      <c r="F529" s="2" t="inlineStr">
        <is>
          <t>Valencia</t>
        </is>
      </c>
      <c r="G529" s="2" t="n"/>
      <c r="H529" s="2" t="inlineStr">
        <is>
          <t>Concejalía Delegada de Hacienda del Ayuntamiento de la Pobla de Vallbona</t>
        </is>
      </c>
      <c r="I529" s="2" t="inlineStr">
        <is>
          <t>Contratación de las obras consistentes en el derribo de los frontones de la Ciudad Deportiva de La Pobla de Vallbona.</t>
        </is>
      </c>
      <c r="J529" s="2" t="inlineStr">
        <is>
          <t>2026000025</t>
        </is>
      </c>
      <c r="K529" s="2" t="inlineStr">
        <is>
          <t>Abierto simplificado</t>
        </is>
      </c>
      <c r="L529" s="6" t="n">
        <v>1</v>
      </c>
      <c r="M529" s="2" t="n"/>
      <c r="N529" s="7" t="n">
        <v>0</v>
      </c>
      <c r="O529" s="4" t="n"/>
      <c r="P529" s="2" t="inlineStr">
        <is>
          <t>45111000</t>
        </is>
      </c>
      <c r="Q529" s="8" t="inlineStr">
        <is>
          <t>Ver</t>
        </is>
      </c>
      <c r="R529" s="8" t="inlineStr">
        <is>
          <t>PCAP</t>
        </is>
      </c>
      <c r="S529" s="9" t="n">
        <v>46310</v>
      </c>
      <c r="T529" s="3" t="n">
        <v>46303.58331018518</v>
      </c>
      <c r="U529" s="2" t="n"/>
    </row>
    <row r="530">
      <c r="A530" s="2" t="inlineStr">
        <is>
          <t>En plazo</t>
        </is>
      </c>
      <c r="B530" s="3" t="n">
        <v>46314.99930555555</v>
      </c>
      <c r="C530" s="5" t="n">
        <v>54111.89</v>
      </c>
      <c r="D530" s="5" t="n">
        <v>54111.89</v>
      </c>
      <c r="E530" s="2" t="inlineStr">
        <is>
          <t>Andalucía</t>
        </is>
      </c>
      <c r="F530" s="2" t="inlineStr">
        <is>
          <t>Granada</t>
        </is>
      </c>
      <c r="G530" s="2" t="inlineStr">
        <is>
          <t>Ácula, Ventas de Huelma</t>
        </is>
      </c>
      <c r="H530" s="2" t="inlineStr">
        <is>
          <t>Alcaldía del Ayuntamiento de Ventas de Huelma</t>
        </is>
      </c>
      <c r="I530" s="2" t="inlineStr">
        <is>
          <t>Contrato de mejora de climatización y mejora de protección contra incendios y ventilación en la nave de usos múltiples de Ácula.</t>
        </is>
      </c>
      <c r="J530" s="2" t="inlineStr">
        <is>
          <t>117/2025</t>
        </is>
      </c>
      <c r="K530" s="2" t="inlineStr">
        <is>
          <t>Abierto simplificado</t>
        </is>
      </c>
      <c r="L530" s="6" t="n">
        <v>3</v>
      </c>
      <c r="M530" s="2" t="n"/>
      <c r="N530" s="7" t="n">
        <v>0</v>
      </c>
      <c r="O530" s="4" t="n">
        <v>3</v>
      </c>
      <c r="P530" s="2" t="inlineStr">
        <is>
          <t>45331000; 31321000; 42512300; 31321200; 50411300; 51700000</t>
        </is>
      </c>
      <c r="Q530" s="8" t="inlineStr">
        <is>
          <t>Ver</t>
        </is>
      </c>
      <c r="R530" s="8" t="inlineStr">
        <is>
          <t>PCAP</t>
        </is>
      </c>
      <c r="S530" s="9" t="n">
        <v>46310</v>
      </c>
      <c r="T530" s="3" t="n">
        <v>46303.57976851852</v>
      </c>
      <c r="U530" s="2" t="n"/>
    </row>
    <row r="531">
      <c r="A531" s="2" t="inlineStr">
        <is>
          <t>En plazo</t>
        </is>
      </c>
      <c r="B531" s="3" t="n">
        <v>46318.99930555555</v>
      </c>
      <c r="C531" s="5" t="n">
        <v>42982.34</v>
      </c>
      <c r="D531" s="5" t="n">
        <v>42982.34</v>
      </c>
      <c r="E531" s="2" t="inlineStr">
        <is>
          <t>Andalucía</t>
        </is>
      </c>
      <c r="F531" s="2" t="inlineStr">
        <is>
          <t>Córdoba</t>
        </is>
      </c>
      <c r="G531" s="2" t="n"/>
      <c r="H531" s="2" t="inlineStr">
        <is>
          <t>Alcaldia del Ayuntamiento de Pozoblanco</t>
        </is>
      </c>
      <c r="I531" s="2" t="inlineStr">
        <is>
          <t>Ejecución de las obras, por lotes, de ampliación de circuitos eléctricos para la climatización en Centros Educativos de Pozoblanco.</t>
        </is>
      </c>
      <c r="J531" s="2" t="inlineStr">
        <is>
          <t>2026/025</t>
        </is>
      </c>
      <c r="K531" s="2" t="inlineStr">
        <is>
          <t>Abierto simplificado</t>
        </is>
      </c>
      <c r="L531" s="6" t="n">
        <v>1</v>
      </c>
      <c r="M531" s="2" t="n"/>
      <c r="N531" s="7" t="n">
        <v>0</v>
      </c>
      <c r="O531" s="4" t="n">
        <v>3</v>
      </c>
      <c r="P531" s="2" t="inlineStr">
        <is>
          <t>45310000; 45311000; 45315600</t>
        </is>
      </c>
      <c r="Q531" s="8" t="inlineStr">
        <is>
          <t>Ver</t>
        </is>
      </c>
      <c r="R531" s="8" t="inlineStr">
        <is>
          <t>PCAP</t>
        </is>
      </c>
      <c r="S531" s="9" t="n">
        <v>46310</v>
      </c>
      <c r="T531" s="3" t="n">
        <v>46303.57704861111</v>
      </c>
      <c r="U531" s="2" t="n"/>
    </row>
    <row r="532">
      <c r="A532" s="2" t="inlineStr">
        <is>
          <t>Pendiente de adjudicación</t>
        </is>
      </c>
      <c r="B532" s="3" t="n">
        <v>46210.58333333334</v>
      </c>
      <c r="C532" s="5" t="n">
        <v>467674.62</v>
      </c>
      <c r="D532" s="5" t="n">
        <v>467674.62</v>
      </c>
      <c r="E532" s="2" t="inlineStr">
        <is>
          <t>Andalucía</t>
        </is>
      </c>
      <c r="F532" s="2" t="inlineStr">
        <is>
          <t>Sevilla</t>
        </is>
      </c>
      <c r="G532" s="2" t="n"/>
      <c r="H532" s="2" t="inlineStr">
        <is>
          <t>Alcaldía del Ayuntamiento de Bollullos de la Mitación</t>
        </is>
      </c>
      <c r="I532" s="2" t="inlineStr">
        <is>
          <t>Contrato de obra actuación de reforma en el polideportivo municipal. Plan sevilla 107</t>
        </is>
      </c>
      <c r="J532" s="2" t="inlineStr">
        <is>
          <t>P4101600G-2026/000046-PAAS</t>
        </is>
      </c>
      <c r="K532" s="2" t="inlineStr">
        <is>
          <t>Abierto simplificado</t>
        </is>
      </c>
      <c r="L532" s="6" t="n">
        <v>6</v>
      </c>
      <c r="M532" s="2" t="n"/>
      <c r="N532" s="7" t="n">
        <v>0</v>
      </c>
      <c r="O532" s="4" t="n"/>
      <c r="P532" s="2" t="inlineStr">
        <is>
          <t>45212212; 45342000</t>
        </is>
      </c>
      <c r="Q532" s="8" t="inlineStr">
        <is>
          <t>Ver</t>
        </is>
      </c>
      <c r="R532" s="8" t="inlineStr">
        <is>
          <t>PCAP</t>
        </is>
      </c>
      <c r="S532" s="9" t="n">
        <v>46310</v>
      </c>
      <c r="T532" s="3" t="n">
        <v>46303.57653935185</v>
      </c>
      <c r="U532" s="2" t="n"/>
    </row>
    <row r="533">
      <c r="A533" s="2" t="inlineStr">
        <is>
          <t>En plazo</t>
        </is>
      </c>
      <c r="B533" s="3" t="n">
        <v>46329.79166666666</v>
      </c>
      <c r="C533" s="5" t="n">
        <v>1071077.53</v>
      </c>
      <c r="D533" s="5" t="n">
        <v>1071077.53</v>
      </c>
      <c r="E533" s="2" t="inlineStr">
        <is>
          <t>Andalucía</t>
        </is>
      </c>
      <c r="F533" s="2" t="inlineStr">
        <is>
          <t>Almería</t>
        </is>
      </c>
      <c r="G533" s="2" t="inlineStr">
        <is>
          <t>Almería</t>
        </is>
      </c>
      <c r="H533" s="2" t="inlineStr">
        <is>
          <t>Presidencia de la Autoridad Portuaria de Almería</t>
        </is>
      </c>
      <c r="I533" s="2" t="inlineStr">
        <is>
          <t>Obras de Reforma de Pasarelas 4 y 5 en Puerto de Almería</t>
        </is>
      </c>
      <c r="J533" s="2" t="inlineStr">
        <is>
          <t>31/O/A/AL26</t>
        </is>
      </c>
      <c r="K533" s="2" t="inlineStr">
        <is>
          <t>Abierto</t>
        </is>
      </c>
      <c r="L533" s="6" t="n">
        <v>12</v>
      </c>
      <c r="M533" s="2" t="inlineStr">
        <is>
          <t>C3-4</t>
        </is>
      </c>
      <c r="N533" s="7" t="n">
        <v>0.25</v>
      </c>
      <c r="O533" s="4" t="n"/>
      <c r="P533" s="2" t="inlineStr">
        <is>
          <t>45223210; 45223100</t>
        </is>
      </c>
      <c r="Q533" s="8" t="inlineStr">
        <is>
          <t>Ver</t>
        </is>
      </c>
      <c r="R533" s="8" t="inlineStr">
        <is>
          <t>PCAP</t>
        </is>
      </c>
      <c r="S533" s="9" t="n">
        <v>46310</v>
      </c>
      <c r="T533" s="3" t="n">
        <v>46303.57653935185</v>
      </c>
      <c r="U533" s="2" t="n"/>
    </row>
    <row r="534">
      <c r="A534" s="2" t="inlineStr">
        <is>
          <t>En plazo</t>
        </is>
      </c>
      <c r="B534" s="3" t="n">
        <v>46323.99930555555</v>
      </c>
      <c r="C534" s="5" t="n">
        <v>169747.73</v>
      </c>
      <c r="D534" s="5" t="n">
        <v>169747.73</v>
      </c>
      <c r="E534" s="2" t="inlineStr">
        <is>
          <t>Andalucía</t>
        </is>
      </c>
      <c r="F534" s="2" t="inlineStr">
        <is>
          <t>Jaén</t>
        </is>
      </c>
      <c r="G534" s="2" t="inlineStr">
        <is>
          <t>ESCAÑUELA</t>
        </is>
      </c>
      <c r="H534" s="2" t="inlineStr">
        <is>
          <t>Pleno del Ayuntamiento de Escañuela</t>
        </is>
      </c>
      <c r="I534" s="2" t="inlineStr">
        <is>
          <t>Obras necesarias para la reparación, restitución y mejora funcional de las piscinas municipales de Escañuela y de los espacios directamente vinculados a su utilización, promovido por el Ayuntamiento de Escañuela (Jaén).</t>
        </is>
      </c>
      <c r="J534" s="2" t="inlineStr">
        <is>
          <t>429/2026</t>
        </is>
      </c>
      <c r="K534" s="2" t="inlineStr">
        <is>
          <t>Abierto simplificado</t>
        </is>
      </c>
      <c r="L534" s="6" t="n">
        <v>5</v>
      </c>
      <c r="M534" s="2" t="n"/>
      <c r="N534" s="7" t="n">
        <v>0</v>
      </c>
      <c r="O534" s="4" t="n"/>
      <c r="P534" s="2" t="inlineStr">
        <is>
          <t>45212212</t>
        </is>
      </c>
      <c r="Q534" s="8" t="inlineStr">
        <is>
          <t>Ver</t>
        </is>
      </c>
      <c r="R534" s="8" t="inlineStr">
        <is>
          <t>PCAP</t>
        </is>
      </c>
      <c r="S534" s="9" t="n">
        <v>46310</v>
      </c>
      <c r="T534" s="3" t="n">
        <v>46303.57612268518</v>
      </c>
      <c r="U534" s="2" t="n"/>
    </row>
    <row r="535">
      <c r="A535" s="2" t="inlineStr">
        <is>
          <t>Adjudicada</t>
        </is>
      </c>
      <c r="B535" s="3" t="n">
        <v>46252.99930555555</v>
      </c>
      <c r="C535" s="5" t="n">
        <v>74267.38</v>
      </c>
      <c r="D535" s="5" t="n">
        <v>74267.38</v>
      </c>
      <c r="E535" s="2" t="inlineStr">
        <is>
          <t>Andalucía</t>
        </is>
      </c>
      <c r="F535" s="2" t="inlineStr">
        <is>
          <t>Málaga</t>
        </is>
      </c>
      <c r="G535" s="2" t="n"/>
      <c r="H535" s="2" t="inlineStr">
        <is>
          <t>Alcaldía del Ayuntamiento de Casarabonela</t>
        </is>
      </c>
      <c r="I535"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535" s="2" t="inlineStr">
        <is>
          <t>C2026409</t>
        </is>
      </c>
      <c r="K535" s="2" t="inlineStr">
        <is>
          <t>Abierto simplificado</t>
        </is>
      </c>
      <c r="L535" s="6" t="n">
        <v>2</v>
      </c>
      <c r="M535" s="2" t="n"/>
      <c r="N535" s="7" t="n">
        <v>0</v>
      </c>
      <c r="O535" s="4" t="n"/>
      <c r="P535" s="2" t="inlineStr">
        <is>
          <t>45221113; 45223210; 45422000; 45112450</t>
        </is>
      </c>
      <c r="Q535" s="8" t="inlineStr">
        <is>
          <t>Ver</t>
        </is>
      </c>
      <c r="R535" s="8" t="inlineStr">
        <is>
          <t>PCAP</t>
        </is>
      </c>
      <c r="S535" s="9" t="n">
        <v>46310</v>
      </c>
      <c r="T535" s="3" t="n">
        <v>46303.57553240741</v>
      </c>
      <c r="U535" s="2" t="n"/>
    </row>
    <row r="536">
      <c r="A536" s="2" t="inlineStr">
        <is>
          <t>Pendiente de adjudicación</t>
        </is>
      </c>
      <c r="B536" s="3" t="n">
        <v>46289.99930555555</v>
      </c>
      <c r="C536" s="5" t="n">
        <v>83007.19</v>
      </c>
      <c r="D536" s="5" t="n">
        <v>83007.19</v>
      </c>
      <c r="E536" s="2" t="inlineStr">
        <is>
          <t>Comunitat Valenciana</t>
        </is>
      </c>
      <c r="F536" s="2" t="inlineStr">
        <is>
          <t>Castellón</t>
        </is>
      </c>
      <c r="G536" s="2" t="inlineStr">
        <is>
          <t>CABANES (RIBERA)</t>
        </is>
      </c>
      <c r="H536" s="2" t="inlineStr">
        <is>
          <t>Alcaldía del Ayuntamiento de Cabanes</t>
        </is>
      </c>
      <c r="I536" s="2" t="inlineStr">
        <is>
          <t>Climatización del centro socio-cultural de La Ribera de Cabanes</t>
        </is>
      </c>
      <c r="J536" s="2" t="inlineStr">
        <is>
          <t>2466/2026</t>
        </is>
      </c>
      <c r="K536" s="2" t="inlineStr">
        <is>
          <t>Abierto simplificado</t>
        </is>
      </c>
      <c r="L536" s="6" t="n">
        <v>2</v>
      </c>
      <c r="M536" s="2" t="n"/>
      <c r="N536" s="7" t="n">
        <v>0</v>
      </c>
      <c r="O536" s="4" t="n"/>
      <c r="P536" s="2" t="inlineStr">
        <is>
          <t>45331000</t>
        </is>
      </c>
      <c r="Q536" s="8" t="inlineStr">
        <is>
          <t>Ver</t>
        </is>
      </c>
      <c r="R536" s="8" t="inlineStr">
        <is>
          <t>PCAP</t>
        </is>
      </c>
      <c r="S536" s="9" t="n">
        <v>46310</v>
      </c>
      <c r="T536" s="3" t="n">
        <v>46303.5733912037</v>
      </c>
      <c r="U536" s="2" t="n"/>
    </row>
    <row r="537">
      <c r="A537" s="2" t="inlineStr">
        <is>
          <t>En plazo</t>
        </is>
      </c>
      <c r="B537" s="3" t="n">
        <v>46337.375</v>
      </c>
      <c r="C537" s="5" t="n">
        <v>204492.06</v>
      </c>
      <c r="D537" s="5" t="n">
        <v>204492.06</v>
      </c>
      <c r="E537" s="2" t="inlineStr">
        <is>
          <t>Comunitat Valenciana</t>
        </is>
      </c>
      <c r="F537" s="2" t="inlineStr">
        <is>
          <t>Valencia</t>
        </is>
      </c>
      <c r="G537" s="2" t="inlineStr">
        <is>
          <t>Vinalesa (Valencia)</t>
        </is>
      </c>
      <c r="H537" s="2" t="inlineStr">
        <is>
          <t>Alcaldía del Ayuntamiento de Vinalesa</t>
        </is>
      </c>
      <c r="I537" s="2" t="inlineStr">
        <is>
          <t>Actuación urbana de peatonalización Calles Esperanza, Maravillas y Consuelo.</t>
        </is>
      </c>
      <c r="J537" s="2" t="inlineStr">
        <is>
          <t>2849618D</t>
        </is>
      </c>
      <c r="K537" s="2" t="inlineStr">
        <is>
          <t>Abierto simplificado</t>
        </is>
      </c>
      <c r="L537" s="6" t="n">
        <v>3</v>
      </c>
      <c r="M537" s="2" t="n"/>
      <c r="N537" s="7" t="n">
        <v>0</v>
      </c>
      <c r="O537" s="4" t="n"/>
      <c r="P537" s="2" t="inlineStr">
        <is>
          <t>45233262</t>
        </is>
      </c>
      <c r="Q537" s="8" t="inlineStr">
        <is>
          <t>Ver</t>
        </is>
      </c>
      <c r="R537" s="8" t="inlineStr">
        <is>
          <t>PCAP</t>
        </is>
      </c>
      <c r="S537" s="9" t="n">
        <v>46310</v>
      </c>
      <c r="T537" s="3" t="n">
        <v>46303.57305555556</v>
      </c>
      <c r="U537" s="2" t="n"/>
    </row>
    <row r="538">
      <c r="A538" s="2" t="inlineStr">
        <is>
          <t>Resuelta</t>
        </is>
      </c>
      <c r="B538" s="3" t="n"/>
      <c r="C538" s="5" t="n">
        <v>4729184.45</v>
      </c>
      <c r="D538" s="5" t="n">
        <v>4729184.45</v>
      </c>
      <c r="E538" s="2" t="inlineStr">
        <is>
          <t>Comunitat Valenciana</t>
        </is>
      </c>
      <c r="F538" s="2" t="inlineStr">
        <is>
          <t>Valencia</t>
        </is>
      </c>
      <c r="G538" s="2" t="n"/>
      <c r="H538" s="2" t="inlineStr">
        <is>
          <t>Vicepresidente Segundo y Conseller para la Recuperación Económica y Social de la Comunitat Valenciana y de Medio Ambiente, Infraestructuras y Territorio</t>
        </is>
      </c>
      <c r="I538" s="2" t="inlineStr">
        <is>
          <t>Obras de emergencia DANA-2024 reparación instalaciones portuarias afectadas y restitución de calados en el puerto de Cullera de gestión directa de la Generalitat</t>
        </is>
      </c>
      <c r="J538" s="2" t="inlineStr">
        <is>
          <t>CMAYOR/2024/24Y04/0056</t>
        </is>
      </c>
      <c r="K538" s="2" t="inlineStr">
        <is>
          <t>Negociado sin publicidad</t>
        </is>
      </c>
      <c r="L538" s="6" t="n">
        <v>6</v>
      </c>
      <c r="M538" s="2" t="n"/>
      <c r="N538" s="7" t="n">
        <v>0</v>
      </c>
      <c r="O538" s="4" t="n"/>
      <c r="P538" s="2" t="inlineStr">
        <is>
          <t>45244000; 45241000</t>
        </is>
      </c>
      <c r="Q538" s="8" t="inlineStr">
        <is>
          <t>Ver</t>
        </is>
      </c>
      <c r="R538" s="2" t="n"/>
      <c r="S538" s="9" t="n">
        <v>46310</v>
      </c>
      <c r="T538" s="3" t="n">
        <v>46303.57261574074</v>
      </c>
      <c r="U538" s="2" t="n"/>
    </row>
    <row r="539">
      <c r="A539" s="2" t="inlineStr">
        <is>
          <t>Adjudicada</t>
        </is>
      </c>
      <c r="B539" s="3" t="n">
        <v>46244.79166666666</v>
      </c>
      <c r="C539" s="5" t="n">
        <v>805138.89</v>
      </c>
      <c r="D539" s="5" t="n">
        <v>805138.89</v>
      </c>
      <c r="E539" s="2" t="inlineStr">
        <is>
          <t>Comunitat Valenciana</t>
        </is>
      </c>
      <c r="F539" s="2" t="inlineStr">
        <is>
          <t>Valencia</t>
        </is>
      </c>
      <c r="G539" s="2" t="inlineStr">
        <is>
          <t>Alfara del Patriarca</t>
        </is>
      </c>
      <c r="H539" s="2" t="inlineStr">
        <is>
          <t>Pleno del Ayuntamiento de Alfara del Patriarca</t>
        </is>
      </c>
      <c r="I539" s="2" t="inlineStr">
        <is>
          <t>Cubierta para pista deportiva y graderío lateral en polideportivo municipal "El Paretó" de Alfara del Patriarca</t>
        </is>
      </c>
      <c r="J539" s="2" t="inlineStr">
        <is>
          <t>481/2026</t>
        </is>
      </c>
      <c r="K539" s="2" t="inlineStr">
        <is>
          <t>Abierto simplificado</t>
        </is>
      </c>
      <c r="L539" s="6" t="n">
        <v>4</v>
      </c>
      <c r="M539" s="2" t="inlineStr">
        <is>
          <t>C3-3</t>
        </is>
      </c>
      <c r="N539" s="7" t="n">
        <v>0</v>
      </c>
      <c r="O539" s="4" t="n"/>
      <c r="P539" s="2" t="inlineStr">
        <is>
          <t>45200000; 45212000; 45210000; 45211350; 45212200</t>
        </is>
      </c>
      <c r="Q539" s="8" t="inlineStr">
        <is>
          <t>Ver</t>
        </is>
      </c>
      <c r="R539" s="8" t="inlineStr">
        <is>
          <t>PCAP</t>
        </is>
      </c>
      <c r="S539" s="9" t="n">
        <v>46310</v>
      </c>
      <c r="T539" s="3" t="n">
        <v>46303.57125</v>
      </c>
      <c r="U539" s="2" t="n"/>
    </row>
    <row r="540">
      <c r="A540" s="2" t="inlineStr">
        <is>
          <t>En plazo</t>
        </is>
      </c>
      <c r="B540" s="3" t="n">
        <v>46318.99930555555</v>
      </c>
      <c r="C540" s="5" t="n">
        <v>41614.94</v>
      </c>
      <c r="D540" s="5" t="n">
        <v>41614.94</v>
      </c>
      <c r="E540" s="2" t="inlineStr">
        <is>
          <t>Andalucía</t>
        </is>
      </c>
      <c r="F540" s="2" t="inlineStr">
        <is>
          <t>Huelva</t>
        </is>
      </c>
      <c r="G540" s="2" t="inlineStr">
        <is>
          <t>La Palma del Condado</t>
        </is>
      </c>
      <c r="H540" s="2" t="inlineStr">
        <is>
          <t>Alcaldía del Ayuntamiento de La Palma del Condado</t>
        </is>
      </c>
      <c r="I540" s="2" t="inlineStr">
        <is>
          <t>Obras de rehabilitación de 4 edificios municipales: Casa de los Tirado, Teatro España, Casa de la Música y Casa del Diezmo, subvencionadas por la Consejería de Administración Local de la Junta de Andalucía</t>
        </is>
      </c>
      <c r="J540" s="2" t="inlineStr">
        <is>
          <t>2112/2026</t>
        </is>
      </c>
      <c r="K540" s="2" t="inlineStr">
        <is>
          <t>Abierto simplificado</t>
        </is>
      </c>
      <c r="L540" s="6" t="n">
        <v>4</v>
      </c>
      <c r="M540" s="2" t="n"/>
      <c r="N540" s="7" t="n">
        <v>0</v>
      </c>
      <c r="O540" s="4" t="n"/>
      <c r="P540" s="2" t="inlineStr">
        <is>
          <t>45000000</t>
        </is>
      </c>
      <c r="Q540" s="8" t="inlineStr">
        <is>
          <t>Ver</t>
        </is>
      </c>
      <c r="R540" s="8" t="inlineStr">
        <is>
          <t>PCAP</t>
        </is>
      </c>
      <c r="S540" s="9" t="n">
        <v>46310</v>
      </c>
      <c r="T540" s="3" t="n">
        <v>46303.57122685185</v>
      </c>
      <c r="U540" s="2" t="n"/>
    </row>
    <row r="541">
      <c r="A541" s="2" t="inlineStr">
        <is>
          <t>Resuelta</t>
        </is>
      </c>
      <c r="B541" s="3" t="n">
        <v>46223.99930555555</v>
      </c>
      <c r="C541" s="5" t="n">
        <v>214876.03</v>
      </c>
      <c r="D541" s="5" t="n">
        <v>257851.24</v>
      </c>
      <c r="E541" s="2" t="inlineStr">
        <is>
          <t>Andalucía</t>
        </is>
      </c>
      <c r="F541" s="2" t="inlineStr">
        <is>
          <t>Almería</t>
        </is>
      </c>
      <c r="G541" s="2" t="n"/>
      <c r="H541" s="2" t="inlineStr">
        <is>
          <t>Junta de Gobierno Local del Ayuntamiento de El Ejido</t>
        </is>
      </c>
      <c r="I541"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541" s="2" t="inlineStr">
        <is>
          <t>2026 776</t>
        </is>
      </c>
      <c r="K541" s="2" t="inlineStr">
        <is>
          <t>Abierto simplificado</t>
        </is>
      </c>
      <c r="L541" s="6" t="n">
        <v>3</v>
      </c>
      <c r="M541" s="2" t="n"/>
      <c r="N541" s="7" t="n">
        <v>0.25</v>
      </c>
      <c r="O541" s="4" t="n"/>
      <c r="P541" s="2" t="inlineStr">
        <is>
          <t>45100000; 45421160; 45233300</t>
        </is>
      </c>
      <c r="Q541" s="8" t="inlineStr">
        <is>
          <t>Ver</t>
        </is>
      </c>
      <c r="R541" s="8" t="inlineStr">
        <is>
          <t>PCAP</t>
        </is>
      </c>
      <c r="S541" s="9" t="n">
        <v>46310</v>
      </c>
      <c r="T541" s="3" t="n">
        <v>46303.56965277778</v>
      </c>
      <c r="U541" s="2" t="n"/>
    </row>
    <row r="542">
      <c r="A542" s="2" t="inlineStr">
        <is>
          <t>Resuelta</t>
        </is>
      </c>
      <c r="B542" s="3" t="n">
        <v>46265.5</v>
      </c>
      <c r="C542" s="5" t="n">
        <v>380339.23</v>
      </c>
      <c r="D542" s="5" t="n">
        <v>380339.23</v>
      </c>
      <c r="E542" s="2" t="inlineStr">
        <is>
          <t>Comunitat Valenciana</t>
        </is>
      </c>
      <c r="F542" s="2" t="inlineStr">
        <is>
          <t>Valencia</t>
        </is>
      </c>
      <c r="G542" s="2" t="n"/>
      <c r="H542" s="2" t="inlineStr">
        <is>
          <t>Dirección General del Circuito del Motor y Promoción Deportiva S.A.</t>
        </is>
      </c>
      <c r="I542" s="2" t="inlineStr">
        <is>
          <t>Contrato de obras de adecuación del edificio médico del Circuit De La Comunitat Valenciana Ricardo Tormo</t>
        </is>
      </c>
      <c r="J542" s="2" t="inlineStr">
        <is>
          <t>CMAYOR/2026/CMPD0/0025</t>
        </is>
      </c>
      <c r="K542" s="2" t="inlineStr">
        <is>
          <t>Abierto simplificado</t>
        </is>
      </c>
      <c r="L542" s="6" t="n">
        <v>4</v>
      </c>
      <c r="M542" s="2" t="n"/>
      <c r="N542" s="7" t="n">
        <v>0</v>
      </c>
      <c r="O542" s="4" t="n"/>
      <c r="P542" s="2" t="inlineStr">
        <is>
          <t>45215100; 45262700; 45300000</t>
        </is>
      </c>
      <c r="Q542" s="8" t="inlineStr">
        <is>
          <t>Ver</t>
        </is>
      </c>
      <c r="R542" s="8" t="inlineStr">
        <is>
          <t>PCAP</t>
        </is>
      </c>
      <c r="S542" s="9" t="n">
        <v>46310</v>
      </c>
      <c r="T542" s="3" t="n">
        <v>46303.56881944444</v>
      </c>
      <c r="U542" s="2" t="n"/>
    </row>
    <row r="543">
      <c r="A543" s="2" t="inlineStr">
        <is>
          <t>Pendiente de adjudicación</t>
        </is>
      </c>
      <c r="B543" s="3" t="n">
        <v>46288.99930555555</v>
      </c>
      <c r="C543" s="5" t="n">
        <v>67768.60000000001</v>
      </c>
      <c r="D543" s="5" t="n">
        <v>67768.60000000001</v>
      </c>
      <c r="E543" s="2" t="inlineStr">
        <is>
          <t>Andalucía</t>
        </is>
      </c>
      <c r="F543" s="2" t="inlineStr">
        <is>
          <t>Granada</t>
        </is>
      </c>
      <c r="G543" s="2" t="inlineStr">
        <is>
          <t>BACOR-OLIVAR</t>
        </is>
      </c>
      <c r="H543" s="2" t="inlineStr">
        <is>
          <t>Presidencia de la Diputación Provincial de Granada</t>
        </is>
      </c>
      <c r="I543" s="2" t="inlineStr">
        <is>
          <t>2026/4/PPOYS-21/1 "Bácor Olivar, acondicionamiento de redes y pavimentación en C/Paraíso"</t>
        </is>
      </c>
      <c r="J543" s="2" t="inlineStr">
        <is>
          <t>OB-042/26</t>
        </is>
      </c>
      <c r="K543" s="2" t="inlineStr">
        <is>
          <t>Abierto simplificado</t>
        </is>
      </c>
      <c r="L543" s="6" t="n">
        <v>4</v>
      </c>
      <c r="M543" s="2" t="inlineStr">
        <is>
          <t>G6-1; E7-1</t>
        </is>
      </c>
      <c r="N543" s="7" t="n">
        <v>0</v>
      </c>
      <c r="O543" s="4" t="n"/>
      <c r="P543" s="2" t="inlineStr">
        <is>
          <t>45231100; 45233252</t>
        </is>
      </c>
      <c r="Q543" s="8" t="inlineStr">
        <is>
          <t>Ver</t>
        </is>
      </c>
      <c r="R543" s="8" t="inlineStr">
        <is>
          <t>PCAP</t>
        </is>
      </c>
      <c r="S543" s="9" t="n">
        <v>46310</v>
      </c>
      <c r="T543" s="3" t="n">
        <v>46303.56633101852</v>
      </c>
      <c r="U543" s="2" t="n"/>
    </row>
    <row r="544">
      <c r="A544" s="2" t="inlineStr">
        <is>
          <t>Adjudicada</t>
        </is>
      </c>
      <c r="B544" s="3" t="n">
        <v>46240.99930555555</v>
      </c>
      <c r="C544" s="5" t="n">
        <v>1403184.29</v>
      </c>
      <c r="D544" s="5" t="n">
        <v>1403184.29</v>
      </c>
      <c r="E544" s="2" t="inlineStr">
        <is>
          <t>Andalucía</t>
        </is>
      </c>
      <c r="F544" s="2" t="inlineStr">
        <is>
          <t>Málaga</t>
        </is>
      </c>
      <c r="G544" s="2" t="inlineStr">
        <is>
          <t>Coín</t>
        </is>
      </c>
      <c r="H544" s="2" t="inlineStr">
        <is>
          <t>Alcaldía del Ayuntamiento de Coín</t>
        </is>
      </c>
      <c r="I544" s="2" t="inlineStr">
        <is>
          <t>Contrato de obras del Parque S.G.A.L.-5 "Cuartel de la Guardia Civil"</t>
        </is>
      </c>
      <c r="J544" s="2" t="inlineStr">
        <is>
          <t>968/2026</t>
        </is>
      </c>
      <c r="K544" s="2" t="inlineStr">
        <is>
          <t>Abierto simplificado</t>
        </is>
      </c>
      <c r="L544" s="6" t="n">
        <v>6</v>
      </c>
      <c r="M544" s="2" t="inlineStr">
        <is>
          <t>A1-4</t>
        </is>
      </c>
      <c r="N544" s="7" t="n">
        <v>0.25</v>
      </c>
      <c r="O544" s="4" t="n"/>
      <c r="P544" s="2" t="inlineStr">
        <is>
          <t>45231300; 45232130; 45233253; 45232440; 45232150; 45232410; 45432112</t>
        </is>
      </c>
      <c r="Q544" s="8" t="inlineStr">
        <is>
          <t>Ver</t>
        </is>
      </c>
      <c r="R544" s="8" t="inlineStr">
        <is>
          <t>PCAP</t>
        </is>
      </c>
      <c r="S544" s="9" t="n">
        <v>46310</v>
      </c>
      <c r="T544" s="3" t="n">
        <v>46303.56609953703</v>
      </c>
      <c r="U544" s="2" t="n"/>
    </row>
    <row r="545">
      <c r="A545" s="2" t="inlineStr">
        <is>
          <t>En plazo</t>
        </is>
      </c>
      <c r="B545" s="3" t="n">
        <v>46323.99930555555</v>
      </c>
      <c r="C545" s="5" t="n">
        <v>675994.61</v>
      </c>
      <c r="D545" s="5" t="n">
        <v>743594.0699999999</v>
      </c>
      <c r="E545" s="2" t="inlineStr">
        <is>
          <t>Comunitat Valenciana</t>
        </is>
      </c>
      <c r="F545" s="2" t="inlineStr">
        <is>
          <t>Valencia</t>
        </is>
      </c>
      <c r="G545" s="2" t="n"/>
      <c r="H545" s="2" t="inlineStr">
        <is>
          <t>Junta de Gobierno del Ajuntament de València</t>
        </is>
      </c>
      <c r="I545" s="2" t="inlineStr">
        <is>
          <t>Ejecución de las Obras denominadas Limpieza y mantenimiento de las fachadas del Mercado Central de València.-</t>
        </is>
      </c>
      <c r="J545" s="2" t="inlineStr">
        <is>
          <t>04101/2026/236-O</t>
        </is>
      </c>
      <c r="K545" s="2" t="inlineStr">
        <is>
          <t>Abierto simplificado</t>
        </is>
      </c>
      <c r="L545" s="6" t="n">
        <v>5</v>
      </c>
      <c r="M545" s="2" t="inlineStr">
        <is>
          <t>K7-3</t>
        </is>
      </c>
      <c r="N545" s="7" t="n">
        <v>0</v>
      </c>
      <c r="O545" s="4" t="n"/>
      <c r="P545" s="2" t="inlineStr">
        <is>
          <t>45213141</t>
        </is>
      </c>
      <c r="Q545" s="8" t="inlineStr">
        <is>
          <t>Ver</t>
        </is>
      </c>
      <c r="R545" s="8" t="inlineStr">
        <is>
          <t>PCAP</t>
        </is>
      </c>
      <c r="S545" s="9" t="n">
        <v>46310</v>
      </c>
      <c r="T545" s="3" t="n">
        <v>46303.56224537037</v>
      </c>
      <c r="U545" s="2" t="n"/>
    </row>
    <row r="546">
      <c r="A546" s="2" t="inlineStr">
        <is>
          <t>Resuelta</t>
        </is>
      </c>
      <c r="B546" s="3" t="n">
        <v>46289.99930555555</v>
      </c>
      <c r="C546" s="5" t="n">
        <v>44522.11</v>
      </c>
      <c r="D546" s="5" t="n">
        <v>44522.11</v>
      </c>
      <c r="E546" s="2" t="inlineStr">
        <is>
          <t>Comunitat Valenciana</t>
        </is>
      </c>
      <c r="F546" s="2" t="inlineStr">
        <is>
          <t>Alicante</t>
        </is>
      </c>
      <c r="G546" s="2" t="n"/>
      <c r="H546" s="2" t="inlineStr">
        <is>
          <t>Alcaldía del Ayuntamiento de Dolores</t>
        </is>
      </c>
      <c r="I546" s="2" t="inlineStr">
        <is>
          <t>Obras de pavimentación de caminos Cuadra Nueva.</t>
        </is>
      </c>
      <c r="J546" s="2" t="inlineStr">
        <is>
          <t>3507/2026</t>
        </is>
      </c>
      <c r="K546" s="2" t="inlineStr">
        <is>
          <t>Abierto simplificado</t>
        </is>
      </c>
      <c r="L546" s="6" t="n">
        <v>0.5</v>
      </c>
      <c r="M546" s="2" t="n"/>
      <c r="N546" s="7" t="n">
        <v>0</v>
      </c>
      <c r="O546" s="4" t="n"/>
      <c r="P546" s="2" t="inlineStr">
        <is>
          <t>45233140; 45233222</t>
        </is>
      </c>
      <c r="Q546" s="8" t="inlineStr">
        <is>
          <t>Ver</t>
        </is>
      </c>
      <c r="R546" s="8" t="inlineStr">
        <is>
          <t>PCAP</t>
        </is>
      </c>
      <c r="S546" s="9" t="n">
        <v>46310</v>
      </c>
      <c r="T546" s="3" t="n">
        <v>46303.56158564815</v>
      </c>
      <c r="U546" s="2" t="n"/>
    </row>
    <row r="547">
      <c r="A547" s="2" t="inlineStr">
        <is>
          <t>Pendiente de adjudicación</t>
        </is>
      </c>
      <c r="B547" s="3" t="n">
        <v>46302.99930555555</v>
      </c>
      <c r="C547" s="5" t="n">
        <v>69594.24000000001</v>
      </c>
      <c r="D547" s="5" t="n">
        <v>69594.24000000001</v>
      </c>
      <c r="E547" s="2" t="inlineStr">
        <is>
          <t>Comunitat Valenciana</t>
        </is>
      </c>
      <c r="F547" s="2" t="inlineStr">
        <is>
          <t>Alicante</t>
        </is>
      </c>
      <c r="G547" s="2" t="n"/>
      <c r="H547" s="2" t="inlineStr">
        <is>
          <t>Consejo de Administración de Promociones e Iniciativas Municipales de Elche, S.A. (PIMESA)</t>
        </is>
      </c>
      <c r="I547" s="2" t="inlineStr">
        <is>
          <t>Obras de finalización del acabado superficial del Local 1e del Edificio "La Magrana".</t>
        </is>
      </c>
      <c r="J547" s="2" t="inlineStr">
        <is>
          <t>2026/AS/022</t>
        </is>
      </c>
      <c r="K547" s="2" t="inlineStr">
        <is>
          <t>Abierto simplificado</t>
        </is>
      </c>
      <c r="L547" s="6" t="n">
        <v>3</v>
      </c>
      <c r="M547" s="2" t="n"/>
      <c r="N547" s="7" t="n">
        <v>0</v>
      </c>
      <c r="O547" s="4" t="n"/>
      <c r="P547" s="2" t="inlineStr">
        <is>
          <t>45213000; 45215221</t>
        </is>
      </c>
      <c r="Q547" s="8" t="inlineStr">
        <is>
          <t>Ver</t>
        </is>
      </c>
      <c r="R547" s="8" t="inlineStr">
        <is>
          <t>PCAP</t>
        </is>
      </c>
      <c r="S547" s="9" t="n">
        <v>46310</v>
      </c>
      <c r="T547" s="3" t="n">
        <v>46303.56126157408</v>
      </c>
      <c r="U547" s="2" t="n"/>
    </row>
    <row r="548">
      <c r="A548" s="2" t="inlineStr">
        <is>
          <t>En plazo</t>
        </is>
      </c>
      <c r="B548" s="3" t="n">
        <v>46314.99930555555</v>
      </c>
      <c r="C548" s="5" t="n">
        <v>2207320.13</v>
      </c>
      <c r="D548" s="5" t="n">
        <v>2207320.13</v>
      </c>
      <c r="E548" s="2" t="inlineStr">
        <is>
          <t>Comunitat Valenciana</t>
        </is>
      </c>
      <c r="F548" s="2" t="inlineStr">
        <is>
          <t>Valencia</t>
        </is>
      </c>
      <c r="G548" s="2" t="inlineStr">
        <is>
          <t>Valencia</t>
        </is>
      </c>
      <c r="H548" s="2" t="inlineStr">
        <is>
          <t>Departamento de Salud Valencia - Arnau de Vilanova - Llíria. Dirección Económica-Gerencia</t>
        </is>
      </c>
      <c r="I548" s="2" t="inlineStr">
        <is>
          <t>Obras de Reforma de Climatización Fase II del Hospital Arnau de Vilanova del Departamento de Salud De Valencia-Arnau de Vilanova-Llíria</t>
        </is>
      </c>
      <c r="J548" s="2" t="inlineStr">
        <is>
          <t>1564/2026</t>
        </is>
      </c>
      <c r="K548" s="2" t="inlineStr">
        <is>
          <t>Abierto</t>
        </is>
      </c>
      <c r="L548" s="6" t="n">
        <v>28</v>
      </c>
      <c r="M548" s="2" t="n"/>
      <c r="N548" s="7" t="n">
        <v>0.36</v>
      </c>
      <c r="O548" s="4" t="n"/>
      <c r="P548" s="2" t="inlineStr">
        <is>
          <t>45215140; 45331000; 45262900; 45310000</t>
        </is>
      </c>
      <c r="Q548" s="8" t="inlineStr">
        <is>
          <t>Ver</t>
        </is>
      </c>
      <c r="R548" s="8" t="inlineStr">
        <is>
          <t>PCAP</t>
        </is>
      </c>
      <c r="S548" s="9" t="n">
        <v>46310</v>
      </c>
      <c r="T548" s="3" t="n">
        <v>46303.56114583334</v>
      </c>
      <c r="U548" s="2" t="n"/>
    </row>
    <row r="549">
      <c r="A549" s="2" t="inlineStr">
        <is>
          <t>Resuelta</t>
        </is>
      </c>
      <c r="B549" s="3" t="n">
        <v>46281.5</v>
      </c>
      <c r="C549" s="5" t="n">
        <v>133261.47</v>
      </c>
      <c r="D549" s="5" t="n">
        <v>133261.47</v>
      </c>
      <c r="E549" s="2" t="inlineStr">
        <is>
          <t>Andalucía</t>
        </is>
      </c>
      <c r="F549" s="2" t="inlineStr">
        <is>
          <t>Córdoba</t>
        </is>
      </c>
      <c r="G549" s="2" t="n"/>
      <c r="H549" s="2" t="inlineStr">
        <is>
          <t>Jefatura de Intendencia de Asuntos Económicos Sur</t>
        </is>
      </c>
      <c r="I549" s="2" t="inlineStr">
        <is>
          <t>OBRA TC 204-52/24 de sustitución de cubierta y reparación de elementos estructurales en hangar nº 08, USBA Cerro Muriano Córdoba</t>
        </is>
      </c>
      <c r="J549" s="2" t="inlineStr">
        <is>
          <t>2026/ETSAE0226/00005610E</t>
        </is>
      </c>
      <c r="K549" s="2" t="inlineStr">
        <is>
          <t>Abierto</t>
        </is>
      </c>
      <c r="L549" s="6" t="n">
        <v>3</v>
      </c>
      <c r="M549" s="2" t="n"/>
      <c r="N549" s="7" t="n">
        <v>0</v>
      </c>
      <c r="O549" s="4" t="n"/>
      <c r="P549" s="2" t="inlineStr">
        <is>
          <t>45261213</t>
        </is>
      </c>
      <c r="Q549" s="8" t="inlineStr">
        <is>
          <t>Ver</t>
        </is>
      </c>
      <c r="R549" s="8" t="inlineStr">
        <is>
          <t>PCAP</t>
        </is>
      </c>
      <c r="S549" s="9" t="n">
        <v>46310</v>
      </c>
      <c r="T549" s="3" t="n">
        <v>46303.55696759259</v>
      </c>
      <c r="U549" s="2" t="n"/>
    </row>
    <row r="550">
      <c r="A550" s="2" t="inlineStr">
        <is>
          <t>Resuelta</t>
        </is>
      </c>
      <c r="B550" s="3" t="n">
        <v>46216.99930555555</v>
      </c>
      <c r="C550" s="5" t="n">
        <v>126324.03</v>
      </c>
      <c r="D550" s="5" t="n">
        <v>151588.84</v>
      </c>
      <c r="E550" s="2" t="inlineStr">
        <is>
          <t>Comunitat Valenciana</t>
        </is>
      </c>
      <c r="F550" s="2" t="inlineStr">
        <is>
          <t>Valencia</t>
        </is>
      </c>
      <c r="G550" s="2" t="inlineStr">
        <is>
          <t>Canals</t>
        </is>
      </c>
      <c r="H550" s="2" t="inlineStr">
        <is>
          <t>Dirección Territorial de Educación, Investigación, Cultura y Deporte - Valencia</t>
        </is>
      </c>
      <c r="I550" s="2" t="inlineStr">
        <is>
          <t>Mejoras y acondicionamiento de sombra, pista deportiva y juegos infantiles en el CEIP José Mollá de Canals</t>
        </is>
      </c>
      <c r="J550" s="2" t="inlineStr">
        <is>
          <t>CMAYOR/2026/19Y16/0030</t>
        </is>
      </c>
      <c r="K550" s="2" t="inlineStr">
        <is>
          <t>Abierto simplificado</t>
        </is>
      </c>
      <c r="L550" s="6" t="n">
        <v>2</v>
      </c>
      <c r="M550" s="2" t="n"/>
      <c r="N550" s="7" t="n">
        <v>0</v>
      </c>
      <c r="O550" s="4" t="n"/>
      <c r="P550" s="2" t="inlineStr">
        <is>
          <t>45214210</t>
        </is>
      </c>
      <c r="Q550" s="8" t="inlineStr">
        <is>
          <t>Ver</t>
        </is>
      </c>
      <c r="R550" s="8" t="inlineStr">
        <is>
          <t>PCAP</t>
        </is>
      </c>
      <c r="S550" s="9" t="n">
        <v>46310</v>
      </c>
      <c r="T550" s="3" t="n">
        <v>46303.55517361111</v>
      </c>
      <c r="U550" s="2" t="n"/>
    </row>
    <row r="551">
      <c r="A551" s="2" t="inlineStr">
        <is>
          <t>En plazo</t>
        </is>
      </c>
      <c r="B551" s="3" t="n">
        <v>46323.04097222222</v>
      </c>
      <c r="C551" s="5" t="n">
        <v>547041.28</v>
      </c>
      <c r="D551" s="5" t="n">
        <v>547041.28</v>
      </c>
      <c r="E551" s="2" t="inlineStr">
        <is>
          <t>Andalucía</t>
        </is>
      </c>
      <c r="F551" s="2" t="inlineStr">
        <is>
          <t>Sevilla</t>
        </is>
      </c>
      <c r="G551" s="2" t="inlineStr">
        <is>
          <t>Sevilla</t>
        </is>
      </c>
      <c r="H551" s="2" t="inlineStr">
        <is>
          <t>Consejo de Administración de la Agencia de Régimen Especial Ciclo Integral Aguas del Retortillo</t>
        </is>
      </c>
      <c r="I551" s="2" t="inlineStr">
        <is>
          <t>PAS/OBRAS/007/2026 Obras construcción EDAR Natural Puerto de la Encina</t>
        </is>
      </c>
      <c r="J551" s="2" t="inlineStr">
        <is>
          <t>1009/2026</t>
        </is>
      </c>
      <c r="K551" s="2" t="inlineStr">
        <is>
          <t>Abierto simplificado</t>
        </is>
      </c>
      <c r="L551" s="6" t="n">
        <v>6</v>
      </c>
      <c r="M551" s="2" t="inlineStr">
        <is>
          <t>E1-3</t>
        </is>
      </c>
      <c r="N551" s="7" t="n">
        <v>0</v>
      </c>
      <c r="O551" s="4" t="n"/>
      <c r="P551" s="2" t="inlineStr">
        <is>
          <t>45252100</t>
        </is>
      </c>
      <c r="Q551" s="8" t="inlineStr">
        <is>
          <t>Ver</t>
        </is>
      </c>
      <c r="R551" s="8" t="inlineStr">
        <is>
          <t>PCAP</t>
        </is>
      </c>
      <c r="S551" s="9" t="n">
        <v>46310</v>
      </c>
      <c r="T551" s="3" t="n">
        <v>46303.55450231482</v>
      </c>
      <c r="U551" s="2" t="n"/>
    </row>
    <row r="552">
      <c r="A552" s="2" t="inlineStr">
        <is>
          <t>Adjudicada</t>
        </is>
      </c>
      <c r="B552" s="3" t="n">
        <v>46265.5</v>
      </c>
      <c r="C552" s="5" t="n">
        <v>552197.35</v>
      </c>
      <c r="D552" s="5" t="n">
        <v>552197.35</v>
      </c>
      <c r="E552" s="2" t="inlineStr">
        <is>
          <t>Comunitat Valenciana</t>
        </is>
      </c>
      <c r="F552" s="2" t="inlineStr">
        <is>
          <t>Valencia</t>
        </is>
      </c>
      <c r="G552" s="2" t="n"/>
      <c r="H552" s="2" t="inlineStr">
        <is>
          <t>Dirección General del Circuito del Motor y Promoción Deportiva S.A.</t>
        </is>
      </c>
      <c r="I552" s="2" t="inlineStr">
        <is>
          <t>La ejecución de las obras de instalación eléctrica en baja tensión para la iluminación de la pista de tecnificación (KARTING FAST CIRCUIT VALENCIA) DEL CIRCUIT RICARDO TORMO</t>
        </is>
      </c>
      <c r="J552" s="2" t="inlineStr">
        <is>
          <t>CMAYOR/2026/CMPD0/0031</t>
        </is>
      </c>
      <c r="K552" s="2" t="inlineStr">
        <is>
          <t>Abierto simplificado</t>
        </is>
      </c>
      <c r="L552" s="6" t="n">
        <v>3</v>
      </c>
      <c r="M552" s="2" t="inlineStr">
        <is>
          <t>I1-3</t>
        </is>
      </c>
      <c r="N552" s="7" t="n">
        <v>0</v>
      </c>
      <c r="O552" s="4" t="n"/>
      <c r="P552" s="2" t="inlineStr">
        <is>
          <t>45316100; 45315600; 45310000; 45262210</t>
        </is>
      </c>
      <c r="Q552" s="8" t="inlineStr">
        <is>
          <t>Ver</t>
        </is>
      </c>
      <c r="R552" s="8" t="inlineStr">
        <is>
          <t>PCAP</t>
        </is>
      </c>
      <c r="S552" s="9" t="n">
        <v>46310</v>
      </c>
      <c r="T552" s="3" t="n">
        <v>46303.553125</v>
      </c>
      <c r="U552" s="2" t="n"/>
    </row>
    <row r="553">
      <c r="A553" s="2" t="inlineStr">
        <is>
          <t>Resuelta</t>
        </is>
      </c>
      <c r="B553" s="3" t="n">
        <v>46233.99930555555</v>
      </c>
      <c r="C553" s="5" t="n">
        <v>97316.09</v>
      </c>
      <c r="D553" s="5" t="n">
        <v>116779.31</v>
      </c>
      <c r="E553" s="2" t="inlineStr">
        <is>
          <t>Andalucía</t>
        </is>
      </c>
      <c r="F553" s="2" t="inlineStr">
        <is>
          <t>Almería</t>
        </is>
      </c>
      <c r="G553" s="2" t="n"/>
      <c r="H553" s="2" t="inlineStr">
        <is>
          <t>Junta de Gobierno Local del Ayuntamiento de El Ejido</t>
        </is>
      </c>
      <c r="I553"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553" s="2" t="inlineStr">
        <is>
          <t>2026 1161</t>
        </is>
      </c>
      <c r="K553" s="2" t="inlineStr">
        <is>
          <t>Abierto simplificado</t>
        </is>
      </c>
      <c r="L553" s="6" t="n">
        <v>2</v>
      </c>
      <c r="M553" s="2" t="n"/>
      <c r="N553" s="7" t="n">
        <v>0.25</v>
      </c>
      <c r="O553" s="4" t="n"/>
      <c r="P553" s="2" t="inlineStr">
        <is>
          <t>45233200</t>
        </is>
      </c>
      <c r="Q553" s="8" t="inlineStr">
        <is>
          <t>Ver</t>
        </is>
      </c>
      <c r="R553" s="8" t="inlineStr">
        <is>
          <t>PCAP</t>
        </is>
      </c>
      <c r="S553" s="9" t="n">
        <v>46310</v>
      </c>
      <c r="T553" s="3" t="n">
        <v>46303.55221064815</v>
      </c>
      <c r="U553" s="2" t="n"/>
    </row>
    <row r="554">
      <c r="A554" s="2" t="inlineStr">
        <is>
          <t>Pendiente de adjudicación</t>
        </is>
      </c>
      <c r="B554" s="3" t="n">
        <v>46295.99930555555</v>
      </c>
      <c r="C554" s="5" t="n">
        <v>194214.88</v>
      </c>
      <c r="D554" s="5" t="n">
        <v>194214.88</v>
      </c>
      <c r="E554" s="2" t="inlineStr">
        <is>
          <t>Andalucía</t>
        </is>
      </c>
      <c r="F554" s="2" t="inlineStr">
        <is>
          <t>Almería</t>
        </is>
      </c>
      <c r="G554" s="2" t="inlineStr">
        <is>
          <t>VÍCAR</t>
        </is>
      </c>
      <c r="H554" s="2" t="inlineStr">
        <is>
          <t>JUNTA DE GOBIERNO LOCAL AYUNTAMIENTO DE VÍCAR</t>
        </is>
      </c>
      <c r="I554" s="2" t="inlineStr">
        <is>
          <t>Reposición de red de abastecimiento camino de servicio Canal de Benínar, TM VÍCAR (Almería)</t>
        </is>
      </c>
      <c r="J554" s="2" t="inlineStr">
        <is>
          <t>7309/2026</t>
        </is>
      </c>
      <c r="K554" s="2" t="inlineStr">
        <is>
          <t>Abierto simplificado</t>
        </is>
      </c>
      <c r="L554" s="6" t="n">
        <v>2</v>
      </c>
      <c r="M554" s="2" t="n"/>
      <c r="N554" s="7" t="n">
        <v>0.25</v>
      </c>
      <c r="O554" s="4" t="n"/>
      <c r="P554" s="2" t="inlineStr">
        <is>
          <t>45231113; 45232100; 45232150</t>
        </is>
      </c>
      <c r="Q554" s="8" t="inlineStr">
        <is>
          <t>Ver</t>
        </is>
      </c>
      <c r="R554" s="8" t="inlineStr">
        <is>
          <t>PCAP</t>
        </is>
      </c>
      <c r="S554" s="9" t="n">
        <v>46310</v>
      </c>
      <c r="T554" s="3" t="n">
        <v>46303.55105324074</v>
      </c>
      <c r="U554" s="2" t="n"/>
    </row>
    <row r="555">
      <c r="A555" s="2" t="inlineStr">
        <is>
          <t>Resuelta</t>
        </is>
      </c>
      <c r="B555" s="3" t="n">
        <v>46211.99930555555</v>
      </c>
      <c r="C555" s="5" t="n">
        <v>17250</v>
      </c>
      <c r="D555" s="5" t="n">
        <v>17250</v>
      </c>
      <c r="E555" s="2" t="inlineStr">
        <is>
          <t>Andalucía</t>
        </is>
      </c>
      <c r="F555" s="2" t="inlineStr">
        <is>
          <t>Sevilla</t>
        </is>
      </c>
      <c r="G555" s="2" t="n"/>
      <c r="H555" s="2" t="inlineStr">
        <is>
          <t>Teniente Alcalde, Delegado de Contratación del Ayuntamiento de Lebrija</t>
        </is>
      </c>
      <c r="I555" s="2" t="inlineStr">
        <is>
          <t>Contratación de equipos de obras (vehículos y maquinaria dotados de conductor) y arrendamiento de maquinarias de obras sin conductor, para la ejecución de las obras "Actuaciones de reposición y mejoras en el arbolado público" (PFEA 2025).</t>
        </is>
      </c>
      <c r="J555" s="2" t="inlineStr">
        <is>
          <t>PCA/93/2026</t>
        </is>
      </c>
      <c r="K555" s="2" t="inlineStr">
        <is>
          <t>Abierto simplificado</t>
        </is>
      </c>
      <c r="L555" s="6" t="n">
        <v>6</v>
      </c>
      <c r="M555" s="2" t="n"/>
      <c r="N555" s="7" t="n">
        <v>0</v>
      </c>
      <c r="O555" s="4" t="n">
        <v>3</v>
      </c>
      <c r="P555" s="2" t="inlineStr">
        <is>
          <t>45500000; 43300000; 60180000</t>
        </is>
      </c>
      <c r="Q555" s="8" t="inlineStr">
        <is>
          <t>Ver</t>
        </is>
      </c>
      <c r="R555" s="8" t="inlineStr">
        <is>
          <t>PCAP</t>
        </is>
      </c>
      <c r="S555" s="9" t="n">
        <v>46310</v>
      </c>
      <c r="T555" s="3" t="n">
        <v>46303.55056712963</v>
      </c>
      <c r="U555" s="2" t="n"/>
    </row>
    <row r="556">
      <c r="A556" s="2" t="inlineStr">
        <is>
          <t>Pendiente de adjudicación</t>
        </is>
      </c>
      <c r="B556" s="3" t="n">
        <v>46279.99930555555</v>
      </c>
      <c r="C556" s="5" t="n">
        <v>868208.66</v>
      </c>
      <c r="D556" s="5" t="n">
        <v>868208.66</v>
      </c>
      <c r="E556" s="2" t="inlineStr">
        <is>
          <t>Comunitat Valenciana</t>
        </is>
      </c>
      <c r="F556" s="2" t="inlineStr">
        <is>
          <t>Castellón</t>
        </is>
      </c>
      <c r="G556" s="2" t="n"/>
      <c r="H556" s="2" t="inlineStr">
        <is>
          <t>Junta de Gobierno del Ayuntamiento de Castellón de la Plana</t>
        </is>
      </c>
      <c r="I556" s="2" t="inlineStr">
        <is>
          <t>Construcción de medidas correctoras del impacto acústico del Recinto de Ferias y Mercados de Castellón de la Plana</t>
        </is>
      </c>
      <c r="J556" s="2" t="inlineStr">
        <is>
          <t>146569/2025</t>
        </is>
      </c>
      <c r="K556" s="2" t="inlineStr">
        <is>
          <t>Abierto</t>
        </is>
      </c>
      <c r="L556" s="6" t="n">
        <v>5</v>
      </c>
      <c r="M556" s="2" t="n"/>
      <c r="N556" s="7" t="n">
        <v>0.48</v>
      </c>
      <c r="O556" s="4" t="n"/>
      <c r="P556" s="2" t="inlineStr">
        <is>
          <t>45220000</t>
        </is>
      </c>
      <c r="Q556" s="8" t="inlineStr">
        <is>
          <t>Ver</t>
        </is>
      </c>
      <c r="R556" s="8" t="inlineStr">
        <is>
          <t>PCAP</t>
        </is>
      </c>
      <c r="S556" s="9" t="n">
        <v>46310</v>
      </c>
      <c r="T556" s="3" t="n">
        <v>46303.54873842592</v>
      </c>
      <c r="U556" s="2" t="n"/>
    </row>
    <row r="557">
      <c r="A557" s="2" t="inlineStr">
        <is>
          <t>Resuelta</t>
        </is>
      </c>
      <c r="B557" s="3" t="n">
        <v>46276.41666666666</v>
      </c>
      <c r="C557" s="5" t="n">
        <v>207278.74</v>
      </c>
      <c r="D557" s="5" t="n">
        <v>207278.74</v>
      </c>
      <c r="E557" s="2" t="inlineStr">
        <is>
          <t>Andalucía</t>
        </is>
      </c>
      <c r="F557" s="2" t="inlineStr">
        <is>
          <t>Córdoba</t>
        </is>
      </c>
      <c r="G557" s="2" t="n"/>
      <c r="H557" s="2" t="inlineStr">
        <is>
          <t>Jefatura de Intendencia de Asuntos Económicos Sur</t>
        </is>
      </c>
      <c r="I557" s="2" t="inlineStr">
        <is>
          <t>OBRA TC 204-67/24 de sustitución de la cubierta y elementos de saneamiento vinculados del edificio 55, Base Cerro Muriano, Córdoba</t>
        </is>
      </c>
      <c r="J557" s="2" t="inlineStr">
        <is>
          <t>2026/ETSAE0226/00005368E</t>
        </is>
      </c>
      <c r="K557" s="2" t="inlineStr">
        <is>
          <t>Abierto</t>
        </is>
      </c>
      <c r="L557" s="6" t="n">
        <v>2</v>
      </c>
      <c r="M557" s="2" t="n"/>
      <c r="N557" s="7" t="n">
        <v>0</v>
      </c>
      <c r="O557" s="4" t="n"/>
      <c r="P557" s="2" t="inlineStr">
        <is>
          <t>45261213</t>
        </is>
      </c>
      <c r="Q557" s="8" t="inlineStr">
        <is>
          <t>Ver</t>
        </is>
      </c>
      <c r="R557" s="8" t="inlineStr">
        <is>
          <t>PCAP</t>
        </is>
      </c>
      <c r="S557" s="9" t="n">
        <v>46310</v>
      </c>
      <c r="T557" s="3" t="n">
        <v>46303.54756944445</v>
      </c>
      <c r="U557" s="2" t="n"/>
    </row>
    <row r="558">
      <c r="A558" s="2" t="inlineStr">
        <is>
          <t>Pendiente de adjudicación</t>
        </is>
      </c>
      <c r="B558" s="3" t="n">
        <v>46258.99930555555</v>
      </c>
      <c r="C558" s="5" t="n">
        <v>81827.05</v>
      </c>
      <c r="D558" s="5" t="n">
        <v>81827.05</v>
      </c>
      <c r="E558" s="2" t="inlineStr">
        <is>
          <t>Andalucía</t>
        </is>
      </c>
      <c r="F558" s="2" t="inlineStr">
        <is>
          <t>Sevilla</t>
        </is>
      </c>
      <c r="G558" s="2" t="n"/>
      <c r="H558" s="2" t="inlineStr">
        <is>
          <t>Alcaldía del Ayuntamiento de Cañada Rosal</t>
        </is>
      </c>
      <c r="I558" s="2" t="inlineStr">
        <is>
          <t>Contratación para la ejecución del proyecto de mejora de la eficiencia energética de la Casa Consistorial del Ayuntamiento de Cañada Rosal.</t>
        </is>
      </c>
      <c r="J558" s="2" t="inlineStr">
        <is>
          <t>2026/CTT_01/000053</t>
        </is>
      </c>
      <c r="K558" s="2" t="inlineStr">
        <is>
          <t>Abierto simplificado</t>
        </is>
      </c>
      <c r="L558" s="6" t="n">
        <v>3</v>
      </c>
      <c r="M558" s="2" t="n"/>
      <c r="N558" s="7" t="n">
        <v>0</v>
      </c>
      <c r="O558" s="4" t="n"/>
      <c r="P558" s="2" t="inlineStr">
        <is>
          <t>45400000; 44221110; 44221230; 44221111; 44221000</t>
        </is>
      </c>
      <c r="Q558" s="8" t="inlineStr">
        <is>
          <t>Ver</t>
        </is>
      </c>
      <c r="R558" s="8" t="inlineStr">
        <is>
          <t>PCAP</t>
        </is>
      </c>
      <c r="S558" s="9" t="n">
        <v>46310</v>
      </c>
      <c r="T558" s="3" t="n">
        <v>46303.54560185185</v>
      </c>
      <c r="U558" s="2" t="n"/>
    </row>
    <row r="559">
      <c r="A559" s="2" t="inlineStr">
        <is>
          <t>Adjudicada</t>
        </is>
      </c>
      <c r="B559" s="3" t="n">
        <v>46133.99930555555</v>
      </c>
      <c r="C559" s="5" t="n">
        <v>419743.15</v>
      </c>
      <c r="D559" s="5" t="n">
        <v>419743.15</v>
      </c>
      <c r="E559" s="2" t="inlineStr">
        <is>
          <t>Andalucía</t>
        </is>
      </c>
      <c r="F559" s="2" t="inlineStr">
        <is>
          <t>Jaén</t>
        </is>
      </c>
      <c r="G559" s="2" t="inlineStr">
        <is>
          <t>JAEN</t>
        </is>
      </c>
      <c r="H559" s="2" t="inlineStr">
        <is>
          <t>Presidencia de la Diputación Provincial de Jaén</t>
        </is>
      </c>
      <c r="I559" s="2" t="inlineStr">
        <is>
          <t>Contrato de Obras JA-4106 Begijar a Ibros, mejora de firme.</t>
        </is>
      </c>
      <c r="J559" s="2" t="inlineStr">
        <is>
          <t>CO-2025/002170</t>
        </is>
      </c>
      <c r="K559" s="2" t="inlineStr">
        <is>
          <t>Abierto simplificado</t>
        </is>
      </c>
      <c r="L559" s="6" t="n">
        <v>4</v>
      </c>
      <c r="M559" s="2" t="n"/>
      <c r="N559" s="7" t="n">
        <v>0.25</v>
      </c>
      <c r="O559" s="4" t="n"/>
      <c r="P559" s="2" t="inlineStr">
        <is>
          <t>45233223</t>
        </is>
      </c>
      <c r="Q559" s="8" t="inlineStr">
        <is>
          <t>Ver</t>
        </is>
      </c>
      <c r="R559" s="8" t="inlineStr">
        <is>
          <t>PCAP</t>
        </is>
      </c>
      <c r="S559" s="9" t="n">
        <v>46310</v>
      </c>
      <c r="T559" s="3" t="n">
        <v>46303.54476851852</v>
      </c>
      <c r="U559" s="2" t="n"/>
    </row>
    <row r="560">
      <c r="A560" s="2" t="inlineStr">
        <is>
          <t>Resuelta</t>
        </is>
      </c>
      <c r="B560" s="3" t="n">
        <v>46174.99930555555</v>
      </c>
      <c r="C560" s="5" t="n">
        <v>2223232.34</v>
      </c>
      <c r="D560" s="5" t="n">
        <v>2890202.04</v>
      </c>
      <c r="E560" s="2" t="inlineStr">
        <is>
          <t>Comunitat Valenciana</t>
        </is>
      </c>
      <c r="F560" s="2" t="inlineStr">
        <is>
          <t>Alicante</t>
        </is>
      </c>
      <c r="G560" s="2" t="inlineStr">
        <is>
          <t>ELCHE</t>
        </is>
      </c>
      <c r="H560" s="2" t="inlineStr">
        <is>
          <t>Departamento de Salud de Elche. Dirección Económica-Gerencia</t>
        </is>
      </c>
      <c r="I560" s="2" t="inlineStr">
        <is>
          <t>Obra de reforma integral de paritorios del Hospital General Universitario de Elche..</t>
        </is>
      </c>
      <c r="J560" s="2" t="inlineStr">
        <is>
          <t>PA 217/2026</t>
        </is>
      </c>
      <c r="K560" s="2" t="inlineStr">
        <is>
          <t>Abierto</t>
        </is>
      </c>
      <c r="L560" s="6" t="n">
        <v>6</v>
      </c>
      <c r="M560" s="2" t="inlineStr">
        <is>
          <t>J2-4</t>
        </is>
      </c>
      <c r="N560" s="7" t="n">
        <v>0.35</v>
      </c>
      <c r="O560" s="4" t="n"/>
      <c r="P560" s="2" t="inlineStr">
        <is>
          <t>45215140</t>
        </is>
      </c>
      <c r="Q560" s="8" t="inlineStr">
        <is>
          <t>Ver</t>
        </is>
      </c>
      <c r="R560" s="8" t="inlineStr">
        <is>
          <t>PCAP</t>
        </is>
      </c>
      <c r="S560" s="9" t="n">
        <v>46310</v>
      </c>
      <c r="T560" s="3" t="n">
        <v>46303.54170138889</v>
      </c>
      <c r="U560" s="2" t="n"/>
    </row>
    <row r="561">
      <c r="A561" s="2" t="inlineStr">
        <is>
          <t>En plazo</t>
        </is>
      </c>
      <c r="B561" s="3" t="n">
        <v>46315.99930555555</v>
      </c>
      <c r="C561" s="5" t="n">
        <v>49579.52</v>
      </c>
      <c r="D561" s="5" t="n">
        <v>49579.52</v>
      </c>
      <c r="E561" s="2" t="inlineStr">
        <is>
          <t>Comunitat Valenciana</t>
        </is>
      </c>
      <c r="F561" s="2" t="inlineStr">
        <is>
          <t>Valencia</t>
        </is>
      </c>
      <c r="G561" s="2" t="n"/>
      <c r="H561" s="2" t="inlineStr">
        <is>
          <t>Pleno del Ayuntamiento de Jarafuel</t>
        </is>
      </c>
      <c r="I56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561" s="2" t="inlineStr">
        <is>
          <t>523/2026</t>
        </is>
      </c>
      <c r="K561" s="2" t="inlineStr">
        <is>
          <t>Abierto simplificado</t>
        </is>
      </c>
      <c r="L561" s="6" t="n">
        <v>0.5</v>
      </c>
      <c r="M561" s="2" t="n"/>
      <c r="N561" s="7" t="n">
        <v>0.25</v>
      </c>
      <c r="O561" s="4" t="n"/>
      <c r="P561" s="2" t="inlineStr">
        <is>
          <t>45233222; 45233142</t>
        </is>
      </c>
      <c r="Q561" s="8" t="inlineStr">
        <is>
          <t>Ver</t>
        </is>
      </c>
      <c r="R561" s="8" t="inlineStr">
        <is>
          <t>PCAP</t>
        </is>
      </c>
      <c r="S561" s="9" t="n">
        <v>46310</v>
      </c>
      <c r="T561" s="3" t="n">
        <v>46303.54077546296</v>
      </c>
      <c r="U561" s="2" t="n"/>
    </row>
    <row r="562">
      <c r="A562" s="2" t="inlineStr">
        <is>
          <t>Resuelta</t>
        </is>
      </c>
      <c r="B562" s="3" t="n">
        <v>46274.99930555555</v>
      </c>
      <c r="C562" s="5" t="n">
        <v>142338.54</v>
      </c>
      <c r="D562" s="5" t="n">
        <v>117635.16</v>
      </c>
      <c r="E562" s="2" t="inlineStr">
        <is>
          <t>Andalucía</t>
        </is>
      </c>
      <c r="F562" s="2" t="inlineStr">
        <is>
          <t>Cádiz</t>
        </is>
      </c>
      <c r="G562" s="2" t="inlineStr">
        <is>
          <t>MEDINA SIDONIA</t>
        </is>
      </c>
      <c r="H562" s="2" t="inlineStr">
        <is>
          <t>Junta de Gobierno Local del Ayuntamiento de Medina Sidonia</t>
        </is>
      </c>
      <c r="I562"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562" s="2" t="inlineStr">
        <is>
          <t>2026_11023_CCOAS_00004</t>
        </is>
      </c>
      <c r="K562" s="2" t="inlineStr">
        <is>
          <t>Abierto simplificado</t>
        </is>
      </c>
      <c r="L562" s="6" t="n">
        <v>4</v>
      </c>
      <c r="M562" s="2" t="n"/>
      <c r="N562" s="7" t="n">
        <v>0</v>
      </c>
      <c r="O562" s="4" t="n"/>
      <c r="P562" s="2" t="inlineStr">
        <is>
          <t>45261400; 45261420; 45261900</t>
        </is>
      </c>
      <c r="Q562" s="8" t="inlineStr">
        <is>
          <t>Ver</t>
        </is>
      </c>
      <c r="R562" s="8" t="inlineStr">
        <is>
          <t>PCAP</t>
        </is>
      </c>
      <c r="S562" s="9" t="n">
        <v>46310</v>
      </c>
      <c r="T562" s="3" t="n">
        <v>46303.53652777777</v>
      </c>
      <c r="U562" s="2" t="n"/>
    </row>
    <row r="563">
      <c r="A563" s="2" t="inlineStr">
        <is>
          <t>Adjudicada</t>
        </is>
      </c>
      <c r="B563" s="3" t="n">
        <v>46239.99930555555</v>
      </c>
      <c r="C563" s="5" t="n">
        <v>386269.78</v>
      </c>
      <c r="D563" s="5" t="n">
        <v>386269.78</v>
      </c>
      <c r="E563" s="2" t="inlineStr">
        <is>
          <t>Comunitat Valenciana</t>
        </is>
      </c>
      <c r="F563" s="2" t="inlineStr">
        <is>
          <t>Castellón</t>
        </is>
      </c>
      <c r="G563" s="2" t="n"/>
      <c r="H563" s="2" t="inlineStr">
        <is>
          <t>Junta de Gobierno del Ayuntamiento de Castellón de la Plana</t>
        </is>
      </c>
      <c r="I563" s="2" t="inlineStr">
        <is>
          <t>Obras de instalación de sistema de detección, cuantificación y tamizado de alivios en colector centro a la entrada de la EDAR y su cubrimiento hasta el camino Donación.</t>
        </is>
      </c>
      <c r="J563" s="2" t="inlineStr">
        <is>
          <t>42856/2026</t>
        </is>
      </c>
      <c r="K563" s="2" t="inlineStr">
        <is>
          <t>Abierto</t>
        </is>
      </c>
      <c r="L563" s="6" t="n">
        <v>4</v>
      </c>
      <c r="M563" s="2" t="n"/>
      <c r="N563" s="7" t="n">
        <v>0.494</v>
      </c>
      <c r="O563" s="4" t="n"/>
      <c r="P563" s="2" t="inlineStr">
        <is>
          <t>45240000</t>
        </is>
      </c>
      <c r="Q563" s="8" t="inlineStr">
        <is>
          <t>Ver</t>
        </is>
      </c>
      <c r="R563" s="8" t="inlineStr">
        <is>
          <t>PCAP</t>
        </is>
      </c>
      <c r="S563" s="9" t="n">
        <v>46310</v>
      </c>
      <c r="T563" s="3" t="n">
        <v>46303.53625</v>
      </c>
      <c r="U563" s="2" t="n"/>
    </row>
    <row r="564">
      <c r="A564" s="2" t="inlineStr">
        <is>
          <t>Pendiente de adjudicación</t>
        </is>
      </c>
      <c r="B564" s="3" t="n">
        <v>46300.99930555555</v>
      </c>
      <c r="C564" s="5" t="n">
        <v>1085596.85</v>
      </c>
      <c r="D564" s="5" t="n">
        <v>1085596.85</v>
      </c>
      <c r="E564" s="2" t="inlineStr">
        <is>
          <t>Andalucía</t>
        </is>
      </c>
      <c r="F564" s="2" t="inlineStr">
        <is>
          <t>Cádiz</t>
        </is>
      </c>
      <c r="G564" s="2" t="n"/>
      <c r="H564" s="2" t="inlineStr">
        <is>
          <t>Junta de Gobierno Local del Ayuntamiento de Jerez</t>
        </is>
      </c>
      <c r="I564" s="2" t="inlineStr">
        <is>
          <t>Rehabilitación, restauración y conservación de la Casa Palacio de Riquelme. Fases I y II. Espacio Cultural Riquelme. del Ayto. de Jerez de la Frontera.</t>
        </is>
      </c>
      <c r="J564" s="2" t="inlineStr">
        <is>
          <t>54/2026</t>
        </is>
      </c>
      <c r="K564" s="2" t="inlineStr">
        <is>
          <t>Abierto simplificado</t>
        </is>
      </c>
      <c r="L564" s="6" t="n">
        <v>12</v>
      </c>
      <c r="M564" s="2" t="n"/>
      <c r="N564" s="7" t="n">
        <v>0</v>
      </c>
      <c r="O564" s="4" t="n"/>
      <c r="P564" s="2" t="inlineStr">
        <is>
          <t>45000000</t>
        </is>
      </c>
      <c r="Q564" s="8" t="inlineStr">
        <is>
          <t>Ver</t>
        </is>
      </c>
      <c r="R564" s="8" t="inlineStr">
        <is>
          <t>PCAP</t>
        </is>
      </c>
      <c r="S564" s="9" t="n">
        <v>46310</v>
      </c>
      <c r="T564" s="3" t="n">
        <v>46303.53518518519</v>
      </c>
      <c r="U564" s="2" t="n"/>
    </row>
    <row r="565">
      <c r="A565" s="2" t="inlineStr">
        <is>
          <t>Pendiente de adjudicación</t>
        </is>
      </c>
      <c r="B565" s="3" t="n">
        <v>46258.99930555555</v>
      </c>
      <c r="C565" s="5" t="n">
        <v>274680.92</v>
      </c>
      <c r="D565" s="5" t="n">
        <v>274680.92</v>
      </c>
      <c r="E565" s="2" t="inlineStr">
        <is>
          <t>Andalucía</t>
        </is>
      </c>
      <c r="F565" s="2" t="inlineStr">
        <is>
          <t>Sevilla</t>
        </is>
      </c>
      <c r="G565" s="2" t="n"/>
      <c r="H565" s="2" t="inlineStr">
        <is>
          <t>Junta de Gobierno del Ayuntamiento de Dos Hermanas</t>
        </is>
      </c>
      <c r="I565" s="2" t="inlineStr">
        <is>
          <t>Reforma de la Instalación de Alumbrado Público en Urbanización Las Palmeras de Condequinto Dos Hermanas (Sevilla)</t>
        </is>
      </c>
      <c r="J565" s="2" t="inlineStr">
        <is>
          <t>2026000021</t>
        </is>
      </c>
      <c r="K565" s="2" t="inlineStr">
        <is>
          <t>Abierto simplificado</t>
        </is>
      </c>
      <c r="L565" s="6" t="n">
        <v>4</v>
      </c>
      <c r="M565" s="2" t="n"/>
      <c r="N565" s="7" t="n">
        <v>0</v>
      </c>
      <c r="O565" s="4" t="n"/>
      <c r="P565" s="2" t="inlineStr">
        <is>
          <t>45316000</t>
        </is>
      </c>
      <c r="Q565" s="8" t="inlineStr">
        <is>
          <t>Ver</t>
        </is>
      </c>
      <c r="R565" s="8" t="inlineStr">
        <is>
          <t>PCAP</t>
        </is>
      </c>
      <c r="S565" s="9" t="n">
        <v>46310</v>
      </c>
      <c r="T565" s="3" t="n">
        <v>46303.53105324074</v>
      </c>
      <c r="U565" s="2" t="n"/>
    </row>
    <row r="566">
      <c r="A566" s="2" t="inlineStr">
        <is>
          <t>Resuelta</t>
        </is>
      </c>
      <c r="B566" s="3" t="n">
        <v>46252.75</v>
      </c>
      <c r="C566" s="5" t="n">
        <v>97157.52</v>
      </c>
      <c r="D566" s="5" t="n">
        <v>97157.52</v>
      </c>
      <c r="E566" s="2" t="inlineStr">
        <is>
          <t>Comunitat Valenciana</t>
        </is>
      </c>
      <c r="F566" s="2" t="inlineStr">
        <is>
          <t>Valencia</t>
        </is>
      </c>
      <c r="G566" s="2" t="inlineStr">
        <is>
          <t>SUECA</t>
        </is>
      </c>
      <c r="H566" s="2" t="inlineStr">
        <is>
          <t>Alcaldía del Ayuntamiento de Sueca</t>
        </is>
      </c>
      <c r="I566" s="2" t="inlineStr">
        <is>
          <t>Reparacion de daños en antiguo matadero municipal</t>
        </is>
      </c>
      <c r="J566" s="2" t="inlineStr">
        <is>
          <t>SRC/2026/134</t>
        </is>
      </c>
      <c r="K566" s="2" t="inlineStr">
        <is>
          <t>Abierto simplificado</t>
        </is>
      </c>
      <c r="L566" s="6" t="n">
        <v>3</v>
      </c>
      <c r="M566" s="2" t="n"/>
      <c r="N566" s="7" t="n">
        <v>0</v>
      </c>
      <c r="O566" s="4" t="n"/>
      <c r="P566" s="2" t="inlineStr">
        <is>
          <t>45442110; 90470000; 45421131</t>
        </is>
      </c>
      <c r="Q566" s="8" t="inlineStr">
        <is>
          <t>Ver</t>
        </is>
      </c>
      <c r="R566" s="8" t="inlineStr">
        <is>
          <t>PCAP</t>
        </is>
      </c>
      <c r="S566" s="9" t="n">
        <v>46310</v>
      </c>
      <c r="T566" s="3" t="n">
        <v>46303.52989583334</v>
      </c>
      <c r="U566" s="2" t="n"/>
    </row>
    <row r="567">
      <c r="A567" s="2" t="inlineStr">
        <is>
          <t>Pendiente de adjudicación</t>
        </is>
      </c>
      <c r="B567" s="3" t="n">
        <v>46300.99930555555</v>
      </c>
      <c r="C567" s="5" t="n">
        <v>360923.43</v>
      </c>
      <c r="D567" s="5" t="n">
        <v>360923.43</v>
      </c>
      <c r="E567" s="2" t="inlineStr">
        <is>
          <t>Andalucía</t>
        </is>
      </c>
      <c r="F567" s="2" t="inlineStr">
        <is>
          <t>Jaén</t>
        </is>
      </c>
      <c r="G567" s="2" t="inlineStr">
        <is>
          <t>JAÉN</t>
        </is>
      </c>
      <c r="H567" s="2" t="inlineStr">
        <is>
          <t>Presidencia de la Diputación Provincial de Jaén</t>
        </is>
      </c>
      <c r="I567" s="2" t="inlineStr">
        <is>
          <t>Contrato de obras de construcción de pasarela y miradores entorno del P.N. Sierra Mágina, Fase II, en Torres</t>
        </is>
      </c>
      <c r="J567" s="2" t="inlineStr">
        <is>
          <t>CO-2025/002317</t>
        </is>
      </c>
      <c r="K567" s="2" t="inlineStr">
        <is>
          <t>Abierto simplificado</t>
        </is>
      </c>
      <c r="L567" s="6" t="n">
        <v>4</v>
      </c>
      <c r="M567" s="2" t="n"/>
      <c r="N567" s="7" t="n">
        <v>0.25</v>
      </c>
      <c r="O567" s="4" t="n"/>
      <c r="P567" s="2" t="inlineStr">
        <is>
          <t>45213316</t>
        </is>
      </c>
      <c r="Q567" s="8" t="inlineStr">
        <is>
          <t>Ver</t>
        </is>
      </c>
      <c r="R567" s="8" t="inlineStr">
        <is>
          <t>PCAP</t>
        </is>
      </c>
      <c r="S567" s="9" t="n">
        <v>46310</v>
      </c>
      <c r="T567" s="3" t="n">
        <v>46303.52792824074</v>
      </c>
      <c r="U567" s="2" t="n"/>
    </row>
    <row r="568">
      <c r="A568" s="2" t="inlineStr">
        <is>
          <t>En plazo</t>
        </is>
      </c>
      <c r="B568" s="3" t="n">
        <v>46323.99930555555</v>
      </c>
      <c r="C568" s="5" t="n">
        <v>299360.33</v>
      </c>
      <c r="D568" s="5" t="n">
        <v>329296.36</v>
      </c>
      <c r="E568" s="2" t="inlineStr">
        <is>
          <t>Comunitat Valenciana</t>
        </is>
      </c>
      <c r="F568" s="2" t="inlineStr">
        <is>
          <t>Valencia</t>
        </is>
      </c>
      <c r="G568" s="2" t="n"/>
      <c r="H568" s="2" t="inlineStr">
        <is>
          <t>Junta de Gobierno del Ajuntament de València</t>
        </is>
      </c>
      <c r="I568" s="2" t="inlineStr">
        <is>
          <t>Obras de remodelación del jardín situado entre la avenida Giorgeta y la calle Uruguay (FEVE).-</t>
        </is>
      </c>
      <c r="J568" s="2" t="inlineStr">
        <is>
          <t>04101/2026/171-O</t>
        </is>
      </c>
      <c r="K568" s="2" t="inlineStr">
        <is>
          <t>Abierto simplificado</t>
        </is>
      </c>
      <c r="L568" s="6" t="n">
        <v>4</v>
      </c>
      <c r="M568" s="2" t="n"/>
      <c r="N568" s="7" t="n">
        <v>0</v>
      </c>
      <c r="O568" s="4" t="n"/>
      <c r="P568" s="2" t="inlineStr">
        <is>
          <t>45112712</t>
        </is>
      </c>
      <c r="Q568" s="8" t="inlineStr">
        <is>
          <t>Ver</t>
        </is>
      </c>
      <c r="R568" s="8" t="inlineStr">
        <is>
          <t>PCAP</t>
        </is>
      </c>
      <c r="S568" s="9" t="n">
        <v>46310</v>
      </c>
      <c r="T568" s="3" t="n">
        <v>46303.52400462963</v>
      </c>
      <c r="U568" s="2" t="n"/>
    </row>
    <row r="569">
      <c r="A569" s="2" t="inlineStr">
        <is>
          <t>Resuelta</t>
        </is>
      </c>
      <c r="B569" s="3" t="n">
        <v>46133.99930555555</v>
      </c>
      <c r="C569" s="5" t="n">
        <v>450247.93</v>
      </c>
      <c r="D569" s="5" t="n">
        <v>450247.93</v>
      </c>
      <c r="E569" s="2" t="inlineStr">
        <is>
          <t>Andalucía</t>
        </is>
      </c>
      <c r="F569" s="2" t="inlineStr">
        <is>
          <t>Almería</t>
        </is>
      </c>
      <c r="G569" s="2" t="n"/>
      <c r="H569" s="2" t="inlineStr">
        <is>
          <t>Junta de Gobierno de la Diputación Provincial de Almería</t>
        </is>
      </c>
      <c r="I569" s="2" t="inlineStr">
        <is>
          <t>Pavimentaciones Y Urbanizaciones En Purchena 50PPOS24-27BI</t>
        </is>
      </c>
      <c r="J569" s="2" t="inlineStr">
        <is>
          <t>2025/D31000/006-013/00111</t>
        </is>
      </c>
      <c r="K569" s="2" t="inlineStr">
        <is>
          <t>Abierto simplificado</t>
        </is>
      </c>
      <c r="L569" s="6" t="n">
        <v>6.1</v>
      </c>
      <c r="M569" s="2" t="n"/>
      <c r="N569" s="7" t="n">
        <v>0.25</v>
      </c>
      <c r="O569" s="4" t="n"/>
      <c r="P569" s="2" t="inlineStr">
        <is>
          <t>45233252</t>
        </is>
      </c>
      <c r="Q569" s="8" t="inlineStr">
        <is>
          <t>Ver</t>
        </is>
      </c>
      <c r="R569" s="8" t="inlineStr">
        <is>
          <t>PCAP</t>
        </is>
      </c>
      <c r="S569" s="9" t="n">
        <v>46310</v>
      </c>
      <c r="T569" s="3" t="n">
        <v>46303.52347222222</v>
      </c>
      <c r="U569" s="2" t="n"/>
    </row>
    <row r="570">
      <c r="A570" s="2" t="inlineStr">
        <is>
          <t>Resuelta</t>
        </is>
      </c>
      <c r="B570" s="3" t="n">
        <v>46043.99930555555</v>
      </c>
      <c r="C570" s="5" t="n">
        <v>63636.36</v>
      </c>
      <c r="D570" s="5" t="n">
        <v>76363.63</v>
      </c>
      <c r="E570" s="2" t="inlineStr">
        <is>
          <t>Andalucía</t>
        </is>
      </c>
      <c r="F570" s="2" t="inlineStr">
        <is>
          <t>Huelva</t>
        </is>
      </c>
      <c r="G570" s="2" t="inlineStr">
        <is>
          <t>Moguer (Huelva)</t>
        </is>
      </c>
      <c r="H570" s="2" t="inlineStr">
        <is>
          <t>Alcaldía del Ayuntamiento de Moguer</t>
        </is>
      </c>
      <c r="I570"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570" s="2" t="inlineStr">
        <is>
          <t>4_2.4.1.1/2025 ZONAS VERDES MAZAGON</t>
        </is>
      </c>
      <c r="K570" s="2" t="inlineStr">
        <is>
          <t>Abierto</t>
        </is>
      </c>
      <c r="L570" s="6" t="n">
        <v>3</v>
      </c>
      <c r="M570" s="2" t="inlineStr">
        <is>
          <t>K6-1</t>
        </is>
      </c>
      <c r="N570" s="7" t="n">
        <v>0</v>
      </c>
      <c r="O570" s="4" t="n"/>
      <c r="P570" s="2" t="inlineStr">
        <is>
          <t>45112711; 45316100; 34928400</t>
        </is>
      </c>
      <c r="Q570" s="8" t="inlineStr">
        <is>
          <t>Ver</t>
        </is>
      </c>
      <c r="R570" s="8" t="inlineStr">
        <is>
          <t>PCAP</t>
        </is>
      </c>
      <c r="S570" s="9" t="n">
        <v>46310</v>
      </c>
      <c r="T570" s="3" t="n">
        <v>46303.52300925926</v>
      </c>
      <c r="U570" s="2" t="n"/>
    </row>
    <row r="571">
      <c r="A571" s="2" t="inlineStr">
        <is>
          <t>Resuelta</t>
        </is>
      </c>
      <c r="B571" s="3" t="n">
        <v>46188.99930555555</v>
      </c>
      <c r="C571" s="5" t="n">
        <v>2057819.57</v>
      </c>
      <c r="D571" s="5" t="n">
        <v>2263601.53</v>
      </c>
      <c r="E571" s="2" t="inlineStr">
        <is>
          <t>Andalucía</t>
        </is>
      </c>
      <c r="F571" s="2" t="inlineStr">
        <is>
          <t>Almería</t>
        </is>
      </c>
      <c r="G571" s="2" t="n"/>
      <c r="H571" s="2" t="inlineStr">
        <is>
          <t>Junta de Gobierno del Ayuntamiento de Roquetas de Mar</t>
        </is>
      </c>
      <c r="I571" s="2" t="inlineStr">
        <is>
          <t>Construcción de nuevo puente de conexión de la Avda. Pedro Muñoz Seca con Calle Virginia sobre la Rambla de San Antonio en Aguadulce, t.m. de Roquetas de Mar (Almería).</t>
        </is>
      </c>
      <c r="J571" s="2" t="inlineStr">
        <is>
          <t>04/26.-Obra</t>
        </is>
      </c>
      <c r="K571" s="2" t="inlineStr">
        <is>
          <t>Abierto</t>
        </is>
      </c>
      <c r="L571" s="6" t="n">
        <v>12</v>
      </c>
      <c r="M571" s="2" t="inlineStr">
        <is>
          <t>B2-4</t>
        </is>
      </c>
      <c r="N571" s="7" t="n">
        <v>0.45</v>
      </c>
      <c r="O571" s="4" t="n"/>
      <c r="P571" s="2" t="inlineStr">
        <is>
          <t>45220000; 44212120; 45221110; 45233200; 45223500</t>
        </is>
      </c>
      <c r="Q571" s="8" t="inlineStr">
        <is>
          <t>Ver</t>
        </is>
      </c>
      <c r="R571" s="8" t="inlineStr">
        <is>
          <t>PCAP</t>
        </is>
      </c>
      <c r="S571" s="9" t="n">
        <v>46310</v>
      </c>
      <c r="T571" s="3" t="n">
        <v>46303.52061342593</v>
      </c>
      <c r="U571" s="2" t="n"/>
    </row>
    <row r="572">
      <c r="A572" s="2" t="inlineStr">
        <is>
          <t>Pendiente de adjudicación</t>
        </is>
      </c>
      <c r="B572" s="3" t="n">
        <v>46223.99930555555</v>
      </c>
      <c r="C572" s="5" t="n">
        <v>3239048.2</v>
      </c>
      <c r="D572" s="5" t="n">
        <v>3239048.2</v>
      </c>
      <c r="E572" s="2" t="inlineStr">
        <is>
          <t>Andalucía</t>
        </is>
      </c>
      <c r="F572" s="2" t="inlineStr">
        <is>
          <t>Sevilla</t>
        </is>
      </c>
      <c r="G572" s="2" t="n"/>
      <c r="H572" s="2" t="inlineStr">
        <is>
          <t>Junta de Gobierno del Ayuntamiento de Lebrija</t>
        </is>
      </c>
      <c r="I572" s="2" t="inlineStr">
        <is>
          <t>Ejecución de las obras de mejora y adecuación de pabellón deportivo "Caseta Municipal" y adecuación para actividades complementarias.</t>
        </is>
      </c>
      <c r="J572" s="2" t="inlineStr">
        <is>
          <t>PEA/121/2026</t>
        </is>
      </c>
      <c r="K572" s="2" t="inlineStr">
        <is>
          <t>Abierto</t>
        </is>
      </c>
      <c r="L572" s="6" t="n">
        <v>9</v>
      </c>
      <c r="M572" s="2" t="inlineStr">
        <is>
          <t>C4-5; C2-5; C6-5</t>
        </is>
      </c>
      <c r="N572" s="7" t="n">
        <v>0.25</v>
      </c>
      <c r="O572" s="4" t="n"/>
      <c r="P572" s="2" t="inlineStr">
        <is>
          <t>45000000; 45212200</t>
        </is>
      </c>
      <c r="Q572" s="8" t="inlineStr">
        <is>
          <t>Ver</t>
        </is>
      </c>
      <c r="R572" s="8" t="inlineStr">
        <is>
          <t>PCAP</t>
        </is>
      </c>
      <c r="S572" s="9" t="n">
        <v>46310</v>
      </c>
      <c r="T572" s="3" t="n">
        <v>46303.52010416667</v>
      </c>
      <c r="U572" s="2" t="n"/>
    </row>
    <row r="573">
      <c r="A573" s="2" t="inlineStr">
        <is>
          <t>Pendiente de adjudicación</t>
        </is>
      </c>
      <c r="B573" s="3" t="n">
        <v>46296.99930555555</v>
      </c>
      <c r="C573" s="5" t="n">
        <v>69638.27</v>
      </c>
      <c r="D573" s="5" t="n">
        <v>76602.10000000001</v>
      </c>
      <c r="E573" s="2" t="inlineStr">
        <is>
          <t>Comunitat Valenciana</t>
        </is>
      </c>
      <c r="F573" s="2" t="inlineStr">
        <is>
          <t>Valencia</t>
        </is>
      </c>
      <c r="G573" s="2" t="n"/>
      <c r="H573" s="2" t="inlineStr">
        <is>
          <t>Concejalía Delegada de Contratación del Ajuntament de València</t>
        </is>
      </c>
      <c r="I573" s="2" t="inlineStr">
        <is>
          <t>Obras de adecuación puestos 62 a 66 del Mercado Jerusalén.-</t>
        </is>
      </c>
      <c r="J573" s="2" t="inlineStr">
        <is>
          <t>04101/2026/197-O</t>
        </is>
      </c>
      <c r="K573" s="2" t="inlineStr">
        <is>
          <t>Abierto simplificado</t>
        </is>
      </c>
      <c r="L573" s="6" t="n">
        <v>2</v>
      </c>
      <c r="M573" s="2" t="n"/>
      <c r="N573" s="7" t="n">
        <v>0</v>
      </c>
      <c r="O573" s="4" t="n"/>
      <c r="P573" s="2" t="inlineStr">
        <is>
          <t>45213141</t>
        </is>
      </c>
      <c r="Q573" s="8" t="inlineStr">
        <is>
          <t>Ver</t>
        </is>
      </c>
      <c r="R573" s="8" t="inlineStr">
        <is>
          <t>PCAP</t>
        </is>
      </c>
      <c r="S573" s="9" t="n">
        <v>46310</v>
      </c>
      <c r="T573" s="3" t="n">
        <v>46303.51913194444</v>
      </c>
      <c r="U573" s="2" t="n"/>
    </row>
    <row r="574">
      <c r="A574" s="2" t="inlineStr">
        <is>
          <t>Pendiente de adjudicación</t>
        </is>
      </c>
      <c r="B574" s="3" t="n">
        <v>46293.99930555555</v>
      </c>
      <c r="C574" s="5" t="n">
        <v>176104.46</v>
      </c>
      <c r="D574" s="5" t="n">
        <v>176104.46</v>
      </c>
      <c r="E574" s="2" t="inlineStr">
        <is>
          <t>Comunitat Valenciana</t>
        </is>
      </c>
      <c r="F574" s="2" t="inlineStr">
        <is>
          <t>Valencia</t>
        </is>
      </c>
      <c r="G574" s="2" t="inlineStr">
        <is>
          <t>Sollana</t>
        </is>
      </c>
      <c r="H574" s="2" t="inlineStr">
        <is>
          <t>Junta de Gobierno del Ayuntamiento de Sollana</t>
        </is>
      </c>
      <c r="I574" s="2" t="inlineStr">
        <is>
          <t>EjecuciOn de las obras correspondientes al proyecto denominado URBANIZACIÓN ENTORNO PISTAS PÁDEL</t>
        </is>
      </c>
      <c r="J574" s="2" t="inlineStr">
        <is>
          <t>938-2026</t>
        </is>
      </c>
      <c r="K574" s="2" t="inlineStr">
        <is>
          <t>Abierto simplificado</t>
        </is>
      </c>
      <c r="L574" s="6" t="n">
        <v>2</v>
      </c>
      <c r="M574" s="2" t="inlineStr">
        <is>
          <t>C3-2; G4-2</t>
        </is>
      </c>
      <c r="N574" s="7" t="n">
        <v>0</v>
      </c>
      <c r="O574" s="4" t="n"/>
      <c r="P574" s="2" t="inlineStr">
        <is>
          <t>45200000; 45233222</t>
        </is>
      </c>
      <c r="Q574" s="8" t="inlineStr">
        <is>
          <t>Ver</t>
        </is>
      </c>
      <c r="R574" s="8" t="inlineStr">
        <is>
          <t>PCAP</t>
        </is>
      </c>
      <c r="S574" s="9" t="n">
        <v>46310</v>
      </c>
      <c r="T574" s="3" t="n">
        <v>46303.5184375</v>
      </c>
      <c r="U574" s="2" t="n"/>
    </row>
    <row r="575">
      <c r="A575" s="2" t="inlineStr">
        <is>
          <t>Pendiente de adjudicación</t>
        </is>
      </c>
      <c r="B575" s="3" t="n">
        <v>46220.54166666666</v>
      </c>
      <c r="C575" s="5" t="n">
        <v>488576.28</v>
      </c>
      <c r="D575" s="5" t="n">
        <v>488576.28</v>
      </c>
      <c r="E575" s="2" t="inlineStr">
        <is>
          <t>Andalucía</t>
        </is>
      </c>
      <c r="F575" s="2" t="inlineStr">
        <is>
          <t>Sevilla</t>
        </is>
      </c>
      <c r="G575" s="2" t="n"/>
      <c r="H575" s="2" t="inlineStr">
        <is>
          <t>ADIF - Presidencia</t>
        </is>
      </c>
      <c r="I575" s="2" t="inlineStr">
        <is>
          <t>Ejecución de las obras del proyecto constructivo de pendolado equipotencial entre las estaciones de Lora del Río y Majarabique.</t>
        </is>
      </c>
      <c r="J575" s="2" t="inlineStr">
        <is>
          <t>3.26/27507.0094</t>
        </is>
      </c>
      <c r="K575" s="2" t="inlineStr">
        <is>
          <t>Abierto</t>
        </is>
      </c>
      <c r="L575" s="6" t="n">
        <v>9</v>
      </c>
      <c r="M575" s="2" t="inlineStr">
        <is>
          <t>D4-3</t>
        </is>
      </c>
      <c r="N575" s="7" t="n">
        <v>0.49</v>
      </c>
      <c r="O575" s="4" t="n"/>
      <c r="P575" s="2" t="inlineStr">
        <is>
          <t>45234160</t>
        </is>
      </c>
      <c r="Q575" s="8" t="inlineStr">
        <is>
          <t>Ver</t>
        </is>
      </c>
      <c r="R575" s="8" t="inlineStr">
        <is>
          <t>PCAP</t>
        </is>
      </c>
      <c r="S575" s="9" t="n">
        <v>46310</v>
      </c>
      <c r="T575" s="3" t="n">
        <v>46303.5150462963</v>
      </c>
      <c r="U575" s="2" t="n"/>
    </row>
    <row r="576">
      <c r="A576" s="2" t="inlineStr">
        <is>
          <t>Resuelta</t>
        </is>
      </c>
      <c r="B576" s="3" t="n">
        <v>46017.99930555555</v>
      </c>
      <c r="C576" s="5" t="n">
        <v>147607.22</v>
      </c>
      <c r="D576" s="5" t="n">
        <v>147607.22</v>
      </c>
      <c r="E576" s="2" t="inlineStr">
        <is>
          <t>Andalucía</t>
        </is>
      </c>
      <c r="F576" s="2" t="inlineStr">
        <is>
          <t>Málaga</t>
        </is>
      </c>
      <c r="G576" s="2" t="n"/>
      <c r="H576" s="2" t="inlineStr">
        <is>
          <t>Presidencia de la Diputación Provincial de Málaga</t>
        </is>
      </c>
      <c r="I576" s="2" t="inlineStr">
        <is>
          <t>Reforma de aseos en planta primera y segunda en Centro Virgen de la Esperanza</t>
        </is>
      </c>
      <c r="J576" s="2" t="inlineStr">
        <is>
          <t>OP-PA.-2024/004</t>
        </is>
      </c>
      <c r="K576" s="2" t="inlineStr">
        <is>
          <t>Abierto simplificado</t>
        </is>
      </c>
      <c r="L576" s="6" t="n">
        <v>3</v>
      </c>
      <c r="M576" s="2" t="n"/>
      <c r="N576" s="7" t="n">
        <v>0</v>
      </c>
      <c r="O576" s="4" t="n"/>
      <c r="P576" s="2" t="inlineStr">
        <is>
          <t>45211310</t>
        </is>
      </c>
      <c r="Q576" s="8" t="inlineStr">
        <is>
          <t>Ver</t>
        </is>
      </c>
      <c r="R576" s="8" t="inlineStr">
        <is>
          <t>PCAP</t>
        </is>
      </c>
      <c r="S576" s="9" t="n">
        <v>46310</v>
      </c>
      <c r="T576" s="3" t="n">
        <v>46303.51401620371</v>
      </c>
      <c r="U576" s="2" t="n"/>
    </row>
    <row r="577">
      <c r="A577" s="2" t="inlineStr">
        <is>
          <t>Adjudicada</t>
        </is>
      </c>
      <c r="B577" s="3" t="n">
        <v>46272.99930555555</v>
      </c>
      <c r="C577" s="5" t="n">
        <v>1359506.51</v>
      </c>
      <c r="D577" s="5" t="n">
        <v>1359506.51</v>
      </c>
      <c r="E577" s="2" t="inlineStr">
        <is>
          <t>Andalucía</t>
        </is>
      </c>
      <c r="F577" s="2" t="inlineStr">
        <is>
          <t>Málaga</t>
        </is>
      </c>
      <c r="G577" s="2" t="n"/>
      <c r="H577" s="2" t="inlineStr">
        <is>
          <t>Alcaldía del Ayuntamiento de Estepona</t>
        </is>
      </c>
      <c r="I577" s="2" t="inlineStr">
        <is>
          <t>Obras de remodelación calle Independencia y jardinería, mobiliario urbano, iluminación y fuentes ornamentales de plaza Fuerzas Armadas y su entorno, en Estepona.</t>
        </is>
      </c>
      <c r="J577" s="2" t="inlineStr">
        <is>
          <t>29881/2026</t>
        </is>
      </c>
      <c r="K577" s="2" t="inlineStr">
        <is>
          <t>Abierto</t>
        </is>
      </c>
      <c r="L577" s="6" t="n">
        <v>4</v>
      </c>
      <c r="M577" s="2" t="inlineStr">
        <is>
          <t>G6-4</t>
        </is>
      </c>
      <c r="N577" s="7" t="n">
        <v>0</v>
      </c>
      <c r="O577" s="4" t="n"/>
      <c r="P577" s="2" t="inlineStr">
        <is>
          <t>45233200; 45112710; 45316110</t>
        </is>
      </c>
      <c r="Q577" s="8" t="inlineStr">
        <is>
          <t>Ver</t>
        </is>
      </c>
      <c r="R577" s="8" t="inlineStr">
        <is>
          <t>PCAP</t>
        </is>
      </c>
      <c r="S577" s="9" t="n">
        <v>46310</v>
      </c>
      <c r="T577" s="3" t="n">
        <v>46303.51047453703</v>
      </c>
      <c r="U577" s="2" t="n"/>
    </row>
    <row r="578">
      <c r="A578" s="2" t="inlineStr">
        <is>
          <t>Pendiente de adjudicación</t>
        </is>
      </c>
      <c r="B578" s="3" t="n">
        <v>46231.625</v>
      </c>
      <c r="C578" s="5" t="n">
        <v>113183.3</v>
      </c>
      <c r="D578" s="5" t="n">
        <v>130245.42</v>
      </c>
      <c r="E578" s="2" t="inlineStr">
        <is>
          <t>Comunitat Valenciana</t>
        </is>
      </c>
      <c r="F578" s="2" t="inlineStr">
        <is>
          <t>Castellón</t>
        </is>
      </c>
      <c r="G578" s="2" t="inlineStr">
        <is>
          <t>VILA-REAL</t>
        </is>
      </c>
      <c r="H578" s="2" t="inlineStr">
        <is>
          <t>Departamento de Salud de La Plana. Dirección Económica-Gerencia</t>
        </is>
      </c>
      <c r="I578" s="2" t="inlineStr">
        <is>
          <t>la ejecución de la obra de la Reforma de la Sala de Endoscopias el Hospital Universitario de la Plana.</t>
        </is>
      </c>
      <c r="J578" s="2" t="inlineStr">
        <is>
          <t>804/2026</t>
        </is>
      </c>
      <c r="K578" s="2" t="inlineStr">
        <is>
          <t>Abierto</t>
        </is>
      </c>
      <c r="L578" s="6" t="n">
        <v>4</v>
      </c>
      <c r="M578" s="2" t="n"/>
      <c r="N578" s="7" t="n">
        <v>0.45</v>
      </c>
      <c r="O578" s="4" t="n"/>
      <c r="P578" s="2" t="inlineStr">
        <is>
          <t>45215100</t>
        </is>
      </c>
      <c r="Q578" s="8" t="inlineStr">
        <is>
          <t>Ver</t>
        </is>
      </c>
      <c r="R578" s="8" t="inlineStr">
        <is>
          <t>PCAP</t>
        </is>
      </c>
      <c r="S578" s="9" t="n">
        <v>46310</v>
      </c>
      <c r="T578" s="3" t="n">
        <v>46303.50908564815</v>
      </c>
      <c r="U578" s="2" t="n"/>
    </row>
    <row r="579">
      <c r="A579" s="2" t="inlineStr">
        <is>
          <t>En plazo</t>
        </is>
      </c>
      <c r="B579" s="3" t="n">
        <v>46323.99930555555</v>
      </c>
      <c r="C579" s="5" t="n">
        <v>360545.73</v>
      </c>
      <c r="D579" s="5" t="n">
        <v>360545.73</v>
      </c>
      <c r="E579" s="2" t="inlineStr">
        <is>
          <t>Comunitat Valenciana</t>
        </is>
      </c>
      <c r="F579" s="2" t="inlineStr">
        <is>
          <t>Alicante</t>
        </is>
      </c>
      <c r="G579" s="2" t="n"/>
      <c r="H579" s="2" t="inlineStr">
        <is>
          <t>Junta de Gobierno del Ayuntamiento de Torrevieja</t>
        </is>
      </c>
      <c r="I579" s="2" t="inlineStr">
        <is>
          <t>Contratación de la obra de reforma de las oficinas del cementerio municipal de Torrevieja</t>
        </is>
      </c>
      <c r="J579" s="2" t="inlineStr">
        <is>
          <t>69000/2026</t>
        </is>
      </c>
      <c r="K579" s="2" t="inlineStr">
        <is>
          <t>Abierto simplificado</t>
        </is>
      </c>
      <c r="L579" s="6" t="n">
        <v>8</v>
      </c>
      <c r="M579" s="2" t="n"/>
      <c r="N579" s="7" t="n">
        <v>0</v>
      </c>
      <c r="O579" s="4" t="n"/>
      <c r="P579" s="2" t="inlineStr">
        <is>
          <t>45454000</t>
        </is>
      </c>
      <c r="Q579" s="8" t="inlineStr">
        <is>
          <t>Ver</t>
        </is>
      </c>
      <c r="R579" s="8" t="inlineStr">
        <is>
          <t>PCAP</t>
        </is>
      </c>
      <c r="S579" s="9" t="n">
        <v>46310</v>
      </c>
      <c r="T579" s="3" t="n">
        <v>46303.50299768519</v>
      </c>
      <c r="U579" s="2" t="n"/>
    </row>
    <row r="580">
      <c r="A580" s="2" t="inlineStr">
        <is>
          <t>Resuelta</t>
        </is>
      </c>
      <c r="B580" s="3" t="n">
        <v>46252.41666666666</v>
      </c>
      <c r="C580" s="5" t="n">
        <v>28600</v>
      </c>
      <c r="D580" s="5" t="n">
        <v>28600</v>
      </c>
      <c r="E580" s="2" t="inlineStr">
        <is>
          <t>Andalucía</t>
        </is>
      </c>
      <c r="F580" s="2" t="inlineStr">
        <is>
          <t>Huelva</t>
        </is>
      </c>
      <c r="G580" s="2" t="n"/>
      <c r="H580" s="2" t="inlineStr">
        <is>
          <t>Empresa de Transformación Agraria S.A.,S.M.E., M.P., (TRAGSA)</t>
        </is>
      </c>
      <c r="I58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0" s="2" t="inlineStr">
        <is>
          <t>TSA0080057-224</t>
        </is>
      </c>
      <c r="K580" s="2" t="inlineStr">
        <is>
          <t>Abierto</t>
        </is>
      </c>
      <c r="L580" s="6" t="n">
        <v>4</v>
      </c>
      <c r="M580" s="2" t="n"/>
      <c r="N580" s="7" t="n">
        <v>0</v>
      </c>
      <c r="O580" s="4" t="n"/>
      <c r="P580" s="2" t="inlineStr">
        <is>
          <t>45500000</t>
        </is>
      </c>
      <c r="Q580" s="8" t="inlineStr">
        <is>
          <t>Ver</t>
        </is>
      </c>
      <c r="R580" s="8" t="inlineStr">
        <is>
          <t>PCAP</t>
        </is>
      </c>
      <c r="S580" s="9" t="n">
        <v>46310</v>
      </c>
      <c r="T580" s="3" t="n">
        <v>46303.50233796296</v>
      </c>
      <c r="U580" s="2" t="n"/>
    </row>
    <row r="581">
      <c r="A581" s="2" t="inlineStr">
        <is>
          <t>En plazo</t>
        </is>
      </c>
      <c r="B581" s="3" t="n">
        <v>46323.66666666666</v>
      </c>
      <c r="C581" s="5" t="n">
        <v>192212.36</v>
      </c>
      <c r="D581" s="5" t="n">
        <v>192212.36</v>
      </c>
      <c r="E581" s="2" t="inlineStr">
        <is>
          <t>Comunitat Valenciana</t>
        </is>
      </c>
      <c r="F581" s="2" t="inlineStr">
        <is>
          <t>Alicante</t>
        </is>
      </c>
      <c r="G581" s="2" t="inlineStr">
        <is>
          <t>Alicante (Alacant)</t>
        </is>
      </c>
      <c r="H581" s="2" t="inlineStr">
        <is>
          <t>Junta de Gobierno del Ayuntamiento de La Nucía</t>
        </is>
      </c>
      <c r="I581" s="2" t="inlineStr">
        <is>
          <t>Obras de reposición de infraestructura en "El Calvari": Calle Tossalet y Calle Xiprer</t>
        </is>
      </c>
      <c r="J581" s="2" t="inlineStr">
        <is>
          <t>12725/2026</t>
        </is>
      </c>
      <c r="K581" s="2" t="inlineStr">
        <is>
          <t>Abierto simplificado</t>
        </is>
      </c>
      <c r="L581" s="6" t="n">
        <v>2.3</v>
      </c>
      <c r="M581" s="2" t="n"/>
      <c r="N581" s="7" t="n"/>
      <c r="O581" s="4" t="n"/>
      <c r="P581" s="2" t="inlineStr">
        <is>
          <t>45211360; 34928510</t>
        </is>
      </c>
      <c r="Q581" s="8" t="inlineStr">
        <is>
          <t>Ver</t>
        </is>
      </c>
      <c r="R581" s="8" t="inlineStr">
        <is>
          <t>PCAP</t>
        </is>
      </c>
      <c r="S581" s="9" t="n">
        <v>46310</v>
      </c>
      <c r="T581" s="3" t="n">
        <v>46303.50204861111</v>
      </c>
      <c r="U581" s="2" t="n"/>
    </row>
    <row r="582">
      <c r="A582" s="2" t="inlineStr">
        <is>
          <t>Resuelta</t>
        </is>
      </c>
      <c r="B582" s="3" t="n">
        <v>46252.41666666666</v>
      </c>
      <c r="C582" s="5" t="n">
        <v>28600</v>
      </c>
      <c r="D582" s="5" t="n">
        <v>28600</v>
      </c>
      <c r="E582" s="2" t="inlineStr">
        <is>
          <t>Andalucía</t>
        </is>
      </c>
      <c r="F582" s="2" t="inlineStr">
        <is>
          <t>Huelva</t>
        </is>
      </c>
      <c r="G582" s="2" t="n"/>
      <c r="H582" s="2" t="inlineStr">
        <is>
          <t>Empresa de Transformación Agraria S.A.,S.M.E., M.P., (TRAGSA)</t>
        </is>
      </c>
      <c r="I58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2" s="2" t="inlineStr">
        <is>
          <t>TSA0080057-223</t>
        </is>
      </c>
      <c r="K582" s="2" t="inlineStr">
        <is>
          <t>Abierto</t>
        </is>
      </c>
      <c r="L582" s="6" t="n">
        <v>4</v>
      </c>
      <c r="M582" s="2" t="n"/>
      <c r="N582" s="7" t="n">
        <v>0</v>
      </c>
      <c r="O582" s="4" t="n"/>
      <c r="P582" s="2" t="inlineStr">
        <is>
          <t>45500000</t>
        </is>
      </c>
      <c r="Q582" s="8" t="inlineStr">
        <is>
          <t>Ver</t>
        </is>
      </c>
      <c r="R582" s="8" t="inlineStr">
        <is>
          <t>PCAP</t>
        </is>
      </c>
      <c r="S582" s="9" t="n">
        <v>46310</v>
      </c>
      <c r="T582" s="3" t="n">
        <v>46303.50091435185</v>
      </c>
      <c r="U582" s="2" t="n"/>
    </row>
    <row r="583">
      <c r="A583" s="2" t="inlineStr">
        <is>
          <t>Resuelta</t>
        </is>
      </c>
      <c r="B583" s="3" t="n">
        <v>46150.99930555555</v>
      </c>
      <c r="C583" s="5" t="n">
        <v>13372778.41</v>
      </c>
      <c r="D583" s="5" t="n">
        <v>14710056.25</v>
      </c>
      <c r="E583" s="2" t="inlineStr">
        <is>
          <t>Andalucía</t>
        </is>
      </c>
      <c r="F583" s="2" t="inlineStr">
        <is>
          <t>Almería</t>
        </is>
      </c>
      <c r="G583" s="2" t="n"/>
      <c r="H583" s="2" t="inlineStr">
        <is>
          <t>Junta de Gobierno del Ayuntamiento de Roquetas de Mar</t>
        </is>
      </c>
      <c r="I583" s="2" t="inlineStr">
        <is>
          <t>Obra para la construcción de nuevo depósito de agua potable con capacidad de 70.000 m3 en Aguadulce, t.m. de Roquetas de Mar (Almería), actuación cofinanciada por la Consejería de Agricultura, Pesca, Agua y Desarrollo Rural de la Junta de Andalucía.</t>
        </is>
      </c>
      <c r="J583" s="2" t="inlineStr">
        <is>
          <t>02/26.-Obra</t>
        </is>
      </c>
      <c r="K583" s="2" t="inlineStr">
        <is>
          <t>Abierto</t>
        </is>
      </c>
      <c r="L583" s="6" t="n">
        <v>18</v>
      </c>
      <c r="M583" s="2" t="inlineStr">
        <is>
          <t>E1-6</t>
        </is>
      </c>
      <c r="N583" s="7" t="n">
        <v>0.45</v>
      </c>
      <c r="O583" s="4" t="n"/>
      <c r="P583" s="2" t="inlineStr">
        <is>
          <t>45222000; 44162500; 45213260; 45220000</t>
        </is>
      </c>
      <c r="Q583" s="8" t="inlineStr">
        <is>
          <t>Ver</t>
        </is>
      </c>
      <c r="R583" s="8" t="inlineStr">
        <is>
          <t>PCAP</t>
        </is>
      </c>
      <c r="S583" s="9" t="n">
        <v>46310</v>
      </c>
      <c r="T583" s="3" t="n">
        <v>46303.50012731482</v>
      </c>
      <c r="U583" s="2" t="n"/>
    </row>
    <row r="584">
      <c r="A584" s="2" t="inlineStr">
        <is>
          <t>Resuelta</t>
        </is>
      </c>
      <c r="B584" s="3" t="n">
        <v>46252.41666666666</v>
      </c>
      <c r="C584" s="5" t="n">
        <v>40000</v>
      </c>
      <c r="D584" s="5" t="n">
        <v>40000</v>
      </c>
      <c r="E584" s="2" t="inlineStr">
        <is>
          <t>Andalucía</t>
        </is>
      </c>
      <c r="F584" s="2" t="inlineStr">
        <is>
          <t>Huelva</t>
        </is>
      </c>
      <c r="G584" s="2" t="n"/>
      <c r="H584" s="2" t="inlineStr">
        <is>
          <t>Empresa de Transformación Agraria S.A.,S.M.E., M.P., (TRAGSA)</t>
        </is>
      </c>
      <c r="I5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84" s="2" t="inlineStr">
        <is>
          <t>TSA0080057-216</t>
        </is>
      </c>
      <c r="K584" s="2" t="inlineStr">
        <is>
          <t>Abierto</t>
        </is>
      </c>
      <c r="L584" s="6" t="n">
        <v>7</v>
      </c>
      <c r="M584" s="2" t="n"/>
      <c r="N584" s="7" t="n">
        <v>0</v>
      </c>
      <c r="O584" s="4" t="n"/>
      <c r="P584" s="2" t="inlineStr">
        <is>
          <t>45500000</t>
        </is>
      </c>
      <c r="Q584" s="8" t="inlineStr">
        <is>
          <t>Ver</t>
        </is>
      </c>
      <c r="R584" s="8" t="inlineStr">
        <is>
          <t>PCAP</t>
        </is>
      </c>
      <c r="S584" s="9" t="n">
        <v>46310</v>
      </c>
      <c r="T584" s="3" t="n">
        <v>46303.499375</v>
      </c>
      <c r="U584" s="2" t="n"/>
    </row>
    <row r="585">
      <c r="A585" s="2" t="inlineStr">
        <is>
          <t>Adjudicada</t>
        </is>
      </c>
      <c r="B585" s="3" t="n">
        <v>46246.99930555555</v>
      </c>
      <c r="C585" s="5" t="n">
        <v>181000.83</v>
      </c>
      <c r="D585" s="5" t="n">
        <v>181000.83</v>
      </c>
      <c r="E585" s="2" t="inlineStr">
        <is>
          <t>Andalucía</t>
        </is>
      </c>
      <c r="F585" s="2" t="inlineStr">
        <is>
          <t>Málaga</t>
        </is>
      </c>
      <c r="G585" s="2" t="inlineStr">
        <is>
          <t>Benamargosa</t>
        </is>
      </c>
      <c r="H585" s="2" t="inlineStr">
        <is>
          <t>Pleno del Ayuntamiento de Benamargosa</t>
        </is>
      </c>
      <c r="I585" s="2" t="inlineStr">
        <is>
          <t>El objeto del contrato es la ejecución de las obras correspondientes al proyecto denominado "«Mejora de instalaciones deportivas ampliación del gimnasio municipal»</t>
        </is>
      </c>
      <c r="J585" s="2" t="inlineStr">
        <is>
          <t>597/2026</t>
        </is>
      </c>
      <c r="K585" s="2" t="inlineStr">
        <is>
          <t>Abierto simplificado</t>
        </is>
      </c>
      <c r="L585" s="6" t="n">
        <v>5</v>
      </c>
      <c r="M585" s="2" t="n"/>
      <c r="N585" s="7" t="n">
        <v>0</v>
      </c>
      <c r="O585" s="4" t="n"/>
      <c r="P585" s="2" t="inlineStr">
        <is>
          <t>45212200</t>
        </is>
      </c>
      <c r="Q585" s="8" t="inlineStr">
        <is>
          <t>Ver</t>
        </is>
      </c>
      <c r="R585" s="8" t="inlineStr">
        <is>
          <t>PCAP</t>
        </is>
      </c>
      <c r="S585" s="9" t="n">
        <v>46310</v>
      </c>
      <c r="T585" s="3" t="n">
        <v>46303.49862268518</v>
      </c>
      <c r="U585" s="2" t="n"/>
    </row>
    <row r="586">
      <c r="A586" s="2" t="inlineStr">
        <is>
          <t>Resuelta</t>
        </is>
      </c>
      <c r="B586" s="3" t="n">
        <v>46245.41666666666</v>
      </c>
      <c r="C586" s="5" t="n">
        <v>45500</v>
      </c>
      <c r="D586" s="5" t="n">
        <v>45500</v>
      </c>
      <c r="E586" s="2" t="inlineStr">
        <is>
          <t>Andalucía</t>
        </is>
      </c>
      <c r="F586" s="2" t="inlineStr">
        <is>
          <t>Almería</t>
        </is>
      </c>
      <c r="G586" s="2" t="n"/>
      <c r="H586" s="2" t="inlineStr">
        <is>
          <t>Empresa de Transformación Agraria S.A.,S.M.E., M.P., (TRAGSA)</t>
        </is>
      </c>
      <c r="I58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6" s="2" t="inlineStr">
        <is>
          <t>TSA0078977-346</t>
        </is>
      </c>
      <c r="K586" s="2" t="inlineStr">
        <is>
          <t>Abierto</t>
        </is>
      </c>
      <c r="L586" s="6" t="n">
        <v>6</v>
      </c>
      <c r="M586" s="2" t="n"/>
      <c r="N586" s="7" t="n">
        <v>0</v>
      </c>
      <c r="O586" s="4" t="n"/>
      <c r="P586" s="2" t="inlineStr">
        <is>
          <t>45500000</t>
        </is>
      </c>
      <c r="Q586" s="8" t="inlineStr">
        <is>
          <t>Ver</t>
        </is>
      </c>
      <c r="R586" s="8" t="inlineStr">
        <is>
          <t>PCAP</t>
        </is>
      </c>
      <c r="S586" s="9" t="n">
        <v>46310</v>
      </c>
      <c r="T586" s="3" t="n">
        <v>46303.49803240741</v>
      </c>
      <c r="U586" s="2" t="n"/>
    </row>
    <row r="587">
      <c r="A587" s="2" t="inlineStr">
        <is>
          <t>Pendiente de adjudicación</t>
        </is>
      </c>
      <c r="B587" s="3" t="n">
        <v>45908.99930555555</v>
      </c>
      <c r="C587" s="5" t="n">
        <v>279428.42</v>
      </c>
      <c r="D587" s="5" t="n">
        <v>279428.42</v>
      </c>
      <c r="E587" s="2" t="inlineStr">
        <is>
          <t>Comunitat Valenciana</t>
        </is>
      </c>
      <c r="F587" s="2" t="inlineStr">
        <is>
          <t>Alicante</t>
        </is>
      </c>
      <c r="G587" s="2" t="n"/>
      <c r="H587" s="2" t="inlineStr">
        <is>
          <t>Presidencia de la Diputación Provincial de Alicante</t>
        </is>
      </c>
      <c r="I587" s="2" t="inlineStr">
        <is>
          <t>“Obras de aumento de la capacidad de abastecimiento en Balones mediante la construcción de un nuevo depósito regulador y su conexión con la red actual, en el municipio de Balones. (2020.PLA.038)”</t>
        </is>
      </c>
      <c r="J587" s="2" t="inlineStr">
        <is>
          <t>O6S-144/2025</t>
        </is>
      </c>
      <c r="K587" s="2" t="inlineStr">
        <is>
          <t>Abierto simplificado</t>
        </is>
      </c>
      <c r="L587" s="6" t="n">
        <v>8</v>
      </c>
      <c r="M587" s="2" t="n"/>
      <c r="N587" s="7" t="n">
        <v>0</v>
      </c>
      <c r="O587" s="4" t="n"/>
      <c r="P587" s="2" t="inlineStr">
        <is>
          <t>45200000</t>
        </is>
      </c>
      <c r="Q587" s="8" t="inlineStr">
        <is>
          <t>Ver</t>
        </is>
      </c>
      <c r="R587" s="8" t="inlineStr">
        <is>
          <t>PCAP</t>
        </is>
      </c>
      <c r="S587" s="9" t="n">
        <v>46310</v>
      </c>
      <c r="T587" s="3" t="n">
        <v>46303.49756944444</v>
      </c>
      <c r="U587" s="2" t="n"/>
    </row>
    <row r="588">
      <c r="A588" s="2" t="inlineStr">
        <is>
          <t>Resuelta</t>
        </is>
      </c>
      <c r="B588" s="3" t="n">
        <v>46245.41666666666</v>
      </c>
      <c r="C588" s="5" t="n">
        <v>31500</v>
      </c>
      <c r="D588" s="5" t="n">
        <v>31500</v>
      </c>
      <c r="E588" s="2" t="inlineStr">
        <is>
          <t>Andalucía</t>
        </is>
      </c>
      <c r="F588" s="2" t="inlineStr">
        <is>
          <t>Almería</t>
        </is>
      </c>
      <c r="G588" s="2" t="n"/>
      <c r="H588" s="2" t="inlineStr">
        <is>
          <t>Empresa de Transformación Agraria S.A.,S.M.E., M.P., (TRAGSA)</t>
        </is>
      </c>
      <c r="I5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8" s="2" t="inlineStr">
        <is>
          <t>TSA0078977-344</t>
        </is>
      </c>
      <c r="K588" s="2" t="inlineStr">
        <is>
          <t>Abierto</t>
        </is>
      </c>
      <c r="L588" s="6" t="n">
        <v>6</v>
      </c>
      <c r="M588" s="2" t="n"/>
      <c r="N588" s="7" t="n">
        <v>0</v>
      </c>
      <c r="O588" s="4" t="n"/>
      <c r="P588" s="2" t="inlineStr">
        <is>
          <t>45500000</t>
        </is>
      </c>
      <c r="Q588" s="8" t="inlineStr">
        <is>
          <t>Ver</t>
        </is>
      </c>
      <c r="R588" s="8" t="inlineStr">
        <is>
          <t>PCAP</t>
        </is>
      </c>
      <c r="S588" s="9" t="n">
        <v>46310</v>
      </c>
      <c r="T588" s="3" t="n">
        <v>46303.49667824074</v>
      </c>
      <c r="U588" s="2" t="n"/>
    </row>
    <row r="589">
      <c r="A589" s="2" t="inlineStr">
        <is>
          <t>Adjudicada</t>
        </is>
      </c>
      <c r="B589" s="3" t="n">
        <v>46220.99930555555</v>
      </c>
      <c r="C589" s="5" t="n">
        <v>495201.59</v>
      </c>
      <c r="D589" s="5" t="n">
        <v>495201.59</v>
      </c>
      <c r="E589" s="2" t="inlineStr">
        <is>
          <t>Andalucía</t>
        </is>
      </c>
      <c r="F589" s="2" t="inlineStr">
        <is>
          <t>Málaga</t>
        </is>
      </c>
      <c r="G589" s="2" t="inlineStr">
        <is>
          <t>Málaga</t>
        </is>
      </c>
      <c r="H589" s="2" t="inlineStr">
        <is>
          <t>Autoridad Portuaria de Málaga</t>
        </is>
      </c>
      <c r="I589" s="2" t="inlineStr">
        <is>
          <t>Nuevo Centro de Control en Estación Marítima Muelle 3. Puerto de Málaga</t>
        </is>
      </c>
      <c r="J589" s="2" t="inlineStr">
        <is>
          <t>26exma-009</t>
        </is>
      </c>
      <c r="K589" s="2" t="inlineStr">
        <is>
          <t>Abierto simplificado</t>
        </is>
      </c>
      <c r="L589" s="6" t="n">
        <v>5</v>
      </c>
      <c r="M589" s="2" t="n"/>
      <c r="N589" s="7" t="n">
        <v>0.19</v>
      </c>
      <c r="O589" s="4" t="n"/>
      <c r="P589" s="2" t="inlineStr">
        <is>
          <t>45233292; 45200000</t>
        </is>
      </c>
      <c r="Q589" s="8" t="inlineStr">
        <is>
          <t>Ver</t>
        </is>
      </c>
      <c r="R589" s="8" t="inlineStr">
        <is>
          <t>PCAP</t>
        </is>
      </c>
      <c r="S589" s="9" t="n">
        <v>46310</v>
      </c>
      <c r="T589" s="3" t="n">
        <v>46303.49599537037</v>
      </c>
      <c r="U589" s="2" t="n"/>
    </row>
    <row r="590">
      <c r="A590" s="2" t="inlineStr">
        <is>
          <t>Resuelta</t>
        </is>
      </c>
      <c r="B590" s="3" t="n">
        <v>46245.41666666666</v>
      </c>
      <c r="C590" s="5" t="n">
        <v>31500</v>
      </c>
      <c r="D590" s="5" t="n">
        <v>31500</v>
      </c>
      <c r="E590" s="2" t="inlineStr">
        <is>
          <t>Andalucía</t>
        </is>
      </c>
      <c r="F590" s="2" t="inlineStr">
        <is>
          <t>Almería</t>
        </is>
      </c>
      <c r="G590" s="2" t="n"/>
      <c r="H590" s="2" t="inlineStr">
        <is>
          <t>Empresa de Transformación Agraria S.A.,S.M.E., M.P., (TRAGSA)</t>
        </is>
      </c>
      <c r="I5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0" s="2" t="inlineStr">
        <is>
          <t>TSA0078977-343</t>
        </is>
      </c>
      <c r="K590" s="2" t="inlineStr">
        <is>
          <t>Abierto</t>
        </is>
      </c>
      <c r="L590" s="6" t="n">
        <v>6</v>
      </c>
      <c r="M590" s="2" t="n"/>
      <c r="N590" s="7" t="n">
        <v>0</v>
      </c>
      <c r="O590" s="4" t="n"/>
      <c r="P590" s="2" t="inlineStr">
        <is>
          <t>45500000</t>
        </is>
      </c>
      <c r="Q590" s="8" t="inlineStr">
        <is>
          <t>Ver</t>
        </is>
      </c>
      <c r="R590" s="8" t="inlineStr">
        <is>
          <t>PCAP</t>
        </is>
      </c>
      <c r="S590" s="9" t="n">
        <v>46310</v>
      </c>
      <c r="T590" s="3" t="n">
        <v>46303.49542824074</v>
      </c>
      <c r="U590" s="2" t="n"/>
    </row>
    <row r="591">
      <c r="A591" s="2" t="inlineStr">
        <is>
          <t>Resuelta</t>
        </is>
      </c>
      <c r="B591" s="3" t="n">
        <v>46245.41666666666</v>
      </c>
      <c r="C591" s="5" t="n">
        <v>31500</v>
      </c>
      <c r="D591" s="5" t="n">
        <v>31500</v>
      </c>
      <c r="E591" s="2" t="inlineStr">
        <is>
          <t>Andalucía</t>
        </is>
      </c>
      <c r="F591" s="2" t="inlineStr">
        <is>
          <t>Almería</t>
        </is>
      </c>
      <c r="G591" s="2" t="n"/>
      <c r="H591" s="2" t="inlineStr">
        <is>
          <t>Empresa de Transformación Agraria S.A.,S.M.E., M.P., (TRAGSA)</t>
        </is>
      </c>
      <c r="I59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1" s="2" t="inlineStr">
        <is>
          <t>TSA0078977-342</t>
        </is>
      </c>
      <c r="K591" s="2" t="inlineStr">
        <is>
          <t>Abierto</t>
        </is>
      </c>
      <c r="L591" s="6" t="n">
        <v>6</v>
      </c>
      <c r="M591" s="2" t="n"/>
      <c r="N591" s="7" t="n">
        <v>0</v>
      </c>
      <c r="O591" s="4" t="n"/>
      <c r="P591" s="2" t="inlineStr">
        <is>
          <t>45500000</t>
        </is>
      </c>
      <c r="Q591" s="8" t="inlineStr">
        <is>
          <t>Ver</t>
        </is>
      </c>
      <c r="R591" s="8" t="inlineStr">
        <is>
          <t>PCAP</t>
        </is>
      </c>
      <c r="S591" s="9" t="n">
        <v>46310</v>
      </c>
      <c r="T591" s="3" t="n">
        <v>46303.49363425926</v>
      </c>
      <c r="U591" s="2" t="n"/>
    </row>
    <row r="592">
      <c r="A592" s="2" t="inlineStr">
        <is>
          <t>Resuelta</t>
        </is>
      </c>
      <c r="B592" s="3" t="n">
        <v>46245.41666666666</v>
      </c>
      <c r="C592" s="5" t="n">
        <v>49750</v>
      </c>
      <c r="D592" s="5" t="n">
        <v>49750</v>
      </c>
      <c r="E592" s="2" t="inlineStr">
        <is>
          <t>Andalucía</t>
        </is>
      </c>
      <c r="F592" s="2" t="inlineStr">
        <is>
          <t>Almería</t>
        </is>
      </c>
      <c r="G592" s="2" t="n"/>
      <c r="H592" s="2" t="inlineStr">
        <is>
          <t>Empresa de Transformación Agraria S.A.,S.M.E., M.P., (TRAGSA)</t>
        </is>
      </c>
      <c r="I5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2" s="2" t="inlineStr">
        <is>
          <t>TSA0078977-331</t>
        </is>
      </c>
      <c r="K592" s="2" t="inlineStr">
        <is>
          <t>Abierto</t>
        </is>
      </c>
      <c r="L592" s="6" t="n">
        <v>6</v>
      </c>
      <c r="M592" s="2" t="n"/>
      <c r="N592" s="7" t="n">
        <v>0</v>
      </c>
      <c r="O592" s="4" t="n"/>
      <c r="P592" s="2" t="inlineStr">
        <is>
          <t>45500000</t>
        </is>
      </c>
      <c r="Q592" s="8" t="inlineStr">
        <is>
          <t>Ver</t>
        </is>
      </c>
      <c r="R592" s="8" t="inlineStr">
        <is>
          <t>PCAP</t>
        </is>
      </c>
      <c r="S592" s="9" t="n">
        <v>46310</v>
      </c>
      <c r="T592" s="3" t="n">
        <v>46303.49206018518</v>
      </c>
      <c r="U592" s="2" t="n"/>
    </row>
    <row r="593">
      <c r="A593" s="2" t="inlineStr">
        <is>
          <t>Resuelta</t>
        </is>
      </c>
      <c r="B593" s="3" t="n">
        <v>46259.41666666666</v>
      </c>
      <c r="C593" s="5" t="n">
        <v>10750</v>
      </c>
      <c r="D593" s="5" t="n">
        <v>10750</v>
      </c>
      <c r="E593" s="2" t="inlineStr">
        <is>
          <t>Andalucía</t>
        </is>
      </c>
      <c r="F593" s="2" t="inlineStr">
        <is>
          <t>Granada</t>
        </is>
      </c>
      <c r="G593" s="2" t="n"/>
      <c r="H593" s="2" t="inlineStr">
        <is>
          <t>Empresa de Transformación Agraria S.A.,S.M.E., M.P., (TRAGSA)</t>
        </is>
      </c>
      <c r="I59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93" s="2" t="inlineStr">
        <is>
          <t>TSA0077561-325</t>
        </is>
      </c>
      <c r="K593" s="2" t="inlineStr">
        <is>
          <t>Abierto</t>
        </is>
      </c>
      <c r="L593" s="6" t="n">
        <v>2</v>
      </c>
      <c r="M593" s="2" t="n"/>
      <c r="N593" s="7" t="n">
        <v>0</v>
      </c>
      <c r="O593" s="4" t="n"/>
      <c r="P593" s="2" t="inlineStr">
        <is>
          <t>45500000</t>
        </is>
      </c>
      <c r="Q593" s="8" t="inlineStr">
        <is>
          <t>Ver</t>
        </is>
      </c>
      <c r="R593" s="8" t="inlineStr">
        <is>
          <t>PCAP</t>
        </is>
      </c>
      <c r="S593" s="9" t="n">
        <v>46310</v>
      </c>
      <c r="T593" s="3" t="n">
        <v>46303.49047453704</v>
      </c>
      <c r="U593" s="2" t="n"/>
    </row>
    <row r="594">
      <c r="A594" s="2" t="inlineStr">
        <is>
          <t>Adjudicada</t>
        </is>
      </c>
      <c r="B594" s="3" t="n">
        <v>46050.99930555555</v>
      </c>
      <c r="C594" s="5" t="n">
        <v>60429.42</v>
      </c>
      <c r="D594" s="5" t="n">
        <v>60429.42</v>
      </c>
      <c r="E594" s="2" t="inlineStr">
        <is>
          <t>Comunitat Valenciana</t>
        </is>
      </c>
      <c r="F594" s="2" t="inlineStr">
        <is>
          <t>Alicante</t>
        </is>
      </c>
      <c r="G594" s="2" t="n"/>
      <c r="H594" s="2" t="inlineStr">
        <is>
          <t>Presidencia de la Diputación Provincial de Alicante</t>
        </is>
      </c>
      <c r="I594" s="2" t="inlineStr">
        <is>
          <t>O4S-257/2025 Obras de rehabilitación y sellado del depósito “Atalaya Park” de Benijófar</t>
        </is>
      </c>
      <c r="J594" s="2" t="inlineStr">
        <is>
          <t>O4S-257/2025</t>
        </is>
      </c>
      <c r="K594" s="2" t="inlineStr">
        <is>
          <t>Abierto simplificado</t>
        </is>
      </c>
      <c r="L594" s="6" t="n">
        <v>3</v>
      </c>
      <c r="M594" s="2" t="n"/>
      <c r="N594" s="7" t="n">
        <v>0.2</v>
      </c>
      <c r="O594" s="4" t="n"/>
      <c r="P594" s="2" t="inlineStr">
        <is>
          <t>45261420</t>
        </is>
      </c>
      <c r="Q594" s="8" t="inlineStr">
        <is>
          <t>Ver</t>
        </is>
      </c>
      <c r="R594" s="8" t="inlineStr">
        <is>
          <t>PCAP</t>
        </is>
      </c>
      <c r="S594" s="9" t="n">
        <v>46310</v>
      </c>
      <c r="T594" s="3" t="n">
        <v>46303.48902777778</v>
      </c>
      <c r="U594" s="2" t="n"/>
    </row>
    <row r="595">
      <c r="A595" s="2" t="inlineStr">
        <is>
          <t>Adjudicada</t>
        </is>
      </c>
      <c r="B595" s="3" t="n">
        <v>46203.99930555555</v>
      </c>
      <c r="C595" s="5" t="n">
        <v>109973.28</v>
      </c>
      <c r="D595" s="5" t="n">
        <v>109973.28</v>
      </c>
      <c r="E595" s="2" t="inlineStr">
        <is>
          <t>Comunitat Valenciana</t>
        </is>
      </c>
      <c r="F595" s="2" t="inlineStr">
        <is>
          <t>Castellón</t>
        </is>
      </c>
      <c r="G595" s="2" t="n"/>
      <c r="H595" s="2" t="inlineStr">
        <is>
          <t>Alcaldía del Ayuntamiento de Cabanes</t>
        </is>
      </c>
      <c r="I595" s="2" t="inlineStr">
        <is>
          <t>Obras de instalación de oficina de información turística en Torre la Sal.</t>
        </is>
      </c>
      <c r="J595" s="2" t="inlineStr">
        <is>
          <t>1519/2026</t>
        </is>
      </c>
      <c r="K595" s="2" t="inlineStr">
        <is>
          <t>Abierto simplificado</t>
        </is>
      </c>
      <c r="L595" s="6" t="n">
        <v>3</v>
      </c>
      <c r="M595" s="2" t="n"/>
      <c r="N595" s="7" t="n">
        <v>0</v>
      </c>
      <c r="O595" s="4" t="n"/>
      <c r="P595" s="2" t="inlineStr">
        <is>
          <t>45223800; 44211100</t>
        </is>
      </c>
      <c r="Q595" s="8" t="inlineStr">
        <is>
          <t>Ver</t>
        </is>
      </c>
      <c r="R595" s="8" t="inlineStr">
        <is>
          <t>PCAP</t>
        </is>
      </c>
      <c r="S595" s="9" t="n">
        <v>46310</v>
      </c>
      <c r="T595" s="3" t="n">
        <v>46303.48814814815</v>
      </c>
      <c r="U595" s="2" t="n"/>
    </row>
    <row r="596">
      <c r="A596" s="2" t="inlineStr">
        <is>
          <t>Resuelta</t>
        </is>
      </c>
      <c r="B596" s="3" t="n">
        <v>45984.99930555555</v>
      </c>
      <c r="C596" s="5" t="n">
        <v>1739825.21</v>
      </c>
      <c r="D596" s="5" t="n">
        <v>1739825.21</v>
      </c>
      <c r="E596" s="2" t="inlineStr">
        <is>
          <t>Andalucía</t>
        </is>
      </c>
      <c r="F596" s="2" t="inlineStr">
        <is>
          <t>Sevilla</t>
        </is>
      </c>
      <c r="G596" s="2" t="inlineStr">
        <is>
          <t>Sevilla</t>
        </is>
      </c>
      <c r="H596" s="2" t="inlineStr">
        <is>
          <t>Comisión Ejecutiva del Patronato del Real Alcázar y Casa Consistorial de Sevilla</t>
        </is>
      </c>
      <c r="I596" s="2" t="inlineStr">
        <is>
          <t>Obras de restauración del Cenador de Carlos V</t>
        </is>
      </c>
      <c r="J596" s="2" t="inlineStr">
        <is>
          <t>2025/001113</t>
        </is>
      </c>
      <c r="K596" s="2" t="inlineStr">
        <is>
          <t>Abierto simplificado</t>
        </is>
      </c>
      <c r="L596" s="6" t="n">
        <v>12</v>
      </c>
      <c r="M596" s="2" t="inlineStr">
        <is>
          <t>K7-4</t>
        </is>
      </c>
      <c r="N596" s="7" t="n">
        <v>0</v>
      </c>
      <c r="O596" s="4" t="n"/>
      <c r="P596" s="2" t="inlineStr">
        <is>
          <t>45212350</t>
        </is>
      </c>
      <c r="Q596" s="8" t="inlineStr">
        <is>
          <t>Ver</t>
        </is>
      </c>
      <c r="R596" s="8" t="inlineStr">
        <is>
          <t>PCAP</t>
        </is>
      </c>
      <c r="S596" s="9" t="n">
        <v>46310</v>
      </c>
      <c r="T596" s="3" t="n">
        <v>46303.48706018519</v>
      </c>
      <c r="U596" s="2" t="n"/>
    </row>
    <row r="597">
      <c r="A597" s="2" t="inlineStr">
        <is>
          <t>En plazo</t>
        </is>
      </c>
      <c r="B597" s="3" t="n">
        <v>46329.99930555555</v>
      </c>
      <c r="C597" s="5" t="n">
        <v>82644.63</v>
      </c>
      <c r="D597" s="5" t="n">
        <v>82644.63</v>
      </c>
      <c r="E597" s="2" t="inlineStr">
        <is>
          <t>Andalucía</t>
        </is>
      </c>
      <c r="F597" s="2" t="inlineStr">
        <is>
          <t>Córdoba</t>
        </is>
      </c>
      <c r="G597" s="2" t="n"/>
      <c r="H597" s="2" t="inlineStr">
        <is>
          <t>Diputado delegado de Infraestructuras, Sostenibilidad y Agricultura</t>
        </is>
      </c>
      <c r="I597" s="2" t="inlineStr">
        <is>
          <t>Contrato de obra de mejora de accesibilidad de instalaciones deportivas de la piscina municipal en Adamuz (Córdoba). Obra incluida en el Plan de Humanización de Entornos Urbanos y Agenda Rural 2024-2027</t>
        </is>
      </c>
      <c r="J597" s="2" t="inlineStr">
        <is>
          <t>376/26 BIS</t>
        </is>
      </c>
      <c r="K597" s="2" t="inlineStr">
        <is>
          <t>Abierto</t>
        </is>
      </c>
      <c r="L597" s="6" t="n">
        <v>3</v>
      </c>
      <c r="M597" s="2" t="n"/>
      <c r="N597" s="7" t="n">
        <v>0</v>
      </c>
      <c r="O597" s="4" t="n"/>
      <c r="P597" s="2" t="inlineStr">
        <is>
          <t>45200000</t>
        </is>
      </c>
      <c r="Q597" s="8" t="inlineStr">
        <is>
          <t>Ver</t>
        </is>
      </c>
      <c r="R597" s="8" t="inlineStr">
        <is>
          <t>PCAP</t>
        </is>
      </c>
      <c r="S597" s="9" t="n">
        <v>46310</v>
      </c>
      <c r="T597" s="3" t="n">
        <v>46303.48563657407</v>
      </c>
      <c r="U597" s="2" t="n"/>
    </row>
    <row r="598">
      <c r="A598" s="2" t="inlineStr">
        <is>
          <t>Adjudicada</t>
        </is>
      </c>
      <c r="B598" s="3" t="n">
        <v>46287.99930555555</v>
      </c>
      <c r="C598" s="5" t="n">
        <v>1537023.77</v>
      </c>
      <c r="D598" s="5" t="n">
        <v>1537023.77</v>
      </c>
      <c r="E598" s="2" t="inlineStr">
        <is>
          <t>Andalucía</t>
        </is>
      </c>
      <c r="F598" s="2" t="inlineStr">
        <is>
          <t>Córdoba</t>
        </is>
      </c>
      <c r="G598" s="2" t="n"/>
      <c r="H598" s="2" t="inlineStr">
        <is>
          <t>Junta de Gobierno del Ayuntamiento de Córdoba</t>
        </is>
      </c>
      <c r="I598" s="2" t="inlineStr">
        <is>
          <t>Obras de conservación y adecuación al cambio climático de 13 colegios de Córdoba.</t>
        </is>
      </c>
      <c r="J598" s="2" t="inlineStr">
        <is>
          <t>2026/086</t>
        </is>
      </c>
      <c r="K598" s="2" t="inlineStr">
        <is>
          <t>Abierto</t>
        </is>
      </c>
      <c r="L598" s="6" t="n">
        <v>4</v>
      </c>
      <c r="M598" s="2" t="n"/>
      <c r="N598" s="7" t="n">
        <v>0</v>
      </c>
      <c r="O598" s="4" t="n">
        <v>6</v>
      </c>
      <c r="P598" s="2" t="inlineStr">
        <is>
          <t>45000000; 45330000; 45420000; 45261420; 44410000; 45223800; 45261400; 45262520; 44110000; 45310000; 44810000; 45343220</t>
        </is>
      </c>
      <c r="Q598" s="8" t="inlineStr">
        <is>
          <t>Ver</t>
        </is>
      </c>
      <c r="R598" s="8" t="inlineStr">
        <is>
          <t>PCAP</t>
        </is>
      </c>
      <c r="S598" s="9" t="n">
        <v>46310</v>
      </c>
      <c r="T598" s="3" t="n">
        <v>46303.48137731481</v>
      </c>
      <c r="U598" s="2" t="n"/>
    </row>
    <row r="599">
      <c r="A599" s="2" t="inlineStr">
        <is>
          <t>Resuelta</t>
        </is>
      </c>
      <c r="B599" s="3" t="n">
        <v>46296.99930555555</v>
      </c>
      <c r="C599" s="5" t="n">
        <v>55182.15</v>
      </c>
      <c r="D599" s="5" t="n">
        <v>55182.15</v>
      </c>
      <c r="E599" s="2" t="inlineStr">
        <is>
          <t>Comunitat Valenciana</t>
        </is>
      </c>
      <c r="F599" s="2" t="inlineStr">
        <is>
          <t>Alicante</t>
        </is>
      </c>
      <c r="G599" s="2" t="n"/>
      <c r="H599" s="2" t="inlineStr">
        <is>
          <t>Junta de Gobierno del Ayuntamiento Dénia</t>
        </is>
      </c>
      <c r="I599" s="2" t="inlineStr">
        <is>
          <t>Nueva licitación Reforma de aseos en el Centro de Formación de Personas Adultas, Avda. Ramón Ortega, 3 bajo</t>
        </is>
      </c>
      <c r="J599" s="2" t="inlineStr">
        <is>
          <t>OBR/2026000053</t>
        </is>
      </c>
      <c r="K599" s="2" t="inlineStr">
        <is>
          <t>Abierto simplificado</t>
        </is>
      </c>
      <c r="L599" s="6" t="n">
        <v>2</v>
      </c>
      <c r="M599" s="2" t="n"/>
      <c r="N599" s="7" t="n">
        <v>0</v>
      </c>
      <c r="O599" s="4" t="n"/>
      <c r="P599" s="2" t="inlineStr">
        <is>
          <t>45211310</t>
        </is>
      </c>
      <c r="Q599" s="8" t="inlineStr">
        <is>
          <t>Ver</t>
        </is>
      </c>
      <c r="R599" s="8" t="inlineStr">
        <is>
          <t>PCAP</t>
        </is>
      </c>
      <c r="S599" s="9" t="n">
        <v>46310</v>
      </c>
      <c r="T599" s="3" t="n">
        <v>46303.48109953704</v>
      </c>
      <c r="U599" s="2" t="n"/>
    </row>
    <row r="600">
      <c r="A600" s="2" t="inlineStr">
        <is>
          <t>Pendiente de adjudicación</t>
        </is>
      </c>
      <c r="B600" s="3" t="n">
        <v>46238.99930555555</v>
      </c>
      <c r="C600" s="5" t="n">
        <v>82858.50999999999</v>
      </c>
      <c r="D600" s="5" t="n">
        <v>82858.50999999999</v>
      </c>
      <c r="E600" s="2" t="inlineStr">
        <is>
          <t>Comunitat Valenciana</t>
        </is>
      </c>
      <c r="F600" s="2" t="inlineStr">
        <is>
          <t>Castellón</t>
        </is>
      </c>
      <c r="G600" s="2" t="inlineStr">
        <is>
          <t>Benicarló</t>
        </is>
      </c>
      <c r="H600" s="2" t="inlineStr">
        <is>
          <t>Concejal delegado de Contratación, Patrimonio, Secretaria General, Servicios Lingüísticos, Servicios Informáticos, Administración Electrónica, Transparencia, Participación Ciudadana y Atención a la Ciudadanía del Ayuntamiento de Benicarló</t>
        </is>
      </c>
      <c r="I600" s="2" t="inlineStr">
        <is>
          <t>obras derribo edificio antiguo parque de bomberos</t>
        </is>
      </c>
      <c r="J600" s="2" t="inlineStr">
        <is>
          <t>15/2026 (1841728F)</t>
        </is>
      </c>
      <c r="K600" s="2" t="inlineStr">
        <is>
          <t>Abierto simplificado</t>
        </is>
      </c>
      <c r="L600" s="6" t="n">
        <v>3</v>
      </c>
      <c r="M600" s="2" t="n"/>
      <c r="N600" s="7" t="n">
        <v>0</v>
      </c>
      <c r="O600" s="4" t="n"/>
      <c r="P600" s="2" t="inlineStr">
        <is>
          <t>45110000</t>
        </is>
      </c>
      <c r="Q600" s="8" t="inlineStr">
        <is>
          <t>Ver</t>
        </is>
      </c>
      <c r="R600" s="8" t="inlineStr">
        <is>
          <t>PCAP</t>
        </is>
      </c>
      <c r="S600" s="9" t="n">
        <v>46310</v>
      </c>
      <c r="T600" s="3" t="n">
        <v>46303.48056712963</v>
      </c>
      <c r="U600" s="2" t="n"/>
    </row>
    <row r="601">
      <c r="A601" s="2" t="inlineStr">
        <is>
          <t>Resuelta</t>
        </is>
      </c>
      <c r="B601" s="3" t="n">
        <v>46260.99930555555</v>
      </c>
      <c r="C601" s="5" t="n">
        <v>73712.92999999999</v>
      </c>
      <c r="D601" s="5" t="n">
        <v>73712.92999999999</v>
      </c>
      <c r="E601" s="2" t="inlineStr">
        <is>
          <t>Andalucía</t>
        </is>
      </c>
      <c r="F601" s="2" t="inlineStr">
        <is>
          <t>Huelva</t>
        </is>
      </c>
      <c r="G601" s="2" t="n"/>
      <c r="H601" s="2" t="inlineStr">
        <is>
          <t>Junta de Gobierno del Ayuntamiento de Almonte</t>
        </is>
      </c>
      <c r="I601" s="2" t="inlineStr">
        <is>
          <t>Contrato de Ejecución de obras de sustitución césped artificial pista fútbol 7 polideportivo Almonte</t>
        </is>
      </c>
      <c r="J601" s="2" t="inlineStr">
        <is>
          <t>11252/2026</t>
        </is>
      </c>
      <c r="K601" s="2" t="inlineStr">
        <is>
          <t>Abierto</t>
        </is>
      </c>
      <c r="L601" s="6" t="n">
        <v>2</v>
      </c>
      <c r="M601" s="2" t="n"/>
      <c r="N601" s="7" t="n">
        <v>0.25</v>
      </c>
      <c r="O601" s="4" t="n"/>
      <c r="P601" s="2" t="inlineStr">
        <is>
          <t>45212200</t>
        </is>
      </c>
      <c r="Q601" s="8" t="inlineStr">
        <is>
          <t>Ver</t>
        </is>
      </c>
      <c r="R601" s="8" t="inlineStr">
        <is>
          <t>PCAP</t>
        </is>
      </c>
      <c r="S601" s="9" t="n">
        <v>46310</v>
      </c>
      <c r="T601" s="3" t="n">
        <v>46303.4794212963</v>
      </c>
      <c r="U601" s="2" t="n"/>
    </row>
    <row r="602">
      <c r="A602" s="2" t="inlineStr">
        <is>
          <t>Pendiente de adjudicación</t>
        </is>
      </c>
      <c r="B602" s="3" t="n">
        <v>46296.99930555555</v>
      </c>
      <c r="C602" s="5" t="n">
        <v>924088.09</v>
      </c>
      <c r="D602" s="5" t="n">
        <v>924088.09</v>
      </c>
      <c r="E602" s="2" t="inlineStr">
        <is>
          <t>Comunitat Valenciana</t>
        </is>
      </c>
      <c r="F602" s="2" t="inlineStr">
        <is>
          <t>Valencia</t>
        </is>
      </c>
      <c r="G602" s="2" t="n"/>
      <c r="H602" s="2" t="inlineStr">
        <is>
          <t>Junta de Gobierno del Ajuntament de València</t>
        </is>
      </c>
      <c r="I602" s="2" t="inlineStr">
        <is>
          <t>Obras para la construcción de 8 arquetas subterráneas para el soterramiento de contenedores (dividido en 2 lotes).-</t>
        </is>
      </c>
      <c r="J602" s="2" t="inlineStr">
        <is>
          <t>04101/2026/99-O</t>
        </is>
      </c>
      <c r="K602" s="2" t="inlineStr">
        <is>
          <t>Abierto simplificado</t>
        </is>
      </c>
      <c r="L602" s="6" t="n">
        <v>6.5</v>
      </c>
      <c r="M602" s="2" t="n"/>
      <c r="N602" s="7" t="n">
        <v>0</v>
      </c>
      <c r="O602" s="4" t="n">
        <v>2</v>
      </c>
      <c r="P602" s="2" t="inlineStr">
        <is>
          <t>45350000; 45112500; 45112400; 45112000</t>
        </is>
      </c>
      <c r="Q602" s="8" t="inlineStr">
        <is>
          <t>Ver</t>
        </is>
      </c>
      <c r="R602" s="8" t="inlineStr">
        <is>
          <t>PCAP</t>
        </is>
      </c>
      <c r="S602" s="9" t="n">
        <v>46310</v>
      </c>
      <c r="T602" s="3" t="n">
        <v>46303.47802083333</v>
      </c>
      <c r="U602" s="2" t="n"/>
    </row>
    <row r="603">
      <c r="A603" s="2" t="inlineStr">
        <is>
          <t>Pendiente de adjudicación</t>
        </is>
      </c>
      <c r="B603" s="3" t="n">
        <v>46294.99930555555</v>
      </c>
      <c r="C603" s="5" t="n">
        <v>109186994.13</v>
      </c>
      <c r="D603" s="5" t="n">
        <v>109186994.13</v>
      </c>
      <c r="E603" s="2" t="inlineStr">
        <is>
          <t>Comunitat Valenciana</t>
        </is>
      </c>
      <c r="F603" s="2" t="inlineStr">
        <is>
          <t>Valencia</t>
        </is>
      </c>
      <c r="G603" s="2" t="n"/>
      <c r="H603" s="2" t="inlineStr">
        <is>
          <t>Dirección General del Agua</t>
        </is>
      </c>
      <c r="I603" s="2" t="inlineStr">
        <is>
          <t>Contratación de servicios para protección frente a inundaciones en el Barranco de la Saleta. Tramo 2, Aldaia Vía Verde, Valencia.</t>
        </is>
      </c>
      <c r="J603" s="2" t="inlineStr">
        <is>
          <t>08.413-0173/2112</t>
        </is>
      </c>
      <c r="K603" s="2" t="inlineStr">
        <is>
          <t>Abierto</t>
        </is>
      </c>
      <c r="L603" s="6" t="n">
        <v>42</v>
      </c>
      <c r="M603" s="2" t="inlineStr">
        <is>
          <t>E5-6</t>
        </is>
      </c>
      <c r="N603" s="7" t="n">
        <v>0.48</v>
      </c>
      <c r="O603" s="4" t="n"/>
      <c r="P603" s="2" t="inlineStr">
        <is>
          <t>45246400</t>
        </is>
      </c>
      <c r="Q603" s="8" t="inlineStr">
        <is>
          <t>Ver</t>
        </is>
      </c>
      <c r="R603" s="8" t="inlineStr">
        <is>
          <t>PCAP</t>
        </is>
      </c>
      <c r="S603" s="9" t="n">
        <v>46310</v>
      </c>
      <c r="T603" s="3" t="n">
        <v>46303.47572916667</v>
      </c>
      <c r="U603" s="2" t="n"/>
    </row>
    <row r="604">
      <c r="A604" s="2" t="inlineStr">
        <is>
          <t>Resuelta</t>
        </is>
      </c>
      <c r="B604" s="3" t="n">
        <v>46253.99930555555</v>
      </c>
      <c r="C604" s="5" t="n">
        <v>52174.48</v>
      </c>
      <c r="D604" s="5" t="n">
        <v>52174.48</v>
      </c>
      <c r="E604" s="2" t="inlineStr">
        <is>
          <t>Andalucía</t>
        </is>
      </c>
      <c r="F604" s="2" t="inlineStr">
        <is>
          <t>Sevilla</t>
        </is>
      </c>
      <c r="G604" s="2" t="n"/>
      <c r="H604" s="2" t="inlineStr">
        <is>
          <t>Alcaldía del Ayuntamiento de Castilleja de la Cuesta</t>
        </is>
      </c>
      <c r="I604" s="2" t="inlineStr">
        <is>
          <t>Contrato mixto de obras, suministro y servicios para la instalación de sistemas de filtración, cloración, desinfección y control automático en fuentes ornamentales municipales</t>
        </is>
      </c>
      <c r="J604" s="2" t="inlineStr">
        <is>
          <t>P4102900J-2026/000077-PAAS</t>
        </is>
      </c>
      <c r="K604" s="2" t="inlineStr">
        <is>
          <t>Abierto simplificado</t>
        </is>
      </c>
      <c r="L604" s="6" t="n">
        <v>3</v>
      </c>
      <c r="M604" s="2" t="n"/>
      <c r="N604" s="7" t="n">
        <v>0.25</v>
      </c>
      <c r="O604" s="4" t="n"/>
      <c r="P604" s="2" t="inlineStr">
        <is>
          <t>45232430</t>
        </is>
      </c>
      <c r="Q604" s="8" t="inlineStr">
        <is>
          <t>Ver</t>
        </is>
      </c>
      <c r="R604" s="8" t="inlineStr">
        <is>
          <t>PCAP</t>
        </is>
      </c>
      <c r="S604" s="9" t="n">
        <v>46310</v>
      </c>
      <c r="T604" s="3" t="n">
        <v>46303.46555555556</v>
      </c>
      <c r="U604" s="2" t="n"/>
    </row>
    <row r="605">
      <c r="A605" s="2" t="inlineStr">
        <is>
          <t>Pendiente de adjudicación</t>
        </is>
      </c>
      <c r="B605" s="3" t="n">
        <v>46295.99930555555</v>
      </c>
      <c r="C605" s="5" t="n">
        <v>356695.33</v>
      </c>
      <c r="D605" s="5" t="n">
        <v>356695.33</v>
      </c>
      <c r="E605" s="2" t="inlineStr">
        <is>
          <t>Comunitat Valenciana</t>
        </is>
      </c>
      <c r="F605" s="2" t="inlineStr">
        <is>
          <t>Castellón</t>
        </is>
      </c>
      <c r="G605" s="2" t="inlineStr">
        <is>
          <t>Caudiel</t>
        </is>
      </c>
      <c r="H605" s="2" t="inlineStr">
        <is>
          <t>Pleno del Ayuntamiento de Caudiel</t>
        </is>
      </c>
      <c r="I605" s="2" t="inlineStr">
        <is>
          <t>Obras de instalación de césped artificial y sistema de riego en el campo de fútbol "el Olivar" de Caudiel</t>
        </is>
      </c>
      <c r="J605" s="2" t="inlineStr">
        <is>
          <t>344/2026</t>
        </is>
      </c>
      <c r="K605" s="2" t="inlineStr">
        <is>
          <t>Abierto simplificado</t>
        </is>
      </c>
      <c r="L605" s="6" t="n">
        <v>3</v>
      </c>
      <c r="M605" s="2" t="n"/>
      <c r="N605" s="7" t="n">
        <v>0.25</v>
      </c>
      <c r="O605" s="4" t="n"/>
      <c r="P605" s="2" t="inlineStr">
        <is>
          <t>45212221; 45236119; 39293400</t>
        </is>
      </c>
      <c r="Q605" s="8" t="inlineStr">
        <is>
          <t>Ver</t>
        </is>
      </c>
      <c r="R605" s="8" t="inlineStr">
        <is>
          <t>PCAP</t>
        </is>
      </c>
      <c r="S605" s="9" t="n">
        <v>46310</v>
      </c>
      <c r="T605" s="3" t="n">
        <v>46303.46362268519</v>
      </c>
      <c r="U605" s="2" t="n"/>
    </row>
    <row r="606">
      <c r="A606" s="2" t="inlineStr">
        <is>
          <t>Adjudicada</t>
        </is>
      </c>
      <c r="B606" s="3" t="n">
        <v>46275.99930555555</v>
      </c>
      <c r="C606" s="5" t="n">
        <v>1825743.79</v>
      </c>
      <c r="D606" s="5" t="n">
        <v>1825743.79</v>
      </c>
      <c r="E606" s="2" t="inlineStr">
        <is>
          <t>Comunitat Valenciana</t>
        </is>
      </c>
      <c r="F606" s="2" t="inlineStr">
        <is>
          <t>Valencia</t>
        </is>
      </c>
      <c r="G606" s="2" t="n"/>
      <c r="H606" s="2" t="inlineStr">
        <is>
          <t>Alcaldía del Ayuntamiento de Cullera</t>
        </is>
      </c>
      <c r="I606" s="2" t="inlineStr">
        <is>
          <t>Contrato de obras de rehabilitación del Pont de la Bega de Cullera</t>
        </is>
      </c>
      <c r="J606" s="2" t="inlineStr">
        <is>
          <t>2989472W</t>
        </is>
      </c>
      <c r="K606" s="2" t="inlineStr">
        <is>
          <t>Abierto simplificado</t>
        </is>
      </c>
      <c r="L606" s="6" t="n">
        <v>12</v>
      </c>
      <c r="M606" s="2" t="inlineStr">
        <is>
          <t>K6-2; G4-2; B4-2</t>
        </is>
      </c>
      <c r="N606" s="7" t="n">
        <v>0</v>
      </c>
      <c r="O606" s="4" t="n"/>
      <c r="P606" s="2" t="inlineStr">
        <is>
          <t>45221100; 45311000; 45233222; 45000000; 45233140</t>
        </is>
      </c>
      <c r="Q606" s="8" t="inlineStr">
        <is>
          <t>Ver</t>
        </is>
      </c>
      <c r="R606" s="8" t="inlineStr">
        <is>
          <t>PCAP</t>
        </is>
      </c>
      <c r="S606" s="9" t="n">
        <v>46310</v>
      </c>
      <c r="T606" s="3" t="n">
        <v>46303.46284722222</v>
      </c>
      <c r="U606" s="2" t="n"/>
    </row>
    <row r="607">
      <c r="A607" s="2" t="inlineStr">
        <is>
          <t>Pendiente de adjudicación</t>
        </is>
      </c>
      <c r="B607" s="3" t="n">
        <v>46063.58333333334</v>
      </c>
      <c r="C607" s="5" t="n">
        <v>8096026.51</v>
      </c>
      <c r="D607" s="5" t="n">
        <v>8096026.51</v>
      </c>
      <c r="E607" s="2" t="inlineStr">
        <is>
          <t>Comunitat Valenciana</t>
        </is>
      </c>
      <c r="F607" s="2" t="inlineStr">
        <is>
          <t>Valencia</t>
        </is>
      </c>
      <c r="G607" s="2" t="n"/>
      <c r="H607" s="2" t="inlineStr">
        <is>
          <t>Dirección General del Agua</t>
        </is>
      </c>
      <c r="I607" s="2" t="inlineStr">
        <is>
          <t>Contratación de obras para adaptación al riesgo de inundación del Bco. Barxeta. Fase II.</t>
        </is>
      </c>
      <c r="J607" s="2" t="inlineStr">
        <is>
          <t>08.499-0077/2111</t>
        </is>
      </c>
      <c r="K607" s="2" t="inlineStr">
        <is>
          <t>Abierto</t>
        </is>
      </c>
      <c r="L607" s="6" t="n">
        <v>12</v>
      </c>
      <c r="M607" s="2" t="inlineStr">
        <is>
          <t>E5-6</t>
        </is>
      </c>
      <c r="N607" s="7" t="n">
        <v>0.48</v>
      </c>
      <c r="O607" s="4" t="n"/>
      <c r="P607" s="2" t="inlineStr">
        <is>
          <t>45246400</t>
        </is>
      </c>
      <c r="Q607" s="8" t="inlineStr">
        <is>
          <t>Ver</t>
        </is>
      </c>
      <c r="R607" s="8" t="inlineStr">
        <is>
          <t>PCAP</t>
        </is>
      </c>
      <c r="S607" s="9" t="n">
        <v>46310</v>
      </c>
      <c r="T607" s="3" t="n">
        <v>46303.46016203704</v>
      </c>
      <c r="U607" s="2" t="n"/>
    </row>
    <row r="608">
      <c r="A608" s="2" t="inlineStr">
        <is>
          <t>Adjudicada</t>
        </is>
      </c>
      <c r="B608" s="3" t="n">
        <v>46294.99930555555</v>
      </c>
      <c r="C608" s="5" t="n">
        <v>79065.85000000001</v>
      </c>
      <c r="D608" s="5" t="n">
        <v>79065.85000000001</v>
      </c>
      <c r="E608" s="2" t="inlineStr">
        <is>
          <t>Comunitat Valenciana</t>
        </is>
      </c>
      <c r="F608" s="2" t="inlineStr">
        <is>
          <t>Valencia</t>
        </is>
      </c>
      <c r="G608" s="2" t="n"/>
      <c r="H608" s="2" t="inlineStr">
        <is>
          <t>Alcaldía del Ayuntamiento de La Yesa</t>
        </is>
      </c>
      <c r="I608" s="2" t="inlineStr">
        <is>
          <t>Rehabilitación de Piscina Pública Municipal</t>
        </is>
      </c>
      <c r="J608" s="2" t="inlineStr">
        <is>
          <t>2958778P</t>
        </is>
      </c>
      <c r="K608" s="2" t="inlineStr">
        <is>
          <t>Abierto simplificado</t>
        </is>
      </c>
      <c r="L608" s="6" t="n">
        <v>2</v>
      </c>
      <c r="M608" s="2" t="n"/>
      <c r="N608" s="7" t="n">
        <v>0</v>
      </c>
      <c r="O608" s="4" t="n"/>
      <c r="P608" s="2" t="inlineStr">
        <is>
          <t>45212212</t>
        </is>
      </c>
      <c r="Q608" s="8" t="inlineStr">
        <is>
          <t>Ver</t>
        </is>
      </c>
      <c r="R608" s="8" t="inlineStr">
        <is>
          <t>PCAP</t>
        </is>
      </c>
      <c r="S608" s="9" t="n">
        <v>46310</v>
      </c>
      <c r="T608" s="3" t="n">
        <v>46303.46006944445</v>
      </c>
      <c r="U608" s="2" t="n"/>
    </row>
    <row r="609">
      <c r="A609" s="2" t="inlineStr">
        <is>
          <t>Pendiente de adjudicación</t>
        </is>
      </c>
      <c r="B609" s="3" t="n">
        <v>46056.58333333334</v>
      </c>
      <c r="C609" s="5" t="n">
        <v>4133341.04</v>
      </c>
      <c r="D609" s="5" t="n">
        <v>4133341.04</v>
      </c>
      <c r="E609" s="2" t="inlineStr">
        <is>
          <t>Comunitat Valenciana</t>
        </is>
      </c>
      <c r="F609" s="2" t="inlineStr">
        <is>
          <t>Valencia</t>
        </is>
      </c>
      <c r="G609" s="2" t="n"/>
      <c r="H609" s="2" t="inlineStr">
        <is>
          <t>Dirección General del Agua</t>
        </is>
      </c>
      <c r="I609" s="2" t="inlineStr">
        <is>
          <t>Contratación de obras para adaptación al riesgo de inundación del Bco. Barxeta. Fase I.</t>
        </is>
      </c>
      <c r="J609" s="2" t="inlineStr">
        <is>
          <t>08.499-0076/2111</t>
        </is>
      </c>
      <c r="K609" s="2" t="inlineStr">
        <is>
          <t>Abierto</t>
        </is>
      </c>
      <c r="L609" s="6" t="n">
        <v>12</v>
      </c>
      <c r="M609" s="2" t="inlineStr">
        <is>
          <t>E5-5</t>
        </is>
      </c>
      <c r="N609" s="7" t="n">
        <v>0.48</v>
      </c>
      <c r="O609" s="4" t="n"/>
      <c r="P609" s="2" t="inlineStr">
        <is>
          <t>45246400</t>
        </is>
      </c>
      <c r="Q609" s="8" t="inlineStr">
        <is>
          <t>Ver</t>
        </is>
      </c>
      <c r="R609" s="8" t="inlineStr">
        <is>
          <t>PCAP</t>
        </is>
      </c>
      <c r="S609" s="9" t="n">
        <v>46310</v>
      </c>
      <c r="T609" s="3" t="n">
        <v>46303.45916666667</v>
      </c>
      <c r="U609" s="2" t="n"/>
    </row>
    <row r="610">
      <c r="A610" s="2" t="inlineStr">
        <is>
          <t>Resuelta</t>
        </is>
      </c>
      <c r="B610" s="3" t="n">
        <v>46170.75</v>
      </c>
      <c r="C610" s="5" t="n">
        <v>849346.39</v>
      </c>
      <c r="D610" s="5" t="n">
        <v>1019215.67</v>
      </c>
      <c r="E610" s="2" t="inlineStr">
        <is>
          <t>Andalucía</t>
        </is>
      </c>
      <c r="F610" s="2" t="inlineStr">
        <is>
          <t>Málaga</t>
        </is>
      </c>
      <c r="G610" s="2" t="n"/>
      <c r="H610" s="2" t="inlineStr">
        <is>
          <t>Consejero Delegado de la Empresa Municipal de Aguas de Málaga S.A.</t>
        </is>
      </c>
      <c r="I610" s="2" t="inlineStr">
        <is>
          <t>Obras de Renovación de las redes de abastecimiento y saneamiento de la barriada de las Flores. Málaga. (Expdte Ingeniería:135/2024). En el marco de la Estrategia de Desarrollo Integrado Local (PLAN EDIL) “Conecta_Málaga”.</t>
        </is>
      </c>
      <c r="J610" s="2" t="inlineStr">
        <is>
          <t>25-522-15</t>
        </is>
      </c>
      <c r="K610" s="2" t="inlineStr">
        <is>
          <t>Abierto</t>
        </is>
      </c>
      <c r="L610" s="6" t="n">
        <v>6</v>
      </c>
      <c r="M610" s="2" t="n"/>
      <c r="N610" s="7" t="n">
        <v>0</v>
      </c>
      <c r="O610" s="4" t="n"/>
      <c r="P610" s="2" t="inlineStr">
        <is>
          <t>45000000</t>
        </is>
      </c>
      <c r="Q610" s="8" t="inlineStr">
        <is>
          <t>Ver</t>
        </is>
      </c>
      <c r="R610" s="8" t="inlineStr">
        <is>
          <t>PCAP</t>
        </is>
      </c>
      <c r="S610" s="9" t="n">
        <v>46310</v>
      </c>
      <c r="T610" s="3" t="n">
        <v>46303.45396990741</v>
      </c>
      <c r="U610" s="2" t="n"/>
    </row>
    <row r="611">
      <c r="A611" s="2" t="inlineStr">
        <is>
          <t>Pendiente de adjudicación</t>
        </is>
      </c>
      <c r="B611" s="3" t="n">
        <v>46300.58333333334</v>
      </c>
      <c r="C611" s="5" t="n">
        <v>1447357.42</v>
      </c>
      <c r="D611" s="5" t="n">
        <v>1736828.9</v>
      </c>
      <c r="E611" s="2" t="inlineStr">
        <is>
          <t>Andalucía</t>
        </is>
      </c>
      <c r="F611" s="2" t="inlineStr">
        <is>
          <t>Sevilla</t>
        </is>
      </c>
      <c r="G611" s="2" t="inlineStr">
        <is>
          <t>Sevilla</t>
        </is>
      </c>
      <c r="H611" s="2" t="inlineStr">
        <is>
          <t>Subsecretaría de Hacienda (Dirección General del Patrimonio del Estado)</t>
        </is>
      </c>
      <c r="I611" s="2" t="inlineStr">
        <is>
          <t>Obras de restauración de los artesonados de las Puertas de Navarra y Aragón de la Plaza de España de Sevilla</t>
        </is>
      </c>
      <c r="J611" s="2" t="inlineStr">
        <is>
          <t>MES-2026-12</t>
        </is>
      </c>
      <c r="K611" s="2" t="inlineStr">
        <is>
          <t>Abierto simplificado</t>
        </is>
      </c>
      <c r="L611" s="6" t="n">
        <v>9</v>
      </c>
      <c r="M611" s="2" t="inlineStr">
        <is>
          <t>K7-4</t>
        </is>
      </c>
      <c r="N611" s="7" t="n">
        <v>0.25</v>
      </c>
      <c r="O611" s="4" t="n"/>
      <c r="P611" s="2" t="inlineStr">
        <is>
          <t>45454100</t>
        </is>
      </c>
      <c r="Q611" s="8" t="inlineStr">
        <is>
          <t>Ver</t>
        </is>
      </c>
      <c r="R611" s="8" t="inlineStr">
        <is>
          <t>PCAP</t>
        </is>
      </c>
      <c r="S611" s="9" t="n">
        <v>46310</v>
      </c>
      <c r="T611" s="3" t="n">
        <v>46303.44578703704</v>
      </c>
      <c r="U611" s="2" t="n"/>
    </row>
    <row r="612">
      <c r="A612" s="2" t="inlineStr">
        <is>
          <t>Resuelta</t>
        </is>
      </c>
      <c r="B612" s="3" t="n">
        <v>45714.99930555555</v>
      </c>
      <c r="C612" s="5" t="n">
        <v>5193674.75</v>
      </c>
      <c r="D612" s="5" t="n">
        <v>5193674.75</v>
      </c>
      <c r="E612" s="2" t="inlineStr">
        <is>
          <t>Andalucía</t>
        </is>
      </c>
      <c r="F612" s="2" t="inlineStr">
        <is>
          <t>Málaga</t>
        </is>
      </c>
      <c r="G612" s="2" t="n"/>
      <c r="H612" s="2" t="inlineStr">
        <is>
          <t>Gerente de la Gerencia Municipal de Urbanismo del Ayuntamiento de Málaga</t>
        </is>
      </c>
      <c r="I612" s="2" t="inlineStr">
        <is>
          <t>Proyecto de obras de urbanización del Paseo Marítimo de Pedregalejo, desde Baños del Carmen hasta el Arroyo de Jaboneros</t>
        </is>
      </c>
      <c r="J612" s="2" t="inlineStr">
        <is>
          <t>OB-051/24</t>
        </is>
      </c>
      <c r="K612" s="2" t="inlineStr">
        <is>
          <t>Abierto</t>
        </is>
      </c>
      <c r="L612" s="6" t="n">
        <v>10</v>
      </c>
      <c r="M612" s="2" t="inlineStr">
        <is>
          <t>G6-5</t>
        </is>
      </c>
      <c r="N612" s="7" t="n">
        <v>0.4</v>
      </c>
      <c r="O612" s="4" t="n"/>
      <c r="P612" s="2" t="inlineStr">
        <is>
          <t>45233251; 45233252; 45246500</t>
        </is>
      </c>
      <c r="Q612" s="8" t="inlineStr">
        <is>
          <t>Ver</t>
        </is>
      </c>
      <c r="R612" s="8" t="inlineStr">
        <is>
          <t>PCAP</t>
        </is>
      </c>
      <c r="S612" s="9" t="n">
        <v>46310</v>
      </c>
      <c r="T612" s="3" t="n">
        <v>46303.44456018518</v>
      </c>
      <c r="U612" s="2" t="n"/>
    </row>
    <row r="613">
      <c r="A613" s="2" t="inlineStr">
        <is>
          <t>Pendiente de adjudicación</t>
        </is>
      </c>
      <c r="B613" s="3" t="n">
        <v>46293.58333333334</v>
      </c>
      <c r="C613" s="5" t="n">
        <v>471382.88</v>
      </c>
      <c r="D613" s="5" t="n">
        <v>471382.88</v>
      </c>
      <c r="E613" s="2" t="inlineStr">
        <is>
          <t>Andalucía</t>
        </is>
      </c>
      <c r="F613" s="2" t="inlineStr">
        <is>
          <t>Málaga</t>
        </is>
      </c>
      <c r="G613" s="2" t="n"/>
      <c r="H613" s="2" t="inlineStr">
        <is>
          <t>Dirección General de Tráfico</t>
        </is>
      </c>
      <c r="I613" s="2" t="inlineStr">
        <is>
          <t>Obra de instalación de equipamiento ITS en la A-7 tramo desde enlace A-7/A-45/MA-20 -Virreina- hasta enlace A-7/AP-46 (Málaga).</t>
        </is>
      </c>
      <c r="J613" s="2" t="inlineStr">
        <is>
          <t>3DGT6A000232</t>
        </is>
      </c>
      <c r="K613" s="2" t="inlineStr">
        <is>
          <t>Abierto simplificado</t>
        </is>
      </c>
      <c r="L613" s="6" t="n">
        <v>9</v>
      </c>
      <c r="M613" s="2" t="n"/>
      <c r="N613" s="7" t="n">
        <v>0.25</v>
      </c>
      <c r="O613" s="4" t="n"/>
      <c r="P613" s="2" t="inlineStr">
        <is>
          <t>45222300</t>
        </is>
      </c>
      <c r="Q613" s="8" t="inlineStr">
        <is>
          <t>Ver</t>
        </is>
      </c>
      <c r="R613" s="8" t="inlineStr">
        <is>
          <t>PCAP</t>
        </is>
      </c>
      <c r="S613" s="9" t="n">
        <v>46310</v>
      </c>
      <c r="T613" s="3" t="n">
        <v>46303.44116898148</v>
      </c>
      <c r="U613" s="2" t="n"/>
    </row>
    <row r="614">
      <c r="A614" s="2" t="inlineStr">
        <is>
          <t>Resuelta</t>
        </is>
      </c>
      <c r="B614" s="3" t="n">
        <v>46287.41666666666</v>
      </c>
      <c r="C614" s="5" t="n">
        <v>2650904.53</v>
      </c>
      <c r="D614" s="5" t="n">
        <v>2650904.53</v>
      </c>
      <c r="E614" s="2" t="inlineStr">
        <is>
          <t>Comunitat Valenciana</t>
        </is>
      </c>
      <c r="F614" s="2" t="inlineStr">
        <is>
          <t>Valencia</t>
        </is>
      </c>
      <c r="G614" s="2" t="inlineStr">
        <is>
          <t>Término municipal de Sedaví</t>
        </is>
      </c>
      <c r="H614" s="2" t="inlineStr">
        <is>
          <t>Empresa de Transformación Agraria S.A.,S.M.E., M.P., (TRAGSA)</t>
        </is>
      </c>
      <c r="I61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614" s="2" t="inlineStr">
        <is>
          <t>TSA0080551-034</t>
        </is>
      </c>
      <c r="K614" s="2" t="inlineStr">
        <is>
          <t>Abierto</t>
        </is>
      </c>
      <c r="L614" s="6" t="n">
        <v>10</v>
      </c>
      <c r="M614" s="2" t="n"/>
      <c r="N614" s="7" t="n">
        <v>0</v>
      </c>
      <c r="O614" s="4" t="n"/>
      <c r="P614" s="2" t="inlineStr">
        <is>
          <t>45212290</t>
        </is>
      </c>
      <c r="Q614" s="8" t="inlineStr">
        <is>
          <t>Ver</t>
        </is>
      </c>
      <c r="R614" s="8" t="inlineStr">
        <is>
          <t>PCAP</t>
        </is>
      </c>
      <c r="S614" s="9" t="n">
        <v>46310</v>
      </c>
      <c r="T614" s="3" t="n">
        <v>46303.44032407407</v>
      </c>
      <c r="U614" s="2" t="n"/>
    </row>
    <row r="615">
      <c r="A615" s="2" t="inlineStr">
        <is>
          <t>En plazo</t>
        </is>
      </c>
      <c r="B615" s="3" t="n">
        <v>46323.99930555555</v>
      </c>
      <c r="C615" s="5" t="n">
        <v>400115.19</v>
      </c>
      <c r="D615" s="5" t="n">
        <v>400115.19</v>
      </c>
      <c r="E615" s="2" t="inlineStr">
        <is>
          <t>Comunitat Valenciana</t>
        </is>
      </c>
      <c r="F615" s="2" t="inlineStr">
        <is>
          <t>Alicante</t>
        </is>
      </c>
      <c r="G615" s="2" t="n"/>
      <c r="H615" s="2" t="inlineStr">
        <is>
          <t>Junta de Gobierno del Ayuntamiento Dénia</t>
        </is>
      </c>
      <c r="I615" s="2" t="inlineStr">
        <is>
          <t>Obras de instalación de pistas multideportivas en Av. Alicante y C. Hermanos Maristas</t>
        </is>
      </c>
      <c r="J615" s="2" t="inlineStr">
        <is>
          <t>OBR/2026000061</t>
        </is>
      </c>
      <c r="K615" s="2" t="inlineStr">
        <is>
          <t>Abierto simplificado</t>
        </is>
      </c>
      <c r="L615" s="6" t="n">
        <v>4</v>
      </c>
      <c r="M615" s="2" t="n"/>
      <c r="N615" s="7" t="n">
        <v>0</v>
      </c>
      <c r="O615" s="4" t="n">
        <v>2</v>
      </c>
      <c r="P615" s="2" t="inlineStr">
        <is>
          <t>45212200; 45212100</t>
        </is>
      </c>
      <c r="Q615" s="8" t="inlineStr">
        <is>
          <t>Ver</t>
        </is>
      </c>
      <c r="R615" s="8" t="inlineStr">
        <is>
          <t>PCAP</t>
        </is>
      </c>
      <c r="S615" s="9" t="n">
        <v>46310</v>
      </c>
      <c r="T615" s="3" t="n">
        <v>46303.44</v>
      </c>
      <c r="U615" s="2" t="n"/>
    </row>
    <row r="616">
      <c r="A616" s="2" t="inlineStr">
        <is>
          <t>En plazo</t>
        </is>
      </c>
      <c r="B616" s="3" t="n">
        <v>46323.99930555555</v>
      </c>
      <c r="C616" s="5" t="n">
        <v>86115.46000000001</v>
      </c>
      <c r="D616" s="5" t="n">
        <v>86115.46000000001</v>
      </c>
      <c r="E616" s="2" t="inlineStr">
        <is>
          <t>Comunitat Valenciana</t>
        </is>
      </c>
      <c r="F616" s="2" t="inlineStr">
        <is>
          <t>Alicante</t>
        </is>
      </c>
      <c r="G616" s="2" t="n"/>
      <c r="H616" s="2" t="inlineStr">
        <is>
          <t>Junta de Gobierno del Ayuntamiento Dénia</t>
        </is>
      </c>
      <c r="I616" s="2" t="inlineStr">
        <is>
          <t>Obras de renovación de aceras en calles Mallorca, Ibiza y Mahón.</t>
        </is>
      </c>
      <c r="J616" s="2" t="inlineStr">
        <is>
          <t>OBR/2026000062</t>
        </is>
      </c>
      <c r="K616" s="2" t="inlineStr">
        <is>
          <t>Abierto simplificado</t>
        </is>
      </c>
      <c r="L616" s="6" t="n">
        <v>2</v>
      </c>
      <c r="M616" s="2" t="inlineStr">
        <is>
          <t>G6-1</t>
        </is>
      </c>
      <c r="N616" s="7" t="n">
        <v>0</v>
      </c>
      <c r="O616" s="4" t="n"/>
      <c r="P616" s="2" t="inlineStr">
        <is>
          <t>45233251</t>
        </is>
      </c>
      <c r="Q616" s="8" t="inlineStr">
        <is>
          <t>Ver</t>
        </is>
      </c>
      <c r="R616" s="8" t="inlineStr">
        <is>
          <t>PCAP</t>
        </is>
      </c>
      <c r="S616" s="9" t="n">
        <v>46310</v>
      </c>
      <c r="T616" s="3" t="n">
        <v>46303.43943287037</v>
      </c>
      <c r="U616" s="2" t="n"/>
    </row>
    <row r="617">
      <c r="A617" s="2" t="inlineStr">
        <is>
          <t>Pendiente de adjudicación</t>
        </is>
      </c>
      <c r="B617" s="3" t="n">
        <v>46266.58333333334</v>
      </c>
      <c r="C617" s="5" t="n">
        <v>3722671.41</v>
      </c>
      <c r="D617" s="5" t="n">
        <v>4094938.55</v>
      </c>
      <c r="E617" s="2" t="inlineStr">
        <is>
          <t>Comunitat Valenciana</t>
        </is>
      </c>
      <c r="F617" s="2" t="inlineStr">
        <is>
          <t>Valencia</t>
        </is>
      </c>
      <c r="G617" s="2" t="inlineStr">
        <is>
          <t>Buñol</t>
        </is>
      </c>
      <c r="H617" s="2" t="inlineStr">
        <is>
          <t>Dirección General de Gestión Económica, Contratación e Infraestructuras de la Conselleria de Sanidad</t>
        </is>
      </c>
      <c r="I617" s="2" t="inlineStr">
        <is>
          <t>Obras de reforma y ampliación del Centro Sanitario Integrado de Buñol</t>
        </is>
      </c>
      <c r="J617" s="2" t="inlineStr">
        <is>
          <t>203/2026</t>
        </is>
      </c>
      <c r="K617" s="2" t="inlineStr">
        <is>
          <t>Abierto</t>
        </is>
      </c>
      <c r="L617" s="6" t="n">
        <v>20</v>
      </c>
      <c r="M617" s="2" t="inlineStr">
        <is>
          <t>C*-5</t>
        </is>
      </c>
      <c r="N617" s="7" t="n">
        <v>0.1</v>
      </c>
      <c r="O617" s="4" t="n"/>
      <c r="P617" s="2" t="inlineStr">
        <is>
          <t>45215100</t>
        </is>
      </c>
      <c r="Q617" s="8" t="inlineStr">
        <is>
          <t>Ver</t>
        </is>
      </c>
      <c r="R617" s="8" t="inlineStr">
        <is>
          <t>PCAP</t>
        </is>
      </c>
      <c r="S617" s="9" t="n">
        <v>46310</v>
      </c>
      <c r="T617" s="3" t="n">
        <v>46303.43540509259</v>
      </c>
      <c r="U617" s="2" t="n"/>
    </row>
    <row r="618">
      <c r="A618" s="2" t="inlineStr">
        <is>
          <t>Pendiente de adjudicación</t>
        </is>
      </c>
      <c r="B618" s="3" t="n">
        <v>46254.41666666666</v>
      </c>
      <c r="C618" s="5" t="n">
        <v>538406.48</v>
      </c>
      <c r="D618" s="5" t="n">
        <v>538406.48</v>
      </c>
      <c r="E618" s="2" t="inlineStr">
        <is>
          <t>Comunitat Valenciana</t>
        </is>
      </c>
      <c r="F618" s="2" t="inlineStr">
        <is>
          <t>Valencia</t>
        </is>
      </c>
      <c r="G618" s="2" t="n"/>
      <c r="H618" s="2" t="inlineStr">
        <is>
          <t>Pleno del Ayuntamiento de Vinalesa</t>
        </is>
      </c>
      <c r="I618" s="2" t="inlineStr">
        <is>
          <t>Intervención de redistribución, mejora de vasos, instalaciones y playas de baño de las piscinas del polideportivo municipal de Vinalesa.</t>
        </is>
      </c>
      <c r="J618" s="2" t="inlineStr">
        <is>
          <t>2888448J</t>
        </is>
      </c>
      <c r="K618" s="2" t="inlineStr">
        <is>
          <t>Abierto simplificado</t>
        </is>
      </c>
      <c r="L618" s="6" t="n">
        <v>3</v>
      </c>
      <c r="M618" s="2" t="inlineStr">
        <is>
          <t>C2-3</t>
        </is>
      </c>
      <c r="N618" s="7" t="n">
        <v>0</v>
      </c>
      <c r="O618" s="4" t="n"/>
      <c r="P618" s="2" t="inlineStr">
        <is>
          <t>45212212</t>
        </is>
      </c>
      <c r="Q618" s="8" t="inlineStr">
        <is>
          <t>Ver</t>
        </is>
      </c>
      <c r="R618" s="8" t="inlineStr">
        <is>
          <t>PCAP</t>
        </is>
      </c>
      <c r="S618" s="9" t="n">
        <v>46310</v>
      </c>
      <c r="T618" s="3" t="n">
        <v>46303.43373842593</v>
      </c>
      <c r="U618" s="2" t="n"/>
    </row>
    <row r="619">
      <c r="A619" s="2" t="inlineStr">
        <is>
          <t>En plazo</t>
        </is>
      </c>
      <c r="B619" s="3" t="n">
        <v>46318.5</v>
      </c>
      <c r="C619" s="5" t="n">
        <v>67920.10000000001</v>
      </c>
      <c r="D619" s="5" t="n">
        <v>78108.12</v>
      </c>
      <c r="E619" s="2" t="inlineStr">
        <is>
          <t>Comunitat Valenciana</t>
        </is>
      </c>
      <c r="F619" s="2" t="inlineStr">
        <is>
          <t>Valencia</t>
        </is>
      </c>
      <c r="G619" s="2" t="inlineStr">
        <is>
          <t>Valencia</t>
        </is>
      </c>
      <c r="H619" s="2" t="inlineStr">
        <is>
          <t>Rectorado de la Universitat de València</t>
        </is>
      </c>
      <c r="I619" s="2" t="inlineStr">
        <is>
          <t>Adecuación aparcamiento del Aulario Oeste a la normativas en materia de protección contra incendios y accesibilidad universal</t>
        </is>
      </c>
      <c r="J619" s="2" t="inlineStr">
        <is>
          <t>2026OB00012</t>
        </is>
      </c>
      <c r="K619" s="2" t="inlineStr">
        <is>
          <t>Abierto simplificado</t>
        </is>
      </c>
      <c r="L619" s="6" t="n">
        <v>1</v>
      </c>
      <c r="M619" s="2" t="n"/>
      <c r="N619" s="7" t="n">
        <v>0</v>
      </c>
      <c r="O619" s="4" t="n"/>
      <c r="P619" s="2" t="inlineStr">
        <is>
          <t>45312100</t>
        </is>
      </c>
      <c r="Q619" s="8" t="inlineStr">
        <is>
          <t>Ver</t>
        </is>
      </c>
      <c r="R619" s="8" t="inlineStr">
        <is>
          <t>PCAP</t>
        </is>
      </c>
      <c r="S619" s="9" t="n">
        <v>46310</v>
      </c>
      <c r="T619" s="3" t="n">
        <v>46303.42893518518</v>
      </c>
      <c r="U619" s="2" t="n"/>
    </row>
    <row r="620">
      <c r="A620" s="2" t="inlineStr">
        <is>
          <t>Resuelta</t>
        </is>
      </c>
      <c r="B620" s="3" t="n">
        <v>46245.41666666666</v>
      </c>
      <c r="C620" s="5" t="n">
        <v>49750</v>
      </c>
      <c r="D620" s="5" t="n">
        <v>49750</v>
      </c>
      <c r="E620" s="2" t="inlineStr">
        <is>
          <t>Andalucía</t>
        </is>
      </c>
      <c r="F620" s="2" t="inlineStr">
        <is>
          <t>Almería</t>
        </is>
      </c>
      <c r="G620" s="2" t="n"/>
      <c r="H620" s="2" t="inlineStr">
        <is>
          <t>Empresa de Transformación Agraria S.A.,S.M.E., M.P., (TRAGSA)</t>
        </is>
      </c>
      <c r="I62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0" s="2" t="inlineStr">
        <is>
          <t>TSA0078977-332</t>
        </is>
      </c>
      <c r="K620" s="2" t="inlineStr">
        <is>
          <t>Abierto</t>
        </is>
      </c>
      <c r="L620" s="6" t="n">
        <v>6</v>
      </c>
      <c r="M620" s="2" t="n"/>
      <c r="N620" s="7" t="n">
        <v>0</v>
      </c>
      <c r="O620" s="4" t="n"/>
      <c r="P620" s="2" t="inlineStr">
        <is>
          <t>45500000</t>
        </is>
      </c>
      <c r="Q620" s="8" t="inlineStr">
        <is>
          <t>Ver</t>
        </is>
      </c>
      <c r="R620" s="8" t="inlineStr">
        <is>
          <t>PCAP</t>
        </is>
      </c>
      <c r="S620" s="9" t="n">
        <v>46310</v>
      </c>
      <c r="T620" s="3" t="n">
        <v>46303.42657407407</v>
      </c>
      <c r="U620" s="2" t="n"/>
    </row>
    <row r="621">
      <c r="A621" s="2" t="inlineStr">
        <is>
          <t>En plazo</t>
        </is>
      </c>
      <c r="B621" s="3" t="n">
        <v>46314.99930555555</v>
      </c>
      <c r="C621" s="5" t="n">
        <v>364328.46</v>
      </c>
      <c r="D621" s="5" t="n">
        <v>364328.46</v>
      </c>
      <c r="E621" s="2" t="inlineStr">
        <is>
          <t>Comunitat Valenciana</t>
        </is>
      </c>
      <c r="F621" s="2" t="inlineStr">
        <is>
          <t>Valencia</t>
        </is>
      </c>
      <c r="G621" s="2" t="n"/>
      <c r="H621" s="2" t="inlineStr">
        <is>
          <t>Pleno del Ayuntamiento de Jarafuel</t>
        </is>
      </c>
      <c r="I62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621" s="2" t="inlineStr">
        <is>
          <t>331/2026</t>
        </is>
      </c>
      <c r="K621" s="2" t="inlineStr">
        <is>
          <t>Abierto simplificado</t>
        </is>
      </c>
      <c r="L621" s="6" t="n">
        <v>4</v>
      </c>
      <c r="M621" s="2" t="n"/>
      <c r="N621" s="7" t="n">
        <v>0.25</v>
      </c>
      <c r="O621" s="4" t="n"/>
      <c r="P621" s="2" t="inlineStr">
        <is>
          <t>45262700; 45210000; 45313100; 45453000; 45421160; 45310000; 45331220; 45330000</t>
        </is>
      </c>
      <c r="Q621" s="8" t="inlineStr">
        <is>
          <t>Ver</t>
        </is>
      </c>
      <c r="R621" s="8" t="inlineStr">
        <is>
          <t>PCAP</t>
        </is>
      </c>
      <c r="S621" s="9" t="n">
        <v>46310</v>
      </c>
      <c r="T621" s="3" t="n">
        <v>46303.42354166666</v>
      </c>
      <c r="U621" s="2" t="n"/>
    </row>
    <row r="622">
      <c r="A622" s="2" t="inlineStr">
        <is>
          <t>Pendiente de adjudicación</t>
        </is>
      </c>
      <c r="B622" s="3" t="n">
        <v>46286.99930555555</v>
      </c>
      <c r="C622" s="5" t="n">
        <v>1558461.68</v>
      </c>
      <c r="D622" s="5" t="n">
        <v>1558461.68</v>
      </c>
      <c r="E622" s="2" t="inlineStr">
        <is>
          <t>Comunitat Valenciana</t>
        </is>
      </c>
      <c r="F622" s="2" t="inlineStr">
        <is>
          <t>Castellón</t>
        </is>
      </c>
      <c r="G622" s="2" t="inlineStr">
        <is>
          <t>Benicarló</t>
        </is>
      </c>
      <c r="H622" s="2" t="inlineStr">
        <is>
          <t>Concejal delegado de Contratación, Patrimonio, Secretaria General, Servicios Lingüísticos, Servicios Informáticos, Administración Electrónica, Transparencia, Participación Ciudadana y Atención a la Ciudadanía del Ayuntamiento de Benicarló</t>
        </is>
      </c>
      <c r="I622"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622" s="2" t="inlineStr">
        <is>
          <t>27/2026</t>
        </is>
      </c>
      <c r="K622" s="2" t="inlineStr">
        <is>
          <t>Abierto simplificado</t>
        </is>
      </c>
      <c r="L622" s="6" t="n">
        <v>10</v>
      </c>
      <c r="M622" s="2" t="inlineStr">
        <is>
          <t>C3-3; G6-4</t>
        </is>
      </c>
      <c r="N622" s="7" t="n">
        <v>0.215</v>
      </c>
      <c r="O622" s="4" t="n"/>
      <c r="P622" s="2" t="inlineStr">
        <is>
          <t>45000000; 45213311</t>
        </is>
      </c>
      <c r="Q622" s="8" t="inlineStr">
        <is>
          <t>Ver</t>
        </is>
      </c>
      <c r="R622" s="8" t="inlineStr">
        <is>
          <t>PCAP</t>
        </is>
      </c>
      <c r="S622" s="9" t="n">
        <v>46310</v>
      </c>
      <c r="T622" s="3" t="n">
        <v>46303.42295138889</v>
      </c>
      <c r="U622" s="2" t="n"/>
    </row>
    <row r="623">
      <c r="A623" s="2" t="inlineStr">
        <is>
          <t>Pendiente de adjudicación</t>
        </is>
      </c>
      <c r="B623" s="3" t="n">
        <v>46295.75</v>
      </c>
      <c r="C623" s="5" t="n">
        <v>1132060.85</v>
      </c>
      <c r="D623" s="5" t="n">
        <v>1132060.85</v>
      </c>
      <c r="E623" s="2" t="inlineStr">
        <is>
          <t>Comunitat Valenciana</t>
        </is>
      </c>
      <c r="F623" s="2" t="inlineStr">
        <is>
          <t>Valencia</t>
        </is>
      </c>
      <c r="G623" s="2" t="inlineStr">
        <is>
          <t>Algemesí</t>
        </is>
      </c>
      <c r="H623" s="2" t="inlineStr">
        <is>
          <t>Alcaldía del Ayuntamiento de Algemesí</t>
        </is>
      </c>
      <c r="I623" s="2" t="inlineStr">
        <is>
          <t>Obras de «Reconstrucción del Museu Valenciá de la Festa» y «Intervención patrimonial higrotérmica para la recuperación de las plantas altas del antiguo Convento de San Vicente»</t>
        </is>
      </c>
      <c r="J623" s="2" t="inlineStr">
        <is>
          <t>10810/2026</t>
        </is>
      </c>
      <c r="K623" s="2" t="inlineStr">
        <is>
          <t>Abierto simplificado</t>
        </is>
      </c>
      <c r="L623" s="6" t="n">
        <v>8</v>
      </c>
      <c r="M623" s="2" t="inlineStr">
        <is>
          <t>C4-4</t>
        </is>
      </c>
      <c r="N623" s="7" t="n">
        <v>0</v>
      </c>
      <c r="O623" s="4" t="n"/>
      <c r="P623" s="2" t="inlineStr">
        <is>
          <t>45000000</t>
        </is>
      </c>
      <c r="Q623" s="8" t="inlineStr">
        <is>
          <t>Ver</t>
        </is>
      </c>
      <c r="R623" s="8" t="inlineStr">
        <is>
          <t>PCAP</t>
        </is>
      </c>
      <c r="S623" s="9" t="n">
        <v>46310</v>
      </c>
      <c r="T623" s="3" t="n">
        <v>46303.42149305555</v>
      </c>
      <c r="U623" s="2" t="n"/>
    </row>
    <row r="624">
      <c r="A624" s="2" t="inlineStr">
        <is>
          <t>Resuelta</t>
        </is>
      </c>
      <c r="B624" s="3" t="n">
        <v>46258.99930555555</v>
      </c>
      <c r="C624" s="5" t="n">
        <v>272223.69</v>
      </c>
      <c r="D624" s="5" t="n">
        <v>272223.69</v>
      </c>
      <c r="E624" s="2" t="inlineStr">
        <is>
          <t>Andalucía</t>
        </is>
      </c>
      <c r="F624" s="2" t="inlineStr">
        <is>
          <t>Cádiz</t>
        </is>
      </c>
      <c r="G624" s="2" t="n"/>
      <c r="H624" s="2" t="inlineStr">
        <is>
          <t>Consejería Delegada de Agua y Residuos del Campo de Gibraltar, S.A. (ARCGISA)</t>
        </is>
      </c>
      <c r="I62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624" s="2" t="inlineStr">
        <is>
          <t>10-6-2026</t>
        </is>
      </c>
      <c r="K624" s="2" t="inlineStr">
        <is>
          <t>Abierto simplificado</t>
        </is>
      </c>
      <c r="L624" s="6" t="n">
        <v>3</v>
      </c>
      <c r="M624" s="2" t="n"/>
      <c r="N624" s="7" t="n">
        <v>0</v>
      </c>
      <c r="O624" s="4" t="n"/>
      <c r="P624" s="2" t="inlineStr">
        <is>
          <t>45231100</t>
        </is>
      </c>
      <c r="Q624" s="8" t="inlineStr">
        <is>
          <t>Ver</t>
        </is>
      </c>
      <c r="R624" s="8" t="inlineStr">
        <is>
          <t>PCAP</t>
        </is>
      </c>
      <c r="S624" s="9" t="n">
        <v>46310</v>
      </c>
      <c r="T624" s="3" t="n">
        <v>46303.42068287037</v>
      </c>
      <c r="U624" s="2" t="n"/>
    </row>
    <row r="625">
      <c r="A625" s="2" t="inlineStr">
        <is>
          <t>Resuelta</t>
        </is>
      </c>
      <c r="B625" s="3" t="n">
        <v>46140.99930555555</v>
      </c>
      <c r="C625" s="5" t="n">
        <v>11169715</v>
      </c>
      <c r="D625" s="5" t="n">
        <v>11169715</v>
      </c>
      <c r="E625" s="2" t="inlineStr">
        <is>
          <t>Comunitat Valenciana</t>
        </is>
      </c>
      <c r="F625" s="2" t="inlineStr">
        <is>
          <t>Valencia</t>
        </is>
      </c>
      <c r="G625" s="2" t="n"/>
      <c r="H625" s="2" t="inlineStr">
        <is>
          <t>Rectorado de la Universitat Politècnica de València</t>
        </is>
      </c>
      <c r="I625" s="2" t="inlineStr">
        <is>
          <t>Redacción de proyecto y construcción de planta piloto de chips fotónicos.</t>
        </is>
      </c>
      <c r="J625" s="2" t="inlineStr">
        <is>
          <t>MY26/ITEAM/O/16</t>
        </is>
      </c>
      <c r="K625" s="2" t="inlineStr">
        <is>
          <t>Abierto</t>
        </is>
      </c>
      <c r="L625" s="6" t="n">
        <v>18</v>
      </c>
      <c r="M625" s="2" t="inlineStr">
        <is>
          <t>C2-6</t>
        </is>
      </c>
      <c r="N625" s="7" t="n">
        <v>0.49</v>
      </c>
      <c r="O625" s="4" t="n"/>
      <c r="P625" s="2" t="inlineStr">
        <is>
          <t>45214620; 71300000; 45214631; 71240000</t>
        </is>
      </c>
      <c r="Q625" s="8" t="inlineStr">
        <is>
          <t>Ver</t>
        </is>
      </c>
      <c r="R625" s="2" t="n"/>
      <c r="S625" s="9" t="n">
        <v>46310</v>
      </c>
      <c r="T625" s="3" t="n">
        <v>46303.4187962963</v>
      </c>
      <c r="U625" s="2" t="n"/>
    </row>
    <row r="626">
      <c r="A626" s="2" t="inlineStr">
        <is>
          <t>Adjudicada</t>
        </is>
      </c>
      <c r="B626" s="3" t="n">
        <v>46239.99930555555</v>
      </c>
      <c r="C626" s="5" t="n">
        <v>519280.24</v>
      </c>
      <c r="D626" s="5" t="n">
        <v>519280.24</v>
      </c>
      <c r="E626" s="2" t="inlineStr">
        <is>
          <t>Andalucía</t>
        </is>
      </c>
      <c r="F626" s="2" t="inlineStr">
        <is>
          <t>Huelva</t>
        </is>
      </c>
      <c r="G626" s="2" t="n"/>
      <c r="H626" s="2" t="inlineStr">
        <is>
          <t>Junta de Gobierno de la Diputación Provincial de Huelva</t>
        </is>
      </c>
      <c r="I626" s="2" t="inlineStr">
        <is>
          <t>Contrato de Obras correspondientes a "Rehabiliatacióm de firmes en diversas carreteras provinciales - lote 1C.P. HU-3301 Lepe, El Terrón.</t>
        </is>
      </c>
      <c r="J626" s="2" t="inlineStr">
        <is>
          <t>2025/CMY_03/000088NSP</t>
        </is>
      </c>
      <c r="K626" s="2" t="inlineStr">
        <is>
          <t>Negociado sin publicidad</t>
        </is>
      </c>
      <c r="L626" s="6" t="n">
        <v>45</v>
      </c>
      <c r="M626" s="2" t="n"/>
      <c r="N626" s="7" t="n">
        <v>0</v>
      </c>
      <c r="O626" s="4" t="n"/>
      <c r="P626" s="2" t="inlineStr">
        <is>
          <t>45233000</t>
        </is>
      </c>
      <c r="Q626" s="8" t="inlineStr">
        <is>
          <t>Ver</t>
        </is>
      </c>
      <c r="R626" s="8" t="inlineStr">
        <is>
          <t>PCAP</t>
        </is>
      </c>
      <c r="S626" s="9" t="n">
        <v>46310</v>
      </c>
      <c r="T626" s="3" t="n">
        <v>46303.41724537037</v>
      </c>
      <c r="U626" s="2" t="n"/>
    </row>
    <row r="627">
      <c r="A627" s="2" t="inlineStr">
        <is>
          <t>En plazo</t>
        </is>
      </c>
      <c r="B627" s="3" t="n">
        <v>46328.5</v>
      </c>
      <c r="C627" s="5" t="n">
        <v>80000</v>
      </c>
      <c r="D627" s="5" t="n">
        <v>80000</v>
      </c>
      <c r="E627" s="2" t="inlineStr">
        <is>
          <t>Andalucía</t>
        </is>
      </c>
      <c r="F627" s="2" t="inlineStr">
        <is>
          <t>Cádiz</t>
        </is>
      </c>
      <c r="G627" s="2" t="inlineStr">
        <is>
          <t>Cádiz</t>
        </is>
      </c>
      <c r="H627" s="2" t="inlineStr">
        <is>
          <t>Aena. Dirección del Aeropuerto de Jerez</t>
        </is>
      </c>
      <c r="I627" s="2" t="inlineStr">
        <is>
          <t>Nuevo Sistema De Cloración Del Suministro Del Agua Potable Del Edificio Sei</t>
        </is>
      </c>
      <c r="J627" s="2" t="inlineStr">
        <is>
          <t>XRY-80/2026</t>
        </is>
      </c>
      <c r="K627" s="2" t="inlineStr">
        <is>
          <t>Normas internas</t>
        </is>
      </c>
      <c r="L627" s="6" t="n">
        <v>2</v>
      </c>
      <c r="M627" s="2" t="n"/>
      <c r="N627" s="7" t="n">
        <v>0</v>
      </c>
      <c r="O627" s="4" t="n"/>
      <c r="P627" s="2" t="inlineStr">
        <is>
          <t>45332000</t>
        </is>
      </c>
      <c r="Q627" s="8" t="inlineStr">
        <is>
          <t>Ver</t>
        </is>
      </c>
      <c r="R627" s="8" t="inlineStr">
        <is>
          <t>PCAP</t>
        </is>
      </c>
      <c r="S627" s="9" t="n">
        <v>46310</v>
      </c>
      <c r="T627" s="3" t="n">
        <v>46303.41553240741</v>
      </c>
      <c r="U627" s="2" t="n"/>
    </row>
    <row r="628">
      <c r="A628" s="2" t="inlineStr">
        <is>
          <t>Resuelta</t>
        </is>
      </c>
      <c r="B628" s="3" t="n">
        <v>46287.99930555555</v>
      </c>
      <c r="C628" s="5" t="n">
        <v>166994.64</v>
      </c>
      <c r="D628" s="5" t="n">
        <v>217093.03</v>
      </c>
      <c r="E628" s="2" t="inlineStr">
        <is>
          <t>Comunitat Valenciana</t>
        </is>
      </c>
      <c r="F628" s="2" t="inlineStr">
        <is>
          <t>Valencia</t>
        </is>
      </c>
      <c r="G628" s="2" t="n"/>
      <c r="H628" s="2" t="inlineStr">
        <is>
          <t>Consorcio Hospital General Universitario de Valencia</t>
        </is>
      </c>
      <c r="I628" s="2" t="inlineStr">
        <is>
          <t>Contrato de obras, responsable con el medioambiente, para la reforma y mejora de la eficiencia energética del centro de atención de urgencias (CAU) 24 horas en el CS Torrent I.</t>
        </is>
      </c>
      <c r="J628" s="2" t="inlineStr">
        <is>
          <t>CMAYOR/2026/HGUV0/1841</t>
        </is>
      </c>
      <c r="K628" s="2" t="inlineStr">
        <is>
          <t>Abierto simplificado</t>
        </is>
      </c>
      <c r="L628" s="6" t="n">
        <v>4</v>
      </c>
      <c r="M628" s="2" t="n"/>
      <c r="N628" s="7" t="n">
        <v>0.3</v>
      </c>
      <c r="O628" s="4" t="n"/>
      <c r="P628" s="2" t="inlineStr">
        <is>
          <t>45215100</t>
        </is>
      </c>
      <c r="Q628" s="8" t="inlineStr">
        <is>
          <t>Ver</t>
        </is>
      </c>
      <c r="R628" s="8" t="inlineStr">
        <is>
          <t>PCAP</t>
        </is>
      </c>
      <c r="S628" s="9" t="n">
        <v>46310</v>
      </c>
      <c r="T628" s="3" t="n">
        <v>46303.40636574074</v>
      </c>
      <c r="U628" s="2" t="n"/>
    </row>
    <row r="629">
      <c r="A629" s="2" t="inlineStr">
        <is>
          <t>Pendiente de adjudicación</t>
        </is>
      </c>
      <c r="B629" s="3" t="n">
        <v>46301.5</v>
      </c>
      <c r="C629" s="5" t="n">
        <v>307986.02</v>
      </c>
      <c r="D629" s="5" t="n">
        <v>320305.46</v>
      </c>
      <c r="E629" s="2" t="inlineStr">
        <is>
          <t>Andalucía</t>
        </is>
      </c>
      <c r="F629" s="2" t="inlineStr">
        <is>
          <t>Granada</t>
        </is>
      </c>
      <c r="G629" s="2" t="inlineStr">
        <is>
          <t>Granada</t>
        </is>
      </c>
      <c r="H629" s="2" t="inlineStr">
        <is>
          <t>Aena. Dirección del Aeropuerto de Granada-Jaén F.G.L.</t>
        </is>
      </c>
      <c r="I629" s="2" t="inlineStr">
        <is>
          <t>Vallado Perimetral Terminal-Oficinas, Marquesina Inspección De Vehículos Y Ampliación Parking Empleados</t>
        </is>
      </c>
      <c r="J629" s="2" t="inlineStr">
        <is>
          <t>GRX-90/2026</t>
        </is>
      </c>
      <c r="K629" s="2" t="inlineStr">
        <is>
          <t>Normas internas</t>
        </is>
      </c>
      <c r="L629" s="6" t="n">
        <v>4</v>
      </c>
      <c r="M629" s="2" t="n"/>
      <c r="N629" s="7" t="n">
        <v>0</v>
      </c>
      <c r="O629" s="4" t="n"/>
      <c r="P629" s="2" t="inlineStr">
        <is>
          <t>45000000</t>
        </is>
      </c>
      <c r="Q629" s="8" t="inlineStr">
        <is>
          <t>Ver</t>
        </is>
      </c>
      <c r="R629" s="8" t="inlineStr">
        <is>
          <t>PCAP</t>
        </is>
      </c>
      <c r="S629" s="9" t="n">
        <v>46310</v>
      </c>
      <c r="T629" s="3" t="n">
        <v>46303.40515046296</v>
      </c>
      <c r="U629" s="2" t="n"/>
    </row>
    <row r="630">
      <c r="A630" s="2" t="inlineStr">
        <is>
          <t>Resuelta</t>
        </is>
      </c>
      <c r="B630" s="3" t="n">
        <v>45993.99930555555</v>
      </c>
      <c r="C630" s="5" t="n">
        <v>5939940.8</v>
      </c>
      <c r="D630" s="5" t="n">
        <v>6177538.43</v>
      </c>
      <c r="E630" s="2" t="inlineStr">
        <is>
          <t>Comunitat Valenciana</t>
        </is>
      </c>
      <c r="F630" s="2" t="inlineStr">
        <is>
          <t>Alicante</t>
        </is>
      </c>
      <c r="G630" s="2" t="inlineStr">
        <is>
          <t>Alicante / Alacant</t>
        </is>
      </c>
      <c r="H630" s="2" t="inlineStr">
        <is>
          <t>Aena. Presidencia. Consejero Delegado</t>
        </is>
      </c>
      <c r="I630" s="2" t="inlineStr">
        <is>
          <t>Nueva Sala Vip. Aeropuerto De Alicante-Elche</t>
        </is>
      </c>
      <c r="J630" s="2" t="inlineStr">
        <is>
          <t>DIN-271/2025</t>
        </is>
      </c>
      <c r="K630" s="2" t="inlineStr">
        <is>
          <t>Licitación con negociación</t>
        </is>
      </c>
      <c r="L630" s="6" t="n"/>
      <c r="M630" s="2" t="n"/>
      <c r="N630" s="7" t="n">
        <v>0</v>
      </c>
      <c r="O630" s="4" t="n"/>
      <c r="P630" s="2" t="inlineStr">
        <is>
          <t>45213331</t>
        </is>
      </c>
      <c r="Q630" s="8" t="inlineStr">
        <is>
          <t>Ver</t>
        </is>
      </c>
      <c r="R630" s="8" t="inlineStr">
        <is>
          <t>PCAP</t>
        </is>
      </c>
      <c r="S630" s="9" t="n">
        <v>46310</v>
      </c>
      <c r="T630" s="3" t="n">
        <v>46303.40383101852</v>
      </c>
      <c r="U630" s="2" t="n"/>
    </row>
    <row r="631">
      <c r="A631" s="2" t="inlineStr">
        <is>
          <t>Resuelta</t>
        </is>
      </c>
      <c r="B631" s="3" t="n">
        <v>46185.5</v>
      </c>
      <c r="C631" s="5" t="n">
        <v>139120.73</v>
      </c>
      <c r="D631" s="5" t="n">
        <v>139120.73</v>
      </c>
      <c r="E631" s="2" t="inlineStr">
        <is>
          <t>Comunitat Valenciana</t>
        </is>
      </c>
      <c r="F631" s="2" t="inlineStr">
        <is>
          <t>Alicante</t>
        </is>
      </c>
      <c r="G631" s="2" t="inlineStr">
        <is>
          <t>Alicante / Alacant</t>
        </is>
      </c>
      <c r="H631" s="2" t="inlineStr">
        <is>
          <t>Aena. Dirección del Aeropuerto de Alicante-Elche</t>
        </is>
      </c>
      <c r="I631" s="2" t="inlineStr">
        <is>
          <t>Mejora Del Cerramiento Exterior Del Edificio Cela</t>
        </is>
      </c>
      <c r="J631" s="2" t="inlineStr">
        <is>
          <t>ALC-41/2026</t>
        </is>
      </c>
      <c r="K631" s="2" t="inlineStr">
        <is>
          <t>Normas internas</t>
        </is>
      </c>
      <c r="L631" s="6" t="n"/>
      <c r="M631" s="2" t="n"/>
      <c r="N631" s="7" t="n">
        <v>0</v>
      </c>
      <c r="O631" s="4" t="n"/>
      <c r="P631" s="2" t="inlineStr">
        <is>
          <t>45443000</t>
        </is>
      </c>
      <c r="Q631" s="8" t="inlineStr">
        <is>
          <t>Ver</t>
        </is>
      </c>
      <c r="R631" s="8" t="inlineStr">
        <is>
          <t>PCAP</t>
        </is>
      </c>
      <c r="S631" s="9" t="n">
        <v>46310</v>
      </c>
      <c r="T631" s="3" t="n">
        <v>46303.40078703704</v>
      </c>
      <c r="U631" s="2" t="n"/>
    </row>
    <row r="632">
      <c r="A632" s="2" t="inlineStr">
        <is>
          <t>Adjudicada</t>
        </is>
      </c>
      <c r="B632" s="3" t="n">
        <v>46251.99930555555</v>
      </c>
      <c r="C632" s="5" t="n">
        <v>67705</v>
      </c>
      <c r="D632" s="5" t="n">
        <v>67705</v>
      </c>
      <c r="E632" s="2" t="inlineStr">
        <is>
          <t>Comunitat Valenciana</t>
        </is>
      </c>
      <c r="F632" s="2" t="inlineStr">
        <is>
          <t>Valencia</t>
        </is>
      </c>
      <c r="G632" s="2" t="n"/>
      <c r="H632" s="2" t="inlineStr">
        <is>
          <t>Departamento de Salud de Manises. Dirección Económica-Gerencia</t>
        </is>
      </c>
      <c r="I632" s="2" t="inlineStr">
        <is>
          <t>Obra para la instalación de puertas automáticas en Centros de Salud del Departamento de Salud de Manises</t>
        </is>
      </c>
      <c r="J632" s="2" t="inlineStr">
        <is>
          <t>PA OB 1370/2026</t>
        </is>
      </c>
      <c r="K632" s="2" t="inlineStr">
        <is>
          <t>Abierto</t>
        </is>
      </c>
      <c r="L632" s="6" t="n">
        <v>2</v>
      </c>
      <c r="M632" s="2" t="n"/>
      <c r="N632" s="7" t="n">
        <v>0.4</v>
      </c>
      <c r="O632" s="4" t="n"/>
      <c r="P632" s="2" t="inlineStr">
        <is>
          <t>45215100; 45421111; 45421160; 44221310</t>
        </is>
      </c>
      <c r="Q632" s="8" t="inlineStr">
        <is>
          <t>Ver</t>
        </is>
      </c>
      <c r="R632" s="8" t="inlineStr">
        <is>
          <t>PCAP</t>
        </is>
      </c>
      <c r="S632" s="9" t="n">
        <v>46310</v>
      </c>
      <c r="T632" s="3" t="n">
        <v>46303.39809027778</v>
      </c>
      <c r="U632" s="2" t="n"/>
    </row>
    <row r="633">
      <c r="A633" s="2" t="inlineStr">
        <is>
          <t>Resuelta</t>
        </is>
      </c>
      <c r="B633" s="3" t="n">
        <v>44784.99930555555</v>
      </c>
      <c r="C633" s="5" t="n">
        <v>52931.89</v>
      </c>
      <c r="D633" s="5" t="n">
        <v>52931.89</v>
      </c>
      <c r="E633" s="2" t="inlineStr">
        <is>
          <t>Comunitat Valenciana</t>
        </is>
      </c>
      <c r="F633" s="2" t="inlineStr">
        <is>
          <t>Castellón</t>
        </is>
      </c>
      <c r="G633" s="2" t="n"/>
      <c r="H633" s="2" t="inlineStr">
        <is>
          <t>Alcaldía del Ayuntamiento de Peñíscola</t>
        </is>
      </c>
      <c r="I633" s="2" t="inlineStr">
        <is>
          <t>Construcción de 36 nuevas unidades de enterramiento en el Cementerio Municipal</t>
        </is>
      </c>
      <c r="J633" s="2" t="inlineStr">
        <is>
          <t>2022/00002567R</t>
        </is>
      </c>
      <c r="K633" s="2" t="inlineStr">
        <is>
          <t>Abierto simplificado</t>
        </is>
      </c>
      <c r="L633" s="6" t="n">
        <v>1.4</v>
      </c>
      <c r="M633" s="2" t="n"/>
      <c r="N633" s="7" t="n">
        <v>0</v>
      </c>
      <c r="O633" s="4" t="n"/>
      <c r="P633" s="2" t="inlineStr">
        <is>
          <t>45215400</t>
        </is>
      </c>
      <c r="Q633" s="8" t="inlineStr">
        <is>
          <t>Ver</t>
        </is>
      </c>
      <c r="R633" s="8" t="inlineStr">
        <is>
          <t>PCAP</t>
        </is>
      </c>
      <c r="S633" s="9" t="n">
        <v>46310</v>
      </c>
      <c r="T633" s="3" t="n">
        <v>46303.39650462963</v>
      </c>
      <c r="U633" s="2" t="n"/>
    </row>
    <row r="634">
      <c r="A634" s="2" t="inlineStr">
        <is>
          <t>Resuelta</t>
        </is>
      </c>
      <c r="B634" s="3" t="n">
        <v>46197.5625</v>
      </c>
      <c r="C634" s="5" t="n">
        <v>152601.06</v>
      </c>
      <c r="D634" s="5" t="n">
        <v>152601.06</v>
      </c>
      <c r="E634" s="2" t="inlineStr">
        <is>
          <t>Andalucía</t>
        </is>
      </c>
      <c r="F634" s="2" t="inlineStr">
        <is>
          <t>Cádiz</t>
        </is>
      </c>
      <c r="G634" s="2" t="n"/>
      <c r="H634" s="2" t="inlineStr">
        <is>
          <t>Junta de Gobierno del Ayuntamiento de Chiclana de la Frontera</t>
        </is>
      </c>
      <c r="I634" s="2" t="inlineStr">
        <is>
          <t>Obras de dotación de alumbrado público en varias calles del Pago Coto de la Campa en Chiclana de la Frontera.</t>
        </is>
      </c>
      <c r="J634" s="2" t="inlineStr">
        <is>
          <t>15/2026</t>
        </is>
      </c>
      <c r="K634" s="2" t="inlineStr">
        <is>
          <t>Abierto simplificado</t>
        </is>
      </c>
      <c r="L634" s="6" t="n">
        <v>2</v>
      </c>
      <c r="M634" s="2" t="n"/>
      <c r="N634" s="7" t="n">
        <v>0</v>
      </c>
      <c r="O634" s="4" t="n"/>
      <c r="P634" s="2" t="inlineStr">
        <is>
          <t>45316000</t>
        </is>
      </c>
      <c r="Q634" s="8" t="inlineStr">
        <is>
          <t>Ver</t>
        </is>
      </c>
      <c r="R634" s="8" t="inlineStr">
        <is>
          <t>PCAP</t>
        </is>
      </c>
      <c r="S634" s="9" t="n">
        <v>46310</v>
      </c>
      <c r="T634" s="3" t="n">
        <v>46303.39591435185</v>
      </c>
      <c r="U634" s="2" t="n"/>
    </row>
    <row r="635">
      <c r="A635" s="2" t="inlineStr">
        <is>
          <t>Resuelta</t>
        </is>
      </c>
      <c r="B635" s="3" t="n">
        <v>46050.45833333334</v>
      </c>
      <c r="C635" s="5" t="n">
        <v>5243442.19</v>
      </c>
      <c r="D635" s="5" t="n">
        <v>5243442.19</v>
      </c>
      <c r="E635" s="2" t="inlineStr">
        <is>
          <t>Andalucía</t>
        </is>
      </c>
      <c r="F635" s="2" t="inlineStr">
        <is>
          <t>Sevilla</t>
        </is>
      </c>
      <c r="G635" s="2" t="n"/>
      <c r="H635" s="2" t="inlineStr">
        <is>
          <t>Comisión Ejecutiva de la Gerencia de Urbanismo de Sevilla</t>
        </is>
      </c>
      <c r="I635" s="2" t="inlineStr">
        <is>
          <t>Proyecto de reordenación del entorno del Teatro Lope de Vega, Casino de la Exposición, Pabellones de Chile, Perú, Uruguay y Estados Unidos, Biblioteca Infanta Elena y Costurero de La Reina.</t>
        </is>
      </c>
      <c r="J635" s="2" t="inlineStr">
        <is>
          <t>114/2025</t>
        </is>
      </c>
      <c r="K635" s="2" t="inlineStr">
        <is>
          <t>Abierto</t>
        </is>
      </c>
      <c r="L635" s="6" t="n">
        <v>13</v>
      </c>
      <c r="M635" s="2" t="inlineStr">
        <is>
          <t>E1-3; K7-3; K6-2; G6-5</t>
        </is>
      </c>
      <c r="N635" s="7" t="n">
        <v>0.4</v>
      </c>
      <c r="O635" s="4" t="n"/>
      <c r="P635" s="2" t="inlineStr">
        <is>
          <t>45000000</t>
        </is>
      </c>
      <c r="Q635" s="8" t="inlineStr">
        <is>
          <t>Ver</t>
        </is>
      </c>
      <c r="R635" s="8" t="inlineStr">
        <is>
          <t>PCAP</t>
        </is>
      </c>
      <c r="S635" s="9" t="n">
        <v>46310</v>
      </c>
      <c r="T635" s="3" t="n">
        <v>46303.39465277778</v>
      </c>
      <c r="U635" s="2" t="n"/>
    </row>
    <row r="636">
      <c r="A636" s="2" t="inlineStr">
        <is>
          <t>Adjudicada</t>
        </is>
      </c>
      <c r="B636" s="3" t="n">
        <v>46286.58333333334</v>
      </c>
      <c r="C636" s="5" t="n">
        <v>127373.83</v>
      </c>
      <c r="D636" s="5" t="n">
        <v>127373.83</v>
      </c>
      <c r="E636" s="2" t="inlineStr">
        <is>
          <t>Andalucía</t>
        </is>
      </c>
      <c r="F636" s="2" t="inlineStr">
        <is>
          <t>Sevilla</t>
        </is>
      </c>
      <c r="G636" s="2" t="inlineStr">
        <is>
          <t>Sevilla</t>
        </is>
      </c>
      <c r="H636" s="2" t="inlineStr">
        <is>
          <t>Secretaría General de la Agencia Estatal Consejo Superior de Investigaciones Científicas</t>
        </is>
      </c>
      <c r="I636" s="2" t="inlineStr">
        <is>
          <t>Obras de sustitución del sistema de enfriamiento del CPD en el Edificio II con destino a la Estación Biológica de Doñana (EBD)</t>
        </is>
      </c>
      <c r="J636" s="2" t="inlineStr">
        <is>
          <t>34503/26</t>
        </is>
      </c>
      <c r="K636" s="2" t="inlineStr">
        <is>
          <t>Abierto simplificado</t>
        </is>
      </c>
      <c r="L636" s="6" t="n">
        <v>2</v>
      </c>
      <c r="M636" s="2" t="n"/>
      <c r="N636" s="7" t="n">
        <v>0</v>
      </c>
      <c r="O636" s="4" t="n"/>
      <c r="P636" s="2" t="inlineStr">
        <is>
          <t>45331230</t>
        </is>
      </c>
      <c r="Q636" s="8" t="inlineStr">
        <is>
          <t>Ver</t>
        </is>
      </c>
      <c r="R636" s="8" t="inlineStr">
        <is>
          <t>PCAP</t>
        </is>
      </c>
      <c r="S636" s="9" t="n">
        <v>46310</v>
      </c>
      <c r="T636" s="3" t="n">
        <v>46303.39202546296</v>
      </c>
      <c r="U636" s="2" t="n"/>
    </row>
    <row r="637">
      <c r="A637" s="2" t="inlineStr">
        <is>
          <t>Pendiente de adjudicación</t>
        </is>
      </c>
      <c r="B637" s="3" t="n">
        <v>46245.99930555555</v>
      </c>
      <c r="C637" s="5" t="n">
        <v>961573.97</v>
      </c>
      <c r="D637" s="5" t="n">
        <v>961573.97</v>
      </c>
      <c r="E637" s="2" t="inlineStr">
        <is>
          <t>Andalucía</t>
        </is>
      </c>
      <c r="F637" s="2" t="inlineStr">
        <is>
          <t>Jaén</t>
        </is>
      </c>
      <c r="G637" s="2" t="inlineStr">
        <is>
          <t>JAEN</t>
        </is>
      </c>
      <c r="H637" s="2" t="inlineStr">
        <is>
          <t>Presidencia de la Diputación Provincial de Jaén</t>
        </is>
      </c>
      <c r="I637" s="2" t="inlineStr">
        <is>
          <t>Contrato de obra JA-5400 Lopera a Arjona, mejora de firme.</t>
        </is>
      </c>
      <c r="J637" s="2" t="inlineStr">
        <is>
          <t>CO-2025/002668</t>
        </is>
      </c>
      <c r="K637" s="2" t="inlineStr">
        <is>
          <t>Abierto</t>
        </is>
      </c>
      <c r="L637" s="6" t="n">
        <v>6</v>
      </c>
      <c r="M637" s="2" t="inlineStr">
        <is>
          <t>G4-4</t>
        </is>
      </c>
      <c r="N637" s="7" t="n">
        <v>0.4</v>
      </c>
      <c r="O637" s="4" t="n"/>
      <c r="P637" s="2" t="inlineStr">
        <is>
          <t>45233223</t>
        </is>
      </c>
      <c r="Q637" s="8" t="inlineStr">
        <is>
          <t>Ver</t>
        </is>
      </c>
      <c r="R637" s="8" t="inlineStr">
        <is>
          <t>PCAP</t>
        </is>
      </c>
      <c r="S637" s="9" t="n">
        <v>46310</v>
      </c>
      <c r="T637" s="3" t="n">
        <v>46303.38511574074</v>
      </c>
      <c r="U637" s="2" t="n"/>
    </row>
    <row r="638">
      <c r="A638" s="2" t="inlineStr">
        <is>
          <t>En plazo</t>
        </is>
      </c>
      <c r="B638" s="3" t="n">
        <v>46318.99930555555</v>
      </c>
      <c r="C638" s="5" t="n">
        <v>57756.65</v>
      </c>
      <c r="D638" s="5" t="n">
        <v>57756.65</v>
      </c>
      <c r="E638" s="2" t="inlineStr">
        <is>
          <t>Andalucía</t>
        </is>
      </c>
      <c r="F638" s="2" t="inlineStr">
        <is>
          <t>Córdoba</t>
        </is>
      </c>
      <c r="G638" s="2" t="inlineStr">
        <is>
          <t>Almedinilla</t>
        </is>
      </c>
      <c r="H638" s="2" t="inlineStr">
        <is>
          <t>Alcaldía del Ayuntamiento de Almedinilla</t>
        </is>
      </c>
      <c r="I638" s="2" t="inlineStr">
        <is>
          <t>Obras de reposición del pavimento en parte de la Ronda de Andalucía de Almedinilla, incluyendo fresado, asfaltado, paso peatonal elevado y señalización horizontal.</t>
        </is>
      </c>
      <c r="J638" s="2" t="inlineStr">
        <is>
          <t>COPASS01/2026</t>
        </is>
      </c>
      <c r="K638" s="2" t="inlineStr">
        <is>
          <t>Abierto simplificado</t>
        </is>
      </c>
      <c r="L638" s="6" t="n">
        <v>1</v>
      </c>
      <c r="M638" s="2" t="n"/>
      <c r="N638" s="7" t="n">
        <v>0</v>
      </c>
      <c r="O638" s="4" t="n"/>
      <c r="P638" s="2" t="inlineStr">
        <is>
          <t>45233223</t>
        </is>
      </c>
      <c r="Q638" s="8" t="inlineStr">
        <is>
          <t>Ver</t>
        </is>
      </c>
      <c r="R638" s="8" t="inlineStr">
        <is>
          <t>PCAP</t>
        </is>
      </c>
      <c r="S638" s="9" t="n">
        <v>46310</v>
      </c>
      <c r="T638" s="3" t="n">
        <v>46303.38407407407</v>
      </c>
      <c r="U638" s="2" t="n"/>
    </row>
    <row r="639">
      <c r="A639" s="2" t="inlineStr">
        <is>
          <t>Pendiente de adjudicación</t>
        </is>
      </c>
      <c r="B639" s="3" t="n">
        <v>46294.99930555555</v>
      </c>
      <c r="C639" s="5" t="n">
        <v>349480.16</v>
      </c>
      <c r="D639" s="5" t="n">
        <v>349480.16</v>
      </c>
      <c r="E639" s="2" t="inlineStr">
        <is>
          <t>Andalucía</t>
        </is>
      </c>
      <c r="F639" s="2" t="inlineStr">
        <is>
          <t>Córdoba</t>
        </is>
      </c>
      <c r="G639" s="2" t="inlineStr">
        <is>
          <t>Peñarroya-Pueblonuevo</t>
        </is>
      </c>
      <c r="H639" s="2" t="inlineStr">
        <is>
          <t>Junta de Gobierno de la Diputación Provincial de Córdoba</t>
        </is>
      </c>
      <c r="I639" s="2" t="inlineStr">
        <is>
          <t>Reurbanización de la calle José Simón de Lillo, 1ª fase Peñarroya-Pueblonuevo (Córdoba) obra incluida en el Plan Provincial de Obras y Servicios 2024-2027</t>
        </is>
      </c>
      <c r="J639" s="2" t="inlineStr">
        <is>
          <t>506/26</t>
        </is>
      </c>
      <c r="K639" s="2" t="inlineStr">
        <is>
          <t>Abierto</t>
        </is>
      </c>
      <c r="L639" s="6" t="n">
        <v>7</v>
      </c>
      <c r="M639" s="2" t="n"/>
      <c r="N639" s="7" t="n">
        <v>0.4</v>
      </c>
      <c r="O639" s="4" t="n"/>
      <c r="P639" s="2" t="inlineStr">
        <is>
          <t>45232410; 45233250; 45231300</t>
        </is>
      </c>
      <c r="Q639" s="8" t="inlineStr">
        <is>
          <t>Ver</t>
        </is>
      </c>
      <c r="R639" s="8" t="inlineStr">
        <is>
          <t>PCAP</t>
        </is>
      </c>
      <c r="S639" s="9" t="n">
        <v>46310</v>
      </c>
      <c r="T639" s="3" t="n">
        <v>46303.38371527778</v>
      </c>
      <c r="U639" s="2" t="n"/>
    </row>
    <row r="640">
      <c r="A640" s="2" t="inlineStr">
        <is>
          <t>Adjudicada</t>
        </is>
      </c>
      <c r="B640" s="3" t="n">
        <v>46244.99930555555</v>
      </c>
      <c r="C640" s="5" t="n">
        <v>371900.83</v>
      </c>
      <c r="D640" s="5" t="n">
        <v>371900.83</v>
      </c>
      <c r="E640" s="2" t="inlineStr">
        <is>
          <t>Andalucía</t>
        </is>
      </c>
      <c r="F640" s="2" t="inlineStr">
        <is>
          <t>Huelva</t>
        </is>
      </c>
      <c r="G640" s="2" t="n"/>
      <c r="H640" s="2" t="inlineStr">
        <is>
          <t>Junta de Gobierno del Ayuntamiento de Almonte</t>
        </is>
      </c>
      <c r="I64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640" s="2" t="inlineStr">
        <is>
          <t>16905/2025</t>
        </is>
      </c>
      <c r="K640" s="2" t="inlineStr">
        <is>
          <t>Abierto simplificado</t>
        </is>
      </c>
      <c r="L640" s="6" t="n">
        <v>9</v>
      </c>
      <c r="M640" s="2" t="n"/>
      <c r="N640" s="7" t="n">
        <v>0.25</v>
      </c>
      <c r="O640" s="4" t="n"/>
      <c r="P640" s="2" t="inlineStr">
        <is>
          <t>45212100</t>
        </is>
      </c>
      <c r="Q640" s="8" t="inlineStr">
        <is>
          <t>Ver</t>
        </is>
      </c>
      <c r="R640" s="8" t="inlineStr">
        <is>
          <t>PCAP</t>
        </is>
      </c>
      <c r="S640" s="9" t="n">
        <v>46310</v>
      </c>
      <c r="T640" s="3" t="n">
        <v>46303.38328703704</v>
      </c>
      <c r="U640" s="2" t="n"/>
    </row>
    <row r="641">
      <c r="A641" s="2" t="inlineStr">
        <is>
          <t>Resuelta</t>
        </is>
      </c>
      <c r="B641" s="3" t="n">
        <v>46300.58333333334</v>
      </c>
      <c r="C641" s="5" t="n">
        <v>206656.44</v>
      </c>
      <c r="D641" s="5" t="n">
        <v>206656.44</v>
      </c>
      <c r="E641" s="2" t="inlineStr">
        <is>
          <t>Andalucía</t>
        </is>
      </c>
      <c r="F641" s="2" t="inlineStr">
        <is>
          <t>Jaén</t>
        </is>
      </c>
      <c r="G641" s="2" t="n"/>
      <c r="H641" s="2" t="inlineStr">
        <is>
          <t>Alcaldía del Ayuntamiento de Baños de la Encina</t>
        </is>
      </c>
      <c r="I64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641" s="2" t="inlineStr">
        <is>
          <t>1290/2025</t>
        </is>
      </c>
      <c r="K641" s="2" t="inlineStr">
        <is>
          <t>Abierto simplificado</t>
        </is>
      </c>
      <c r="L641" s="6" t="n">
        <v>12</v>
      </c>
      <c r="M641" s="2" t="n"/>
      <c r="N641" s="7" t="n"/>
      <c r="O641" s="4" t="n"/>
      <c r="P641" s="2" t="inlineStr">
        <is>
          <t>45212300</t>
        </is>
      </c>
      <c r="Q641" s="8" t="inlineStr">
        <is>
          <t>Ver</t>
        </is>
      </c>
      <c r="R641" s="8" t="inlineStr">
        <is>
          <t>PCAP</t>
        </is>
      </c>
      <c r="S641" s="9" t="n">
        <v>46310</v>
      </c>
      <c r="T641" s="3" t="n">
        <v>46303.37831018519</v>
      </c>
      <c r="U641" s="2" t="n"/>
    </row>
    <row r="642">
      <c r="A642" s="2" t="inlineStr">
        <is>
          <t>En plazo</t>
        </is>
      </c>
      <c r="B642" s="3" t="n">
        <v>46317.99930555555</v>
      </c>
      <c r="C642" s="5" t="n">
        <v>1090919.91</v>
      </c>
      <c r="D642" s="5" t="n">
        <v>1309103.09</v>
      </c>
      <c r="E642" s="2" t="inlineStr">
        <is>
          <t>Andalucía</t>
        </is>
      </c>
      <c r="F642" s="2" t="inlineStr">
        <is>
          <t>Almería</t>
        </is>
      </c>
      <c r="G642" s="2" t="n"/>
      <c r="H642" s="2" t="inlineStr">
        <is>
          <t>Junta de Gobierno Local del Ayuntamiento de El Ejido</t>
        </is>
      </c>
      <c r="I64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642" s="2" t="inlineStr">
        <is>
          <t>2026 1160</t>
        </is>
      </c>
      <c r="K642" s="2" t="inlineStr">
        <is>
          <t>Abierto simplificado</t>
        </is>
      </c>
      <c r="L642" s="6" t="n">
        <v>6</v>
      </c>
      <c r="M642" s="2" t="n"/>
      <c r="N642" s="7" t="n">
        <v>0.25</v>
      </c>
      <c r="O642" s="4" t="n"/>
      <c r="P642" s="2" t="inlineStr">
        <is>
          <t>45200000</t>
        </is>
      </c>
      <c r="Q642" s="8" t="inlineStr">
        <is>
          <t>Ver</t>
        </is>
      </c>
      <c r="R642" s="8" t="inlineStr">
        <is>
          <t>PCAP</t>
        </is>
      </c>
      <c r="S642" s="9" t="n">
        <v>46310</v>
      </c>
      <c r="T642" s="3" t="n">
        <v>46303.3746875</v>
      </c>
      <c r="U642" s="2" t="n"/>
    </row>
    <row r="643">
      <c r="A643" s="2" t="inlineStr">
        <is>
          <t>Pendiente de adjudicación</t>
        </is>
      </c>
      <c r="B643" s="3" t="n">
        <v>46300.99930555555</v>
      </c>
      <c r="C643" s="5" t="n">
        <v>330578.51</v>
      </c>
      <c r="D643" s="5" t="n">
        <v>330578.51</v>
      </c>
      <c r="E643" s="2" t="inlineStr">
        <is>
          <t>Comunitat Valenciana</t>
        </is>
      </c>
      <c r="F643" s="2" t="inlineStr">
        <is>
          <t>Valencia</t>
        </is>
      </c>
      <c r="G643" s="2" t="n"/>
      <c r="H643" s="2" t="inlineStr">
        <is>
          <t>Junta de Gobierno del Ayuntamiento de Alzira</t>
        </is>
      </c>
      <c r="I643" s="2" t="inlineStr">
        <is>
          <t>Restauración lienzo de la Muralla Almohade en Alzira</t>
        </is>
      </c>
      <c r="J643" s="2" t="inlineStr">
        <is>
          <t>OC-7112/26</t>
        </is>
      </c>
      <c r="K643" s="2" t="inlineStr">
        <is>
          <t>Abierto simplificado</t>
        </is>
      </c>
      <c r="L643" s="6" t="n">
        <v>10</v>
      </c>
      <c r="M643" s="2" t="n"/>
      <c r="N643" s="7" t="n">
        <v>0</v>
      </c>
      <c r="O643" s="4" t="n"/>
      <c r="P643" s="2" t="inlineStr">
        <is>
          <t>45212350; 45454100; 45112450</t>
        </is>
      </c>
      <c r="Q643" s="8" t="inlineStr">
        <is>
          <t>Ver</t>
        </is>
      </c>
      <c r="R643" s="8" t="inlineStr">
        <is>
          <t>PCAP</t>
        </is>
      </c>
      <c r="S643" s="9" t="n">
        <v>46310</v>
      </c>
      <c r="T643" s="3" t="n">
        <v>46303.37460648148</v>
      </c>
      <c r="U643" s="2" t="n"/>
    </row>
    <row r="644">
      <c r="A644" s="2" t="inlineStr">
        <is>
          <t>En plazo</t>
        </is>
      </c>
      <c r="B644" s="3" t="n">
        <v>46329.99930555555</v>
      </c>
      <c r="C644" s="5" t="n">
        <v>2370624.52</v>
      </c>
      <c r="D644" s="5" t="n">
        <v>2844749.42</v>
      </c>
      <c r="E644" s="2" t="inlineStr">
        <is>
          <t>Andalucía</t>
        </is>
      </c>
      <c r="F644" s="2" t="inlineStr">
        <is>
          <t>Almería</t>
        </is>
      </c>
      <c r="G644" s="2" t="n"/>
      <c r="H644" s="2" t="inlineStr">
        <is>
          <t>Junta de Gobierno Local del Ayuntamiento de El Ejido</t>
        </is>
      </c>
      <c r="I64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644" s="2" t="inlineStr">
        <is>
          <t>2026 1137</t>
        </is>
      </c>
      <c r="K644" s="2" t="inlineStr">
        <is>
          <t>Abierto</t>
        </is>
      </c>
      <c r="L644" s="6" t="n">
        <v>6</v>
      </c>
      <c r="M644" s="2" t="n"/>
      <c r="N644" s="7" t="n">
        <v>0.25</v>
      </c>
      <c r="O644" s="4" t="n"/>
      <c r="P644" s="2" t="inlineStr">
        <is>
          <t>45200000</t>
        </is>
      </c>
      <c r="Q644" s="8" t="inlineStr">
        <is>
          <t>Ver</t>
        </is>
      </c>
      <c r="R644" s="8" t="inlineStr">
        <is>
          <t>PCAP</t>
        </is>
      </c>
      <c r="S644" s="9" t="n">
        <v>46310</v>
      </c>
      <c r="T644" s="3" t="n">
        <v>46303.37342592593</v>
      </c>
      <c r="U644" s="2" t="n"/>
    </row>
    <row r="645">
      <c r="A645" s="2" t="inlineStr">
        <is>
          <t>En plazo</t>
        </is>
      </c>
      <c r="B645" s="3" t="n">
        <v>46329.99930555555</v>
      </c>
      <c r="C645" s="5" t="n">
        <v>495867.77</v>
      </c>
      <c r="D645" s="5" t="n">
        <v>495867.77</v>
      </c>
      <c r="E645" s="2" t="inlineStr">
        <is>
          <t>Andalucía</t>
        </is>
      </c>
      <c r="F645" s="2" t="inlineStr">
        <is>
          <t>Jaén</t>
        </is>
      </c>
      <c r="G645" s="2" t="inlineStr">
        <is>
          <t>Complejo medioaambiental Guadiel (Linares)</t>
        </is>
      </c>
      <c r="H645" s="2" t="inlineStr">
        <is>
          <t>Presidencia de la Diputación Provincial de Jaén</t>
        </is>
      </c>
      <c r="I645" s="2" t="inlineStr">
        <is>
          <t>Adecuación y ampliación del núcleo zoológico de Guadiel (JAÉN).</t>
        </is>
      </c>
      <c r="J645" s="2" t="inlineStr">
        <is>
          <t>CO-2026/001387</t>
        </is>
      </c>
      <c r="K645" s="2" t="inlineStr">
        <is>
          <t>Abierto</t>
        </is>
      </c>
      <c r="L645" s="6" t="n">
        <v>6</v>
      </c>
      <c r="M645" s="2" t="n"/>
      <c r="N645" s="7" t="n">
        <v>0.5</v>
      </c>
      <c r="O645" s="4" t="n"/>
      <c r="P645" s="2" t="inlineStr">
        <is>
          <t>45000000</t>
        </is>
      </c>
      <c r="Q645" s="8" t="inlineStr">
        <is>
          <t>Ver</t>
        </is>
      </c>
      <c r="R645" s="8" t="inlineStr">
        <is>
          <t>PCAP</t>
        </is>
      </c>
      <c r="S645" s="9" t="n">
        <v>46310</v>
      </c>
      <c r="T645" s="3" t="n">
        <v>46303.37121527778</v>
      </c>
      <c r="U645" s="2" t="n"/>
    </row>
    <row r="646">
      <c r="A646" s="2" t="inlineStr">
        <is>
          <t>Pendiente de adjudicación</t>
        </is>
      </c>
      <c r="B646" s="3" t="n">
        <v>46301.79166666666</v>
      </c>
      <c r="C646" s="5" t="n">
        <v>1344250.8</v>
      </c>
      <c r="D646" s="5" t="n">
        <v>1344250.8</v>
      </c>
      <c r="E646" s="2" t="inlineStr">
        <is>
          <t>Comunitat Valenciana</t>
        </is>
      </c>
      <c r="F646" s="2" t="inlineStr">
        <is>
          <t>Valencia</t>
        </is>
      </c>
      <c r="G646" s="2" t="inlineStr">
        <is>
          <t>Algemesí</t>
        </is>
      </c>
      <c r="H646" s="2" t="inlineStr">
        <is>
          <t>Junta de Gobierno del Ayuntamiento de Algemesí</t>
        </is>
      </c>
      <c r="I646" s="2" t="inlineStr">
        <is>
          <t>Ejecución de obras «Renovación del colector unitario de salida para la CV-515 hasta el EBAR en Algemesí»</t>
        </is>
      </c>
      <c r="J646" s="2" t="inlineStr">
        <is>
          <t>7493/2026</t>
        </is>
      </c>
      <c r="K646" s="2" t="inlineStr">
        <is>
          <t>Abierto simplificado</t>
        </is>
      </c>
      <c r="L646" s="6" t="n">
        <v>7</v>
      </c>
      <c r="M646" s="2" t="inlineStr">
        <is>
          <t>E1-4</t>
        </is>
      </c>
      <c r="N646" s="7" t="n">
        <v>0</v>
      </c>
      <c r="O646" s="4" t="n"/>
      <c r="P646" s="2" t="inlineStr">
        <is>
          <t>45453000</t>
        </is>
      </c>
      <c r="Q646" s="8" t="inlineStr">
        <is>
          <t>Ver</t>
        </is>
      </c>
      <c r="R646" s="8" t="inlineStr">
        <is>
          <t>PCAP</t>
        </is>
      </c>
      <c r="S646" s="9" t="n">
        <v>46310</v>
      </c>
      <c r="T646" s="3" t="n">
        <v>46303.36954861111</v>
      </c>
      <c r="U646" s="2" t="n"/>
    </row>
    <row r="647">
      <c r="A647" s="2" t="inlineStr">
        <is>
          <t>Resuelta</t>
        </is>
      </c>
      <c r="B647" s="3" t="n">
        <v>46265.54166666666</v>
      </c>
      <c r="C647" s="5" t="n">
        <v>49394.58</v>
      </c>
      <c r="D647" s="5" t="n">
        <v>49394.58</v>
      </c>
      <c r="E647" s="2" t="inlineStr">
        <is>
          <t>Andalucía</t>
        </is>
      </c>
      <c r="F647" s="2" t="inlineStr">
        <is>
          <t>Granada</t>
        </is>
      </c>
      <c r="G647" s="2" t="n"/>
      <c r="H647" s="2" t="inlineStr">
        <is>
          <t>Alcaldía del Ayuntamiento de Piñar</t>
        </is>
      </c>
      <c r="I647"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647" s="2" t="inlineStr">
        <is>
          <t>2023/4/PIDE-36</t>
        </is>
      </c>
      <c r="K647" s="2" t="inlineStr">
        <is>
          <t>Abierto simplificado</t>
        </is>
      </c>
      <c r="L647" s="6" t="n">
        <v>2</v>
      </c>
      <c r="M647" s="2" t="n"/>
      <c r="N647" s="7" t="n">
        <v>0</v>
      </c>
      <c r="O647" s="4" t="n"/>
      <c r="P647" s="2" t="inlineStr">
        <is>
          <t>45212000; 45212200</t>
        </is>
      </c>
      <c r="Q647" s="8" t="inlineStr">
        <is>
          <t>Ver</t>
        </is>
      </c>
      <c r="R647" s="8" t="inlineStr">
        <is>
          <t>PCAP</t>
        </is>
      </c>
      <c r="S647" s="9" t="n">
        <v>46310</v>
      </c>
      <c r="T647" s="3" t="n">
        <v>46303.36927083333</v>
      </c>
      <c r="U647" s="2" t="n"/>
    </row>
    <row r="648">
      <c r="A648" s="2" t="inlineStr">
        <is>
          <t>Resuelta</t>
        </is>
      </c>
      <c r="B648" s="3" t="n">
        <v>46273.99930555555</v>
      </c>
      <c r="C648" s="5" t="n">
        <v>94445.69</v>
      </c>
      <c r="D648" s="5" t="n">
        <v>94445.69</v>
      </c>
      <c r="E648" s="2" t="inlineStr">
        <is>
          <t>Andalucía</t>
        </is>
      </c>
      <c r="F648" s="2" t="inlineStr">
        <is>
          <t>Málaga</t>
        </is>
      </c>
      <c r="G648" s="2" t="n"/>
      <c r="H648" s="2" t="inlineStr">
        <is>
          <t>Alcaldía del Ayuntamiento de Estepona</t>
        </is>
      </c>
      <c r="I648" s="2" t="inlineStr">
        <is>
          <t>Obras de reforma de los aseos del ala oeste del C.E.I.P. "Santo Tomás de Aquino", de Estepona</t>
        </is>
      </c>
      <c r="J648" s="2" t="inlineStr">
        <is>
          <t>27713/2026</t>
        </is>
      </c>
      <c r="K648" s="2" t="inlineStr">
        <is>
          <t>Abierto</t>
        </is>
      </c>
      <c r="L648" s="6" t="n">
        <v>2</v>
      </c>
      <c r="M648" s="2" t="n"/>
      <c r="N648" s="7" t="n">
        <v>0</v>
      </c>
      <c r="O648" s="4" t="n"/>
      <c r="P648" s="2" t="inlineStr">
        <is>
          <t>45211310</t>
        </is>
      </c>
      <c r="Q648" s="8" t="inlineStr">
        <is>
          <t>Ver</t>
        </is>
      </c>
      <c r="R648" s="8" t="inlineStr">
        <is>
          <t>PCAP</t>
        </is>
      </c>
      <c r="S648" s="9" t="n">
        <v>46310</v>
      </c>
      <c r="T648" s="3" t="n">
        <v>46303.36236111111</v>
      </c>
      <c r="U648" s="2" t="n"/>
    </row>
    <row r="649">
      <c r="A649" s="2" t="inlineStr">
        <is>
          <t>Resuelta</t>
        </is>
      </c>
      <c r="B649" s="3" t="n">
        <v>46293.99930555555</v>
      </c>
      <c r="C649" s="5" t="n">
        <v>708067.21</v>
      </c>
      <c r="D649" s="5" t="n">
        <v>708067.21</v>
      </c>
      <c r="E649" s="2" t="inlineStr">
        <is>
          <t>Andalucía</t>
        </is>
      </c>
      <c r="F649" s="2" t="inlineStr">
        <is>
          <t>Almería</t>
        </is>
      </c>
      <c r="G649" s="2" t="inlineStr">
        <is>
          <t>Almería</t>
        </is>
      </c>
      <c r="H649" s="2" t="inlineStr">
        <is>
          <t>Junta de Gobierno del Ayuntamiento de Almería</t>
        </is>
      </c>
      <c r="I649" s="2" t="inlineStr">
        <is>
          <t>Contratación de obras de "Adaptación de las plantas primera y segunda del antiguo Colegio Virgen del Socorro"</t>
        </is>
      </c>
      <c r="J649" s="2" t="inlineStr">
        <is>
          <t>AYAL-2026000164</t>
        </is>
      </c>
      <c r="K649" s="2" t="inlineStr">
        <is>
          <t>Abierto</t>
        </is>
      </c>
      <c r="L649" s="6" t="n">
        <v>9</v>
      </c>
      <c r="M649" s="2" t="inlineStr">
        <is>
          <t>C4-3; J2-3</t>
        </is>
      </c>
      <c r="N649" s="7" t="n">
        <v>0.4</v>
      </c>
      <c r="O649" s="4" t="n"/>
      <c r="P649" s="2" t="inlineStr">
        <is>
          <t>45210000</t>
        </is>
      </c>
      <c r="Q649" s="8" t="inlineStr">
        <is>
          <t>Ver</t>
        </is>
      </c>
      <c r="R649" s="8" t="inlineStr">
        <is>
          <t>PCAP</t>
        </is>
      </c>
      <c r="S649" s="9" t="n">
        <v>46310</v>
      </c>
      <c r="T649" s="3" t="n">
        <v>46303.35611111111</v>
      </c>
      <c r="U649" s="2" t="n"/>
    </row>
    <row r="650">
      <c r="A650" s="2" t="inlineStr">
        <is>
          <t>Resuelta</t>
        </is>
      </c>
      <c r="B650" s="3" t="n">
        <v>46265.99930555555</v>
      </c>
      <c r="C650" s="5" t="n">
        <v>174413.54</v>
      </c>
      <c r="D650" s="5" t="n">
        <v>174413.54</v>
      </c>
      <c r="E650" s="2" t="inlineStr">
        <is>
          <t>Comunitat Valenciana</t>
        </is>
      </c>
      <c r="F650" s="2" t="inlineStr">
        <is>
          <t>Valencia</t>
        </is>
      </c>
      <c r="G650" s="2" t="n"/>
      <c r="H650" s="2" t="inlineStr">
        <is>
          <t>Alcaldía del Ayuntamiento de Alginet</t>
        </is>
      </c>
      <c r="I650" s="2" t="inlineStr">
        <is>
          <t>Obras para la reforma del retén de la Policía Local d'Alginet por daños causados por la DANA</t>
        </is>
      </c>
      <c r="J650" s="2" t="inlineStr">
        <is>
          <t>2544902M</t>
        </is>
      </c>
      <c r="K650" s="2" t="inlineStr">
        <is>
          <t>Abierto simplificado</t>
        </is>
      </c>
      <c r="L650" s="6" t="n">
        <v>6</v>
      </c>
      <c r="M650" s="2" t="n"/>
      <c r="N650" s="7" t="n">
        <v>0</v>
      </c>
      <c r="O650" s="4" t="n"/>
      <c r="P650" s="2" t="inlineStr">
        <is>
          <t>45216111; 45261000; 45210000</t>
        </is>
      </c>
      <c r="Q650" s="8" t="inlineStr">
        <is>
          <t>Ver</t>
        </is>
      </c>
      <c r="R650" s="8" t="inlineStr">
        <is>
          <t>PCAP</t>
        </is>
      </c>
      <c r="S650" s="9" t="n">
        <v>46310</v>
      </c>
      <c r="T650" s="3" t="n">
        <v>46303.35599537037</v>
      </c>
      <c r="U650" s="2" t="n"/>
    </row>
    <row r="651">
      <c r="A651" s="2" t="inlineStr">
        <is>
          <t>En plazo</t>
        </is>
      </c>
      <c r="B651" s="3" t="n">
        <v>46329.79166666666</v>
      </c>
      <c r="C651" s="5" t="n">
        <v>13104056.72</v>
      </c>
      <c r="D651" s="5" t="n">
        <v>13104056.72</v>
      </c>
      <c r="E651" s="2" t="inlineStr">
        <is>
          <t>Andalucía</t>
        </is>
      </c>
      <c r="F651" s="2" t="inlineStr">
        <is>
          <t>Jaén</t>
        </is>
      </c>
      <c r="G651" s="2" t="n"/>
      <c r="H651" s="2" t="inlineStr">
        <is>
          <t>Pleno del Ayuntamiento de Jaén</t>
        </is>
      </c>
      <c r="I651"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651" s="2" t="inlineStr">
        <is>
          <t>2026000083</t>
        </is>
      </c>
      <c r="K651" s="2" t="inlineStr">
        <is>
          <t>Abierto</t>
        </is>
      </c>
      <c r="L651" s="6" t="n">
        <v>4</v>
      </c>
      <c r="M651" s="2" t="n"/>
      <c r="N651" s="7" t="n">
        <v>0.25</v>
      </c>
      <c r="O651" s="4" t="n">
        <v>6</v>
      </c>
      <c r="P651" s="2" t="inlineStr">
        <is>
          <t>45233252; 45111100; 45262300; 45262522</t>
        </is>
      </c>
      <c r="Q651" s="8" t="inlineStr">
        <is>
          <t>Ver</t>
        </is>
      </c>
      <c r="R651" s="8" t="inlineStr">
        <is>
          <t>PCAP</t>
        </is>
      </c>
      <c r="S651" s="9" t="n">
        <v>46310</v>
      </c>
      <c r="T651" s="3" t="n">
        <v>46303.34646990741</v>
      </c>
      <c r="U651" s="2" t="n"/>
    </row>
    <row r="652">
      <c r="A652" s="2" t="inlineStr">
        <is>
          <t>Pendiente de adjudicación</t>
        </is>
      </c>
      <c r="B652" s="3" t="n">
        <v>46294.99930555555</v>
      </c>
      <c r="C652" s="5" t="n">
        <v>221455.49</v>
      </c>
      <c r="D652" s="5" t="n">
        <v>221455.49</v>
      </c>
      <c r="E652" s="2" t="inlineStr">
        <is>
          <t>Andalucía</t>
        </is>
      </c>
      <c r="F652" s="2" t="inlineStr">
        <is>
          <t>Córdoba</t>
        </is>
      </c>
      <c r="G652" s="2" t="n"/>
      <c r="H652" s="2" t="inlineStr">
        <is>
          <t>Diputado delegado de Infraestructuras, Sostenibilidad y Agricultura</t>
        </is>
      </c>
      <c r="I652" s="2" t="inlineStr">
        <is>
          <t>Contratación de la obra de adecuación y reforma de la pista deportiva y su entorno del colegio en La Granjuela. Obra incluida en el Plan Provincial de Obras y Servicios 2024-2027.</t>
        </is>
      </c>
      <c r="J652" s="2" t="inlineStr">
        <is>
          <t>350/26 BIS</t>
        </is>
      </c>
      <c r="K652" s="2" t="inlineStr">
        <is>
          <t>Negociado sin publicidad</t>
        </is>
      </c>
      <c r="L652" s="6" t="n">
        <v>4</v>
      </c>
      <c r="M652" s="2" t="n"/>
      <c r="N652" s="7" t="n">
        <v>0.3</v>
      </c>
      <c r="O652" s="4" t="n"/>
      <c r="P652" s="2" t="inlineStr">
        <is>
          <t>45212200</t>
        </is>
      </c>
      <c r="Q652" s="8" t="inlineStr">
        <is>
          <t>Ver</t>
        </is>
      </c>
      <c r="R652" s="8" t="inlineStr">
        <is>
          <t>PCAP</t>
        </is>
      </c>
      <c r="S652" s="9" t="n">
        <v>46310</v>
      </c>
      <c r="T652" s="3" t="n">
        <v>46303.34524305556</v>
      </c>
      <c r="U652" s="2" t="n"/>
    </row>
    <row r="653">
      <c r="A653" s="2" t="inlineStr">
        <is>
          <t>Resuelta</t>
        </is>
      </c>
      <c r="B653" s="3" t="n">
        <v>46202.99930555555</v>
      </c>
      <c r="C653" s="5" t="n">
        <v>79836.17999999999</v>
      </c>
      <c r="D653" s="5" t="n">
        <v>79836.17999999999</v>
      </c>
      <c r="E653" s="2" t="inlineStr">
        <is>
          <t>Andalucía</t>
        </is>
      </c>
      <c r="F653" s="2" t="inlineStr">
        <is>
          <t>Granada</t>
        </is>
      </c>
      <c r="G653" s="2" t="inlineStr">
        <is>
          <t>HUESCAR</t>
        </is>
      </c>
      <c r="H653" s="2" t="inlineStr">
        <is>
          <t>Presidencia de la Diputación Provincial de Granada</t>
        </is>
      </c>
      <c r="I653" s="2" t="inlineStr">
        <is>
          <t>Huéscar, trabajos de construcción especializados dentro de las obras Pfea 2025 para acondicionamiento de parcela para la creación de Arboretum de frutales y hortalizas en finca los morales</t>
        </is>
      </c>
      <c r="J653" s="2" t="inlineStr">
        <is>
          <t>OB-038/26</t>
        </is>
      </c>
      <c r="K653" s="2" t="inlineStr">
        <is>
          <t>Abierto simplificado</t>
        </is>
      </c>
      <c r="L653" s="6" t="n">
        <v>4</v>
      </c>
      <c r="M653" s="2" t="inlineStr">
        <is>
          <t>G6-1; C6-1</t>
        </is>
      </c>
      <c r="N653" s="7" t="n">
        <v>0</v>
      </c>
      <c r="O653" s="4" t="n"/>
      <c r="P653" s="2" t="inlineStr">
        <is>
          <t>45262600; 45233200</t>
        </is>
      </c>
      <c r="Q653" s="8" t="inlineStr">
        <is>
          <t>Ver</t>
        </is>
      </c>
      <c r="R653" s="8" t="inlineStr">
        <is>
          <t>PCAP</t>
        </is>
      </c>
      <c r="S653" s="9" t="n">
        <v>46310</v>
      </c>
      <c r="T653" s="3" t="n">
        <v>46303.34251157408</v>
      </c>
      <c r="U653" s="2" t="n"/>
    </row>
    <row r="654">
      <c r="A654" s="2" t="inlineStr">
        <is>
          <t>Resuelta</t>
        </is>
      </c>
      <c r="B654" s="3" t="n">
        <v>46253.58333333334</v>
      </c>
      <c r="C654" s="5" t="n">
        <v>59453.43</v>
      </c>
      <c r="D654" s="5" t="n">
        <v>59453.43</v>
      </c>
      <c r="E654" s="2" t="inlineStr">
        <is>
          <t>Comunitat Valenciana</t>
        </is>
      </c>
      <c r="F654" s="2" t="inlineStr">
        <is>
          <t>Valencia</t>
        </is>
      </c>
      <c r="G654" s="2" t="inlineStr">
        <is>
          <t>Requena</t>
        </is>
      </c>
      <c r="H654" s="2" t="inlineStr">
        <is>
          <t>Alcaldía del Ayuntamiento de Requena</t>
        </is>
      </c>
      <c r="I654" s="2" t="inlineStr">
        <is>
          <t>Reforma y adecuación de vestuarios de pista de atletismo</t>
        </is>
      </c>
      <c r="J654" s="2" t="inlineStr">
        <is>
          <t>2799122W</t>
        </is>
      </c>
      <c r="K654" s="2" t="inlineStr">
        <is>
          <t>Abierto simplificado</t>
        </is>
      </c>
      <c r="L654" s="6" t="n">
        <v>2</v>
      </c>
      <c r="M654" s="2" t="n"/>
      <c r="N654" s="7" t="n">
        <v>0</v>
      </c>
      <c r="O654" s="4" t="n"/>
      <c r="P654" s="2" t="inlineStr">
        <is>
          <t>45212000</t>
        </is>
      </c>
      <c r="Q654" s="8" t="inlineStr">
        <is>
          <t>Ver</t>
        </is>
      </c>
      <c r="R654" s="8" t="inlineStr">
        <is>
          <t>PCAP</t>
        </is>
      </c>
      <c r="S654" s="9" t="n">
        <v>46310</v>
      </c>
      <c r="T654" s="3" t="n">
        <v>46303.33954861111</v>
      </c>
      <c r="U654" s="2" t="n"/>
    </row>
    <row r="655">
      <c r="A655" s="2" t="inlineStr">
        <is>
          <t>Resuelta</t>
        </is>
      </c>
      <c r="B655" s="3" t="n">
        <v>46169.41666666666</v>
      </c>
      <c r="C655" s="5" t="n">
        <v>310092.39</v>
      </c>
      <c r="D655" s="5" t="n">
        <v>310092.39</v>
      </c>
      <c r="E655" s="2" t="inlineStr">
        <is>
          <t>Comunitat Valenciana</t>
        </is>
      </c>
      <c r="F655" s="2" t="inlineStr">
        <is>
          <t>Valencia</t>
        </is>
      </c>
      <c r="G655" s="2" t="n"/>
      <c r="H655" s="2" t="inlineStr">
        <is>
          <t>ADIF - Presidencia</t>
        </is>
      </c>
      <c r="I655" s="2" t="inlineStr">
        <is>
          <t>Obras de ejecución del proyecto técnico instalación de iluminación led en terminal logística Adif – Sagunto.</t>
        </is>
      </c>
      <c r="J655" s="2" t="inlineStr">
        <is>
          <t>3.26/23108.0065</t>
        </is>
      </c>
      <c r="K655" s="2" t="inlineStr">
        <is>
          <t>Abierto simplificado</t>
        </is>
      </c>
      <c r="L655" s="6" t="n">
        <v>3</v>
      </c>
      <c r="M655" s="2" t="n"/>
      <c r="N655" s="7" t="n">
        <v>0.25</v>
      </c>
      <c r="O655" s="4" t="n"/>
      <c r="P655" s="2" t="inlineStr">
        <is>
          <t>45316100</t>
        </is>
      </c>
      <c r="Q655" s="8" t="inlineStr">
        <is>
          <t>Ver</t>
        </is>
      </c>
      <c r="R655" s="8" t="inlineStr">
        <is>
          <t>PCAP</t>
        </is>
      </c>
      <c r="S655" s="9" t="n">
        <v>46310</v>
      </c>
      <c r="T655" s="3" t="n">
        <v>46303.33711805556</v>
      </c>
      <c r="U655" s="2" t="n"/>
    </row>
    <row r="656">
      <c r="A656" s="2" t="inlineStr">
        <is>
          <t>Pendiente de adjudicación</t>
        </is>
      </c>
      <c r="B656" s="3" t="n">
        <v>46294.54166666666</v>
      </c>
      <c r="C656" s="5" t="n">
        <v>2301597.49</v>
      </c>
      <c r="D656" s="5" t="n">
        <v>2301597.49</v>
      </c>
      <c r="E656" s="2" t="inlineStr">
        <is>
          <t>Andalucía</t>
        </is>
      </c>
      <c r="F656" s="2" t="inlineStr">
        <is>
          <t>Sevilla</t>
        </is>
      </c>
      <c r="G656" s="2" t="n"/>
      <c r="H656" s="2" t="inlineStr">
        <is>
          <t>Autoridad Portuaria de Sevilla</t>
        </is>
      </c>
      <c r="I656" s="2" t="inlineStr">
        <is>
          <t>Optimización de accesos ferroviarios a nuevas terminales Sur.</t>
        </is>
      </c>
      <c r="J656" s="2" t="inlineStr">
        <is>
          <t>CONT26021</t>
        </is>
      </c>
      <c r="K656" s="2" t="inlineStr">
        <is>
          <t>Abierto</t>
        </is>
      </c>
      <c r="L656" s="6" t="n">
        <v>10</v>
      </c>
      <c r="M656" s="2" t="inlineStr">
        <is>
          <t>D1-4</t>
        </is>
      </c>
      <c r="N656" s="7" t="n">
        <v>0.51</v>
      </c>
      <c r="O656" s="4" t="n"/>
      <c r="P656" s="2" t="inlineStr">
        <is>
          <t>45234100</t>
        </is>
      </c>
      <c r="Q656" s="8" t="inlineStr">
        <is>
          <t>Ver</t>
        </is>
      </c>
      <c r="R656" s="8" t="inlineStr">
        <is>
          <t>PCAP</t>
        </is>
      </c>
      <c r="S656" s="9" t="n">
        <v>46310</v>
      </c>
      <c r="T656" s="3" t="n">
        <v>46303.33484953704</v>
      </c>
      <c r="U656" s="2" t="n"/>
    </row>
    <row r="657">
      <c r="A657" s="2" t="inlineStr">
        <is>
          <t>Pendiente de adjudicación</t>
        </is>
      </c>
      <c r="B657" s="3" t="n">
        <v>46295.99930555555</v>
      </c>
      <c r="C657" s="5" t="n">
        <v>164136.48</v>
      </c>
      <c r="D657" s="5" t="n">
        <v>164136.48</v>
      </c>
      <c r="E657" s="2" t="inlineStr">
        <is>
          <t>Andalucía</t>
        </is>
      </c>
      <c r="F657" s="2" t="inlineStr">
        <is>
          <t>Córdoba</t>
        </is>
      </c>
      <c r="G657" s="2" t="n"/>
      <c r="H657" s="2" t="inlineStr">
        <is>
          <t>Diputado delegado de Infraestructuras, Sostenibilidad y Agricultura</t>
        </is>
      </c>
      <c r="I657" s="2" t="inlineStr">
        <is>
          <t>Contrato de obra de ejecución de pasarela peatonal anexa a la CO-3314, T.M. de Córdoba</t>
        </is>
      </c>
      <c r="J657" s="2" t="inlineStr">
        <is>
          <t>421/26 BIS</t>
        </is>
      </c>
      <c r="K657" s="2" t="inlineStr">
        <is>
          <t>Negociado sin publicidad</t>
        </is>
      </c>
      <c r="L657" s="6" t="n">
        <v>4</v>
      </c>
      <c r="M657" s="2" t="n"/>
      <c r="N657" s="7" t="n">
        <v>0.4</v>
      </c>
      <c r="O657" s="4" t="n"/>
      <c r="P657" s="2" t="inlineStr">
        <is>
          <t>45233100; 45233140; 45233160</t>
        </is>
      </c>
      <c r="Q657" s="8" t="inlineStr">
        <is>
          <t>Ver</t>
        </is>
      </c>
      <c r="R657" s="8" t="inlineStr">
        <is>
          <t>PCAP</t>
        </is>
      </c>
      <c r="S657" s="9" t="n">
        <v>46310</v>
      </c>
      <c r="T657" s="3" t="n">
        <v>46303.33181712963</v>
      </c>
      <c r="U657" s="2" t="n"/>
    </row>
    <row r="658">
      <c r="A658" s="2" t="inlineStr">
        <is>
          <t>Adjudicada</t>
        </is>
      </c>
      <c r="B658" s="3" t="n">
        <v>46196.99930555555</v>
      </c>
      <c r="C658" s="5" t="n">
        <v>246906.59</v>
      </c>
      <c r="D658" s="5" t="n">
        <v>246906.59</v>
      </c>
      <c r="E658" s="2" t="inlineStr">
        <is>
          <t>Andalucía</t>
        </is>
      </c>
      <c r="F658" s="2" t="inlineStr">
        <is>
          <t>Córdoba</t>
        </is>
      </c>
      <c r="G658" s="2" t="n"/>
      <c r="H658" s="2" t="inlineStr">
        <is>
          <t>Diputado delegado de Infraestructuras, Sostenibilidad y Agricultura</t>
        </is>
      </c>
      <c r="I658" s="2" t="inlineStr">
        <is>
          <t>Contrato de obra de 1ª Fase de ampliación de edificio municipal Casa de Hermandades, en Villanueva del Duque (Córdoba). Obra incluida en los planes provinciales de obras y servicios 2024-2027.</t>
        </is>
      </c>
      <c r="J658" s="2" t="inlineStr">
        <is>
          <t>996/25 BIS</t>
        </is>
      </c>
      <c r="K658" s="2" t="inlineStr">
        <is>
          <t>Negociado sin publicidad</t>
        </is>
      </c>
      <c r="L658" s="6" t="n">
        <v>10</v>
      </c>
      <c r="M658" s="2" t="n"/>
      <c r="N658" s="7" t="n">
        <v>0.25</v>
      </c>
      <c r="O658" s="4" t="n"/>
      <c r="P658" s="2" t="inlineStr">
        <is>
          <t>45210000; 45320000; 45331000; 45110000; 45310000; 45400000</t>
        </is>
      </c>
      <c r="Q658" s="8" t="inlineStr">
        <is>
          <t>Ver</t>
        </is>
      </c>
      <c r="R658" s="8" t="inlineStr">
        <is>
          <t>PCAP</t>
        </is>
      </c>
      <c r="S658" s="9" t="n">
        <v>46310</v>
      </c>
      <c r="T658" s="3" t="n">
        <v>46303.31642361111</v>
      </c>
      <c r="U658" s="2" t="n"/>
    </row>
    <row r="659">
      <c r="A659" s="2" t="inlineStr">
        <is>
          <t>Pendiente de adjudicación</t>
        </is>
      </c>
      <c r="B659" s="3" t="n">
        <v>46300.99930555555</v>
      </c>
      <c r="C659" s="5" t="n">
        <v>90464.34</v>
      </c>
      <c r="D659" s="5" t="n">
        <v>90464.34</v>
      </c>
      <c r="E659" s="2" t="inlineStr">
        <is>
          <t>Comunitat Valenciana</t>
        </is>
      </c>
      <c r="F659" s="2" t="inlineStr">
        <is>
          <t>Castellón</t>
        </is>
      </c>
      <c r="G659" s="2" t="inlineStr">
        <is>
          <t>Santa Magdalena de Pulpis</t>
        </is>
      </c>
      <c r="H659" s="2" t="inlineStr">
        <is>
          <t>Pleno del Ayuntamiento de Santa Magdalena de Pulpis</t>
        </is>
      </c>
      <c r="I659" s="2" t="inlineStr">
        <is>
          <t>Adecuación de Espacio urbano anejo a la Avda. Doctor Luis Torres Morera</t>
        </is>
      </c>
      <c r="J659" s="2" t="inlineStr">
        <is>
          <t>109/2026</t>
        </is>
      </c>
      <c r="K659" s="2" t="inlineStr">
        <is>
          <t>Abierto</t>
        </is>
      </c>
      <c r="L659" s="6" t="n">
        <v>4</v>
      </c>
      <c r="M659" s="2" t="n"/>
      <c r="N659" s="7" t="n">
        <v>0.429</v>
      </c>
      <c r="O659" s="4" t="n"/>
      <c r="P659" s="2" t="inlineStr">
        <is>
          <t>45236000</t>
        </is>
      </c>
      <c r="Q659" s="8" t="inlineStr">
        <is>
          <t>Ver</t>
        </is>
      </c>
      <c r="R659" s="8" t="inlineStr">
        <is>
          <t>PCAP</t>
        </is>
      </c>
      <c r="S659" s="9" t="n">
        <v>46310</v>
      </c>
      <c r="T659" s="3" t="n">
        <v>46302.85123842592</v>
      </c>
      <c r="U659" s="2" t="n"/>
    </row>
    <row r="660">
      <c r="A660" s="2" t="inlineStr">
        <is>
          <t>Resuelta</t>
        </is>
      </c>
      <c r="B660" s="3" t="n">
        <v>46218.58333333334</v>
      </c>
      <c r="C660" s="5" t="n">
        <v>49521.9</v>
      </c>
      <c r="D660" s="5" t="n">
        <v>49521.9</v>
      </c>
      <c r="E660" s="2" t="inlineStr">
        <is>
          <t>Comunitat Valenciana</t>
        </is>
      </c>
      <c r="F660" s="2" t="inlineStr">
        <is>
          <t>Alicante</t>
        </is>
      </c>
      <c r="G660" s="2" t="n"/>
      <c r="H660" s="2" t="inlineStr">
        <is>
          <t>Alcaldía del Ayuntamiento de Jacarilla</t>
        </is>
      </c>
      <c r="I660" s="2" t="inlineStr">
        <is>
          <t>Renovación de la red de agua potable y acometidas en Camino Los Murcia de Jacarilla.</t>
        </is>
      </c>
      <c r="J660" s="2" t="inlineStr">
        <is>
          <t>117/2026 Renovación Red agua Camino Los Murcia</t>
        </is>
      </c>
      <c r="K660" s="2" t="inlineStr">
        <is>
          <t>Abierto simplificado</t>
        </is>
      </c>
      <c r="L660" s="6" t="n">
        <v>1</v>
      </c>
      <c r="M660" s="2" t="inlineStr">
        <is>
          <t>E*-1</t>
        </is>
      </c>
      <c r="N660" s="7" t="n">
        <v>0</v>
      </c>
      <c r="O660" s="4" t="n"/>
      <c r="P660" s="2" t="inlineStr">
        <is>
          <t>45200000; 45231300; 45232130</t>
        </is>
      </c>
      <c r="Q660" s="8" t="inlineStr">
        <is>
          <t>Ver</t>
        </is>
      </c>
      <c r="R660" s="8" t="inlineStr">
        <is>
          <t>PCAP</t>
        </is>
      </c>
      <c r="S660" s="9" t="n">
        <v>46310</v>
      </c>
      <c r="T660" s="3" t="n">
        <v>46302.83383101852</v>
      </c>
      <c r="U660" s="2" t="n"/>
    </row>
    <row r="661">
      <c r="A661" s="2" t="inlineStr">
        <is>
          <t>Adjudicada</t>
        </is>
      </c>
      <c r="B661" s="3" t="n">
        <v>46223.625</v>
      </c>
      <c r="C661" s="5" t="n">
        <v>271261.56</v>
      </c>
      <c r="D661" s="5" t="n">
        <v>271261.56</v>
      </c>
      <c r="E661" s="2" t="inlineStr">
        <is>
          <t>Comunitat Valenciana</t>
        </is>
      </c>
      <c r="F661" s="2" t="inlineStr">
        <is>
          <t>Castellón</t>
        </is>
      </c>
      <c r="G661" s="2" t="inlineStr">
        <is>
          <t>Vinaròs (Castelló)</t>
        </is>
      </c>
      <c r="H661" s="2" t="inlineStr">
        <is>
          <t>Dirección Territorial de Educación y Universidades de Castellón</t>
        </is>
      </c>
      <c r="I661" s="2" t="inlineStr">
        <is>
          <t>Pista deportiva en el IES Leopoldo Querol</t>
        </is>
      </c>
      <c r="J661" s="2" t="inlineStr">
        <is>
          <t>CMAYOR/2026/19Y14/0064</t>
        </is>
      </c>
      <c r="K661" s="2" t="inlineStr">
        <is>
          <t>Abierto simplificado</t>
        </is>
      </c>
      <c r="L661" s="6" t="n">
        <v>4</v>
      </c>
      <c r="M661" s="2" t="n"/>
      <c r="N661" s="7" t="n">
        <v>0</v>
      </c>
      <c r="O661" s="4" t="n"/>
      <c r="P661" s="2" t="inlineStr">
        <is>
          <t>45214220</t>
        </is>
      </c>
      <c r="Q661" s="8" t="inlineStr">
        <is>
          <t>Ver</t>
        </is>
      </c>
      <c r="R661" s="8" t="inlineStr">
        <is>
          <t>PCAP</t>
        </is>
      </c>
      <c r="S661" s="9" t="n">
        <v>46310</v>
      </c>
      <c r="T661" s="3" t="n">
        <v>46302.78918981482</v>
      </c>
      <c r="U661" s="2" t="n"/>
    </row>
    <row r="662">
      <c r="A662" s="2" t="inlineStr">
        <is>
          <t>En plazo</t>
        </is>
      </c>
      <c r="B662" s="3" t="n">
        <v>46322.58333333334</v>
      </c>
      <c r="C662" s="5" t="n">
        <v>239004.6</v>
      </c>
      <c r="D662" s="5" t="n">
        <v>239004.6</v>
      </c>
      <c r="E662" s="2" t="inlineStr">
        <is>
          <t>Comunitat Valenciana</t>
        </is>
      </c>
      <c r="F662" s="2" t="inlineStr">
        <is>
          <t>Castellón</t>
        </is>
      </c>
      <c r="G662" s="2" t="inlineStr">
        <is>
          <t>Cinctorres</t>
        </is>
      </c>
      <c r="H662" s="2" t="inlineStr">
        <is>
          <t>Pleno del Ayuntamiento de Cinctorres</t>
        </is>
      </c>
      <c r="I662" s="2" t="inlineStr">
        <is>
          <t>Contrato Abierto Simplificado Obras "Segunda fase Cambio de uso viviendas a edifico administrativo. Nueva Sede Ayuntamiento Cinctorres"</t>
        </is>
      </c>
      <c r="J662" s="2" t="inlineStr">
        <is>
          <t>318/2026</t>
        </is>
      </c>
      <c r="K662" s="2" t="inlineStr">
        <is>
          <t>Abierto simplificado</t>
        </is>
      </c>
      <c r="L662" s="6" t="n"/>
      <c r="M662" s="2" t="n"/>
      <c r="N662" s="7" t="n">
        <v>0</v>
      </c>
      <c r="O662" s="4" t="n"/>
      <c r="P662" s="2" t="inlineStr">
        <is>
          <t>45000000; 45210000; 45213150; 45300000</t>
        </is>
      </c>
      <c r="Q662" s="8" t="inlineStr">
        <is>
          <t>Ver</t>
        </is>
      </c>
      <c r="R662" s="8" t="inlineStr">
        <is>
          <t>PCAP</t>
        </is>
      </c>
      <c r="S662" s="9" t="n">
        <v>46310</v>
      </c>
      <c r="T662" s="3" t="n">
        <v>46302.74681712963</v>
      </c>
      <c r="U662" s="2" t="n"/>
    </row>
    <row r="663">
      <c r="A663" s="2" t="inlineStr">
        <is>
          <t>Pendiente de adjudicación</t>
        </is>
      </c>
      <c r="B663" s="3" t="n">
        <v>46262.5</v>
      </c>
      <c r="C663" s="5" t="n">
        <v>770175.59</v>
      </c>
      <c r="D663" s="5" t="n">
        <v>924210.71</v>
      </c>
      <c r="E663" s="2" t="inlineStr">
        <is>
          <t>Comunitat Valenciana</t>
        </is>
      </c>
      <c r="F663" s="2" t="inlineStr">
        <is>
          <t>Valencia</t>
        </is>
      </c>
      <c r="G663" s="2" t="inlineStr">
        <is>
          <t>Paterna (València)</t>
        </is>
      </c>
      <c r="H663" s="2" t="inlineStr">
        <is>
          <t>Rectorado de la Universitat de València</t>
        </is>
      </c>
      <c r="I663" s="2" t="inlineStr">
        <is>
          <t>Nuevo tendido de Línea subterránea de Media Tensión en el centro de reparto en la UA2 del Campus de Paterna</t>
        </is>
      </c>
      <c r="J663" s="2" t="inlineStr">
        <is>
          <t>2026OB00008</t>
        </is>
      </c>
      <c r="K663" s="2" t="inlineStr">
        <is>
          <t>Abierto simplificado</t>
        </is>
      </c>
      <c r="L663" s="6" t="n">
        <v>4</v>
      </c>
      <c r="M663" s="2" t="inlineStr">
        <is>
          <t>I3-4</t>
        </is>
      </c>
      <c r="N663" s="7" t="n">
        <v>0.25</v>
      </c>
      <c r="O663" s="4" t="n"/>
      <c r="P663" s="2" t="inlineStr">
        <is>
          <t>45315500</t>
        </is>
      </c>
      <c r="Q663" s="8" t="inlineStr">
        <is>
          <t>Ver</t>
        </is>
      </c>
      <c r="R663" s="8" t="inlineStr">
        <is>
          <t>PCAP</t>
        </is>
      </c>
      <c r="S663" s="9" t="n">
        <v>46310</v>
      </c>
      <c r="T663" s="3" t="n">
        <v>46302.72465277778</v>
      </c>
      <c r="U663" s="2" t="n"/>
    </row>
    <row r="664">
      <c r="A664" s="2" t="inlineStr">
        <is>
          <t>Pendiente de adjudicación</t>
        </is>
      </c>
      <c r="B664" s="3" t="n">
        <v>46300.99930555555</v>
      </c>
      <c r="C664" s="5" t="n">
        <v>167914.51</v>
      </c>
      <c r="D664" s="5" t="n">
        <v>167914.51</v>
      </c>
      <c r="E664" s="2" t="inlineStr">
        <is>
          <t>Andalucía</t>
        </is>
      </c>
      <c r="F664" s="2" t="inlineStr">
        <is>
          <t>Málaga</t>
        </is>
      </c>
      <c r="G664" s="2" t="n"/>
      <c r="H664" s="2" t="inlineStr">
        <is>
          <t>Empresa de Transformación Agraria S.A.,S.M.E., M.P., (TRAGSA)</t>
        </is>
      </c>
      <c r="I664" s="2" t="inlineStr">
        <is>
          <t>Suministro e instalación de nuevos elementos de carpintería metálica para la actuación denominada "Servicio de Actuaciones Prioritarias en Materia de Seguridad y Salud de las Presas Competencia de la Comunidad Autónoma de Andalucía"</t>
        </is>
      </c>
      <c r="J664" s="2" t="inlineStr">
        <is>
          <t>TSA0083839</t>
        </is>
      </c>
      <c r="K664" s="2" t="inlineStr">
        <is>
          <t>Abierto simplificado</t>
        </is>
      </c>
      <c r="L664" s="6" t="n">
        <v>3</v>
      </c>
      <c r="M664" s="2" t="inlineStr">
        <is>
          <t>C9-2</t>
        </is>
      </c>
      <c r="N664" s="7" t="n">
        <v>0</v>
      </c>
      <c r="O664" s="4" t="n"/>
      <c r="P664" s="2" t="inlineStr">
        <is>
          <t>45421140; 45340000</t>
        </is>
      </c>
      <c r="Q664" s="8" t="inlineStr">
        <is>
          <t>Ver</t>
        </is>
      </c>
      <c r="R664" s="8" t="inlineStr">
        <is>
          <t>PCAP</t>
        </is>
      </c>
      <c r="S664" s="9" t="n">
        <v>46310</v>
      </c>
      <c r="T664" s="3" t="n">
        <v>46302.7009375</v>
      </c>
      <c r="U664" s="2" t="n"/>
    </row>
    <row r="665">
      <c r="A665" s="2" t="inlineStr">
        <is>
          <t>En plazo</t>
        </is>
      </c>
      <c r="B665" s="3" t="n">
        <v>46321.99930555555</v>
      </c>
      <c r="C665" s="5" t="n">
        <v>108742.04</v>
      </c>
      <c r="D665" s="5" t="n">
        <v>119616.24</v>
      </c>
      <c r="E665" s="2" t="inlineStr">
        <is>
          <t>Comunitat Valenciana</t>
        </is>
      </c>
      <c r="F665" s="2" t="inlineStr">
        <is>
          <t>Valencia</t>
        </is>
      </c>
      <c r="G665" s="2" t="n"/>
      <c r="H665" s="2" t="inlineStr">
        <is>
          <t>Junta de Gobierno del Ayuntamiento de Silla</t>
        </is>
      </c>
      <c r="I665" s="2" t="inlineStr">
        <is>
          <t>Obra «Adecuación de las condiciones e instalaciones de protección contra incendios del edificio municipal la Nau Jove de Silla»</t>
        </is>
      </c>
      <c r="J665" s="2" t="inlineStr">
        <is>
          <t>3040807T</t>
        </is>
      </c>
      <c r="K665" s="2" t="inlineStr">
        <is>
          <t>Abierto simplificado</t>
        </is>
      </c>
      <c r="L665" s="6" t="n">
        <v>3</v>
      </c>
      <c r="M665" s="2" t="n"/>
      <c r="N665" s="7" t="n">
        <v>0</v>
      </c>
      <c r="O665" s="4" t="n"/>
      <c r="P665" s="2" t="inlineStr">
        <is>
          <t>45343100; 45343200; 45343000</t>
        </is>
      </c>
      <c r="Q665" s="8" t="inlineStr">
        <is>
          <t>Ver</t>
        </is>
      </c>
      <c r="R665" s="8" t="inlineStr">
        <is>
          <t>PCAP</t>
        </is>
      </c>
      <c r="S665" s="9" t="n">
        <v>46310</v>
      </c>
      <c r="T665" s="3" t="n">
        <v>46302.66712962963</v>
      </c>
      <c r="U665" s="2" t="n"/>
    </row>
    <row r="666">
      <c r="A666" s="2" t="inlineStr">
        <is>
          <t>Pendiente de adjudicación</t>
        </is>
      </c>
      <c r="B666" s="3" t="n">
        <v>46314.58333333334</v>
      </c>
      <c r="C666" s="5" t="n">
        <v>112822.27</v>
      </c>
      <c r="D666" s="5" t="n">
        <v>112822.27</v>
      </c>
      <c r="E666" s="2" t="inlineStr">
        <is>
          <t>Comunitat Valenciana</t>
        </is>
      </c>
      <c r="F666" s="2" t="inlineStr">
        <is>
          <t>Alicante</t>
        </is>
      </c>
      <c r="G666" s="2" t="n"/>
      <c r="H666" s="2" t="inlineStr">
        <is>
          <t>Alcaldia del Ayuntamiento de Confrides</t>
        </is>
      </c>
      <c r="I666"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666" s="2" t="inlineStr">
        <is>
          <t>548/2026</t>
        </is>
      </c>
      <c r="K666" s="2" t="inlineStr">
        <is>
          <t>Negociado sin publicidad</t>
        </is>
      </c>
      <c r="L666" s="6" t="n">
        <v>3</v>
      </c>
      <c r="M666" s="2" t="n"/>
      <c r="N666" s="7" t="n">
        <v>0.4</v>
      </c>
      <c r="O666" s="4" t="n"/>
      <c r="P666" s="2" t="inlineStr">
        <is>
          <t>45000000</t>
        </is>
      </c>
      <c r="Q666" s="8" t="inlineStr">
        <is>
          <t>Ver</t>
        </is>
      </c>
      <c r="R666" s="8" t="inlineStr">
        <is>
          <t>PCAP</t>
        </is>
      </c>
      <c r="S666" s="9" t="n">
        <v>46310</v>
      </c>
      <c r="T666" s="3" t="n">
        <v>46302.64869212963</v>
      </c>
      <c r="U666" s="2" t="n"/>
    </row>
    <row r="667">
      <c r="A667" s="2" t="inlineStr">
        <is>
          <t>En plazo</t>
        </is>
      </c>
      <c r="B667" s="3" t="n">
        <v>46323.5</v>
      </c>
      <c r="C667" s="5" t="n">
        <v>653963.23</v>
      </c>
      <c r="D667" s="5" t="n">
        <v>653963.23</v>
      </c>
      <c r="E667" s="2" t="inlineStr">
        <is>
          <t>Comunitat Valenciana</t>
        </is>
      </c>
      <c r="F667" s="2" t="inlineStr">
        <is>
          <t>Alicante</t>
        </is>
      </c>
      <c r="G667" s="2" t="inlineStr">
        <is>
          <t>Almoradí</t>
        </is>
      </c>
      <c r="H667" s="2" t="inlineStr">
        <is>
          <t>Junta de Gobierno del Ayuntamiento de Almoradí</t>
        </is>
      </c>
      <c r="I667" s="2" t="inlineStr">
        <is>
          <t>Mejora de la accesibilidad y la escena urbana en el entorno del Teatro Cortés y Museo del Terremoto (Plan de Actuación Integrado PAI, cofinanciado con la Unión Europea - FEDER)</t>
        </is>
      </c>
      <c r="J667" s="2" t="inlineStr">
        <is>
          <t>6981/2026</t>
        </is>
      </c>
      <c r="K667" s="2" t="inlineStr">
        <is>
          <t>Abierto simplificado</t>
        </is>
      </c>
      <c r="L667" s="6" t="n">
        <v>5</v>
      </c>
      <c r="M667" s="2" t="n"/>
      <c r="N667" s="7" t="n">
        <v>0.25</v>
      </c>
      <c r="O667" s="4" t="n"/>
      <c r="P667" s="2" t="inlineStr">
        <is>
          <t>45233200; 45000000; 45111100; 45233140; 45233253; 45211360</t>
        </is>
      </c>
      <c r="Q667" s="8" t="inlineStr">
        <is>
          <t>Ver</t>
        </is>
      </c>
      <c r="R667" s="8" t="inlineStr">
        <is>
          <t>PCAP</t>
        </is>
      </c>
      <c r="S667" s="9" t="n">
        <v>46310</v>
      </c>
      <c r="T667" s="3" t="n">
        <v>46302.64556712963</v>
      </c>
      <c r="U667" s="2" t="n"/>
    </row>
    <row r="668">
      <c r="A668" s="2" t="inlineStr">
        <is>
          <t>En plazo</t>
        </is>
      </c>
      <c r="B668" s="3" t="n">
        <v>46324.58333333334</v>
      </c>
      <c r="C668" s="5" t="n">
        <v>131306.59</v>
      </c>
      <c r="D668" s="5" t="n">
        <v>131306.59</v>
      </c>
      <c r="E668" s="2" t="inlineStr">
        <is>
          <t>Comunitat Valenciana</t>
        </is>
      </c>
      <c r="F668" s="2" t="inlineStr">
        <is>
          <t>Valencia</t>
        </is>
      </c>
      <c r="G668" s="2" t="n"/>
      <c r="H668" s="2" t="inlineStr">
        <is>
          <t>Dirección General de la Ciudad de las Artes y de las Ciencias S.A.</t>
        </is>
      </c>
      <c r="I668" s="2" t="inlineStr">
        <is>
          <t>Contratación de la ejecución de las obras de reforma de los sistemas de presurización de las escaleras de evacuación de los edificios mediterráneo y templados/ tropicales Oceanogràfic Valencia</t>
        </is>
      </c>
      <c r="J668" s="2" t="inlineStr">
        <is>
          <t>0080-26</t>
        </is>
      </c>
      <c r="K668" s="2" t="inlineStr">
        <is>
          <t>Abierto simplificado</t>
        </is>
      </c>
      <c r="L668" s="6" t="n">
        <v>4</v>
      </c>
      <c r="M668" s="2" t="n"/>
      <c r="N668" s="7" t="n">
        <v>0</v>
      </c>
      <c r="O668" s="4" t="n"/>
      <c r="P668" s="2" t="inlineStr">
        <is>
          <t>45343200; 42521000; 45261420</t>
        </is>
      </c>
      <c r="Q668" s="8" t="inlineStr">
        <is>
          <t>Ver</t>
        </is>
      </c>
      <c r="R668" s="8" t="inlineStr">
        <is>
          <t>PCAP</t>
        </is>
      </c>
      <c r="S668" s="9" t="n">
        <v>46310</v>
      </c>
      <c r="T668" s="3" t="n">
        <v>46302.6440162037</v>
      </c>
      <c r="U668" s="2" t="n"/>
    </row>
    <row r="669">
      <c r="A669" s="2" t="inlineStr">
        <is>
          <t>En plazo</t>
        </is>
      </c>
      <c r="B669" s="3" t="n">
        <v>46317.79166666666</v>
      </c>
      <c r="C669" s="5" t="n">
        <v>56698.36</v>
      </c>
      <c r="D669" s="5" t="n">
        <v>56698.36</v>
      </c>
      <c r="E669" s="2" t="inlineStr">
        <is>
          <t>Comunitat Valenciana</t>
        </is>
      </c>
      <c r="F669" s="2" t="inlineStr">
        <is>
          <t>Valencia</t>
        </is>
      </c>
      <c r="G669" s="2" t="inlineStr">
        <is>
          <t>Catadau</t>
        </is>
      </c>
      <c r="H669" s="2" t="inlineStr">
        <is>
          <t>Alcaldia del Ayuntamiento de Catadau</t>
        </is>
      </c>
      <c r="I669" s="2" t="inlineStr">
        <is>
          <t>Contrato de obras de adecuación de camí Pucero dentro de las ayudas a entidades locales de acondicionamiento de caminos rurales.</t>
        </is>
      </c>
      <c r="J669" s="2" t="inlineStr">
        <is>
          <t>2997932W</t>
        </is>
      </c>
      <c r="K669" s="2" t="inlineStr">
        <is>
          <t>Abierto simplificado</t>
        </is>
      </c>
      <c r="L669" s="6" t="n">
        <v>1</v>
      </c>
      <c r="M669" s="2" t="n"/>
      <c r="N669" s="7" t="n">
        <v>0</v>
      </c>
      <c r="O669" s="4" t="n"/>
      <c r="P669" s="2" t="inlineStr">
        <is>
          <t>45233222; 45233160</t>
        </is>
      </c>
      <c r="Q669" s="8" t="inlineStr">
        <is>
          <t>Ver</t>
        </is>
      </c>
      <c r="R669" s="8" t="inlineStr">
        <is>
          <t>PCAP</t>
        </is>
      </c>
      <c r="S669" s="9" t="n">
        <v>46310</v>
      </c>
      <c r="T669" s="3" t="n">
        <v>46302.63158564815</v>
      </c>
      <c r="U669" s="2" t="n"/>
    </row>
    <row r="670">
      <c r="A670" s="2" t="inlineStr">
        <is>
          <t>Pendiente de adjudicación</t>
        </is>
      </c>
      <c r="B670" s="3" t="n">
        <v>46237.99930555555</v>
      </c>
      <c r="C670" s="5" t="n">
        <v>92434.46000000001</v>
      </c>
      <c r="D670" s="5" t="n">
        <v>92434.46000000001</v>
      </c>
      <c r="E670" s="2" t="inlineStr">
        <is>
          <t>Andalucía</t>
        </is>
      </c>
      <c r="F670" s="2" t="inlineStr">
        <is>
          <t>Córdoba</t>
        </is>
      </c>
      <c r="G670" s="2" t="n"/>
      <c r="H670" s="2" t="inlineStr">
        <is>
          <t>Junta de Gobierno del Ayuntamiento de Córdoba</t>
        </is>
      </c>
      <c r="I670" s="2" t="inlineStr">
        <is>
          <t>Obras de instalación de alumbrado público en aparcamiento calle Deán Francisco Javier de Córdoba</t>
        </is>
      </c>
      <c r="J670" s="2" t="inlineStr">
        <is>
          <t>2026/045</t>
        </is>
      </c>
      <c r="K670" s="2" t="inlineStr">
        <is>
          <t>Abierto</t>
        </is>
      </c>
      <c r="L670" s="6" t="n">
        <v>3</v>
      </c>
      <c r="M670" s="2" t="n"/>
      <c r="N670" s="7" t="n">
        <v>0</v>
      </c>
      <c r="O670" s="4" t="n"/>
      <c r="P670" s="2" t="inlineStr">
        <is>
          <t>45232200; 45316100; 45233222; 45316000</t>
        </is>
      </c>
      <c r="Q670" s="8" t="inlineStr">
        <is>
          <t>Ver</t>
        </is>
      </c>
      <c r="R670" s="8" t="inlineStr">
        <is>
          <t>PCAP</t>
        </is>
      </c>
      <c r="S670" s="9" t="n">
        <v>46310</v>
      </c>
      <c r="T670" s="3" t="n">
        <v>46302.62746527778</v>
      </c>
      <c r="U670" s="2" t="n"/>
    </row>
    <row r="671">
      <c r="A671" s="2" t="inlineStr">
        <is>
          <t>Pendiente de adjudicación</t>
        </is>
      </c>
      <c r="B671" s="3" t="n">
        <v>46267.99930555555</v>
      </c>
      <c r="C671" s="5" t="n">
        <v>103171.41</v>
      </c>
      <c r="D671" s="5" t="n">
        <v>103171.41</v>
      </c>
      <c r="E671" s="2" t="inlineStr">
        <is>
          <t>Andalucía</t>
        </is>
      </c>
      <c r="F671" s="2" t="inlineStr">
        <is>
          <t>Málaga</t>
        </is>
      </c>
      <c r="G671" s="2" t="n"/>
      <c r="H671" s="2" t="inlineStr">
        <is>
          <t>Alcaldía del Ayuntamiento de Istán</t>
        </is>
      </c>
      <c r="I671" s="2" t="inlineStr">
        <is>
          <t>El presente contrato tiene por objeto la ejecución de las obras correspondientes al Tramo II del proyecto de sustitución de la conducción que suministra agua a las urbanizaciones situadas al sur del término municipal de Istán.</t>
        </is>
      </c>
      <c r="J671" s="2" t="inlineStr">
        <is>
          <t>H405/2026</t>
        </is>
      </c>
      <c r="K671" s="2" t="inlineStr">
        <is>
          <t>Abierto simplificado</t>
        </is>
      </c>
      <c r="L671" s="6" t="n">
        <v>3</v>
      </c>
      <c r="M671" s="2" t="n"/>
      <c r="N671" s="7" t="n">
        <v>0</v>
      </c>
      <c r="O671" s="4" t="n"/>
      <c r="P671" s="2" t="inlineStr">
        <is>
          <t>45232150</t>
        </is>
      </c>
      <c r="Q671" s="8" t="inlineStr">
        <is>
          <t>Ver</t>
        </is>
      </c>
      <c r="R671" s="8" t="inlineStr">
        <is>
          <t>PCAP</t>
        </is>
      </c>
      <c r="S671" s="9" t="n">
        <v>46310</v>
      </c>
      <c r="T671" s="3" t="n">
        <v>46302.62054398148</v>
      </c>
      <c r="U671" s="2" t="n"/>
    </row>
    <row r="672">
      <c r="A672" s="2" t="inlineStr">
        <is>
          <t>Pendiente de adjudicación</t>
        </is>
      </c>
      <c r="B672" s="3" t="n">
        <v>46300.99930555555</v>
      </c>
      <c r="C672" s="5" t="n">
        <v>125202.86</v>
      </c>
      <c r="D672" s="5" t="n">
        <v>135219.09</v>
      </c>
      <c r="E672" s="2" t="inlineStr">
        <is>
          <t>Andalucía</t>
        </is>
      </c>
      <c r="F672" s="2" t="inlineStr">
        <is>
          <t>Sevilla</t>
        </is>
      </c>
      <c r="G672" s="2" t="inlineStr">
        <is>
          <t>Sevilla</t>
        </is>
      </c>
      <c r="H672" s="2" t="inlineStr">
        <is>
          <t>Junta de Gobierno del Ayuntamiento de Sevilla</t>
        </is>
      </c>
      <c r="I672" s="2" t="inlineStr">
        <is>
          <t>Obras para adecuación de sótano de la sede de la BANDA MUNICIPAL de Sevilla, ubicada en el Distrito Nervión de Sevilla</t>
        </is>
      </c>
      <c r="J672" s="2" t="inlineStr">
        <is>
          <t>2026/000776</t>
        </is>
      </c>
      <c r="K672" s="2" t="inlineStr">
        <is>
          <t>Abierto simplificado</t>
        </is>
      </c>
      <c r="L672" s="6" t="n">
        <v>4</v>
      </c>
      <c r="M672" s="2" t="n"/>
      <c r="N672" s="7" t="n">
        <v>0</v>
      </c>
      <c r="O672" s="4" t="n"/>
      <c r="P672" s="2" t="inlineStr">
        <is>
          <t>45000000</t>
        </is>
      </c>
      <c r="Q672" s="8" t="inlineStr">
        <is>
          <t>Ver</t>
        </is>
      </c>
      <c r="R672" s="8" t="inlineStr">
        <is>
          <t>PCAP</t>
        </is>
      </c>
      <c r="S672" s="9" t="n">
        <v>46310</v>
      </c>
      <c r="T672" s="3" t="n">
        <v>46302.6140162037</v>
      </c>
      <c r="U672" s="2" t="n"/>
    </row>
    <row r="673">
      <c r="A673" s="2" t="inlineStr">
        <is>
          <t>Resuelta</t>
        </is>
      </c>
      <c r="B673" s="3" t="n">
        <v>46279.41666666666</v>
      </c>
      <c r="C673" s="5" t="n">
        <v>38012.53</v>
      </c>
      <c r="D673" s="5" t="n">
        <v>38012.53</v>
      </c>
      <c r="E673" s="2" t="inlineStr">
        <is>
          <t>Comunitat Valenciana</t>
        </is>
      </c>
      <c r="F673" s="2" t="inlineStr">
        <is>
          <t>Castellón</t>
        </is>
      </c>
      <c r="G673" s="2" t="inlineStr">
        <is>
          <t>Gaibiel</t>
        </is>
      </c>
      <c r="H673" s="2" t="inlineStr">
        <is>
          <t>Alcaldía del Ayuntamiento de Gaibiel</t>
        </is>
      </c>
      <c r="I673" s="2" t="inlineStr">
        <is>
          <t>Obra de "adecuación y repavimentación de diversas calles de Gaibiel”</t>
        </is>
      </c>
      <c r="J673" s="2" t="inlineStr">
        <is>
          <t>170/2026</t>
        </is>
      </c>
      <c r="K673" s="2" t="inlineStr">
        <is>
          <t>Abierto simplificado</t>
        </is>
      </c>
      <c r="L673" s="6" t="n">
        <v>2</v>
      </c>
      <c r="M673" s="2" t="n"/>
      <c r="N673" s="7" t="n">
        <v>0</v>
      </c>
      <c r="O673" s="4" t="n"/>
      <c r="P673" s="2" t="inlineStr">
        <is>
          <t>45233252</t>
        </is>
      </c>
      <c r="Q673" s="8" t="inlineStr">
        <is>
          <t>Ver</t>
        </is>
      </c>
      <c r="R673" s="8" t="inlineStr">
        <is>
          <t>PCAP</t>
        </is>
      </c>
      <c r="S673" s="9" t="n">
        <v>46310</v>
      </c>
      <c r="T673" s="3" t="n">
        <v>46302.61098379629</v>
      </c>
      <c r="U673" s="2" t="n"/>
    </row>
    <row r="674">
      <c r="A674" s="2" t="inlineStr">
        <is>
          <t>Resuelta</t>
        </is>
      </c>
      <c r="B674" s="3" t="n">
        <v>46147.41666666666</v>
      </c>
      <c r="C674" s="5" t="n">
        <v>98268.14999999999</v>
      </c>
      <c r="D674" s="5" t="n">
        <v>98268.14999999999</v>
      </c>
      <c r="E674" s="2" t="inlineStr">
        <is>
          <t>Andalucía</t>
        </is>
      </c>
      <c r="F674" s="2" t="inlineStr">
        <is>
          <t>Cádiz</t>
        </is>
      </c>
      <c r="G674" s="2" t="n"/>
      <c r="H674" s="2" t="inlineStr">
        <is>
          <t>Comité Central de Compras de Navantia S.A., S.M.E.</t>
        </is>
      </c>
      <c r="I674"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674" s="2" t="inlineStr">
        <is>
          <t>5100063001-INSTALACION TORRES ALUMBRADO TBC Y TBP</t>
        </is>
      </c>
      <c r="K674" s="2" t="inlineStr">
        <is>
          <t>Normas internas</t>
        </is>
      </c>
      <c r="L674" s="6" t="n">
        <v>1.9</v>
      </c>
      <c r="M674" s="2" t="n"/>
      <c r="N674" s="7" t="n">
        <v>1</v>
      </c>
      <c r="O674" s="4" t="n"/>
      <c r="P674" s="2" t="inlineStr">
        <is>
          <t>45316100; 31527260; 31527200</t>
        </is>
      </c>
      <c r="Q674" s="8" t="inlineStr">
        <is>
          <t>Ver</t>
        </is>
      </c>
      <c r="R674" s="8" t="inlineStr">
        <is>
          <t>PCAP</t>
        </is>
      </c>
      <c r="S674" s="9" t="n">
        <v>46310</v>
      </c>
      <c r="T674" s="3" t="n">
        <v>46302.60949074074</v>
      </c>
      <c r="U674" s="2" t="n"/>
    </row>
    <row r="675">
      <c r="A675" s="2" t="inlineStr">
        <is>
          <t>Resuelta</t>
        </is>
      </c>
      <c r="B675" s="3" t="n">
        <v>46094.41666666666</v>
      </c>
      <c r="C675" s="5" t="n">
        <v>128000</v>
      </c>
      <c r="D675" s="5" t="n">
        <v>128000</v>
      </c>
      <c r="E675" s="2" t="inlineStr">
        <is>
          <t>Andalucía</t>
        </is>
      </c>
      <c r="F675" s="2" t="inlineStr">
        <is>
          <t>Cádiz</t>
        </is>
      </c>
      <c r="G675" s="2" t="n"/>
      <c r="H675" s="2" t="inlineStr">
        <is>
          <t>Comité Central de Compras de Navantia S.A., S.M.E.</t>
        </is>
      </c>
      <c r="I675" s="2" t="inlineStr">
        <is>
          <t>La presente licitación tiene por objeto la contratación del servicio de redacción de proyecto y ejecución de la obra del nuevo almacén náutico en el centro de trabajo de Navantia San Fernando.</t>
        </is>
      </c>
      <c r="J675" s="2" t="inlineStr">
        <is>
          <t>Proyecto y obra para nuevo almacén</t>
        </is>
      </c>
      <c r="K675" s="2" t="inlineStr">
        <is>
          <t>Normas internas</t>
        </is>
      </c>
      <c r="L675" s="6" t="n">
        <v>5</v>
      </c>
      <c r="M675" s="2" t="n"/>
      <c r="N675" s="7" t="n">
        <v>1</v>
      </c>
      <c r="O675" s="4" t="n"/>
      <c r="P675" s="2" t="inlineStr">
        <is>
          <t>45000000; 71242000; 71245000</t>
        </is>
      </c>
      <c r="Q675" s="8" t="inlineStr">
        <is>
          <t>Ver</t>
        </is>
      </c>
      <c r="R675" s="8" t="inlineStr">
        <is>
          <t>PCAP</t>
        </is>
      </c>
      <c r="S675" s="9" t="n">
        <v>46310</v>
      </c>
      <c r="T675" s="3" t="n">
        <v>46302.6066087963</v>
      </c>
      <c r="U675" s="2" t="n"/>
    </row>
    <row r="676">
      <c r="A676" s="2" t="inlineStr">
        <is>
          <t>En plazo</t>
        </is>
      </c>
      <c r="B676" s="3" t="n">
        <v>46329.79166666666</v>
      </c>
      <c r="C676" s="5" t="n">
        <v>1565254.69</v>
      </c>
      <c r="D676" s="5" t="n">
        <v>1565254.69</v>
      </c>
      <c r="E676" s="2" t="inlineStr">
        <is>
          <t>Andalucía</t>
        </is>
      </c>
      <c r="F676" s="2" t="inlineStr">
        <is>
          <t>Almería</t>
        </is>
      </c>
      <c r="G676" s="2" t="inlineStr">
        <is>
          <t>Almería</t>
        </is>
      </c>
      <c r="H676" s="2" t="inlineStr">
        <is>
          <t>Presidencia de la Autoridad Portuaria de Almería</t>
        </is>
      </c>
      <c r="I676" s="2" t="inlineStr">
        <is>
          <t>Obras de reforma de Pasarelas 2 y 3 en Puerto de Almería</t>
        </is>
      </c>
      <c r="J676" s="2" t="inlineStr">
        <is>
          <t>26/O/A/AL26</t>
        </is>
      </c>
      <c r="K676" s="2" t="inlineStr">
        <is>
          <t>Abierto</t>
        </is>
      </c>
      <c r="L676" s="6" t="n">
        <v>6</v>
      </c>
      <c r="M676" s="2" t="inlineStr">
        <is>
          <t>C3-4</t>
        </is>
      </c>
      <c r="N676" s="7" t="n">
        <v>0.25</v>
      </c>
      <c r="O676" s="4" t="n"/>
      <c r="P676" s="2" t="inlineStr">
        <is>
          <t>45223210; 45223100</t>
        </is>
      </c>
      <c r="Q676" s="8" t="inlineStr">
        <is>
          <t>Ver</t>
        </is>
      </c>
      <c r="R676" s="8" t="inlineStr">
        <is>
          <t>PCAP</t>
        </is>
      </c>
      <c r="S676" s="9" t="n">
        <v>46310</v>
      </c>
      <c r="T676" s="3" t="n">
        <v>46302.60652777777</v>
      </c>
      <c r="U676" s="2" t="n"/>
    </row>
    <row r="677">
      <c r="A677" s="2" t="inlineStr">
        <is>
          <t>En plazo</t>
        </is>
      </c>
      <c r="B677" s="3" t="n">
        <v>46325.99930555555</v>
      </c>
      <c r="C677" s="5" t="n">
        <v>92718.33</v>
      </c>
      <c r="D677" s="5" t="n">
        <v>92718.33</v>
      </c>
      <c r="E677" s="2" t="inlineStr">
        <is>
          <t>Comunitat Valenciana</t>
        </is>
      </c>
      <c r="F677" s="2" t="inlineStr">
        <is>
          <t>Valencia</t>
        </is>
      </c>
      <c r="G677" s="2" t="inlineStr">
        <is>
          <t>Novetlè</t>
        </is>
      </c>
      <c r="H677" s="2" t="inlineStr">
        <is>
          <t>Junta de Gobierno Local del Ayuntamiento de Novetlé</t>
        </is>
      </c>
      <c r="I677" s="2" t="inlineStr">
        <is>
          <t>Reurbanización calles Sant Josep y Sant Didac</t>
        </is>
      </c>
      <c r="J677" s="2" t="inlineStr">
        <is>
          <t>EXPEDIENTE 2874809Q</t>
        </is>
      </c>
      <c r="K677" s="2" t="inlineStr">
        <is>
          <t>Abierto simplificado</t>
        </is>
      </c>
      <c r="L677" s="6" t="n">
        <v>5</v>
      </c>
      <c r="M677" s="2" t="n"/>
      <c r="N677" s="7" t="n">
        <v>0</v>
      </c>
      <c r="O677" s="4" t="n"/>
      <c r="P677" s="2" t="inlineStr">
        <is>
          <t>45220000; 45231300; 45233252</t>
        </is>
      </c>
      <c r="Q677" s="8" t="inlineStr">
        <is>
          <t>Ver</t>
        </is>
      </c>
      <c r="R677" s="8" t="inlineStr">
        <is>
          <t>PCAP</t>
        </is>
      </c>
      <c r="S677" s="9" t="n">
        <v>46310</v>
      </c>
      <c r="T677" s="3" t="n">
        <v>46302.59822916667</v>
      </c>
      <c r="U677" s="2" t="n"/>
    </row>
    <row r="678">
      <c r="A678" s="2" t="inlineStr">
        <is>
          <t>Resuelta</t>
        </is>
      </c>
      <c r="B678" s="3" t="n">
        <v>46189.99930555555</v>
      </c>
      <c r="C678" s="5" t="n">
        <v>272139.76</v>
      </c>
      <c r="D678" s="5" t="n">
        <v>272139.76</v>
      </c>
      <c r="E678" s="2" t="inlineStr">
        <is>
          <t>Comunitat Valenciana</t>
        </is>
      </c>
      <c r="F678" s="2" t="inlineStr">
        <is>
          <t>Valencia</t>
        </is>
      </c>
      <c r="G678" s="2" t="n"/>
      <c r="H678" s="2" t="inlineStr">
        <is>
          <t>Alcaldía del Ayuntamiento de Quart de Poblet</t>
        </is>
      </c>
      <c r="I678" s="2" t="inlineStr">
        <is>
          <t>Proyecto de construcción de espacio de juego neuroinclusivo en Polideportivo Municipal de Quart de Poblet. Adenda, incluido dentro del Pla Obert d'inversions de la Diputación Provincial de Valencia 24-27",</t>
        </is>
      </c>
      <c r="J678" s="2" t="inlineStr">
        <is>
          <t>2688408A</t>
        </is>
      </c>
      <c r="K678" s="2" t="inlineStr">
        <is>
          <t>Abierto simplificado</t>
        </is>
      </c>
      <c r="L678" s="6" t="n">
        <v>3</v>
      </c>
      <c r="M678" s="2" t="n"/>
      <c r="N678" s="7" t="n">
        <v>0.25</v>
      </c>
      <c r="O678" s="4" t="n"/>
      <c r="P678" s="2" t="inlineStr">
        <is>
          <t>45212140; 37535200</t>
        </is>
      </c>
      <c r="Q678" s="8" t="inlineStr">
        <is>
          <t>Ver</t>
        </is>
      </c>
      <c r="R678" s="8" t="inlineStr">
        <is>
          <t>PCAP</t>
        </is>
      </c>
      <c r="S678" s="9" t="n">
        <v>46310</v>
      </c>
      <c r="T678" s="3" t="n">
        <v>46302.59681712963</v>
      </c>
      <c r="U678" s="2" t="n"/>
    </row>
    <row r="679">
      <c r="A679" s="2" t="inlineStr">
        <is>
          <t>En plazo</t>
        </is>
      </c>
      <c r="B679" s="3" t="n">
        <v>46328.58333333334</v>
      </c>
      <c r="C679" s="5" t="n">
        <v>814296.7</v>
      </c>
      <c r="D679" s="5" t="n">
        <v>814296.7</v>
      </c>
      <c r="E679" s="2" t="inlineStr">
        <is>
          <t>Comunitat Valenciana</t>
        </is>
      </c>
      <c r="F679" s="2" t="inlineStr">
        <is>
          <t>Valencia</t>
        </is>
      </c>
      <c r="G679" s="2" t="inlineStr">
        <is>
          <t>Turís</t>
        </is>
      </c>
      <c r="H679" s="2" t="inlineStr">
        <is>
          <t>Alcaldía del Ayuntamiento de Turis</t>
        </is>
      </c>
      <c r="I679" s="2" t="inlineStr">
        <is>
          <t>Urbanización calles perimetrales parcela nuevo CEIP</t>
        </is>
      </c>
      <c r="J679" s="2" t="inlineStr">
        <is>
          <t>3385/2026</t>
        </is>
      </c>
      <c r="K679" s="2" t="inlineStr">
        <is>
          <t>Abierto simplificado</t>
        </is>
      </c>
      <c r="L679" s="6" t="n">
        <v>5</v>
      </c>
      <c r="M679" s="2" t="n"/>
      <c r="N679" s="7" t="n">
        <v>0</v>
      </c>
      <c r="O679" s="4" t="n"/>
      <c r="P679" s="2" t="inlineStr">
        <is>
          <t>45233140</t>
        </is>
      </c>
      <c r="Q679" s="8" t="inlineStr">
        <is>
          <t>Ver</t>
        </is>
      </c>
      <c r="R679" s="8" t="inlineStr">
        <is>
          <t>PCAP</t>
        </is>
      </c>
      <c r="S679" s="9" t="n">
        <v>46310</v>
      </c>
      <c r="T679" s="3" t="n">
        <v>46302.59541666666</v>
      </c>
      <c r="U679" s="2" t="n"/>
    </row>
    <row r="680">
      <c r="A680" s="2" t="inlineStr">
        <is>
          <t>Adjudicada</t>
        </is>
      </c>
      <c r="B680" s="3" t="n">
        <v>46301.5</v>
      </c>
      <c r="C680" s="5" t="n">
        <v>115378.06</v>
      </c>
      <c r="D680" s="5" t="n">
        <v>115348.06</v>
      </c>
      <c r="E680" s="2" t="inlineStr">
        <is>
          <t>Comunitat Valenciana</t>
        </is>
      </c>
      <c r="F680" s="2" t="inlineStr">
        <is>
          <t>Valencia</t>
        </is>
      </c>
      <c r="G680" s="2" t="inlineStr">
        <is>
          <t>Quartell</t>
        </is>
      </c>
      <c r="H680" s="2" t="inlineStr">
        <is>
          <t>Alcaldía del Ayuntamiento de Quartell</t>
        </is>
      </c>
      <c r="I680" s="2" t="inlineStr">
        <is>
          <t>Obra: Restauración de la cubierta del Palacio de los Condes de Orbe y piniés</t>
        </is>
      </c>
      <c r="J680" s="2" t="inlineStr">
        <is>
          <t>851/2026 Restauracion Cubierta Palau (Fase 2.1)</t>
        </is>
      </c>
      <c r="K680" s="2" t="inlineStr">
        <is>
          <t>Abierto</t>
        </is>
      </c>
      <c r="L680" s="6" t="n">
        <v>3</v>
      </c>
      <c r="M680" s="2" t="n"/>
      <c r="N680" s="7" t="n">
        <v>0</v>
      </c>
      <c r="O680" s="4" t="n"/>
      <c r="P680" s="2" t="inlineStr">
        <is>
          <t>45212000; 45212300; 45212310</t>
        </is>
      </c>
      <c r="Q680" s="8" t="inlineStr">
        <is>
          <t>Ver</t>
        </is>
      </c>
      <c r="R680" s="8" t="inlineStr">
        <is>
          <t>PCAP</t>
        </is>
      </c>
      <c r="S680" s="9" t="n">
        <v>46310</v>
      </c>
      <c r="T680" s="3" t="n">
        <v>46302.59469907408</v>
      </c>
      <c r="U680" s="2" t="n"/>
    </row>
    <row r="681">
      <c r="A681" s="2" t="inlineStr">
        <is>
          <t>En plazo</t>
        </is>
      </c>
      <c r="B681" s="3" t="n">
        <v>46325.99930555555</v>
      </c>
      <c r="C681" s="5" t="n">
        <v>91319.32000000001</v>
      </c>
      <c r="D681" s="5" t="n">
        <v>91319.32000000001</v>
      </c>
      <c r="E681" s="2" t="inlineStr">
        <is>
          <t>Comunitat Valenciana</t>
        </is>
      </c>
      <c r="F681" s="2" t="inlineStr">
        <is>
          <t>Valencia</t>
        </is>
      </c>
      <c r="G681" s="2" t="inlineStr">
        <is>
          <t>Novetlè</t>
        </is>
      </c>
      <c r="H681" s="2" t="inlineStr">
        <is>
          <t>Junta de Gobierno Local del Ayuntamiento de Novetlé</t>
        </is>
      </c>
      <c r="I681" s="2" t="inlineStr">
        <is>
          <t>Circuito runner y vestuarios</t>
        </is>
      </c>
      <c r="J681" s="2" t="inlineStr">
        <is>
          <t>EXPEDIENTE 2762546W</t>
        </is>
      </c>
      <c r="K681" s="2" t="inlineStr">
        <is>
          <t>Abierto simplificado</t>
        </is>
      </c>
      <c r="L681" s="6" t="n">
        <v>6</v>
      </c>
      <c r="M681" s="2" t="n"/>
      <c r="N681" s="7" t="n">
        <v>0</v>
      </c>
      <c r="O681" s="4" t="n"/>
      <c r="P681" s="2" t="inlineStr">
        <is>
          <t>45200000</t>
        </is>
      </c>
      <c r="Q681" s="8" t="inlineStr">
        <is>
          <t>Ver</t>
        </is>
      </c>
      <c r="R681" s="8" t="inlineStr">
        <is>
          <t>PCAP</t>
        </is>
      </c>
      <c r="S681" s="9" t="n">
        <v>46310</v>
      </c>
      <c r="T681" s="3" t="n">
        <v>46302.59442129629</v>
      </c>
      <c r="U681" s="2" t="n"/>
    </row>
    <row r="682">
      <c r="A682" s="2" t="inlineStr">
        <is>
          <t>Resuelta</t>
        </is>
      </c>
      <c r="B682" s="3" t="n">
        <v>46237.99930555555</v>
      </c>
      <c r="C682" s="5" t="n">
        <v>226213.05</v>
      </c>
      <c r="D682" s="5" t="n">
        <v>226213.05</v>
      </c>
      <c r="E682" s="2" t="inlineStr">
        <is>
          <t>Comunitat Valenciana</t>
        </is>
      </c>
      <c r="F682" s="2" t="inlineStr">
        <is>
          <t>Alicante</t>
        </is>
      </c>
      <c r="G682" s="2" t="n"/>
      <c r="H682" s="2" t="inlineStr">
        <is>
          <t>Junta de Gobierno del Ayuntamiento de Elche</t>
        </is>
      </c>
      <c r="I682" s="2" t="inlineStr">
        <is>
          <t>Obras para Instalación de velas tensadas en varios colegios públicos de Elche</t>
        </is>
      </c>
      <c r="J682" s="2" t="inlineStr">
        <is>
          <t>OBR/ABR_SMPL/2026000057</t>
        </is>
      </c>
      <c r="K682" s="2" t="inlineStr">
        <is>
          <t>Abierto simplificado</t>
        </is>
      </c>
      <c r="L682" s="6" t="n">
        <v>2</v>
      </c>
      <c r="M682" s="2" t="n"/>
      <c r="N682" s="7" t="n">
        <v>0</v>
      </c>
      <c r="O682" s="4" t="n"/>
      <c r="P682" s="2" t="inlineStr">
        <is>
          <t>45210000; 45421144; 45255400; 45212190; 39522120</t>
        </is>
      </c>
      <c r="Q682" s="8" t="inlineStr">
        <is>
          <t>Ver</t>
        </is>
      </c>
      <c r="R682" s="8" t="inlineStr">
        <is>
          <t>PCAP</t>
        </is>
      </c>
      <c r="S682" s="9" t="n">
        <v>46310</v>
      </c>
      <c r="T682" s="3" t="n">
        <v>46302.59439814815</v>
      </c>
      <c r="U682" s="2" t="n"/>
    </row>
    <row r="683">
      <c r="A683" s="2" t="inlineStr">
        <is>
          <t>En plazo</t>
        </is>
      </c>
      <c r="B683" s="3" t="n">
        <v>46321.54166666666</v>
      </c>
      <c r="C683" s="5" t="n">
        <v>3837538.71</v>
      </c>
      <c r="D683" s="5" t="n">
        <v>4221292.58</v>
      </c>
      <c r="E683" s="2" t="inlineStr">
        <is>
          <t>Andalucía</t>
        </is>
      </c>
      <c r="F683" s="2" t="inlineStr">
        <is>
          <t>Sevilla</t>
        </is>
      </c>
      <c r="G683" s="2" t="n"/>
      <c r="H683" s="2" t="inlineStr">
        <is>
          <t>Gerencia de Sevilla Activa SAU</t>
        </is>
      </c>
      <c r="I683" s="2" t="inlineStr">
        <is>
          <t>Terminación de 50 Viviendas Protegidas</t>
        </is>
      </c>
      <c r="J683" s="2" t="inlineStr">
        <is>
          <t>A41420191-2026/000082-PaA</t>
        </is>
      </c>
      <c r="K683" s="2" t="inlineStr">
        <is>
          <t>Abierto</t>
        </is>
      </c>
      <c r="L683" s="6" t="n">
        <v>12</v>
      </c>
      <c r="M683" s="2" t="inlineStr">
        <is>
          <t>C*-5; G*-5; G6-4; C4-4</t>
        </is>
      </c>
      <c r="N683" s="7" t="n">
        <v>0.3</v>
      </c>
      <c r="O683" s="4" t="n"/>
      <c r="P683" s="2" t="inlineStr">
        <is>
          <t>45211000</t>
        </is>
      </c>
      <c r="Q683" s="8" t="inlineStr">
        <is>
          <t>Ver</t>
        </is>
      </c>
      <c r="R683" s="8" t="inlineStr">
        <is>
          <t>PCAP</t>
        </is>
      </c>
      <c r="S683" s="9" t="n">
        <v>46310</v>
      </c>
      <c r="T683" s="3" t="n">
        <v>46302.59185185185</v>
      </c>
      <c r="U683" s="2" t="n"/>
    </row>
    <row r="684">
      <c r="A684" s="2" t="inlineStr">
        <is>
          <t>En plazo</t>
        </is>
      </c>
      <c r="B684" s="3" t="n">
        <v>46322.99930555555</v>
      </c>
      <c r="C684" s="5" t="n">
        <v>94619</v>
      </c>
      <c r="D684" s="5" t="n">
        <v>94619</v>
      </c>
      <c r="E684" s="2" t="inlineStr">
        <is>
          <t>Comunitat Valenciana</t>
        </is>
      </c>
      <c r="F684" s="2" t="inlineStr">
        <is>
          <t>Valencia</t>
        </is>
      </c>
      <c r="G684" s="2" t="inlineStr">
        <is>
          <t>Ador</t>
        </is>
      </c>
      <c r="H684" s="2" t="inlineStr">
        <is>
          <t>Alcaldía del Ayuntamiento de Ador</t>
        </is>
      </c>
      <c r="I684" s="2" t="inlineStr">
        <is>
          <t>Segunda fase cerramiento fachadas en el frontón municipal de Ador</t>
        </is>
      </c>
      <c r="J684" s="2" t="inlineStr">
        <is>
          <t>713/2026</t>
        </is>
      </c>
      <c r="K684" s="2" t="inlineStr">
        <is>
          <t>Abierto simplificado</t>
        </is>
      </c>
      <c r="L684" s="6" t="n">
        <v>1.4</v>
      </c>
      <c r="M684" s="2" t="n"/>
      <c r="N684" s="7" t="n">
        <v>0</v>
      </c>
      <c r="O684" s="4" t="n"/>
      <c r="P684" s="2" t="inlineStr">
        <is>
          <t>45212220</t>
        </is>
      </c>
      <c r="Q684" s="8" t="inlineStr">
        <is>
          <t>Ver</t>
        </is>
      </c>
      <c r="R684" s="8" t="inlineStr">
        <is>
          <t>PCAP</t>
        </is>
      </c>
      <c r="S684" s="9" t="n">
        <v>46310</v>
      </c>
      <c r="T684" s="3" t="n">
        <v>46302.59159722222</v>
      </c>
      <c r="U684" s="2" t="n"/>
    </row>
    <row r="685">
      <c r="A685" s="2" t="inlineStr">
        <is>
          <t>En plazo</t>
        </is>
      </c>
      <c r="B685" s="3" t="n">
        <v>46325.99930555555</v>
      </c>
      <c r="C685" s="5" t="n">
        <v>46035.18</v>
      </c>
      <c r="D685" s="5" t="n">
        <v>46035.48</v>
      </c>
      <c r="E685" s="2" t="inlineStr">
        <is>
          <t>Comunitat Valenciana</t>
        </is>
      </c>
      <c r="F685" s="2" t="inlineStr">
        <is>
          <t>Valencia</t>
        </is>
      </c>
      <c r="G685" s="2" t="inlineStr">
        <is>
          <t>Novetlè</t>
        </is>
      </c>
      <c r="H685" s="2" t="inlineStr">
        <is>
          <t>Alcaldía del Ayuntamiento de Novetlé</t>
        </is>
      </c>
      <c r="I685" s="2" t="inlineStr">
        <is>
          <t>Desvío de conducción agua de riego por liberación de espacio para otras instalaciones</t>
        </is>
      </c>
      <c r="J685" s="2" t="inlineStr">
        <is>
          <t>EXPEDIENTE 2761974A</t>
        </is>
      </c>
      <c r="K685" s="2" t="inlineStr">
        <is>
          <t>Abierto simplificado</t>
        </is>
      </c>
      <c r="L685" s="6" t="n">
        <v>2</v>
      </c>
      <c r="M685" s="2" t="n"/>
      <c r="N685" s="7" t="n">
        <v>0</v>
      </c>
      <c r="O685" s="4" t="n"/>
      <c r="P685" s="2" t="inlineStr">
        <is>
          <t>45232121</t>
        </is>
      </c>
      <c r="Q685" s="8" t="inlineStr">
        <is>
          <t>Ver</t>
        </is>
      </c>
      <c r="R685" s="8" t="inlineStr">
        <is>
          <t>PCAP</t>
        </is>
      </c>
      <c r="S685" s="9" t="n">
        <v>46310</v>
      </c>
      <c r="T685" s="3" t="n">
        <v>46302.5909375</v>
      </c>
      <c r="U685" s="2" t="n"/>
    </row>
    <row r="686">
      <c r="A686" s="2" t="inlineStr">
        <is>
          <t>Adjudicada</t>
        </is>
      </c>
      <c r="B686" s="3" t="n">
        <v>46280.58333333334</v>
      </c>
      <c r="C686" s="5" t="n">
        <v>45228.93</v>
      </c>
      <c r="D686" s="5" t="n">
        <v>45228.93</v>
      </c>
      <c r="E686" s="2" t="inlineStr">
        <is>
          <t>Andalucía</t>
        </is>
      </c>
      <c r="F686" s="2" t="inlineStr">
        <is>
          <t>Sevilla</t>
        </is>
      </c>
      <c r="G686" s="2" t="n"/>
      <c r="H686" s="2" t="inlineStr">
        <is>
          <t>Alcaldia del Ayuntamiento de San Nicolás del Puerto</t>
        </is>
      </c>
      <c r="I686" s="2" t="inlineStr">
        <is>
          <t>PASA. Rehabilitación camino de los Parrales</t>
        </is>
      </c>
      <c r="J686" s="2" t="inlineStr">
        <is>
          <t>P4108800F-2026/000025-PAAB</t>
        </is>
      </c>
      <c r="K686" s="2" t="inlineStr">
        <is>
          <t>Abierto simplificado</t>
        </is>
      </c>
      <c r="L686" s="6" t="n">
        <v>2</v>
      </c>
      <c r="M686" s="2" t="n"/>
      <c r="N686" s="7" t="n">
        <v>0</v>
      </c>
      <c r="O686" s="4" t="n"/>
      <c r="P686" s="2" t="inlineStr">
        <is>
          <t>45233160</t>
        </is>
      </c>
      <c r="Q686" s="8" t="inlineStr">
        <is>
          <t>Ver</t>
        </is>
      </c>
      <c r="R686" s="8" t="inlineStr">
        <is>
          <t>PCAP</t>
        </is>
      </c>
      <c r="S686" s="9" t="n">
        <v>46310</v>
      </c>
      <c r="T686" s="3" t="n">
        <v>46302.58684027778</v>
      </c>
      <c r="U686" s="2" t="n"/>
    </row>
    <row r="687">
      <c r="A687" s="2" t="inlineStr">
        <is>
          <t>Pendiente de adjudicación</t>
        </is>
      </c>
      <c r="B687" s="3" t="n">
        <v>46146.41666666666</v>
      </c>
      <c r="C687" s="5" t="n">
        <v>121655.76</v>
      </c>
      <c r="D687" s="5" t="n">
        <v>121655.76</v>
      </c>
      <c r="E687" s="2" t="inlineStr">
        <is>
          <t>Andalucía</t>
        </is>
      </c>
      <c r="F687" s="2" t="inlineStr">
        <is>
          <t>Sevilla</t>
        </is>
      </c>
      <c r="G687" s="2" t="n"/>
      <c r="H687" s="2" t="inlineStr">
        <is>
          <t>Empresa de Transformación Agraria S.A.,S.M.E., M.P., (TRAGSA)</t>
        </is>
      </c>
      <c r="I687"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687" s="2" t="inlineStr">
        <is>
          <t>TSA0083257</t>
        </is>
      </c>
      <c r="K687" s="2" t="inlineStr">
        <is>
          <t>Abierto simplificado</t>
        </is>
      </c>
      <c r="L687" s="6" t="n">
        <v>2</v>
      </c>
      <c r="M687" s="2" t="n"/>
      <c r="N687" s="7" t="n">
        <v>0</v>
      </c>
      <c r="O687" s="4" t="n"/>
      <c r="P687" s="2" t="inlineStr">
        <is>
          <t>45240000</t>
        </is>
      </c>
      <c r="Q687" s="8" t="inlineStr">
        <is>
          <t>Ver</t>
        </is>
      </c>
      <c r="R687" s="8" t="inlineStr">
        <is>
          <t>PCAP</t>
        </is>
      </c>
      <c r="S687" s="9" t="n">
        <v>46310</v>
      </c>
      <c r="T687" s="3" t="n">
        <v>46302.58210648148</v>
      </c>
      <c r="U687" s="2" t="n"/>
    </row>
    <row r="688">
      <c r="A688" s="2" t="inlineStr">
        <is>
          <t>En plazo</t>
        </is>
      </c>
      <c r="B688" s="3" t="n">
        <v>46322.99930555555</v>
      </c>
      <c r="C688" s="5" t="n">
        <v>107438.02</v>
      </c>
      <c r="D688" s="5" t="n">
        <v>107438.02</v>
      </c>
      <c r="E688" s="2" t="inlineStr">
        <is>
          <t>Andalucía</t>
        </is>
      </c>
      <c r="F688" s="2" t="inlineStr">
        <is>
          <t>Cádiz</t>
        </is>
      </c>
      <c r="G688" s="2" t="inlineStr">
        <is>
          <t>Algodonales</t>
        </is>
      </c>
      <c r="H688" s="2" t="inlineStr">
        <is>
          <t>Alcaldía del Ayuntamiento de Algodonales</t>
        </is>
      </c>
      <c r="I688" s="2" t="inlineStr">
        <is>
          <t>El presente contrato tiene por objeto las obras necesarias para la adecuación de la zona de aparcamiento y evacuación de aguas pluviales en el campo de Fútbol 11.</t>
        </is>
      </c>
      <c r="J688" s="2" t="inlineStr">
        <is>
          <t>2026_11005_COAS_00004</t>
        </is>
      </c>
      <c r="K688" s="2" t="inlineStr">
        <is>
          <t>Abierto simplificado</t>
        </is>
      </c>
      <c r="L688" s="6" t="n">
        <v>6</v>
      </c>
      <c r="M688" s="2" t="n"/>
      <c r="N688" s="7" t="n">
        <v>0</v>
      </c>
      <c r="O688" s="4" t="n"/>
      <c r="P688" s="2" t="inlineStr">
        <is>
          <t>45000000; 45111200; 45233222</t>
        </is>
      </c>
      <c r="Q688" s="8" t="inlineStr">
        <is>
          <t>Ver</t>
        </is>
      </c>
      <c r="R688" s="8" t="inlineStr">
        <is>
          <t>PCAP</t>
        </is>
      </c>
      <c r="S688" s="9" t="n">
        <v>46310</v>
      </c>
      <c r="T688" s="3" t="n">
        <v>46302.57603009259</v>
      </c>
      <c r="U688" s="2" t="n"/>
    </row>
    <row r="689">
      <c r="A689" s="2" t="inlineStr">
        <is>
          <t>Pendiente de adjudicación</t>
        </is>
      </c>
      <c r="B689" s="3" t="n">
        <v>46217.99930555555</v>
      </c>
      <c r="C689" s="5" t="n">
        <v>733628.8</v>
      </c>
      <c r="D689" s="5" t="n">
        <v>733628.8</v>
      </c>
      <c r="E689" s="2" t="inlineStr">
        <is>
          <t>Comunitat Valenciana</t>
        </is>
      </c>
      <c r="F689" s="2" t="inlineStr">
        <is>
          <t>Valencia</t>
        </is>
      </c>
      <c r="G689" s="2" t="inlineStr">
        <is>
          <t>Valencia</t>
        </is>
      </c>
      <c r="H689" s="2" t="inlineStr">
        <is>
          <t>Rectorado de la Universitat Politècnica de València</t>
        </is>
      </c>
      <c r="I689" s="2" t="inlineStr">
        <is>
          <t>Obra de impermeabilización de la cubierta del edificio 8G norte y de las cubiertas de los casetones de la CPI en el campus de Vera de la Universitat Politècnica de València</t>
        </is>
      </c>
      <c r="J689" s="2" t="inlineStr">
        <is>
          <t>MY26/VICC/O/42</t>
        </is>
      </c>
      <c r="K689" s="2" t="inlineStr">
        <is>
          <t>Abierto</t>
        </is>
      </c>
      <c r="L689" s="6" t="n">
        <v>6</v>
      </c>
      <c r="M689" s="2" t="inlineStr">
        <is>
          <t>C1-3</t>
        </is>
      </c>
      <c r="N689" s="7" t="n">
        <v>0.45</v>
      </c>
      <c r="O689" s="4" t="n"/>
      <c r="P689" s="2" t="inlineStr">
        <is>
          <t>45261420</t>
        </is>
      </c>
      <c r="Q689" s="8" t="inlineStr">
        <is>
          <t>Ver</t>
        </is>
      </c>
      <c r="R689" s="2" t="n"/>
      <c r="S689" s="9" t="n">
        <v>46310</v>
      </c>
      <c r="T689" s="3" t="n">
        <v>46302.57342592593</v>
      </c>
      <c r="U689" s="2" t="n"/>
    </row>
    <row r="690">
      <c r="A690" s="2" t="inlineStr">
        <is>
          <t>En plazo</t>
        </is>
      </c>
      <c r="B690" s="3" t="n">
        <v>46322.79166666666</v>
      </c>
      <c r="C690" s="5" t="n">
        <v>73202.48</v>
      </c>
      <c r="D690" s="5" t="n">
        <v>73202.48</v>
      </c>
      <c r="E690" s="2" t="inlineStr">
        <is>
          <t>Comunitat Valenciana</t>
        </is>
      </c>
      <c r="F690" s="2" t="inlineStr">
        <is>
          <t>Valencia</t>
        </is>
      </c>
      <c r="G690" s="2" t="inlineStr">
        <is>
          <t>Corbera</t>
        </is>
      </c>
      <c r="H690" s="2" t="inlineStr">
        <is>
          <t>Alcaldía del Ayuntamiento de Corbera</t>
        </is>
      </c>
      <c r="I690" s="2" t="inlineStr">
        <is>
          <t>Proyecto de construcción de nuevos nichos al cementerio municipal.</t>
        </is>
      </c>
      <c r="J690" s="2" t="inlineStr">
        <is>
          <t>1517/2026</t>
        </is>
      </c>
      <c r="K690" s="2" t="inlineStr">
        <is>
          <t>Abierto simplificado</t>
        </is>
      </c>
      <c r="L690" s="6" t="n">
        <v>4</v>
      </c>
      <c r="M690" s="2" t="n"/>
      <c r="N690" s="7" t="n">
        <v>0</v>
      </c>
      <c r="O690" s="4" t="n"/>
      <c r="P690" s="2" t="inlineStr">
        <is>
          <t>45223800; 45000000; 45215400</t>
        </is>
      </c>
      <c r="Q690" s="8" t="inlineStr">
        <is>
          <t>Ver</t>
        </is>
      </c>
      <c r="R690" s="8" t="inlineStr">
        <is>
          <t>PCAP</t>
        </is>
      </c>
      <c r="S690" s="9" t="n">
        <v>46310</v>
      </c>
      <c r="T690" s="3" t="n">
        <v>46302.57260416666</v>
      </c>
      <c r="U690" s="2" t="n"/>
    </row>
    <row r="691">
      <c r="A691" s="2" t="inlineStr">
        <is>
          <t>En plazo</t>
        </is>
      </c>
      <c r="B691" s="3" t="n">
        <v>46325.58333333334</v>
      </c>
      <c r="C691" s="5" t="n">
        <v>1540129.68</v>
      </c>
      <c r="D691" s="5" t="n">
        <v>1540129.68</v>
      </c>
      <c r="E691" s="2" t="inlineStr">
        <is>
          <t>Andalucía</t>
        </is>
      </c>
      <c r="F691" s="2" t="inlineStr">
        <is>
          <t>Granada</t>
        </is>
      </c>
      <c r="G691" s="2" t="inlineStr">
        <is>
          <t>Granada</t>
        </is>
      </c>
      <c r="H691" s="2" t="inlineStr">
        <is>
          <t>Secretaría General de la Agencia Estatal Consejo Superior de Investigaciones Científicas</t>
        </is>
      </c>
      <c r="I691" s="2" t="inlineStr">
        <is>
          <t>Obras de nuevo edificio del Instituto de Astrofísica de Andalucía</t>
        </is>
      </c>
      <c r="J691" s="2" t="inlineStr">
        <is>
          <t>35349/26</t>
        </is>
      </c>
      <c r="K691" s="2" t="inlineStr">
        <is>
          <t>Abierto simplificado</t>
        </is>
      </c>
      <c r="L691" s="6" t="n">
        <v>12</v>
      </c>
      <c r="M691" s="2" t="n"/>
      <c r="N691" s="7" t="n">
        <v>0.25</v>
      </c>
      <c r="O691" s="4" t="n"/>
      <c r="P691" s="2" t="inlineStr">
        <is>
          <t>45214000; 45214600; 45213150</t>
        </is>
      </c>
      <c r="Q691" s="8" t="inlineStr">
        <is>
          <t>Ver</t>
        </is>
      </c>
      <c r="R691" s="8" t="inlineStr">
        <is>
          <t>PCAP</t>
        </is>
      </c>
      <c r="S691" s="9" t="n">
        <v>46310</v>
      </c>
      <c r="T691" s="3" t="n">
        <v>46302.57195601852</v>
      </c>
      <c r="U691" s="2" t="n"/>
    </row>
    <row r="692">
      <c r="A692" s="2" t="inlineStr">
        <is>
          <t>Pendiente de adjudicación</t>
        </is>
      </c>
      <c r="B692" s="3" t="n">
        <v>46279.99930555555</v>
      </c>
      <c r="C692" s="5" t="n">
        <v>82667.25999999999</v>
      </c>
      <c r="D692" s="5" t="n">
        <v>82667.25999999999</v>
      </c>
      <c r="E692" s="2" t="inlineStr">
        <is>
          <t>Andalucía</t>
        </is>
      </c>
      <c r="F692" s="2" t="inlineStr">
        <is>
          <t>Granada</t>
        </is>
      </c>
      <c r="G692" s="2" t="inlineStr">
        <is>
          <t>CHIMENEAS</t>
        </is>
      </c>
      <c r="H692" s="2" t="inlineStr">
        <is>
          <t>Presidencia de la Diputación Provincial de Granada</t>
        </is>
      </c>
      <c r="I692" s="2" t="inlineStr">
        <is>
          <t>2026/4/PPOYS-47/2 "Chimeneas, mejora del alumbrado público en Chimeneas"</t>
        </is>
      </c>
      <c r="J692" s="2" t="inlineStr">
        <is>
          <t>OB-061/26</t>
        </is>
      </c>
      <c r="K692" s="2" t="inlineStr">
        <is>
          <t>Abierto simplificado</t>
        </is>
      </c>
      <c r="L692" s="6" t="n">
        <v>4</v>
      </c>
      <c r="M692" s="2" t="inlineStr">
        <is>
          <t>G6-1; I1-1</t>
        </is>
      </c>
      <c r="N692" s="7" t="n">
        <v>0</v>
      </c>
      <c r="O692" s="4" t="n"/>
      <c r="P692" s="2" t="inlineStr">
        <is>
          <t>45316100</t>
        </is>
      </c>
      <c r="Q692" s="8" t="inlineStr">
        <is>
          <t>Ver</t>
        </is>
      </c>
      <c r="R692" s="8" t="inlineStr">
        <is>
          <t>PCAP</t>
        </is>
      </c>
      <c r="S692" s="9" t="n">
        <v>46310</v>
      </c>
      <c r="T692" s="3" t="n">
        <v>46302.57063657408</v>
      </c>
      <c r="U692" s="2" t="n"/>
    </row>
    <row r="693">
      <c r="A693" s="2" t="inlineStr">
        <is>
          <t>Pendiente de adjudicación</t>
        </is>
      </c>
      <c r="B693" s="3" t="n">
        <v>46244.99930555555</v>
      </c>
      <c r="C693" s="5" t="n">
        <v>2224067.77</v>
      </c>
      <c r="D693" s="5" t="n">
        <v>2224067.77</v>
      </c>
      <c r="E693" s="2" t="inlineStr">
        <is>
          <t>Andalucía</t>
        </is>
      </c>
      <c r="F693" s="2" t="inlineStr">
        <is>
          <t>Sevilla</t>
        </is>
      </c>
      <c r="G693" s="2" t="inlineStr">
        <is>
          <t>Marchena</t>
        </is>
      </c>
      <c r="H693" s="2" t="inlineStr">
        <is>
          <t>Pleno del Ayuntamiento de Marchena</t>
        </is>
      </c>
      <c r="I693" s="2" t="inlineStr">
        <is>
          <t>Restauración y puesta en valor de la Muralla Almohade y Palacio Ducal. Frente oriental de la Alcazaba Medieval. Marchena (Sevilla), a cargo de Fondos Propios Municipales, auxiliados por el FEAR de la Excma. Diputación Provincial de Sevilla.</t>
        </is>
      </c>
      <c r="J693" s="2" t="inlineStr">
        <is>
          <t>2026/CTT_01/000040</t>
        </is>
      </c>
      <c r="K693" s="2" t="inlineStr">
        <is>
          <t>Abierto</t>
        </is>
      </c>
      <c r="L693" s="6" t="n">
        <v>18</v>
      </c>
      <c r="M693" s="2" t="inlineStr">
        <is>
          <t>K4-1; K7-4; C3-1</t>
        </is>
      </c>
      <c r="N693" s="7" t="n">
        <v>0</v>
      </c>
      <c r="O693" s="4" t="n"/>
      <c r="P693" s="2" t="inlineStr">
        <is>
          <t>45000000; 45212350</t>
        </is>
      </c>
      <c r="Q693" s="8" t="inlineStr">
        <is>
          <t>Ver</t>
        </is>
      </c>
      <c r="R693" s="8" t="inlineStr">
        <is>
          <t>PCAP</t>
        </is>
      </c>
      <c r="S693" s="9" t="n">
        <v>46310</v>
      </c>
      <c r="T693" s="3" t="n">
        <v>46302.56998842592</v>
      </c>
      <c r="U693" s="2" t="n"/>
    </row>
    <row r="694">
      <c r="A694" s="2" t="inlineStr">
        <is>
          <t>Resuelta</t>
        </is>
      </c>
      <c r="B694" s="3" t="n">
        <v>46182.58333333334</v>
      </c>
      <c r="C694" s="5" t="n">
        <v>1032485.65</v>
      </c>
      <c r="D694" s="5" t="n">
        <v>1032485.65</v>
      </c>
      <c r="E694" s="2" t="inlineStr">
        <is>
          <t>Comunitat Valenciana</t>
        </is>
      </c>
      <c r="F694" s="2" t="inlineStr">
        <is>
          <t>Alicante</t>
        </is>
      </c>
      <c r="G694" s="2" t="inlineStr">
        <is>
          <t>Teulada</t>
        </is>
      </c>
      <c r="H694" s="2" t="inlineStr">
        <is>
          <t>Junta de Gobierno del Ayuntamiento de Teulada</t>
        </is>
      </c>
      <c r="I694" s="2" t="inlineStr">
        <is>
          <t>Ejecución de las obras "Aulario de 12 unidades para 1º y 2º ciclo de la etapa infantil en el Colegio Público CEIP San Vicente Ferrer de Teulada dentro del programa EDIFICANT de la Generalitat Valenciana" (terminación)</t>
        </is>
      </c>
      <c r="J694" s="2" t="inlineStr">
        <is>
          <t>3964/2026</t>
        </is>
      </c>
      <c r="K694" s="2" t="inlineStr">
        <is>
          <t>Negociado sin publicidad</t>
        </is>
      </c>
      <c r="L694" s="6" t="n">
        <v>4</v>
      </c>
      <c r="M694" s="2" t="inlineStr">
        <is>
          <t>B2-4</t>
        </is>
      </c>
      <c r="N694" s="7" t="n">
        <v>0.2</v>
      </c>
      <c r="O694" s="4" t="n"/>
      <c r="P694" s="2" t="inlineStr">
        <is>
          <t>45214200; 45214210</t>
        </is>
      </c>
      <c r="Q694" s="8" t="inlineStr">
        <is>
          <t>Ver</t>
        </is>
      </c>
      <c r="R694" s="8" t="inlineStr">
        <is>
          <t>PCAP</t>
        </is>
      </c>
      <c r="S694" s="9" t="n">
        <v>46310</v>
      </c>
      <c r="T694" s="3" t="n">
        <v>46302.56949074074</v>
      </c>
      <c r="U694" s="2" t="n"/>
    </row>
    <row r="695">
      <c r="A695" s="2" t="inlineStr">
        <is>
          <t>Pendiente de adjudicación</t>
        </is>
      </c>
      <c r="B695" s="3" t="n">
        <v>46275.99930555555</v>
      </c>
      <c r="C695" s="5" t="n">
        <v>26922.75</v>
      </c>
      <c r="D695" s="5" t="n">
        <v>26922.75</v>
      </c>
      <c r="E695" s="2" t="inlineStr">
        <is>
          <t>Andalucía</t>
        </is>
      </c>
      <c r="F695" s="2" t="inlineStr">
        <is>
          <t>Córdoba</t>
        </is>
      </c>
      <c r="G695" s="2" t="n"/>
      <c r="H695" s="2" t="inlineStr">
        <is>
          <t>Alcalde de Ayuntamiento de Puente Genil</t>
        </is>
      </c>
      <c r="I695" s="2" t="inlineStr">
        <is>
          <t>Las obras incluidas en la Memoria Técnica para el desarrollo del sistema de control y automatización en la piscina cubierta de Puente Genil (CÓRDOBA)</t>
        </is>
      </c>
      <c r="J695" s="2" t="inlineStr">
        <is>
          <t>27/2026</t>
        </is>
      </c>
      <c r="K695" s="2" t="inlineStr">
        <is>
          <t>Abierto simplificado</t>
        </is>
      </c>
      <c r="L695" s="6" t="n">
        <v>2</v>
      </c>
      <c r="M695" s="2" t="n"/>
      <c r="N695" s="7" t="n">
        <v>0</v>
      </c>
      <c r="O695" s="4" t="n"/>
      <c r="P695" s="2" t="inlineStr">
        <is>
          <t>45315100</t>
        </is>
      </c>
      <c r="Q695" s="8" t="inlineStr">
        <is>
          <t>Ver</t>
        </is>
      </c>
      <c r="R695" s="8" t="inlineStr">
        <is>
          <t>PCAP</t>
        </is>
      </c>
      <c r="S695" s="9" t="n">
        <v>46310</v>
      </c>
      <c r="T695" s="3" t="n">
        <v>46302.56890046296</v>
      </c>
      <c r="U695" s="2" t="n"/>
    </row>
    <row r="696">
      <c r="A696" s="2" t="inlineStr">
        <is>
          <t>Pendiente de adjudicación</t>
        </is>
      </c>
      <c r="B696" s="3" t="n">
        <v>46237.58333333334</v>
      </c>
      <c r="C696" s="5" t="n">
        <v>281922.66</v>
      </c>
      <c r="D696" s="5" t="n">
        <v>281922.66</v>
      </c>
      <c r="E696" s="2" t="inlineStr">
        <is>
          <t>Andalucía</t>
        </is>
      </c>
      <c r="F696" s="2" t="inlineStr">
        <is>
          <t>Sevilla</t>
        </is>
      </c>
      <c r="G696" s="2" t="inlineStr">
        <is>
          <t>Tomares</t>
        </is>
      </c>
      <c r="H696" s="2" t="inlineStr">
        <is>
          <t>Alcaldía del Ayuntamiento de Tomares</t>
        </is>
      </c>
      <c r="I696" s="2" t="inlineStr">
        <is>
          <t>Reurbanización aparcamientos Néstor Almendros, Tomares (Sevilla); Plan Provincial Sevilla 107</t>
        </is>
      </c>
      <c r="J696" s="2" t="inlineStr">
        <is>
          <t>12774/2025</t>
        </is>
      </c>
      <c r="K696" s="2" t="inlineStr">
        <is>
          <t>Abierto simplificado</t>
        </is>
      </c>
      <c r="L696" s="6" t="n">
        <v>6</v>
      </c>
      <c r="M696" s="2" t="n"/>
      <c r="N696" s="7" t="n">
        <v>0</v>
      </c>
      <c r="O696" s="4" t="n"/>
      <c r="P696" s="2" t="inlineStr">
        <is>
          <t>45233200; 45233252; 45112712</t>
        </is>
      </c>
      <c r="Q696" s="8" t="inlineStr">
        <is>
          <t>Ver</t>
        </is>
      </c>
      <c r="R696" s="8" t="inlineStr">
        <is>
          <t>PCAP</t>
        </is>
      </c>
      <c r="S696" s="9" t="n">
        <v>46310</v>
      </c>
      <c r="T696" s="3" t="n">
        <v>46302.56851851852</v>
      </c>
      <c r="U696" s="2" t="n"/>
    </row>
    <row r="697">
      <c r="A697" s="2" t="inlineStr">
        <is>
          <t>Resuelta</t>
        </is>
      </c>
      <c r="B697" s="3" t="n">
        <v>46294.41666666666</v>
      </c>
      <c r="C697" s="5" t="n">
        <v>63000</v>
      </c>
      <c r="D697" s="5" t="n">
        <v>63000</v>
      </c>
      <c r="E697" s="2" t="inlineStr">
        <is>
          <t>Andalucía</t>
        </is>
      </c>
      <c r="F697" s="2" t="inlineStr">
        <is>
          <t>Huelva</t>
        </is>
      </c>
      <c r="G697" s="2" t="n"/>
      <c r="H697" s="2" t="inlineStr">
        <is>
          <t>Empresa de Transformación Agraria S.A.,S.M.E., M.P., (TRAGSA)</t>
        </is>
      </c>
      <c r="I69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7" s="2" t="inlineStr">
        <is>
          <t>TSA0080057-263</t>
        </is>
      </c>
      <c r="K697" s="2" t="inlineStr">
        <is>
          <t>Abierto</t>
        </is>
      </c>
      <c r="L697" s="6" t="n">
        <v>8</v>
      </c>
      <c r="M697" s="2" t="n"/>
      <c r="N697" s="7" t="n">
        <v>0</v>
      </c>
      <c r="O697" s="4" t="n"/>
      <c r="P697" s="2" t="inlineStr">
        <is>
          <t>45500000</t>
        </is>
      </c>
      <c r="Q697" s="8" t="inlineStr">
        <is>
          <t>Ver</t>
        </is>
      </c>
      <c r="R697" s="8" t="inlineStr">
        <is>
          <t>PCAP</t>
        </is>
      </c>
      <c r="S697" s="9" t="n">
        <v>46310</v>
      </c>
      <c r="T697" s="3" t="n">
        <v>46302.56546296296</v>
      </c>
      <c r="U697" s="2" t="n"/>
    </row>
    <row r="698">
      <c r="A698" s="2" t="inlineStr">
        <is>
          <t>Pendiente de adjudicación</t>
        </is>
      </c>
      <c r="B698" s="3" t="n">
        <v>46286.99930555555</v>
      </c>
      <c r="C698" s="5" t="n">
        <v>157024.74</v>
      </c>
      <c r="D698" s="5" t="n">
        <v>157024.74</v>
      </c>
      <c r="E698" s="2" t="inlineStr">
        <is>
          <t>Comunitat Valenciana</t>
        </is>
      </c>
      <c r="F698" s="2" t="inlineStr">
        <is>
          <t>Valencia</t>
        </is>
      </c>
      <c r="G698" s="2" t="n"/>
      <c r="H698" s="2" t="inlineStr">
        <is>
          <t>Junta de Gobierno del Ayuntamiento de Alzira</t>
        </is>
      </c>
      <c r="I698" s="2" t="inlineStr">
        <is>
          <t>Peatonalización de la calle Bernat Montagud (fase 2)</t>
        </is>
      </c>
      <c r="J698" s="2" t="inlineStr">
        <is>
          <t>OC-7887/25</t>
        </is>
      </c>
      <c r="K698" s="2" t="inlineStr">
        <is>
          <t>Abierto simplificado</t>
        </is>
      </c>
      <c r="L698" s="6" t="n">
        <v>6</v>
      </c>
      <c r="M698" s="2" t="n"/>
      <c r="N698" s="7" t="n">
        <v>0</v>
      </c>
      <c r="O698" s="4" t="n"/>
      <c r="P698" s="2" t="inlineStr">
        <is>
          <t>45233252; 45112700</t>
        </is>
      </c>
      <c r="Q698" s="8" t="inlineStr">
        <is>
          <t>Ver</t>
        </is>
      </c>
      <c r="R698" s="8" t="inlineStr">
        <is>
          <t>PCAP</t>
        </is>
      </c>
      <c r="S698" s="9" t="n">
        <v>46310</v>
      </c>
      <c r="T698" s="3" t="n">
        <v>46302.56440972222</v>
      </c>
      <c r="U698" s="2" t="n"/>
    </row>
    <row r="699">
      <c r="A699" s="2" t="inlineStr">
        <is>
          <t>Resuelta</t>
        </is>
      </c>
      <c r="B699" s="3" t="n">
        <v>46294.41666666666</v>
      </c>
      <c r="C699" s="5" t="n">
        <v>63000</v>
      </c>
      <c r="D699" s="5" t="n">
        <v>63000</v>
      </c>
      <c r="E699" s="2" t="inlineStr">
        <is>
          <t>Andalucía</t>
        </is>
      </c>
      <c r="F699" s="2" t="inlineStr">
        <is>
          <t>Huelva</t>
        </is>
      </c>
      <c r="G699" s="2" t="n"/>
      <c r="H699" s="2" t="inlineStr">
        <is>
          <t>Empresa de Transformación Agraria S.A.,S.M.E., M.P., (TRAGSA)</t>
        </is>
      </c>
      <c r="I6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9" s="2" t="inlineStr">
        <is>
          <t>TSA0080057-262</t>
        </is>
      </c>
      <c r="K699" s="2" t="inlineStr">
        <is>
          <t>Abierto</t>
        </is>
      </c>
      <c r="L699" s="6" t="n">
        <v>8</v>
      </c>
      <c r="M699" s="2" t="n"/>
      <c r="N699" s="7" t="n">
        <v>0</v>
      </c>
      <c r="O699" s="4" t="n"/>
      <c r="P699" s="2" t="inlineStr">
        <is>
          <t>45500000</t>
        </is>
      </c>
      <c r="Q699" s="8" t="inlineStr">
        <is>
          <t>Ver</t>
        </is>
      </c>
      <c r="R699" s="8" t="inlineStr">
        <is>
          <t>PCAP</t>
        </is>
      </c>
      <c r="S699" s="9" t="n">
        <v>46310</v>
      </c>
      <c r="T699" s="3" t="n">
        <v>46302.56333333333</v>
      </c>
      <c r="U699" s="2" t="n"/>
    </row>
    <row r="700">
      <c r="A700" s="2" t="inlineStr">
        <is>
          <t>Adjudicada</t>
        </is>
      </c>
      <c r="B700" s="3" t="n">
        <v>46150.58333333334</v>
      </c>
      <c r="C700" s="5" t="n">
        <v>1495134.1</v>
      </c>
      <c r="D700" s="5" t="n">
        <v>1495134.1</v>
      </c>
      <c r="E700" s="2" t="inlineStr">
        <is>
          <t>Comunitat Valenciana</t>
        </is>
      </c>
      <c r="F700" s="2" t="inlineStr">
        <is>
          <t>Valencia</t>
        </is>
      </c>
      <c r="G700" s="2" t="n"/>
      <c r="H700" s="2" t="inlineStr">
        <is>
          <t>Empresa de Transformación Agraria S.A.,S.M.E., M.P., (TRAGSA)</t>
        </is>
      </c>
      <c r="I700" s="2" t="inlineStr">
        <is>
          <t>Fábricas de bloque y acondicionamiento de parcelas agrícolas en los municipios afectados por la DANA 2024 en las Comarcas de los Serranos, Utiel-Requena y la Ribera.</t>
        </is>
      </c>
      <c r="J700" s="2" t="inlineStr">
        <is>
          <t>TSA0082819</t>
        </is>
      </c>
      <c r="K700" s="2" t="inlineStr">
        <is>
          <t>Abierto simplificado</t>
        </is>
      </c>
      <c r="L700" s="6" t="n">
        <v>6</v>
      </c>
      <c r="M700" s="2" t="n"/>
      <c r="N700" s="7" t="n">
        <v>0</v>
      </c>
      <c r="O700" s="4" t="n">
        <v>3</v>
      </c>
      <c r="P700" s="2" t="inlineStr">
        <is>
          <t>45223820</t>
        </is>
      </c>
      <c r="Q700" s="8" t="inlineStr">
        <is>
          <t>Ver</t>
        </is>
      </c>
      <c r="R700" s="8" t="inlineStr">
        <is>
          <t>PCAP</t>
        </is>
      </c>
      <c r="S700" s="9" t="n">
        <v>46310</v>
      </c>
      <c r="T700" s="3" t="n">
        <v>46302.56118055555</v>
      </c>
      <c r="U700" s="2" t="n"/>
    </row>
    <row r="701">
      <c r="A701" s="2" t="inlineStr">
        <is>
          <t>En plazo</t>
        </is>
      </c>
      <c r="B701" s="3" t="n">
        <v>46331.99930555555</v>
      </c>
      <c r="C701" s="5" t="n">
        <v>2543636.15</v>
      </c>
      <c r="D701" s="5" t="n">
        <v>2543636.15</v>
      </c>
      <c r="E701" s="2" t="inlineStr">
        <is>
          <t>Andalucía</t>
        </is>
      </c>
      <c r="F701" s="2" t="inlineStr">
        <is>
          <t>Sevilla</t>
        </is>
      </c>
      <c r="G701" s="2" t="n"/>
      <c r="H701" s="2" t="inlineStr">
        <is>
          <t>Presidencia de la Diputación Provincial de Sevilla</t>
        </is>
      </c>
      <c r="I701" s="2" t="inlineStr">
        <is>
          <t>Obra para la mejora de la estación de bombeo de agua potable al Consorcio de Aguas Sierra Sur, nuevo depósito y sistemas antiariete, Osuna</t>
        </is>
      </c>
      <c r="J701" s="2" t="inlineStr">
        <is>
          <t>2026/000697-PAA</t>
        </is>
      </c>
      <c r="K701" s="2" t="inlineStr">
        <is>
          <t>Abierto</t>
        </is>
      </c>
      <c r="L701" s="6" t="n">
        <v>8</v>
      </c>
      <c r="M701" s="2" t="inlineStr">
        <is>
          <t>E1-5</t>
        </is>
      </c>
      <c r="N701" s="7" t="n">
        <v>0.25</v>
      </c>
      <c r="O701" s="4" t="n"/>
      <c r="P701" s="2" t="inlineStr">
        <is>
          <t>45213260; 45232152</t>
        </is>
      </c>
      <c r="Q701" s="8" t="inlineStr">
        <is>
          <t>Ver</t>
        </is>
      </c>
      <c r="R701" s="8" t="inlineStr">
        <is>
          <t>PCAP</t>
        </is>
      </c>
      <c r="S701" s="9" t="n">
        <v>46310</v>
      </c>
      <c r="T701" s="3" t="n">
        <v>46302.55922453704</v>
      </c>
      <c r="U701" s="2" t="n"/>
    </row>
    <row r="702">
      <c r="A702" s="2" t="inlineStr">
        <is>
          <t>Resuelta</t>
        </is>
      </c>
      <c r="B702" s="3" t="n">
        <v>46294.41666666666</v>
      </c>
      <c r="C702" s="5" t="n">
        <v>63000</v>
      </c>
      <c r="D702" s="5" t="n">
        <v>63000</v>
      </c>
      <c r="E702" s="2" t="inlineStr">
        <is>
          <t>Andalucía</t>
        </is>
      </c>
      <c r="F702" s="2" t="inlineStr">
        <is>
          <t>Huelva</t>
        </is>
      </c>
      <c r="G702" s="2" t="n"/>
      <c r="H702" s="2" t="inlineStr">
        <is>
          <t>Empresa de Transformación Agraria S.A.,S.M.E., M.P., (TRAGSA)</t>
        </is>
      </c>
      <c r="I70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2" s="2" t="inlineStr">
        <is>
          <t>TSA0080057-261</t>
        </is>
      </c>
      <c r="K702" s="2" t="inlineStr">
        <is>
          <t>Abierto</t>
        </is>
      </c>
      <c r="L702" s="6" t="n">
        <v>8</v>
      </c>
      <c r="M702" s="2" t="n"/>
      <c r="N702" s="7" t="n">
        <v>0</v>
      </c>
      <c r="O702" s="4" t="n"/>
      <c r="P702" s="2" t="inlineStr">
        <is>
          <t>45500000</t>
        </is>
      </c>
      <c r="Q702" s="8" t="inlineStr">
        <is>
          <t>Ver</t>
        </is>
      </c>
      <c r="R702" s="8" t="inlineStr">
        <is>
          <t>PCAP</t>
        </is>
      </c>
      <c r="S702" s="9" t="n">
        <v>46310</v>
      </c>
      <c r="T702" s="3" t="n">
        <v>46302.55869212963</v>
      </c>
      <c r="U702" s="2" t="n"/>
    </row>
    <row r="703">
      <c r="A703" s="2" t="inlineStr">
        <is>
          <t>En plazo</t>
        </is>
      </c>
      <c r="B703" s="3" t="n">
        <v>46322.99930555555</v>
      </c>
      <c r="C703" s="5" t="n">
        <v>194381.95</v>
      </c>
      <c r="D703" s="5" t="n">
        <v>194381.95</v>
      </c>
      <c r="E703" s="2" t="inlineStr">
        <is>
          <t>Comunitat Valenciana</t>
        </is>
      </c>
      <c r="F703" s="2" t="inlineStr">
        <is>
          <t>Valencia</t>
        </is>
      </c>
      <c r="G703" s="2" t="n"/>
      <c r="H703" s="2" t="inlineStr">
        <is>
          <t>Pleno del Ayuntamiento d'Almiserà</t>
        </is>
      </c>
      <c r="I703" s="2" t="inlineStr">
        <is>
          <t>Ampliación cementerio municipal de Almisera. Fase 1</t>
        </is>
      </c>
      <c r="J703" s="2" t="inlineStr">
        <is>
          <t>502/2026</t>
        </is>
      </c>
      <c r="K703" s="2" t="inlineStr">
        <is>
          <t>Abierto simplificado</t>
        </is>
      </c>
      <c r="L703" s="6" t="n">
        <v>4</v>
      </c>
      <c r="M703" s="2" t="n"/>
      <c r="N703" s="7" t="n">
        <v>0.25</v>
      </c>
      <c r="O703" s="4" t="n"/>
      <c r="P703" s="2" t="inlineStr">
        <is>
          <t>45215400; 45261000; 45220000; 45223000</t>
        </is>
      </c>
      <c r="Q703" s="8" t="inlineStr">
        <is>
          <t>Ver</t>
        </is>
      </c>
      <c r="R703" s="8" t="inlineStr">
        <is>
          <t>PCAP</t>
        </is>
      </c>
      <c r="S703" s="9" t="n">
        <v>46310</v>
      </c>
      <c r="T703" s="3" t="n">
        <v>46302.55758101852</v>
      </c>
      <c r="U703" s="2" t="n"/>
    </row>
    <row r="704">
      <c r="A704" s="2" t="inlineStr">
        <is>
          <t>Resuelta</t>
        </is>
      </c>
      <c r="B704" s="3" t="n">
        <v>46294.41666666666</v>
      </c>
      <c r="C704" s="5" t="n">
        <v>63000</v>
      </c>
      <c r="D704" s="5" t="n">
        <v>63000</v>
      </c>
      <c r="E704" s="2" t="inlineStr">
        <is>
          <t>Andalucía</t>
        </is>
      </c>
      <c r="F704" s="2" t="inlineStr">
        <is>
          <t>Huelva</t>
        </is>
      </c>
      <c r="G704" s="2" t="n"/>
      <c r="H704" s="2" t="inlineStr">
        <is>
          <t>Empresa de Transformación Agraria S.A.,S.M.E., M.P., (TRAGSA)</t>
        </is>
      </c>
      <c r="I70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4" s="2" t="inlineStr">
        <is>
          <t>TSA0080057-260</t>
        </is>
      </c>
      <c r="K704" s="2" t="inlineStr">
        <is>
          <t>Abierto</t>
        </is>
      </c>
      <c r="L704" s="6" t="n">
        <v>8</v>
      </c>
      <c r="M704" s="2" t="n"/>
      <c r="N704" s="7" t="n">
        <v>0</v>
      </c>
      <c r="O704" s="4" t="n"/>
      <c r="P704" s="2" t="inlineStr">
        <is>
          <t>45500000</t>
        </is>
      </c>
      <c r="Q704" s="8" t="inlineStr">
        <is>
          <t>Ver</t>
        </is>
      </c>
      <c r="R704" s="8" t="inlineStr">
        <is>
          <t>PCAP</t>
        </is>
      </c>
      <c r="S704" s="9" t="n">
        <v>46310</v>
      </c>
      <c r="T704" s="3" t="n">
        <v>46302.5552662037</v>
      </c>
      <c r="U704" s="2" t="n"/>
    </row>
    <row r="705">
      <c r="A705" s="2" t="inlineStr">
        <is>
          <t>Resuelta</t>
        </is>
      </c>
      <c r="B705" s="3" t="n">
        <v>46294.41666666666</v>
      </c>
      <c r="C705" s="5" t="n">
        <v>63000</v>
      </c>
      <c r="D705" s="5" t="n">
        <v>63000</v>
      </c>
      <c r="E705" s="2" t="inlineStr">
        <is>
          <t>Andalucía</t>
        </is>
      </c>
      <c r="F705" s="2" t="inlineStr">
        <is>
          <t>Huelva</t>
        </is>
      </c>
      <c r="G705" s="2" t="n"/>
      <c r="H705" s="2" t="inlineStr">
        <is>
          <t>Empresa de Transformación Agraria S.A.,S.M.E., M.P., (TRAGSA)</t>
        </is>
      </c>
      <c r="I7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5" s="2" t="inlineStr">
        <is>
          <t>TSA0080057-259</t>
        </is>
      </c>
      <c r="K705" s="2" t="inlineStr">
        <is>
          <t>Abierto</t>
        </is>
      </c>
      <c r="L705" s="6" t="n">
        <v>8</v>
      </c>
      <c r="M705" s="2" t="n"/>
      <c r="N705" s="7" t="n">
        <v>0</v>
      </c>
      <c r="O705" s="4" t="n"/>
      <c r="P705" s="2" t="inlineStr">
        <is>
          <t>45500000</t>
        </is>
      </c>
      <c r="Q705" s="8" t="inlineStr">
        <is>
          <t>Ver</t>
        </is>
      </c>
      <c r="R705" s="8" t="inlineStr">
        <is>
          <t>PCAP</t>
        </is>
      </c>
      <c r="S705" s="9" t="n">
        <v>46310</v>
      </c>
      <c r="T705" s="3" t="n">
        <v>46302.55335648148</v>
      </c>
      <c r="U705" s="2" t="n"/>
    </row>
    <row r="706">
      <c r="A706" s="2" t="inlineStr">
        <is>
          <t>Pendiente de adjudicación</t>
        </is>
      </c>
      <c r="B706" s="3" t="n">
        <v>46301.58333333334</v>
      </c>
      <c r="C706" s="5" t="n">
        <v>59476.8</v>
      </c>
      <c r="D706" s="5" t="n">
        <v>59476.8</v>
      </c>
      <c r="E706" s="2" t="inlineStr">
        <is>
          <t>Comunitat Valenciana</t>
        </is>
      </c>
      <c r="F706" s="2" t="inlineStr">
        <is>
          <t>Valencia</t>
        </is>
      </c>
      <c r="G706" s="2" t="n"/>
      <c r="H706" s="2" t="inlineStr">
        <is>
          <t>Alcaldía del Ayuntamiento de Alfarrasí</t>
        </is>
      </c>
      <c r="I706" s="2" t="inlineStr">
        <is>
          <t>Reforma de inmueble existente para cambio de uso a Centre Jove</t>
        </is>
      </c>
      <c r="J706" s="2" t="inlineStr">
        <is>
          <t>2440095X</t>
        </is>
      </c>
      <c r="K706" s="2" t="inlineStr">
        <is>
          <t>Abierto simplificado</t>
        </is>
      </c>
      <c r="L706" s="6" t="n">
        <v>6</v>
      </c>
      <c r="M706" s="2" t="n"/>
      <c r="N706" s="7" t="n"/>
      <c r="O706" s="4" t="n"/>
      <c r="P706" s="2" t="inlineStr">
        <is>
          <t>45000000; 45212000; 45210000</t>
        </is>
      </c>
      <c r="Q706" s="8" t="inlineStr">
        <is>
          <t>Ver</t>
        </is>
      </c>
      <c r="R706" s="8" t="inlineStr">
        <is>
          <t>PCAP</t>
        </is>
      </c>
      <c r="S706" s="9" t="n">
        <v>46310</v>
      </c>
      <c r="T706" s="3" t="n">
        <v>46302.55328703704</v>
      </c>
      <c r="U706" s="2" t="n"/>
    </row>
    <row r="707">
      <c r="A707" s="2" t="inlineStr">
        <is>
          <t>Pendiente de adjudicación</t>
        </is>
      </c>
      <c r="B707" s="3" t="n">
        <v>46288.99930555555</v>
      </c>
      <c r="C707" s="5" t="n">
        <v>396694.21</v>
      </c>
      <c r="D707" s="5" t="n">
        <v>396694.21</v>
      </c>
      <c r="E707" s="2" t="inlineStr">
        <is>
          <t>Andalucía</t>
        </is>
      </c>
      <c r="F707" s="2" t="inlineStr">
        <is>
          <t>Granada</t>
        </is>
      </c>
      <c r="G707" s="2" t="inlineStr">
        <is>
          <t>SANTA FE</t>
        </is>
      </c>
      <c r="H707" s="2" t="inlineStr">
        <is>
          <t>Presidencia de la Diputación Provincial de Granada</t>
        </is>
      </c>
      <c r="I707" s="2" t="inlineStr">
        <is>
          <t>2025/4/CUART-1 "Santa Fe, proyecto de reforma de cuartel del Guardia Civil"</t>
        </is>
      </c>
      <c r="J707" s="2" t="inlineStr">
        <is>
          <t>OB-034/26</t>
        </is>
      </c>
      <c r="K707" s="2" t="inlineStr">
        <is>
          <t>Abierto simplificado</t>
        </is>
      </c>
      <c r="L707" s="6" t="n">
        <v>8</v>
      </c>
      <c r="M707" s="2" t="inlineStr">
        <is>
          <t>C*-3</t>
        </is>
      </c>
      <c r="N707" s="7" t="n">
        <v>0</v>
      </c>
      <c r="O707" s="4" t="n"/>
      <c r="P707" s="2" t="inlineStr">
        <is>
          <t>45262700; 45453100; 45210000; 45300000</t>
        </is>
      </c>
      <c r="Q707" s="8" t="inlineStr">
        <is>
          <t>Ver</t>
        </is>
      </c>
      <c r="R707" s="8" t="inlineStr">
        <is>
          <t>PCAP</t>
        </is>
      </c>
      <c r="S707" s="9" t="n">
        <v>46310</v>
      </c>
      <c r="T707" s="3" t="n">
        <v>46302.55269675926</v>
      </c>
      <c r="U707" s="2" t="n"/>
    </row>
    <row r="708">
      <c r="A708" s="2" t="inlineStr">
        <is>
          <t>Adjudicada</t>
        </is>
      </c>
      <c r="B708" s="3" t="n">
        <v>46237.99930555555</v>
      </c>
      <c r="C708" s="5" t="n">
        <v>1652892.57</v>
      </c>
      <c r="D708" s="5" t="n">
        <v>702479.34</v>
      </c>
      <c r="E708" s="2" t="inlineStr">
        <is>
          <t>Comunitat Valenciana</t>
        </is>
      </c>
      <c r="F708" s="2" t="inlineStr">
        <is>
          <t>Valencia</t>
        </is>
      </c>
      <c r="G708" s="2" t="n"/>
      <c r="H708" s="2" t="inlineStr">
        <is>
          <t>Alcaldia del Ayuntamiento de Ontinyent</t>
        </is>
      </c>
      <c r="I708" s="2" t="inlineStr">
        <is>
          <t>Contratación de las obras del Plan de mejora de eficiencia urbana de Ontinyent</t>
        </is>
      </c>
      <c r="J708" s="2" t="inlineStr">
        <is>
          <t>2923165C</t>
        </is>
      </c>
      <c r="K708" s="2" t="inlineStr">
        <is>
          <t>Abierto simplificado</t>
        </is>
      </c>
      <c r="L708" s="6" t="n">
        <v>8</v>
      </c>
      <c r="M708" s="2" t="inlineStr">
        <is>
          <t>G6-4</t>
        </is>
      </c>
      <c r="N708" s="7" t="n">
        <v>0.25</v>
      </c>
      <c r="O708" s="4" t="n"/>
      <c r="P708" s="2" t="inlineStr">
        <is>
          <t>45233200; 45233222; 37535200; 45233223; 45233252; 45233251; 45236210</t>
        </is>
      </c>
      <c r="Q708" s="8" t="inlineStr">
        <is>
          <t>Ver</t>
        </is>
      </c>
      <c r="R708" s="8" t="inlineStr">
        <is>
          <t>PCAP</t>
        </is>
      </c>
      <c r="S708" s="9" t="n">
        <v>46310</v>
      </c>
      <c r="T708" s="3" t="n">
        <v>46302.55265046296</v>
      </c>
      <c r="U708" s="2" t="n"/>
    </row>
    <row r="709">
      <c r="A709" s="2" t="inlineStr">
        <is>
          <t>Resuelta</t>
        </is>
      </c>
      <c r="B709" s="3" t="n">
        <v>46202.99930555555</v>
      </c>
      <c r="C709" s="5" t="n">
        <v>82644.63</v>
      </c>
      <c r="D709" s="5" t="n">
        <v>82644.63</v>
      </c>
      <c r="E709" s="2" t="inlineStr">
        <is>
          <t>Andalucía</t>
        </is>
      </c>
      <c r="F709" s="2" t="inlineStr">
        <is>
          <t>Córdoba</t>
        </is>
      </c>
      <c r="G709" s="2" t="n"/>
      <c r="H709" s="2" t="inlineStr">
        <is>
          <t>Diputado delegado de Infraestructuras, Sostenibilidad y Agricultura</t>
        </is>
      </c>
      <c r="I709" s="2" t="inlineStr">
        <is>
          <t>Contrato de obra de mejora de accesibilidad de instalaciones deportivas de la piscina municipal en Adamuz (Córdoba). Obra incluida en el Plan de Humanización de Entornos Urbanos y Agenda Rural 2024-2027</t>
        </is>
      </c>
      <c r="J709" s="2" t="inlineStr">
        <is>
          <t>376/26</t>
        </is>
      </c>
      <c r="K709" s="2" t="inlineStr">
        <is>
          <t>Abierto</t>
        </is>
      </c>
      <c r="L709" s="6" t="n">
        <v>3</v>
      </c>
      <c r="M709" s="2" t="n"/>
      <c r="N709" s="7" t="n">
        <v>0.25</v>
      </c>
      <c r="O709" s="4" t="n"/>
      <c r="P709" s="2" t="inlineStr">
        <is>
          <t>45200000</t>
        </is>
      </c>
      <c r="Q709" s="8" t="inlineStr">
        <is>
          <t>Ver</t>
        </is>
      </c>
      <c r="R709" s="8" t="inlineStr">
        <is>
          <t>PCAP</t>
        </is>
      </c>
      <c r="S709" s="9" t="n">
        <v>46310</v>
      </c>
      <c r="T709" s="3" t="n">
        <v>46302.55195601852</v>
      </c>
      <c r="U709" s="2" t="n"/>
    </row>
    <row r="710">
      <c r="A710" s="2" t="inlineStr">
        <is>
          <t>Resuelta</t>
        </is>
      </c>
      <c r="B710" s="3" t="n">
        <v>46294.41666666666</v>
      </c>
      <c r="C710" s="5" t="n">
        <v>63000</v>
      </c>
      <c r="D710" s="5" t="n">
        <v>63000</v>
      </c>
      <c r="E710" s="2" t="inlineStr">
        <is>
          <t>Andalucía</t>
        </is>
      </c>
      <c r="F710" s="2" t="inlineStr">
        <is>
          <t>Huelva</t>
        </is>
      </c>
      <c r="G710" s="2" t="n"/>
      <c r="H710" s="2" t="inlineStr">
        <is>
          <t>Empresa de Transformación Agraria S.A.,S.M.E., M.P., (TRAGSA)</t>
        </is>
      </c>
      <c r="I71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0" s="2" t="inlineStr">
        <is>
          <t>TSA0080057-258</t>
        </is>
      </c>
      <c r="K710" s="2" t="inlineStr">
        <is>
          <t>Abierto</t>
        </is>
      </c>
      <c r="L710" s="6" t="n">
        <v>8</v>
      </c>
      <c r="M710" s="2" t="n"/>
      <c r="N710" s="7" t="n">
        <v>0</v>
      </c>
      <c r="O710" s="4" t="n"/>
      <c r="P710" s="2" t="inlineStr">
        <is>
          <t>45500000</t>
        </is>
      </c>
      <c r="Q710" s="8" t="inlineStr">
        <is>
          <t>Ver</t>
        </is>
      </c>
      <c r="R710" s="8" t="inlineStr">
        <is>
          <t>PCAP</t>
        </is>
      </c>
      <c r="S710" s="9" t="n">
        <v>46310</v>
      </c>
      <c r="T710" s="3" t="n">
        <v>46302.55006944444</v>
      </c>
      <c r="U710" s="2" t="n"/>
    </row>
    <row r="711">
      <c r="A711" s="2" t="inlineStr">
        <is>
          <t>Adjudicada</t>
        </is>
      </c>
      <c r="B711" s="3" t="n">
        <v>46290.41666666666</v>
      </c>
      <c r="C711" s="5" t="n">
        <v>141802.81</v>
      </c>
      <c r="D711" s="5" t="n">
        <v>141802.81</v>
      </c>
      <c r="E711" s="2" t="inlineStr">
        <is>
          <t>Comunitat Valenciana</t>
        </is>
      </c>
      <c r="F711" s="2" t="inlineStr">
        <is>
          <t>Castellón</t>
        </is>
      </c>
      <c r="G711" s="2" t="inlineStr">
        <is>
          <t>Gaibiel</t>
        </is>
      </c>
      <c r="H711" s="2" t="inlineStr">
        <is>
          <t>Pleno del Ayuntamiento de Gaibiel</t>
        </is>
      </c>
      <c r="I711" s="2" t="inlineStr">
        <is>
          <t>Obra "renovación de la red de abastecimiento y acondicionamiento de la calle Cueva Santa, Calle Pastora y diversas calles de Gaibiel”</t>
        </is>
      </c>
      <c r="J711" s="2" t="inlineStr">
        <is>
          <t>165/2026</t>
        </is>
      </c>
      <c r="K711" s="2" t="inlineStr">
        <is>
          <t>Abierto simplificado</t>
        </is>
      </c>
      <c r="L711" s="6" t="n">
        <v>2</v>
      </c>
      <c r="M711" s="2" t="n"/>
      <c r="N711" s="7" t="n">
        <v>0</v>
      </c>
      <c r="O711" s="4" t="n"/>
      <c r="P711" s="2" t="inlineStr">
        <is>
          <t>45233252; 45232410; 44162500</t>
        </is>
      </c>
      <c r="Q711" s="8" t="inlineStr">
        <is>
          <t>Ver</t>
        </is>
      </c>
      <c r="R711" s="8" t="inlineStr">
        <is>
          <t>PCAP</t>
        </is>
      </c>
      <c r="S711" s="9" t="n">
        <v>46310</v>
      </c>
      <c r="T711" s="3" t="n">
        <v>46302.55002314815</v>
      </c>
      <c r="U711" s="2" t="n"/>
    </row>
    <row r="712">
      <c r="A712" s="2" t="inlineStr">
        <is>
          <t>Pendiente de adjudicación</t>
        </is>
      </c>
      <c r="B712" s="3" t="n">
        <v>46224.99930555555</v>
      </c>
      <c r="C712" s="5" t="n">
        <v>134581.21</v>
      </c>
      <c r="D712" s="5" t="n">
        <v>134581.21</v>
      </c>
      <c r="E712" s="2" t="inlineStr">
        <is>
          <t>Andalucía</t>
        </is>
      </c>
      <c r="F712" s="2" t="inlineStr">
        <is>
          <t>Huelva</t>
        </is>
      </c>
      <c r="G712" s="2" t="n"/>
      <c r="H712" s="2" t="inlineStr">
        <is>
          <t>Rectorado de la Universidad de Huelva</t>
        </is>
      </c>
      <c r="I712" s="2" t="inlineStr">
        <is>
          <t>Obras de impermeabilización de la cubierta del Pabellón Príncipe de Asturias de la Universidad de Huelva.</t>
        </is>
      </c>
      <c r="J712" s="2" t="inlineStr">
        <is>
          <t>O-10-26</t>
        </is>
      </c>
      <c r="K712" s="2" t="inlineStr">
        <is>
          <t>Abierto simplificado</t>
        </is>
      </c>
      <c r="L712" s="6" t="n">
        <v>2</v>
      </c>
      <c r="M712" s="2" t="n"/>
      <c r="N712" s="7" t="n">
        <v>0.25</v>
      </c>
      <c r="O712" s="4" t="n"/>
      <c r="P712" s="2" t="inlineStr">
        <is>
          <t>45261220</t>
        </is>
      </c>
      <c r="Q712" s="8" t="inlineStr">
        <is>
          <t>Ver</t>
        </is>
      </c>
      <c r="R712" s="8" t="inlineStr">
        <is>
          <t>PCAP</t>
        </is>
      </c>
      <c r="S712" s="9" t="n">
        <v>46310</v>
      </c>
      <c r="T712" s="3" t="n">
        <v>46302.54732638889</v>
      </c>
      <c r="U712" s="2" t="n"/>
    </row>
    <row r="713">
      <c r="A713" s="2" t="inlineStr">
        <is>
          <t>En plazo</t>
        </is>
      </c>
      <c r="B713" s="3" t="n">
        <v>48099.58333333334</v>
      </c>
      <c r="C713" s="5" t="n">
        <v>3000000</v>
      </c>
      <c r="D713" s="5" t="n">
        <v>3000000</v>
      </c>
      <c r="E713" s="2" t="inlineStr">
        <is>
          <t>Andalucía</t>
        </is>
      </c>
      <c r="F713" s="2" t="inlineStr">
        <is>
          <t>Córdoba</t>
        </is>
      </c>
      <c r="G713" s="2" t="inlineStr">
        <is>
          <t>Córdoba</t>
        </is>
      </c>
      <c r="H713" s="2" t="inlineStr">
        <is>
          <t>Consejo de Administración de la Empresa Municipal de Aguas de Córdoba, S.A. (EMACSA)</t>
        </is>
      </c>
      <c r="I713" s="2" t="inlineStr">
        <is>
          <t>Sistema dinámico de adquisición de obras en redes e instalaciones para la Empresa Municipal de Aguas de Córdoba, S.A.</t>
        </is>
      </c>
      <c r="J713" s="2" t="inlineStr">
        <is>
          <t>SDA32/2026</t>
        </is>
      </c>
      <c r="K713" s="2" t="inlineStr">
        <is>
          <t>Restringido</t>
        </is>
      </c>
      <c r="L713" s="6" t="n"/>
      <c r="M713" s="2" t="n"/>
      <c r="N713" s="7" t="n">
        <v>0</v>
      </c>
      <c r="O713" s="4" t="n">
        <v>2</v>
      </c>
      <c r="P713" s="2" t="inlineStr">
        <is>
          <t>45231110; 45232152; 45252100; 45231300; 45232423; 45232411; 45252120; 45232150; 45232400; 45232410; 45232151</t>
        </is>
      </c>
      <c r="Q713" s="8" t="inlineStr">
        <is>
          <t>Ver</t>
        </is>
      </c>
      <c r="R713" s="8" t="inlineStr">
        <is>
          <t>PCAP</t>
        </is>
      </c>
      <c r="S713" s="9" t="n">
        <v>46310</v>
      </c>
      <c r="T713" s="3" t="n">
        <v>46302.54614583333</v>
      </c>
      <c r="U713" s="2" t="n"/>
    </row>
    <row r="714">
      <c r="A714" s="2" t="inlineStr">
        <is>
          <t>En plazo</t>
        </is>
      </c>
      <c r="B714" s="3" t="n">
        <v>46323.58333333334</v>
      </c>
      <c r="C714" s="5" t="n">
        <v>235206.8</v>
      </c>
      <c r="D714" s="5" t="n">
        <v>235206.8</v>
      </c>
      <c r="E714" s="2" t="inlineStr">
        <is>
          <t>Comunitat Valenciana</t>
        </is>
      </c>
      <c r="F714" s="2" t="inlineStr">
        <is>
          <t>Valencia</t>
        </is>
      </c>
      <c r="G714" s="2" t="n"/>
      <c r="H714" s="2" t="inlineStr">
        <is>
          <t>Empresa de Transformación Agraria S.A.,S.M.E., M.P., (TRAGSA)</t>
        </is>
      </c>
      <c r="I714" s="2" t="inlineStr">
        <is>
          <t>UT2 Obras de asfaltado mediante mezclas bituminosas en caliente para el proyecto de obras ambientales y de modernización de Regadíos de la Acequia Real del Júcar. redes de distribución sectores 26 y 33. TT.MM. de Alginet, Algemesí y Sollana (Valencia).</t>
        </is>
      </c>
      <c r="J714" s="2" t="inlineStr">
        <is>
          <t>TSA0084229</t>
        </is>
      </c>
      <c r="K714" s="2" t="inlineStr">
        <is>
          <t>Abierto simplificado</t>
        </is>
      </c>
      <c r="L714" s="6" t="n">
        <v>12</v>
      </c>
      <c r="M714" s="2" t="inlineStr">
        <is>
          <t>G4-2</t>
        </is>
      </c>
      <c r="N714" s="7" t="n">
        <v>0</v>
      </c>
      <c r="O714" s="4" t="n"/>
      <c r="P714" s="2" t="inlineStr">
        <is>
          <t>45233222</t>
        </is>
      </c>
      <c r="Q714" s="8" t="inlineStr">
        <is>
          <t>Ver</t>
        </is>
      </c>
      <c r="R714" s="8" t="inlineStr">
        <is>
          <t>PCAP</t>
        </is>
      </c>
      <c r="S714" s="9" t="n">
        <v>46310</v>
      </c>
      <c r="T714" s="3" t="n">
        <v>46302.54582175926</v>
      </c>
      <c r="U714" s="2" t="n"/>
    </row>
    <row r="715">
      <c r="A715" s="2" t="inlineStr">
        <is>
          <t>En plazo</t>
        </is>
      </c>
      <c r="B715" s="3" t="n">
        <v>46322.58333333334</v>
      </c>
      <c r="C715" s="5" t="n">
        <v>141825.96</v>
      </c>
      <c r="D715" s="5" t="n">
        <v>141825.96</v>
      </c>
      <c r="E715" s="2" t="inlineStr">
        <is>
          <t>Comunitat Valenciana</t>
        </is>
      </c>
      <c r="F715" s="2" t="inlineStr">
        <is>
          <t>Valencia</t>
        </is>
      </c>
      <c r="G715" s="2" t="inlineStr">
        <is>
          <t>Tuéjar</t>
        </is>
      </c>
      <c r="H715" s="2" t="inlineStr">
        <is>
          <t>Alcaldía del Ayuntamiento de Tuéjar</t>
        </is>
      </c>
      <c r="I715"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715" s="2" t="inlineStr">
        <is>
          <t>420/2026</t>
        </is>
      </c>
      <c r="K715" s="2" t="inlineStr">
        <is>
          <t>Abierto simplificado</t>
        </is>
      </c>
      <c r="L715" s="6" t="n">
        <v>4.2</v>
      </c>
      <c r="M715" s="2" t="n"/>
      <c r="N715" s="7" t="n">
        <v>0</v>
      </c>
      <c r="O715" s="4" t="n"/>
      <c r="P715" s="2" t="inlineStr">
        <is>
          <t>45212290</t>
        </is>
      </c>
      <c r="Q715" s="8" t="inlineStr">
        <is>
          <t>Ver</t>
        </is>
      </c>
      <c r="R715" s="8" t="inlineStr">
        <is>
          <t>PCAP</t>
        </is>
      </c>
      <c r="S715" s="9" t="n">
        <v>46310</v>
      </c>
      <c r="T715" s="3" t="n">
        <v>46302.54241898148</v>
      </c>
      <c r="U715" s="2" t="n"/>
    </row>
    <row r="716">
      <c r="A716" s="2" t="inlineStr">
        <is>
          <t>En plazo</t>
        </is>
      </c>
      <c r="B716" s="3" t="n">
        <v>46322.99930555555</v>
      </c>
      <c r="C716" s="5" t="n">
        <v>1408264.46</v>
      </c>
      <c r="D716" s="5" t="n">
        <v>1408264.46</v>
      </c>
      <c r="E716" s="2" t="inlineStr">
        <is>
          <t>Andalucía</t>
        </is>
      </c>
      <c r="F716" s="2" t="inlineStr">
        <is>
          <t>Almería</t>
        </is>
      </c>
      <c r="G716" s="2" t="n"/>
      <c r="H716" s="2" t="inlineStr">
        <is>
          <t>Junta de Gobierno de la Diputación Provincial de Almería</t>
        </is>
      </c>
      <c r="I716" s="2" t="inlineStr">
        <is>
          <t>Obras De Urbanización Para Un Complejo Deportivo. Vera 72PPOS24-27BI</t>
        </is>
      </c>
      <c r="J716" s="2" t="inlineStr">
        <is>
          <t>2026/D31000/006-013/00078</t>
        </is>
      </c>
      <c r="K716" s="2" t="inlineStr">
        <is>
          <t>Abierto simplificado</t>
        </is>
      </c>
      <c r="L716" s="6" t="n">
        <v>12.2</v>
      </c>
      <c r="M716" s="2" t="inlineStr">
        <is>
          <t>G6-4</t>
        </is>
      </c>
      <c r="N716" s="7" t="n">
        <v>0.25</v>
      </c>
      <c r="O716" s="4" t="n"/>
      <c r="P716" s="2" t="inlineStr">
        <is>
          <t>45233200</t>
        </is>
      </c>
      <c r="Q716" s="8" t="inlineStr">
        <is>
          <t>Ver</t>
        </is>
      </c>
      <c r="R716" s="8" t="inlineStr">
        <is>
          <t>PCAP</t>
        </is>
      </c>
      <c r="S716" s="9" t="n">
        <v>46310</v>
      </c>
      <c r="T716" s="3" t="n">
        <v>46302.53921296296</v>
      </c>
      <c r="U716" s="2" t="n"/>
    </row>
    <row r="717">
      <c r="A717" s="2" t="inlineStr">
        <is>
          <t>Resuelta</t>
        </is>
      </c>
      <c r="B717" s="3" t="n">
        <v>46294.41666666666</v>
      </c>
      <c r="C717" s="5" t="n">
        <v>63000</v>
      </c>
      <c r="D717" s="5" t="n">
        <v>63000</v>
      </c>
      <c r="E717" s="2" t="inlineStr">
        <is>
          <t>Andalucía</t>
        </is>
      </c>
      <c r="F717" s="2" t="inlineStr">
        <is>
          <t>Huelva</t>
        </is>
      </c>
      <c r="G717" s="2" t="n"/>
      <c r="H717" s="2" t="inlineStr">
        <is>
          <t>Empresa de Transformación Agraria S.A.,S.M.E., M.P., (TRAGSA)</t>
        </is>
      </c>
      <c r="I7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7" s="2" t="inlineStr">
        <is>
          <t>TSA0080057-257</t>
        </is>
      </c>
      <c r="K717" s="2" t="inlineStr">
        <is>
          <t>Abierto</t>
        </is>
      </c>
      <c r="L717" s="6" t="n">
        <v>8</v>
      </c>
      <c r="M717" s="2" t="n"/>
      <c r="N717" s="7" t="n">
        <v>0</v>
      </c>
      <c r="O717" s="4" t="n"/>
      <c r="P717" s="2" t="inlineStr">
        <is>
          <t>45500000</t>
        </is>
      </c>
      <c r="Q717" s="8" t="inlineStr">
        <is>
          <t>Ver</t>
        </is>
      </c>
      <c r="R717" s="8" t="inlineStr">
        <is>
          <t>PCAP</t>
        </is>
      </c>
      <c r="S717" s="9" t="n">
        <v>46310</v>
      </c>
      <c r="T717" s="3" t="n">
        <v>46302.53783564815</v>
      </c>
      <c r="U717" s="2" t="n"/>
    </row>
    <row r="718">
      <c r="A718" s="2" t="inlineStr">
        <is>
          <t>Resuelta</t>
        </is>
      </c>
      <c r="B718" s="3" t="n">
        <v>46294.41666666666</v>
      </c>
      <c r="C718" s="5" t="n">
        <v>63000</v>
      </c>
      <c r="D718" s="5" t="n">
        <v>63000</v>
      </c>
      <c r="E718" s="2" t="inlineStr">
        <is>
          <t>Andalucía</t>
        </is>
      </c>
      <c r="F718" s="2" t="inlineStr">
        <is>
          <t>Huelva</t>
        </is>
      </c>
      <c r="G718" s="2" t="n"/>
      <c r="H718" s="2" t="inlineStr">
        <is>
          <t>Empresa de Transformación Agraria S.A.,S.M.E., M.P., (TRAGSA)</t>
        </is>
      </c>
      <c r="I7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8" s="2" t="inlineStr">
        <is>
          <t>TSA0080057-256</t>
        </is>
      </c>
      <c r="K718" s="2" t="inlineStr">
        <is>
          <t>Abierto</t>
        </is>
      </c>
      <c r="L718" s="6" t="n">
        <v>8</v>
      </c>
      <c r="M718" s="2" t="n"/>
      <c r="N718" s="7" t="n">
        <v>0</v>
      </c>
      <c r="O718" s="4" t="n"/>
      <c r="P718" s="2" t="inlineStr">
        <is>
          <t>45500000</t>
        </is>
      </c>
      <c r="Q718" s="8" t="inlineStr">
        <is>
          <t>Ver</t>
        </is>
      </c>
      <c r="R718" s="8" t="inlineStr">
        <is>
          <t>PCAP</t>
        </is>
      </c>
      <c r="S718" s="9" t="n">
        <v>46310</v>
      </c>
      <c r="T718" s="3" t="n">
        <v>46302.53592592593</v>
      </c>
      <c r="U718" s="2" t="n"/>
    </row>
    <row r="719">
      <c r="A719" s="2" t="inlineStr">
        <is>
          <t>Resuelta</t>
        </is>
      </c>
      <c r="B719" s="3" t="n">
        <v>46294.41666666666</v>
      </c>
      <c r="C719" s="5" t="n">
        <v>63000</v>
      </c>
      <c r="D719" s="5" t="n">
        <v>63000</v>
      </c>
      <c r="E719" s="2" t="inlineStr">
        <is>
          <t>Andalucía</t>
        </is>
      </c>
      <c r="F719" s="2" t="inlineStr">
        <is>
          <t>Huelva</t>
        </is>
      </c>
      <c r="G719" s="2" t="n"/>
      <c r="H719" s="2" t="inlineStr">
        <is>
          <t>Empresa de Transformación Agraria S.A.,S.M.E., M.P., (TRAGSA)</t>
        </is>
      </c>
      <c r="I7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9" s="2" t="inlineStr">
        <is>
          <t>TSA0080057-255</t>
        </is>
      </c>
      <c r="K719" s="2" t="inlineStr">
        <is>
          <t>Abierto</t>
        </is>
      </c>
      <c r="L719" s="6" t="n">
        <v>8</v>
      </c>
      <c r="M719" s="2" t="n"/>
      <c r="N719" s="7" t="n">
        <v>0</v>
      </c>
      <c r="O719" s="4" t="n"/>
      <c r="P719" s="2" t="inlineStr">
        <is>
          <t>45500000</t>
        </is>
      </c>
      <c r="Q719" s="8" t="inlineStr">
        <is>
          <t>Ver</t>
        </is>
      </c>
      <c r="R719" s="8" t="inlineStr">
        <is>
          <t>PCAP</t>
        </is>
      </c>
      <c r="S719" s="9" t="n">
        <v>46310</v>
      </c>
      <c r="T719" s="3" t="n">
        <v>46302.53444444444</v>
      </c>
      <c r="U719" s="2" t="n"/>
    </row>
    <row r="720">
      <c r="A720" s="2" t="inlineStr">
        <is>
          <t>Pendiente de adjudicación</t>
        </is>
      </c>
      <c r="B720" s="3" t="n">
        <v>46206.99930555555</v>
      </c>
      <c r="C720" s="5" t="n">
        <v>2120367.12</v>
      </c>
      <c r="D720" s="5" t="n">
        <v>2120367.12</v>
      </c>
      <c r="E720" s="2" t="inlineStr">
        <is>
          <t>Comunitat Valenciana</t>
        </is>
      </c>
      <c r="F720" s="2" t="inlineStr">
        <is>
          <t>Alicante</t>
        </is>
      </c>
      <c r="G720" s="2" t="inlineStr">
        <is>
          <t>Xixona</t>
        </is>
      </c>
      <c r="H720" s="2" t="inlineStr">
        <is>
          <t>Junta de Gobierno del Ayuntamiento de Xixona</t>
        </is>
      </c>
      <c r="I720" s="2" t="inlineStr">
        <is>
          <t>Ejecución de las obras de "consolidación estructural del edificio de la Casa Aracil" dentro del Plan de Recuperación, Transformación y Resiliencia - Financiado por la Unión Europea - Next generationEU.</t>
        </is>
      </c>
      <c r="J720" s="2" t="inlineStr">
        <is>
          <t>2026/501</t>
        </is>
      </c>
      <c r="K720" s="2" t="inlineStr">
        <is>
          <t>Abierto</t>
        </is>
      </c>
      <c r="L720" s="6" t="n">
        <v>15</v>
      </c>
      <c r="M720" s="2" t="inlineStr">
        <is>
          <t>K7-3; C3-3</t>
        </is>
      </c>
      <c r="N720" s="7" t="n">
        <v>0</v>
      </c>
      <c r="O720" s="4" t="n"/>
      <c r="P720" s="2" t="inlineStr">
        <is>
          <t>45454000; 45454100; 45212350</t>
        </is>
      </c>
      <c r="Q720" s="8" t="inlineStr">
        <is>
          <t>Ver</t>
        </is>
      </c>
      <c r="R720" s="8" t="inlineStr">
        <is>
          <t>PCAP</t>
        </is>
      </c>
      <c r="S720" s="9" t="n">
        <v>46310</v>
      </c>
      <c r="T720" s="3" t="n">
        <v>46302.53166666667</v>
      </c>
      <c r="U720" s="2" t="n"/>
    </row>
    <row r="721">
      <c r="A721" s="2" t="inlineStr">
        <is>
          <t>Pendiente de adjudicación</t>
        </is>
      </c>
      <c r="B721" s="3" t="n">
        <v>46300.58333333334</v>
      </c>
      <c r="C721" s="5" t="n">
        <v>160880.11</v>
      </c>
      <c r="D721" s="5" t="n">
        <v>160880.11</v>
      </c>
      <c r="E721" s="2" t="inlineStr">
        <is>
          <t>Comunitat Valenciana</t>
        </is>
      </c>
      <c r="F721" s="2" t="inlineStr">
        <is>
          <t>Valencia</t>
        </is>
      </c>
      <c r="G721" s="2" t="n"/>
      <c r="H721" s="2" t="inlineStr">
        <is>
          <t>Alcaldía del Ayuntamiento de La Font d'En Carròs</t>
        </is>
      </c>
      <c r="I721" s="2" t="inlineStr">
        <is>
          <t>Cubrición de graderío</t>
        </is>
      </c>
      <c r="J721" s="2" t="inlineStr">
        <is>
          <t>2026011</t>
        </is>
      </c>
      <c r="K721" s="2" t="inlineStr">
        <is>
          <t>Abierto simplificado</t>
        </is>
      </c>
      <c r="L721" s="6" t="n">
        <v>5</v>
      </c>
      <c r="M721" s="2" t="n"/>
      <c r="N721" s="7" t="n">
        <v>0.25</v>
      </c>
      <c r="O721" s="4" t="n"/>
      <c r="P721" s="2" t="inlineStr">
        <is>
          <t>45000000; 45223110; 45223210; 45223100; 45223000; 45223200</t>
        </is>
      </c>
      <c r="Q721" s="8" t="inlineStr">
        <is>
          <t>Ver</t>
        </is>
      </c>
      <c r="R721" s="8" t="inlineStr">
        <is>
          <t>PCAP</t>
        </is>
      </c>
      <c r="S721" s="9" t="n">
        <v>46310</v>
      </c>
      <c r="T721" s="3" t="n">
        <v>46302.53037037037</v>
      </c>
      <c r="U721" s="2" t="n"/>
    </row>
    <row r="722">
      <c r="A722" s="2" t="inlineStr">
        <is>
          <t>Resuelta</t>
        </is>
      </c>
      <c r="B722" s="3" t="n">
        <v>46218.99930555555</v>
      </c>
      <c r="C722" s="5" t="n">
        <v>48702.4</v>
      </c>
      <c r="D722" s="5" t="n">
        <v>48702.4</v>
      </c>
      <c r="E722" s="2" t="inlineStr">
        <is>
          <t>Andalucía</t>
        </is>
      </c>
      <c r="F722" s="2" t="inlineStr">
        <is>
          <t>Córdoba</t>
        </is>
      </c>
      <c r="G722" s="2" t="n"/>
      <c r="H722" s="2" t="inlineStr">
        <is>
          <t>Diputado delegado de Infraestructuras, Sostenibilidad y Agricultura</t>
        </is>
      </c>
      <c r="I722" s="2" t="inlineStr">
        <is>
          <t>Contratación de la obra Nuevo pavimento de césped artificial sobre pista de futbito en Céspedes, en Hornachuelos (Córdoba). Obra incluida en el Plan de Aldeas 2024-2027.</t>
        </is>
      </c>
      <c r="J722" s="2" t="inlineStr">
        <is>
          <t>390/26 BIS</t>
        </is>
      </c>
      <c r="K722" s="2" t="inlineStr">
        <is>
          <t>Abierto simplificado</t>
        </is>
      </c>
      <c r="L722" s="6" t="n">
        <v>3</v>
      </c>
      <c r="M722" s="2" t="n"/>
      <c r="N722" s="7" t="n">
        <v>0</v>
      </c>
      <c r="O722" s="4" t="n"/>
      <c r="P722" s="2" t="inlineStr">
        <is>
          <t>45212200; 45450000</t>
        </is>
      </c>
      <c r="Q722" s="8" t="inlineStr">
        <is>
          <t>Ver</t>
        </is>
      </c>
      <c r="R722" s="8" t="inlineStr">
        <is>
          <t>PCAP</t>
        </is>
      </c>
      <c r="S722" s="9" t="n">
        <v>46310</v>
      </c>
      <c r="T722" s="3" t="n">
        <v>46302.5296875</v>
      </c>
      <c r="U722" s="2" t="n"/>
    </row>
    <row r="723">
      <c r="A723" s="2" t="inlineStr">
        <is>
          <t>En plazo</t>
        </is>
      </c>
      <c r="B723" s="3" t="n">
        <v>46317.99930555555</v>
      </c>
      <c r="C723" s="5" t="n">
        <v>76887.91</v>
      </c>
      <c r="D723" s="5" t="n">
        <v>76887.91</v>
      </c>
      <c r="E723" s="2" t="inlineStr">
        <is>
          <t>Andalucía</t>
        </is>
      </c>
      <c r="F723" s="2" t="inlineStr">
        <is>
          <t>Córdoba</t>
        </is>
      </c>
      <c r="G723" s="2" t="inlineStr">
        <is>
          <t>El Carpio (Córdoba)</t>
        </is>
      </c>
      <c r="H723" s="2" t="inlineStr">
        <is>
          <t>Alcaldía del Ayuntamiento de El Carpio</t>
        </is>
      </c>
      <c r="I723" s="2" t="inlineStr">
        <is>
          <t>Actuación en sistema local de equipamiento para explanación de terrenos para estacionamiento de vehículos en Calle Sevilla de El Carpio (Córdoba)</t>
        </is>
      </c>
      <c r="J723" s="2" t="inlineStr">
        <is>
          <t>3477/2026</t>
        </is>
      </c>
      <c r="K723" s="2" t="inlineStr">
        <is>
          <t>Abierto simplificado</t>
        </is>
      </c>
      <c r="L723" s="6" t="n">
        <v>2</v>
      </c>
      <c r="M723" s="2" t="n"/>
      <c r="N723" s="7" t="n">
        <v>0</v>
      </c>
      <c r="O723" s="4" t="n"/>
      <c r="P723" s="2" t="inlineStr">
        <is>
          <t>45000000</t>
        </is>
      </c>
      <c r="Q723" s="8" t="inlineStr">
        <is>
          <t>Ver</t>
        </is>
      </c>
      <c r="R723" s="8" t="inlineStr">
        <is>
          <t>PCAP</t>
        </is>
      </c>
      <c r="S723" s="9" t="n">
        <v>46310</v>
      </c>
      <c r="T723" s="3" t="n">
        <v>46302.5291087963</v>
      </c>
      <c r="U723" s="2" t="n"/>
    </row>
    <row r="724">
      <c r="A724" s="2" t="inlineStr">
        <is>
          <t>Pendiente de adjudicación</t>
        </is>
      </c>
      <c r="B724" s="3" t="n">
        <v>46300.99930555555</v>
      </c>
      <c r="C724" s="5" t="n">
        <v>52913.35</v>
      </c>
      <c r="D724" s="5" t="n">
        <v>52913.35</v>
      </c>
      <c r="E724" s="2" t="inlineStr">
        <is>
          <t>Comunitat Valenciana</t>
        </is>
      </c>
      <c r="F724" s="2" t="inlineStr">
        <is>
          <t>Alicante</t>
        </is>
      </c>
      <c r="G724" s="2" t="n"/>
      <c r="H724" s="2" t="inlineStr">
        <is>
          <t>Junta de Gobierno del Ayuntamiento de Elche</t>
        </is>
      </c>
      <c r="I724" s="2" t="inlineStr">
        <is>
          <t>Obras para los trabajos de identificación y documentación de vestigios arqueológicos en el solar sito entre la Avenida de Candalix y la Calle Nuestra Señora de la Cabeza.</t>
        </is>
      </c>
      <c r="J724" s="2" t="inlineStr">
        <is>
          <t>OBR/ABR_SMPL/2026000139</t>
        </is>
      </c>
      <c r="K724" s="2" t="inlineStr">
        <is>
          <t>Abierto simplificado</t>
        </is>
      </c>
      <c r="L724" s="6" t="n">
        <v>1.2</v>
      </c>
      <c r="M724" s="2" t="n"/>
      <c r="N724" s="7" t="n">
        <v>0</v>
      </c>
      <c r="O724" s="4" t="n"/>
      <c r="P724" s="2" t="inlineStr">
        <is>
          <t>45112450; 71351811; 71351914; 45122000</t>
        </is>
      </c>
      <c r="Q724" s="8" t="inlineStr">
        <is>
          <t>Ver</t>
        </is>
      </c>
      <c r="R724" s="8" t="inlineStr">
        <is>
          <t>PCAP</t>
        </is>
      </c>
      <c r="S724" s="9" t="n">
        <v>46310</v>
      </c>
      <c r="T724" s="3" t="n">
        <v>46302.52873842593</v>
      </c>
      <c r="U724" s="2" t="n"/>
    </row>
    <row r="725">
      <c r="A725" s="2" t="inlineStr">
        <is>
          <t>Resuelta</t>
        </is>
      </c>
      <c r="B725" s="3" t="n">
        <v>46238.99930555555</v>
      </c>
      <c r="C725" s="5" t="n">
        <v>149910.14</v>
      </c>
      <c r="D725" s="5" t="n">
        <v>149910.14</v>
      </c>
      <c r="E725" s="2" t="inlineStr">
        <is>
          <t>Comunitat Valenciana</t>
        </is>
      </c>
      <c r="F725" s="2" t="inlineStr">
        <is>
          <t>Alicante</t>
        </is>
      </c>
      <c r="G725" s="2" t="inlineStr">
        <is>
          <t>Novelda</t>
        </is>
      </c>
      <c r="H725" s="2" t="inlineStr">
        <is>
          <t>Junta de Gobierno del Ayuntamiento de Novelda</t>
        </is>
      </c>
      <c r="I725" s="2" t="inlineStr">
        <is>
          <t>Construcción de Nuevos Nichos y Columbarios en el Cementerio Municipal de Novelda</t>
        </is>
      </c>
      <c r="J725" s="2" t="inlineStr">
        <is>
          <t>2026/5296L</t>
        </is>
      </c>
      <c r="K725" s="2" t="inlineStr">
        <is>
          <t>Abierto simplificado</t>
        </is>
      </c>
      <c r="L725" s="6" t="n">
        <v>3</v>
      </c>
      <c r="M725" s="2" t="n"/>
      <c r="N725" s="7" t="n">
        <v>0</v>
      </c>
      <c r="O725" s="4" t="n"/>
      <c r="P725" s="2" t="inlineStr">
        <is>
          <t>45223820; 45215400</t>
        </is>
      </c>
      <c r="Q725" s="8" t="inlineStr">
        <is>
          <t>Ver</t>
        </is>
      </c>
      <c r="R725" s="8" t="inlineStr">
        <is>
          <t>PCAP</t>
        </is>
      </c>
      <c r="S725" s="9" t="n">
        <v>46310</v>
      </c>
      <c r="T725" s="3" t="n">
        <v>46302.52868055556</v>
      </c>
      <c r="U725" s="2" t="n"/>
    </row>
    <row r="726">
      <c r="A726" s="2" t="inlineStr">
        <is>
          <t>Pendiente de adjudicación</t>
        </is>
      </c>
      <c r="B726" s="3" t="n">
        <v>46300.99930555555</v>
      </c>
      <c r="C726" s="5" t="n">
        <v>141586.5</v>
      </c>
      <c r="D726" s="5" t="n">
        <v>141586.5</v>
      </c>
      <c r="E726" s="2" t="inlineStr">
        <is>
          <t>Andalucía</t>
        </is>
      </c>
      <c r="F726" s="2" t="inlineStr">
        <is>
          <t>Sevilla</t>
        </is>
      </c>
      <c r="G726" s="2" t="n"/>
      <c r="H726" s="2" t="inlineStr">
        <is>
          <t>Alcaldía del Ayuntamiento de Espartinas</t>
        </is>
      </c>
      <c r="I726" s="2" t="inlineStr">
        <is>
          <t>Suministro e instalación de pérgolas bioclimáticas en Parque Nuestra Señora del Rocío - Plaza del Avión en Espartinas, conforme a lo previsto en el Proyecto Técnico que establece las características de la actuación.</t>
        </is>
      </c>
      <c r="J726" s="2" t="inlineStr">
        <is>
          <t>1969/2026</t>
        </is>
      </c>
      <c r="K726" s="2" t="inlineStr">
        <is>
          <t>Abierto simplificado</t>
        </is>
      </c>
      <c r="L726" s="6" t="n">
        <v>1</v>
      </c>
      <c r="M726" s="2" t="n"/>
      <c r="N726" s="7" t="n">
        <v>0</v>
      </c>
      <c r="O726" s="4" t="n"/>
      <c r="P726" s="2" t="inlineStr">
        <is>
          <t>45223000; 45223110</t>
        </is>
      </c>
      <c r="Q726" s="8" t="inlineStr">
        <is>
          <t>Ver</t>
        </is>
      </c>
      <c r="R726" s="8" t="inlineStr">
        <is>
          <t>PCAP</t>
        </is>
      </c>
      <c r="S726" s="9" t="n">
        <v>46310</v>
      </c>
      <c r="T726" s="3" t="n">
        <v>46302.52473379629</v>
      </c>
      <c r="U726" s="2" t="n"/>
    </row>
    <row r="727">
      <c r="A727" s="2" t="inlineStr">
        <is>
          <t>En plazo</t>
        </is>
      </c>
      <c r="B727" s="3" t="n">
        <v>46321.79166666666</v>
      </c>
      <c r="C727" s="5" t="n">
        <v>120107.06</v>
      </c>
      <c r="D727" s="5" t="n">
        <v>120107.06</v>
      </c>
      <c r="E727" s="2" t="inlineStr">
        <is>
          <t>Comunitat Valenciana</t>
        </is>
      </c>
      <c r="F727" s="2" t="n"/>
      <c r="G727" s="2" t="inlineStr">
        <is>
          <t>Valencia</t>
        </is>
      </c>
      <c r="H727" s="2" t="inlineStr">
        <is>
          <t>Jefatura de Asuntos Económicos del Cuartel General Terrestre Alta Disponibilidad</t>
        </is>
      </c>
      <c r="I727" s="2" t="inlineStr">
        <is>
          <t>Cambio de ascensor en los pabellones del ESD</t>
        </is>
      </c>
      <c r="J727" s="2" t="inlineStr">
        <is>
          <t>2026/ETSAE0304/00000886E</t>
        </is>
      </c>
      <c r="K727" s="2" t="inlineStr">
        <is>
          <t>Abierto simplificado</t>
        </is>
      </c>
      <c r="L727" s="6" t="n">
        <v>8</v>
      </c>
      <c r="M727" s="2" t="n"/>
      <c r="N727" s="7" t="n">
        <v>0</v>
      </c>
      <c r="O727" s="4" t="n"/>
      <c r="P727" s="2" t="inlineStr">
        <is>
          <t>45313000</t>
        </is>
      </c>
      <c r="Q727" s="8" t="inlineStr">
        <is>
          <t>Ver</t>
        </is>
      </c>
      <c r="R727" s="8" t="inlineStr">
        <is>
          <t>PCAP</t>
        </is>
      </c>
      <c r="S727" s="9" t="n">
        <v>46310</v>
      </c>
      <c r="T727" s="3" t="n">
        <v>46302.52324074074</v>
      </c>
      <c r="U727" s="2" t="n"/>
    </row>
    <row r="728">
      <c r="A728" s="2" t="inlineStr">
        <is>
          <t>Pendiente de adjudicación</t>
        </is>
      </c>
      <c r="B728" s="3" t="n">
        <v>46266.99930555555</v>
      </c>
      <c r="C728" s="5" t="n">
        <v>1038436.4</v>
      </c>
      <c r="D728" s="5" t="n">
        <v>1038436.4</v>
      </c>
      <c r="E728" s="2" t="inlineStr">
        <is>
          <t>Comunitat Valenciana</t>
        </is>
      </c>
      <c r="F728" s="2" t="inlineStr">
        <is>
          <t>Castellón</t>
        </is>
      </c>
      <c r="G728" s="2" t="n"/>
      <c r="H728" s="2" t="inlineStr">
        <is>
          <t>Junta de Gobierno del Ayuntamiento de Castellón de la Plana</t>
        </is>
      </c>
      <c r="I728" s="2" t="inlineStr">
        <is>
          <t>Obras de urbanización de la calle Castellfort y pasaje Viena de Castelló de la Plana</t>
        </is>
      </c>
      <c r="J728" s="2" t="inlineStr">
        <is>
          <t>17771/2025</t>
        </is>
      </c>
      <c r="K728" s="2" t="inlineStr">
        <is>
          <t>Abierto</t>
        </is>
      </c>
      <c r="L728" s="6" t="n">
        <v>7</v>
      </c>
      <c r="M728" s="2" t="n"/>
      <c r="N728" s="7" t="n">
        <v>0.48</v>
      </c>
      <c r="O728" s="4" t="n"/>
      <c r="P728" s="2" t="inlineStr">
        <is>
          <t>45233140</t>
        </is>
      </c>
      <c r="Q728" s="8" t="inlineStr">
        <is>
          <t>Ver</t>
        </is>
      </c>
      <c r="R728" s="8" t="inlineStr">
        <is>
          <t>PCAP</t>
        </is>
      </c>
      <c r="S728" s="9" t="n">
        <v>46310</v>
      </c>
      <c r="T728" s="3" t="n">
        <v>46302.52269675926</v>
      </c>
      <c r="U728" s="2" t="n"/>
    </row>
    <row r="729">
      <c r="A729" s="2" t="inlineStr">
        <is>
          <t>En plazo</t>
        </is>
      </c>
      <c r="B729" s="3" t="n">
        <v>46332.99930555555</v>
      </c>
      <c r="C729" s="5" t="n">
        <v>1089694.08</v>
      </c>
      <c r="D729" s="5" t="n">
        <v>1089694.08</v>
      </c>
      <c r="E729" s="2" t="inlineStr">
        <is>
          <t>Andalucía</t>
        </is>
      </c>
      <c r="F729" s="2" t="inlineStr">
        <is>
          <t>Sevilla</t>
        </is>
      </c>
      <c r="G729" s="2" t="n"/>
      <c r="H729" s="2" t="inlineStr">
        <is>
          <t>Alcaldia del Ayuntamiento de San Nicolás del Puerto</t>
        </is>
      </c>
      <c r="I729" s="2" t="inlineStr">
        <is>
          <t>PAS. Construcción de Piscina Municipal y de vesturarios en San Nicolás del Puerto. Plan ACTUA 2022 Diputación.</t>
        </is>
      </c>
      <c r="J729" s="2" t="inlineStr">
        <is>
          <t>P4108800F-2026/000032-PAAS</t>
        </is>
      </c>
      <c r="K729" s="2" t="inlineStr">
        <is>
          <t>Abierto simplificado</t>
        </is>
      </c>
      <c r="L729" s="6" t="n">
        <v>10</v>
      </c>
      <c r="M729" s="2" t="inlineStr">
        <is>
          <t>C6-6; C*-4; C4-4</t>
        </is>
      </c>
      <c r="N729" s="7" t="n">
        <v>0</v>
      </c>
      <c r="O729" s="4" t="n"/>
      <c r="P729" s="2" t="inlineStr">
        <is>
          <t>45000000</t>
        </is>
      </c>
      <c r="Q729" s="8" t="inlineStr">
        <is>
          <t>Ver</t>
        </is>
      </c>
      <c r="R729" s="8" t="inlineStr">
        <is>
          <t>PCAP</t>
        </is>
      </c>
      <c r="S729" s="9" t="n">
        <v>46310</v>
      </c>
      <c r="T729" s="3" t="n">
        <v>46302.52152777778</v>
      </c>
      <c r="U729" s="2" t="n"/>
    </row>
    <row r="730">
      <c r="A730" s="2" t="inlineStr">
        <is>
          <t>Resuelta</t>
        </is>
      </c>
      <c r="B730" s="3" t="n">
        <v>46232.99930555555</v>
      </c>
      <c r="C730" s="5" t="n">
        <v>95200</v>
      </c>
      <c r="D730" s="5" t="n">
        <v>95200</v>
      </c>
      <c r="E730" s="2" t="inlineStr">
        <is>
          <t>Andalucía</t>
        </is>
      </c>
      <c r="F730" s="2" t="inlineStr">
        <is>
          <t>Cádiz</t>
        </is>
      </c>
      <c r="G730" s="2" t="inlineStr">
        <is>
          <t>Chipiona</t>
        </is>
      </c>
      <c r="H730" s="2" t="inlineStr">
        <is>
          <t>Alcaldía del Ayuntamiento de Chipiona</t>
        </is>
      </c>
      <c r="I730" s="2" t="inlineStr">
        <is>
          <t>Obras de "Sustitución de Material de cubrición de la cubierta de la Piscina Municipal</t>
        </is>
      </c>
      <c r="J730" s="2" t="inlineStr">
        <is>
          <t>4867 PAS Obras cubierta Piscina</t>
        </is>
      </c>
      <c r="K730" s="2" t="inlineStr">
        <is>
          <t>Abierto simplificado</t>
        </is>
      </c>
      <c r="L730" s="6" t="n">
        <v>3</v>
      </c>
      <c r="M730" s="2" t="n"/>
      <c r="N730" s="7" t="n">
        <v>0</v>
      </c>
      <c r="O730" s="4" t="n"/>
      <c r="P730" s="2" t="inlineStr">
        <is>
          <t>45212212; 39522100; 45261000</t>
        </is>
      </c>
      <c r="Q730" s="8" t="inlineStr">
        <is>
          <t>Ver</t>
        </is>
      </c>
      <c r="R730" s="8" t="inlineStr">
        <is>
          <t>PCAP</t>
        </is>
      </c>
      <c r="S730" s="9" t="n">
        <v>46310</v>
      </c>
      <c r="T730" s="3" t="n">
        <v>46302.52120370371</v>
      </c>
      <c r="U730" s="2" t="n"/>
    </row>
    <row r="731">
      <c r="A731" s="2" t="inlineStr">
        <is>
          <t>Pendiente de adjudicación</t>
        </is>
      </c>
      <c r="B731" s="3" t="n">
        <v>46300.99930555555</v>
      </c>
      <c r="C731" s="5" t="n">
        <v>216584.41</v>
      </c>
      <c r="D731" s="5" t="n">
        <v>259901.28</v>
      </c>
      <c r="E731" s="2" t="inlineStr">
        <is>
          <t>Comunitat Valenciana</t>
        </is>
      </c>
      <c r="F731" s="2" t="inlineStr">
        <is>
          <t>Alicante</t>
        </is>
      </c>
      <c r="G731" s="2" t="n"/>
      <c r="H731" s="2" t="inlineStr">
        <is>
          <t>Junta de Gobierno del Ayuntamiento de Elche</t>
        </is>
      </c>
      <c r="I731" s="2" t="inlineStr">
        <is>
          <t>Ejecución de trabajos de mejora, regeneración y modernización del Polígono Industrial de Carrús. Actuaciones de regeneración paisajística (subvencionado por IVACE)</t>
        </is>
      </c>
      <c r="J731" s="2" t="inlineStr">
        <is>
          <t>OBR/ABR_SMPL/2026000138</t>
        </is>
      </c>
      <c r="K731" s="2" t="inlineStr">
        <is>
          <t>Abierto simplificado</t>
        </is>
      </c>
      <c r="L731" s="6" t="n">
        <v>2</v>
      </c>
      <c r="M731" s="2" t="n"/>
      <c r="N731" s="7" t="n">
        <v>0</v>
      </c>
      <c r="O731" s="4" t="n"/>
      <c r="P731" s="2" t="inlineStr">
        <is>
          <t>45112700; 45233140; 45232121</t>
        </is>
      </c>
      <c r="Q731" s="8" t="inlineStr">
        <is>
          <t>Ver</t>
        </is>
      </c>
      <c r="R731" s="8" t="inlineStr">
        <is>
          <t>PCAP</t>
        </is>
      </c>
      <c r="S731" s="9" t="n">
        <v>46310</v>
      </c>
      <c r="T731" s="3" t="n">
        <v>46302.51967592593</v>
      </c>
      <c r="U731" s="2" t="n"/>
    </row>
    <row r="732">
      <c r="A732" s="2" t="inlineStr">
        <is>
          <t>En plazo</t>
        </is>
      </c>
      <c r="B732" s="3" t="n">
        <v>46322.58333333334</v>
      </c>
      <c r="C732" s="5" t="n">
        <v>385429.12</v>
      </c>
      <c r="D732" s="5" t="n">
        <v>385429.12</v>
      </c>
      <c r="E732" s="2" t="inlineStr">
        <is>
          <t>Andalucía</t>
        </is>
      </c>
      <c r="F732" s="2" t="inlineStr">
        <is>
          <t>Cádiz</t>
        </is>
      </c>
      <c r="G732" s="2" t="n"/>
      <c r="H732" s="2" t="inlineStr">
        <is>
          <t>Presidencia de la Autoridad Portuaria de la Bahía de Algeciras</t>
        </is>
      </c>
      <c r="I732" s="2" t="inlineStr">
        <is>
          <t>Proyecto básico y ejecución de mejora de sala de espera y redistribución de dependencias varias en Estación Marítima de Tarifa</t>
        </is>
      </c>
      <c r="J732" s="2" t="inlineStr">
        <is>
          <t>2026-064</t>
        </is>
      </c>
      <c r="K732" s="2" t="inlineStr">
        <is>
          <t>Abierto simplificado</t>
        </is>
      </c>
      <c r="L732" s="6" t="n">
        <v>4</v>
      </c>
      <c r="M732" s="2" t="inlineStr">
        <is>
          <t>C4-2</t>
        </is>
      </c>
      <c r="N732" s="7" t="n">
        <v>0.25</v>
      </c>
      <c r="O732" s="4" t="n"/>
      <c r="P732" s="2" t="inlineStr">
        <is>
          <t>45453000; 45259900</t>
        </is>
      </c>
      <c r="Q732" s="8" t="inlineStr">
        <is>
          <t>Ver</t>
        </is>
      </c>
      <c r="R732" s="8" t="inlineStr">
        <is>
          <t>PCAP</t>
        </is>
      </c>
      <c r="S732" s="9" t="n">
        <v>46310</v>
      </c>
      <c r="T732" s="3" t="n">
        <v>46302.51771990741</v>
      </c>
      <c r="U732" s="2" t="n"/>
    </row>
    <row r="733">
      <c r="A733" s="2" t="inlineStr">
        <is>
          <t>Adjudicada</t>
        </is>
      </c>
      <c r="B733" s="3" t="n">
        <v>46286.58333333334</v>
      </c>
      <c r="C733" s="5" t="n">
        <v>85680</v>
      </c>
      <c r="D733" s="5" t="n">
        <v>85680</v>
      </c>
      <c r="E733" s="2" t="inlineStr">
        <is>
          <t>Comunitat Valenciana</t>
        </is>
      </c>
      <c r="F733" s="2" t="inlineStr">
        <is>
          <t>Castellón</t>
        </is>
      </c>
      <c r="G733" s="2" t="n"/>
      <c r="H733" s="2" t="inlineStr">
        <is>
          <t>Empresa de Transformación Agraria S.A.,S.M.E., M.P., (TRAGSA)</t>
        </is>
      </c>
      <c r="I733" s="2" t="inlineStr">
        <is>
          <t>UT2 obra ejecución de las obras de revestimiento compuesto para la impermeabilización de la balsa de abastecimiento ganadero en el término municipal de Morella Castellón a adjudicar por procedimiento abierto simplificado</t>
        </is>
      </c>
      <c r="J733" s="2" t="inlineStr">
        <is>
          <t>TSA0083894</t>
        </is>
      </c>
      <c r="K733" s="2" t="inlineStr">
        <is>
          <t>Abierto simplificado</t>
        </is>
      </c>
      <c r="L733" s="6" t="n">
        <v>2</v>
      </c>
      <c r="M733" s="2" t="n"/>
      <c r="N733" s="7" t="n">
        <v>0</v>
      </c>
      <c r="O733" s="4" t="n"/>
      <c r="P733" s="2" t="inlineStr">
        <is>
          <t>45261420</t>
        </is>
      </c>
      <c r="Q733" s="8" t="inlineStr">
        <is>
          <t>Ver</t>
        </is>
      </c>
      <c r="R733" s="8" t="inlineStr">
        <is>
          <t>PCAP</t>
        </is>
      </c>
      <c r="S733" s="9" t="n">
        <v>46310</v>
      </c>
      <c r="T733" s="3" t="n">
        <v>46302.51430555555</v>
      </c>
      <c r="U733" s="2" t="n"/>
    </row>
    <row r="734">
      <c r="A734" s="2" t="inlineStr">
        <is>
          <t>En plazo</t>
        </is>
      </c>
      <c r="B734" s="3" t="n">
        <v>46315.54166666666</v>
      </c>
      <c r="C734" s="5" t="n">
        <v>266719.26</v>
      </c>
      <c r="D734" s="5" t="n">
        <v>266719.26</v>
      </c>
      <c r="E734" s="2" t="inlineStr">
        <is>
          <t>Comunitat Valenciana</t>
        </is>
      </c>
      <c r="F734" s="2" t="inlineStr">
        <is>
          <t>Alicante</t>
        </is>
      </c>
      <c r="G734" s="2" t="n"/>
      <c r="H734" s="2" t="inlineStr">
        <is>
          <t>Junta de Gobierno Local del Ayuntamiento de Alicante</t>
        </is>
      </c>
      <c r="I734" s="2" t="inlineStr">
        <is>
          <t>Proyecto de inserción de una plataforma blanda estacional peatonal en formato de no rotonda táctica en la intersección de las Calles del Marco y del Dólar. Polígono industrial "Las Atalayas" OLÍGONO INDUSTRIAL ¿LAS ATALAYAS¿</t>
        </is>
      </c>
      <c r="J734" s="2" t="inlineStr">
        <is>
          <t>97/26</t>
        </is>
      </c>
      <c r="K734" s="2" t="inlineStr">
        <is>
          <t>Abierto simplificado</t>
        </is>
      </c>
      <c r="L734" s="6" t="n">
        <v>3</v>
      </c>
      <c r="M734" s="2" t="n"/>
      <c r="N734" s="7" t="n">
        <v>0</v>
      </c>
      <c r="O734" s="4" t="n"/>
      <c r="P734" s="2" t="inlineStr">
        <is>
          <t>45233140</t>
        </is>
      </c>
      <c r="Q734" s="8" t="inlineStr">
        <is>
          <t>Ver</t>
        </is>
      </c>
      <c r="R734" s="8" t="inlineStr">
        <is>
          <t>PCAP</t>
        </is>
      </c>
      <c r="S734" s="9" t="n">
        <v>46310</v>
      </c>
      <c r="T734" s="3" t="n">
        <v>46302.51396990741</v>
      </c>
      <c r="U734" s="2" t="n"/>
    </row>
    <row r="735">
      <c r="A735" s="2" t="inlineStr">
        <is>
          <t>Resuelta</t>
        </is>
      </c>
      <c r="B735" s="3" t="n">
        <v>46213.99930555555</v>
      </c>
      <c r="C735" s="5" t="n">
        <v>245000</v>
      </c>
      <c r="D735" s="5" t="n">
        <v>490000</v>
      </c>
      <c r="E735" s="2" t="inlineStr">
        <is>
          <t>Andalucía</t>
        </is>
      </c>
      <c r="F735" s="2" t="inlineStr">
        <is>
          <t>Córdoba</t>
        </is>
      </c>
      <c r="G735" s="2" t="n"/>
      <c r="H735" s="2" t="inlineStr">
        <is>
          <t>Presidencia del Consejo Rector de la Gerencia Municipal de Urbanismo del Ayuntamiento de Córdoba</t>
        </is>
      </c>
      <c r="I73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735" s="2" t="inlineStr">
        <is>
          <t>27/2026</t>
        </is>
      </c>
      <c r="K735" s="2" t="inlineStr">
        <is>
          <t>Negociado sin publicidad</t>
        </is>
      </c>
      <c r="L735" s="6" t="n">
        <v>12</v>
      </c>
      <c r="M735" s="2" t="n"/>
      <c r="N735" s="7" t="n">
        <v>0</v>
      </c>
      <c r="O735" s="4" t="n"/>
      <c r="P735" s="2" t="inlineStr">
        <is>
          <t>45000000</t>
        </is>
      </c>
      <c r="Q735" s="8" t="inlineStr">
        <is>
          <t>Ver</t>
        </is>
      </c>
      <c r="R735" s="8" t="inlineStr">
        <is>
          <t>PCAP</t>
        </is>
      </c>
      <c r="S735" s="9" t="n">
        <v>46310</v>
      </c>
      <c r="T735" s="3" t="n">
        <v>46302.50761574074</v>
      </c>
      <c r="U735" s="2" t="n"/>
    </row>
    <row r="736">
      <c r="A736" s="2" t="inlineStr">
        <is>
          <t>En plazo</t>
        </is>
      </c>
      <c r="B736" s="3" t="n">
        <v>46318.99930555555</v>
      </c>
      <c r="C736" s="5" t="n">
        <v>76160</v>
      </c>
      <c r="D736" s="5" t="n">
        <v>76160</v>
      </c>
      <c r="E736" s="2" t="inlineStr">
        <is>
          <t>Comunitat Valenciana</t>
        </is>
      </c>
      <c r="F736" s="2" t="inlineStr">
        <is>
          <t>Castellón</t>
        </is>
      </c>
      <c r="G736" s="2" t="n"/>
      <c r="H736" s="2" t="inlineStr">
        <is>
          <t>Alcaldía del Ayuntamiento de Segorbe</t>
        </is>
      </c>
      <c r="I736" s="2" t="inlineStr">
        <is>
          <t>Obras de rehabilitación parcial de la Capilla de la Virgen de Gracia de Segorbe</t>
        </is>
      </c>
      <c r="J736" s="2" t="inlineStr">
        <is>
          <t>245/2026</t>
        </is>
      </c>
      <c r="K736" s="2" t="inlineStr">
        <is>
          <t>Abierto simplificado</t>
        </is>
      </c>
      <c r="L736" s="6" t="n">
        <v>1</v>
      </c>
      <c r="M736" s="2" t="n"/>
      <c r="N736" s="7" t="n">
        <v>0</v>
      </c>
      <c r="O736" s="4" t="n"/>
      <c r="P736" s="2" t="inlineStr">
        <is>
          <t>45200000</t>
        </is>
      </c>
      <c r="Q736" s="8" t="inlineStr">
        <is>
          <t>Ver</t>
        </is>
      </c>
      <c r="R736" s="8" t="inlineStr">
        <is>
          <t>PCAP</t>
        </is>
      </c>
      <c r="S736" s="9" t="n">
        <v>46310</v>
      </c>
      <c r="T736" s="3" t="n">
        <v>46302.50759259259</v>
      </c>
      <c r="U736" s="2" t="n"/>
    </row>
    <row r="737">
      <c r="A737" s="2" t="inlineStr">
        <is>
          <t>Pendiente de adjudicación</t>
        </is>
      </c>
      <c r="B737" s="3" t="n">
        <v>46300.99930555555</v>
      </c>
      <c r="C737" s="5" t="n">
        <v>421394.27</v>
      </c>
      <c r="D737" s="5" t="n">
        <v>442463.98</v>
      </c>
      <c r="E737" s="2" t="inlineStr">
        <is>
          <t>Andalucía</t>
        </is>
      </c>
      <c r="F737" s="2" t="inlineStr">
        <is>
          <t>Sevilla</t>
        </is>
      </c>
      <c r="G737" s="2" t="inlineStr">
        <is>
          <t>Sevilla</t>
        </is>
      </c>
      <c r="H737" s="2" t="inlineStr">
        <is>
          <t>Junta de Gobierno del Ayuntamiento de Sevilla</t>
        </is>
      </c>
      <c r="I737" s="2" t="inlineStr">
        <is>
          <t>Obras para revitalización de zona de educación infantil en el CEIP JOAQUÍN TURINA, ubicado en el Distrito Sur de Sevilla</t>
        </is>
      </c>
      <c r="J737" s="2" t="inlineStr">
        <is>
          <t>2026/000848</t>
        </is>
      </c>
      <c r="K737" s="2" t="inlineStr">
        <is>
          <t>Abierto simplificado</t>
        </is>
      </c>
      <c r="L737" s="6" t="n">
        <v>6</v>
      </c>
      <c r="M737" s="2" t="n"/>
      <c r="N737" s="7" t="n">
        <v>0</v>
      </c>
      <c r="O737" s="4" t="n"/>
      <c r="P737" s="2" t="inlineStr">
        <is>
          <t>45000000</t>
        </is>
      </c>
      <c r="Q737" s="8" t="inlineStr">
        <is>
          <t>Ver</t>
        </is>
      </c>
      <c r="R737" s="8" t="inlineStr">
        <is>
          <t>PCAP</t>
        </is>
      </c>
      <c r="S737" s="9" t="n">
        <v>46310</v>
      </c>
      <c r="T737" s="3" t="n">
        <v>46302.50697916667</v>
      </c>
      <c r="U737" s="2" t="n"/>
    </row>
    <row r="738">
      <c r="A738" s="2" t="inlineStr">
        <is>
          <t>Resuelta</t>
        </is>
      </c>
      <c r="B738" s="3" t="n">
        <v>46259.99930555555</v>
      </c>
      <c r="C738" s="5" t="n">
        <v>528633.86</v>
      </c>
      <c r="D738" s="5" t="n">
        <v>528633.86</v>
      </c>
      <c r="E738" s="2" t="inlineStr">
        <is>
          <t>Comunitat Valenciana</t>
        </is>
      </c>
      <c r="F738" s="2" t="inlineStr">
        <is>
          <t>Valencia</t>
        </is>
      </c>
      <c r="G738" s="2" t="n"/>
      <c r="H738" s="2" t="inlineStr">
        <is>
          <t>Alcaldía del Ajuntament de Massamagrell</t>
        </is>
      </c>
      <c r="I738" s="2" t="inlineStr">
        <is>
          <t>El objeto del contrato es la ejecución de las obras para la Reforma e instalación de la Cubierta del Trinquet, de acuerdo con las características técnicas indicadas en el proyecto de ejecución.</t>
        </is>
      </c>
      <c r="J738" s="2" t="inlineStr">
        <is>
          <t>436/2026</t>
        </is>
      </c>
      <c r="K738" s="2" t="inlineStr">
        <is>
          <t>Abierto simplificado</t>
        </is>
      </c>
      <c r="L738" s="6" t="n">
        <v>7</v>
      </c>
      <c r="M738" s="2" t="inlineStr">
        <is>
          <t>C3-3</t>
        </is>
      </c>
      <c r="N738" s="7" t="n">
        <v>0</v>
      </c>
      <c r="O738" s="4" t="n"/>
      <c r="P738" s="2" t="inlineStr">
        <is>
          <t>45000000; 45200000; 45261000; 45260000</t>
        </is>
      </c>
      <c r="Q738" s="8" t="inlineStr">
        <is>
          <t>Ver</t>
        </is>
      </c>
      <c r="R738" s="8" t="inlineStr">
        <is>
          <t>PCAP</t>
        </is>
      </c>
      <c r="S738" s="9" t="n">
        <v>46310</v>
      </c>
      <c r="T738" s="3" t="n">
        <v>46302.50638888889</v>
      </c>
      <c r="U738" s="2" t="n"/>
    </row>
    <row r="739">
      <c r="A739" s="2" t="inlineStr">
        <is>
          <t>Pendiente de adjudicación</t>
        </is>
      </c>
      <c r="B739" s="3" t="n">
        <v>46300.99930555555</v>
      </c>
      <c r="C739" s="5" t="n">
        <v>130216.51</v>
      </c>
      <c r="D739" s="5" t="n">
        <v>136727.33</v>
      </c>
      <c r="E739" s="2" t="inlineStr">
        <is>
          <t>Andalucía</t>
        </is>
      </c>
      <c r="F739" s="2" t="inlineStr">
        <is>
          <t>Sevilla</t>
        </is>
      </c>
      <c r="G739" s="2" t="inlineStr">
        <is>
          <t>Sevilla</t>
        </is>
      </c>
      <c r="H739" s="2" t="inlineStr">
        <is>
          <t>Junta de Gobierno del Ayuntamiento de Sevilla</t>
        </is>
      </c>
      <c r="I739" s="2" t="inlineStr">
        <is>
          <t>Obras de sustitución de carpintería exterior en el CEI SANTA CATALINA, ubicado en el Distrito Macarena de Sevilla</t>
        </is>
      </c>
      <c r="J739" s="2" t="inlineStr">
        <is>
          <t>2026/000839</t>
        </is>
      </c>
      <c r="K739" s="2" t="inlineStr">
        <is>
          <t>Abierto simplificado</t>
        </is>
      </c>
      <c r="L739" s="6" t="n">
        <v>4</v>
      </c>
      <c r="M739" s="2" t="n"/>
      <c r="N739" s="7" t="n">
        <v>0</v>
      </c>
      <c r="O739" s="4" t="n"/>
      <c r="P739" s="2" t="inlineStr">
        <is>
          <t>45000000</t>
        </is>
      </c>
      <c r="Q739" s="8" t="inlineStr">
        <is>
          <t>Ver</t>
        </is>
      </c>
      <c r="R739" s="8" t="inlineStr">
        <is>
          <t>PCAP</t>
        </is>
      </c>
      <c r="S739" s="9" t="n">
        <v>46310</v>
      </c>
      <c r="T739" s="3" t="n">
        <v>46302.50623842593</v>
      </c>
      <c r="U739" s="2" t="n"/>
    </row>
    <row r="740">
      <c r="A740" s="2" t="inlineStr">
        <is>
          <t>Resuelta</t>
        </is>
      </c>
      <c r="B740" s="3" t="n">
        <v>46246.625</v>
      </c>
      <c r="C740" s="5" t="n">
        <v>227344.28</v>
      </c>
      <c r="D740" s="5" t="n">
        <v>227344.28</v>
      </c>
      <c r="E740" s="2" t="inlineStr">
        <is>
          <t>Comunitat Valenciana</t>
        </is>
      </c>
      <c r="F740" s="2" t="inlineStr">
        <is>
          <t>Alicante</t>
        </is>
      </c>
      <c r="G740" s="2" t="inlineStr">
        <is>
          <t>Alicante (Alacant)</t>
        </is>
      </c>
      <c r="H740" s="2" t="inlineStr">
        <is>
          <t>Junta de Gobierno del Ayuntamiento de La Nucía</t>
        </is>
      </c>
      <c r="I740" s="2" t="inlineStr">
        <is>
          <t>Obras de mejora de las condiciones de accesibilidad al medio físico en l'ermita de Sant Rafel</t>
        </is>
      </c>
      <c r="J740" s="2" t="inlineStr">
        <is>
          <t>9564/2026</t>
        </is>
      </c>
      <c r="K740" s="2" t="inlineStr">
        <is>
          <t>Abierto simplificado</t>
        </is>
      </c>
      <c r="L740" s="6" t="n">
        <v>3</v>
      </c>
      <c r="M740" s="2" t="n"/>
      <c r="N740" s="7" t="n"/>
      <c r="O740" s="4" t="n"/>
      <c r="P740" s="2" t="inlineStr">
        <is>
          <t>45233252; 45316000</t>
        </is>
      </c>
      <c r="Q740" s="8" t="inlineStr">
        <is>
          <t>Ver</t>
        </is>
      </c>
      <c r="R740" s="2" t="n"/>
      <c r="S740" s="9" t="n">
        <v>46310</v>
      </c>
      <c r="T740" s="3" t="n">
        <v>46302.50244212963</v>
      </c>
      <c r="U740" s="2" t="n"/>
    </row>
    <row r="741">
      <c r="A741" s="2" t="inlineStr">
        <is>
          <t>Adjudicada</t>
        </is>
      </c>
      <c r="B741" s="3" t="n">
        <v>46237.99930555555</v>
      </c>
      <c r="C741" s="5" t="n">
        <v>702479.34</v>
      </c>
      <c r="D741" s="5" t="n">
        <v>702479.34</v>
      </c>
      <c r="E741" s="2" t="inlineStr">
        <is>
          <t>Comunitat Valenciana</t>
        </is>
      </c>
      <c r="F741" s="2" t="inlineStr">
        <is>
          <t>Valencia</t>
        </is>
      </c>
      <c r="G741" s="2" t="inlineStr">
        <is>
          <t>Ontinyent</t>
        </is>
      </c>
      <c r="H741" s="2" t="inlineStr">
        <is>
          <t>Alcaldia del Ayuntamiento de Ontinyent</t>
        </is>
      </c>
      <c r="I741" s="2" t="inlineStr">
        <is>
          <t>Contratación de las obras de renovación de las infraestructuras hidráulicas en el entorno del mirador de la calle Joan Belda Pastor</t>
        </is>
      </c>
      <c r="J741" s="2" t="inlineStr">
        <is>
          <t>2935099C</t>
        </is>
      </c>
      <c r="K741" s="2" t="inlineStr">
        <is>
          <t>Abierto simplificado</t>
        </is>
      </c>
      <c r="L741" s="6" t="n">
        <v>6</v>
      </c>
      <c r="M741" s="2" t="inlineStr">
        <is>
          <t>G6-3; E1-2</t>
        </is>
      </c>
      <c r="N741" s="7" t="n">
        <v>0.25</v>
      </c>
      <c r="O741" s="4" t="n"/>
      <c r="P741" s="2" t="inlineStr">
        <is>
          <t>45232400; 45316000; 45316100; 44162500; 45233200; 45233222; 45233252; 45232410</t>
        </is>
      </c>
      <c r="Q741" s="8" t="inlineStr">
        <is>
          <t>Ver</t>
        </is>
      </c>
      <c r="R741" s="8" t="inlineStr">
        <is>
          <t>PCAP</t>
        </is>
      </c>
      <c r="S741" s="9" t="n">
        <v>46310</v>
      </c>
      <c r="T741" s="3" t="n">
        <v>46302.49782407407</v>
      </c>
      <c r="U741" s="2" t="n"/>
    </row>
    <row r="742">
      <c r="A742" s="2" t="inlineStr">
        <is>
          <t>En plazo</t>
        </is>
      </c>
      <c r="B742" s="3" t="n">
        <v>46323.41666666666</v>
      </c>
      <c r="C742" s="5" t="n">
        <v>87105.03999999999</v>
      </c>
      <c r="D742" s="5" t="n">
        <v>87105.03999999999</v>
      </c>
      <c r="E742" s="2" t="inlineStr">
        <is>
          <t>Andalucía</t>
        </is>
      </c>
      <c r="F742" s="2" t="inlineStr">
        <is>
          <t>Sevilla</t>
        </is>
      </c>
      <c r="G742" s="2" t="n"/>
      <c r="H742" s="2" t="inlineStr">
        <is>
          <t>ADIF - Presidencia</t>
        </is>
      </c>
      <c r="I742" s="2" t="inlineStr">
        <is>
          <t>Obras de ejecución del proyecto simplificado de mejora de las instalaciones de la estación de Marchena (Sevilla).</t>
        </is>
      </c>
      <c r="J742" s="2" t="inlineStr">
        <is>
          <t>3.26/32108.0164</t>
        </is>
      </c>
      <c r="K742" s="2" t="inlineStr">
        <is>
          <t>Abierto simplificado</t>
        </is>
      </c>
      <c r="L742" s="6" t="n">
        <v>5</v>
      </c>
      <c r="M742" s="2" t="n"/>
      <c r="N742" s="7" t="n">
        <v>0</v>
      </c>
      <c r="O742" s="4" t="n"/>
      <c r="P742" s="2" t="inlineStr">
        <is>
          <t>45453000</t>
        </is>
      </c>
      <c r="Q742" s="8" t="inlineStr">
        <is>
          <t>Ver</t>
        </is>
      </c>
      <c r="R742" s="8" t="inlineStr">
        <is>
          <t>PCAP</t>
        </is>
      </c>
      <c r="S742" s="9" t="n">
        <v>46310</v>
      </c>
      <c r="T742" s="3" t="n">
        <v>46302.49621527778</v>
      </c>
      <c r="U742" s="2" t="n"/>
    </row>
    <row r="743">
      <c r="A743" s="2" t="inlineStr">
        <is>
          <t>En plazo</t>
        </is>
      </c>
      <c r="B743" s="3" t="n">
        <v>46317.79166666666</v>
      </c>
      <c r="C743" s="5" t="n">
        <v>76029.75</v>
      </c>
      <c r="D743" s="5" t="n">
        <v>76029.75</v>
      </c>
      <c r="E743" s="2" t="inlineStr">
        <is>
          <t>Andalucía</t>
        </is>
      </c>
      <c r="F743" s="2" t="inlineStr">
        <is>
          <t>Cádiz</t>
        </is>
      </c>
      <c r="G743" s="2" t="inlineStr">
        <is>
          <t>TAHIVILLA</t>
        </is>
      </c>
      <c r="H743" s="2" t="inlineStr">
        <is>
          <t>Presidencia Entidad Autónoma de Tahivilla</t>
        </is>
      </c>
      <c r="I743" s="2" t="inlineStr">
        <is>
          <t>Mejoras de camino público La Dehesilla, Tahivilla</t>
        </is>
      </c>
      <c r="J743" s="2" t="inlineStr">
        <is>
          <t>2026/6567</t>
        </is>
      </c>
      <c r="K743" s="2" t="inlineStr">
        <is>
          <t>Abierto simplificado</t>
        </is>
      </c>
      <c r="L743" s="6" t="n">
        <v>0.5</v>
      </c>
      <c r="M743" s="2" t="n"/>
      <c r="N743" s="7" t="n">
        <v>0</v>
      </c>
      <c r="O743" s="4" t="n"/>
      <c r="P743" s="2" t="inlineStr">
        <is>
          <t>45233200; 45233000</t>
        </is>
      </c>
      <c r="Q743" s="8" t="inlineStr">
        <is>
          <t>Ver</t>
        </is>
      </c>
      <c r="R743" s="8" t="inlineStr">
        <is>
          <t>PCAP</t>
        </is>
      </c>
      <c r="S743" s="9" t="n">
        <v>46310</v>
      </c>
      <c r="T743" s="3" t="n">
        <v>46302.49341435185</v>
      </c>
      <c r="U743" s="2" t="n"/>
    </row>
    <row r="744">
      <c r="A744" s="2" t="inlineStr">
        <is>
          <t>Adjudicada</t>
        </is>
      </c>
      <c r="B744" s="3" t="n">
        <v>46232.79166666666</v>
      </c>
      <c r="C744" s="5" t="n">
        <v>198347.11</v>
      </c>
      <c r="D744" s="5" t="n">
        <v>198347.11</v>
      </c>
      <c r="E744" s="2" t="inlineStr">
        <is>
          <t>Comunitat Valenciana</t>
        </is>
      </c>
      <c r="F744" s="2" t="inlineStr">
        <is>
          <t>Valencia</t>
        </is>
      </c>
      <c r="G744" s="2" t="inlineStr">
        <is>
          <t>Valencia</t>
        </is>
      </c>
      <c r="H744" s="2" t="inlineStr">
        <is>
          <t>Hospital Pare Jofré. Dirección Económica-Gerencia</t>
        </is>
      </c>
      <c r="I744"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744" s="2" t="inlineStr">
        <is>
          <t>1191/2026</t>
        </is>
      </c>
      <c r="K744" s="2" t="inlineStr">
        <is>
          <t>Abierto</t>
        </is>
      </c>
      <c r="L744" s="6" t="n">
        <v>6</v>
      </c>
      <c r="M744" s="2" t="inlineStr">
        <is>
          <t>J2-2</t>
        </is>
      </c>
      <c r="N744" s="7" t="n">
        <v>0</v>
      </c>
      <c r="O744" s="4" t="n"/>
      <c r="P744" s="2" t="inlineStr">
        <is>
          <t>45200000; 45331000; 42512300; 45000000</t>
        </is>
      </c>
      <c r="Q744" s="8" t="inlineStr">
        <is>
          <t>Ver</t>
        </is>
      </c>
      <c r="R744" s="8" t="inlineStr">
        <is>
          <t>PCAP</t>
        </is>
      </c>
      <c r="S744" s="9" t="n">
        <v>46310</v>
      </c>
      <c r="T744" s="3" t="n">
        <v>46302.49180555555</v>
      </c>
      <c r="U744" s="2" t="n"/>
    </row>
    <row r="745">
      <c r="A745" s="2" t="inlineStr">
        <is>
          <t>Plazo vencido</t>
        </is>
      </c>
      <c r="B745" s="3" t="n">
        <v>46308.99930555555</v>
      </c>
      <c r="C745" s="5" t="n">
        <v>225128.95</v>
      </c>
      <c r="D745" s="5" t="n">
        <v>247641.85</v>
      </c>
      <c r="E745" s="2" t="inlineStr">
        <is>
          <t>Comunitat Valenciana</t>
        </is>
      </c>
      <c r="F745" s="2" t="inlineStr">
        <is>
          <t>Valencia</t>
        </is>
      </c>
      <c r="G745" s="2" t="inlineStr">
        <is>
          <t>Valencia</t>
        </is>
      </c>
      <c r="H745" s="2" t="inlineStr">
        <is>
          <t>Departamento de Salud Valencia Dr. Peset. Dirección Económica-Gerencia</t>
        </is>
      </c>
      <c r="I745" s="2" t="inlineStr">
        <is>
          <t>Obras para el Departamento de Salud Valencia Doctor Peset, con condiciones especiales de ejecución de carácter ambiental. 2 Lotes.</t>
        </is>
      </c>
      <c r="J745" s="2" t="inlineStr">
        <is>
          <t>PAS 1099/2026</t>
        </is>
      </c>
      <c r="K745" s="2" t="inlineStr">
        <is>
          <t>Abierto simplificado</t>
        </is>
      </c>
      <c r="L745" s="6" t="n">
        <v>3</v>
      </c>
      <c r="M745" s="2" t="n"/>
      <c r="N745" s="7" t="n">
        <v>0.25</v>
      </c>
      <c r="O745" s="4" t="n">
        <v>2</v>
      </c>
      <c r="P745" s="2" t="inlineStr">
        <is>
          <t>45215100; 45215140; 45331200; 45330000</t>
        </is>
      </c>
      <c r="Q745" s="8" t="inlineStr">
        <is>
          <t>Ver</t>
        </is>
      </c>
      <c r="R745" s="8" t="inlineStr">
        <is>
          <t>PCAP</t>
        </is>
      </c>
      <c r="S745" s="9" t="n">
        <v>46310</v>
      </c>
      <c r="T745" s="3" t="n">
        <v>46302.49028935185</v>
      </c>
      <c r="U745" s="2" t="n"/>
    </row>
    <row r="746">
      <c r="A746" s="2" t="inlineStr">
        <is>
          <t>Pendiente de adjudicación</t>
        </is>
      </c>
      <c r="B746" s="3" t="n">
        <v>46259.99930555555</v>
      </c>
      <c r="C746" s="5" t="n">
        <v>184295.09</v>
      </c>
      <c r="D746" s="5" t="n">
        <v>184295.09</v>
      </c>
      <c r="E746" s="2" t="inlineStr">
        <is>
          <t>Andalucía</t>
        </is>
      </c>
      <c r="F746" s="2" t="inlineStr">
        <is>
          <t>Granada</t>
        </is>
      </c>
      <c r="G746" s="2" t="n"/>
      <c r="H746" s="2" t="inlineStr">
        <is>
          <t>Alcaldía del Ayuntamiento de Cenes de la Vega</t>
        </is>
      </c>
      <c r="I746"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746" s="2" t="inlineStr">
        <is>
          <t>1580/2026</t>
        </is>
      </c>
      <c r="K746" s="2" t="inlineStr">
        <is>
          <t>Abierto simplificado</t>
        </is>
      </c>
      <c r="L746" s="6" t="n">
        <v>4</v>
      </c>
      <c r="M746" s="2" t="n"/>
      <c r="N746" s="7" t="n">
        <v>0</v>
      </c>
      <c r="O746" s="4" t="n"/>
      <c r="P746" s="2" t="inlineStr">
        <is>
          <t>45212600</t>
        </is>
      </c>
      <c r="Q746" s="8" t="inlineStr">
        <is>
          <t>Ver</t>
        </is>
      </c>
      <c r="R746" s="8" t="inlineStr">
        <is>
          <t>PCAP</t>
        </is>
      </c>
      <c r="S746" s="9" t="n">
        <v>46310</v>
      </c>
      <c r="T746" s="3" t="n">
        <v>46302.48629629629</v>
      </c>
      <c r="U746" s="2" t="n"/>
    </row>
    <row r="747">
      <c r="A747" s="2" t="inlineStr">
        <is>
          <t>En plazo</t>
        </is>
      </c>
      <c r="B747" s="3" t="n">
        <v>46322.99930555555</v>
      </c>
      <c r="C747" s="5" t="n">
        <v>66494.02</v>
      </c>
      <c r="D747" s="5" t="n">
        <v>66494.02</v>
      </c>
      <c r="E747" s="2" t="inlineStr">
        <is>
          <t>Andalucía</t>
        </is>
      </c>
      <c r="F747" s="2" t="inlineStr">
        <is>
          <t>Cádiz</t>
        </is>
      </c>
      <c r="G747" s="2" t="n"/>
      <c r="H747" s="2" t="inlineStr">
        <is>
          <t>Alcaldía del Ayuntamiento de Algeciras</t>
        </is>
      </c>
      <c r="I747" s="2" t="inlineStr">
        <is>
          <t>Renovación a tecnología led de la iluminación de las pistas de atletismo de la instalación municipal enrique talavera</t>
        </is>
      </c>
      <c r="J747" s="2" t="inlineStr">
        <is>
          <t>37082/2026</t>
        </is>
      </c>
      <c r="K747" s="2" t="inlineStr">
        <is>
          <t>Abierto simplificado</t>
        </is>
      </c>
      <c r="L747" s="6" t="n">
        <v>1.9</v>
      </c>
      <c r="M747" s="2" t="n"/>
      <c r="N747" s="7" t="n">
        <v>0</v>
      </c>
      <c r="O747" s="4" t="n">
        <v>2</v>
      </c>
      <c r="P747" s="2" t="inlineStr">
        <is>
          <t>45310000; 71317210</t>
        </is>
      </c>
      <c r="Q747" s="8" t="inlineStr">
        <is>
          <t>Ver</t>
        </is>
      </c>
      <c r="R747" s="8" t="inlineStr">
        <is>
          <t>PCAP</t>
        </is>
      </c>
      <c r="S747" s="9" t="n">
        <v>46310</v>
      </c>
      <c r="T747" s="3" t="n">
        <v>46302.48219907407</v>
      </c>
      <c r="U747" s="2" t="n"/>
    </row>
    <row r="748">
      <c r="A748" s="2" t="inlineStr">
        <is>
          <t>Resuelta</t>
        </is>
      </c>
      <c r="B748" s="3" t="n">
        <v>46279.99930555555</v>
      </c>
      <c r="C748" s="5" t="n">
        <v>228586.76</v>
      </c>
      <c r="D748" s="5" t="n">
        <v>228586.76</v>
      </c>
      <c r="E748" s="2" t="inlineStr">
        <is>
          <t>Comunitat Valenciana</t>
        </is>
      </c>
      <c r="F748" s="2" t="inlineStr">
        <is>
          <t>Valencia</t>
        </is>
      </c>
      <c r="G748" s="2" t="n"/>
      <c r="H748" s="2" t="inlineStr">
        <is>
          <t>Alcaldia del Ayuntamiento de Alcasser</t>
        </is>
      </c>
      <c r="I748" s="2" t="inlineStr">
        <is>
          <t>Reurbanización calle Dels Argenters - P.I. L'Alter</t>
        </is>
      </c>
      <c r="J748" s="2" t="inlineStr">
        <is>
          <t>2636/2026</t>
        </is>
      </c>
      <c r="K748" s="2" t="inlineStr">
        <is>
          <t>Abierto simplificado</t>
        </is>
      </c>
      <c r="L748" s="6" t="n">
        <v>2.3</v>
      </c>
      <c r="M748" s="2" t="n"/>
      <c r="N748" s="7" t="n">
        <v>0</v>
      </c>
      <c r="O748" s="4" t="n"/>
      <c r="P748" s="2" t="inlineStr">
        <is>
          <t>45233250; 45232130; 45233252; 45232450</t>
        </is>
      </c>
      <c r="Q748" s="8" t="inlineStr">
        <is>
          <t>Ver</t>
        </is>
      </c>
      <c r="R748" s="8" t="inlineStr">
        <is>
          <t>PCAP</t>
        </is>
      </c>
      <c r="S748" s="9" t="n">
        <v>46310</v>
      </c>
      <c r="T748" s="3" t="n">
        <v>46302.47586805555</v>
      </c>
      <c r="U748" s="2" t="n"/>
    </row>
    <row r="749">
      <c r="A749" s="2" t="inlineStr">
        <is>
          <t>En plazo</t>
        </is>
      </c>
      <c r="B749" s="3" t="n">
        <v>46323.99930555555</v>
      </c>
      <c r="C749" s="5" t="n">
        <v>781690.8</v>
      </c>
      <c r="D749" s="5" t="n">
        <v>781690.8</v>
      </c>
      <c r="E749" s="2" t="inlineStr">
        <is>
          <t>Andalucía</t>
        </is>
      </c>
      <c r="F749" s="2" t="inlineStr">
        <is>
          <t>Málaga</t>
        </is>
      </c>
      <c r="G749" s="2" t="inlineStr">
        <is>
          <t>Alhaurín el Grande</t>
        </is>
      </c>
      <c r="H749" s="2" t="inlineStr">
        <is>
          <t>Alcaldía del Ayuntamiento de Alhaurín el Grande</t>
        </is>
      </c>
      <c r="I749" s="2" t="inlineStr">
        <is>
          <t>Mejora del acabado final mediante la aplicación de capa de mezcla bituminosa en caliente y mejora de la red de abastecimiento en el camino viejo de Málaga y aledaños de Alhaurín el Grande</t>
        </is>
      </c>
      <c r="J749" s="2" t="inlineStr">
        <is>
          <t>23202/2026 CAMINO VIEJO DE MALAGA</t>
        </is>
      </c>
      <c r="K749" s="2" t="inlineStr">
        <is>
          <t>Abierto</t>
        </is>
      </c>
      <c r="L749" s="6" t="n">
        <v>6</v>
      </c>
      <c r="M749" s="2" t="n"/>
      <c r="N749" s="7" t="n">
        <v>0.3</v>
      </c>
      <c r="O749" s="4" t="n"/>
      <c r="P749" s="2" t="inlineStr">
        <is>
          <t>45233140</t>
        </is>
      </c>
      <c r="Q749" s="8" t="inlineStr">
        <is>
          <t>Ver</t>
        </is>
      </c>
      <c r="R749" s="8" t="inlineStr">
        <is>
          <t>PCAP</t>
        </is>
      </c>
      <c r="S749" s="9" t="n">
        <v>46310</v>
      </c>
      <c r="T749" s="3" t="n">
        <v>46302.47131944444</v>
      </c>
      <c r="U749" s="2" t="n"/>
    </row>
    <row r="750">
      <c r="A750" s="2" t="inlineStr">
        <is>
          <t>Adjudicada</t>
        </is>
      </c>
      <c r="B750" s="3" t="n">
        <v>46167.4375</v>
      </c>
      <c r="C750" s="5" t="n">
        <v>3702515.21</v>
      </c>
      <c r="D750" s="5" t="n">
        <v>4072766.73</v>
      </c>
      <c r="E750" s="2" t="inlineStr">
        <is>
          <t>Comunitat Valenciana</t>
        </is>
      </c>
      <c r="F750" s="2" t="inlineStr">
        <is>
          <t>Valencia</t>
        </is>
      </c>
      <c r="G750" s="2" t="inlineStr">
        <is>
          <t>Valencia</t>
        </is>
      </c>
      <c r="H750" s="2" t="inlineStr">
        <is>
          <t>Presidencia de la Autoridad Portuaria de Valencia</t>
        </is>
      </c>
      <c r="I750" s="2" t="inlineStr">
        <is>
          <t>Nuevo centro de reparto alimentado desde CT23 y obra civil para conexión con canalizaciones existentes</t>
        </is>
      </c>
      <c r="J750" s="2" t="inlineStr">
        <is>
          <t>EC26-C02-01070</t>
        </is>
      </c>
      <c r="K750" s="2" t="inlineStr">
        <is>
          <t>Abierto</t>
        </is>
      </c>
      <c r="L750" s="6" t="n">
        <v>6</v>
      </c>
      <c r="M750" s="2" t="inlineStr">
        <is>
          <t>I5-4</t>
        </is>
      </c>
      <c r="N750" s="7" t="n">
        <v>0.49</v>
      </c>
      <c r="O750" s="4" t="n"/>
      <c r="P750" s="2" t="inlineStr">
        <is>
          <t>45231400; 45315400</t>
        </is>
      </c>
      <c r="Q750" s="8" t="inlineStr">
        <is>
          <t>Ver</t>
        </is>
      </c>
      <c r="R750" s="8" t="inlineStr">
        <is>
          <t>PCAP</t>
        </is>
      </c>
      <c r="S750" s="9" t="n">
        <v>46310</v>
      </c>
      <c r="T750" s="3" t="n">
        <v>46302.46299768519</v>
      </c>
      <c r="U750" s="2" t="n"/>
    </row>
    <row r="751">
      <c r="A751" s="2" t="inlineStr">
        <is>
          <t>En plazo</t>
        </is>
      </c>
      <c r="B751" s="3" t="n">
        <v>46322.625</v>
      </c>
      <c r="C751" s="5" t="n">
        <v>80165.28999999999</v>
      </c>
      <c r="D751" s="5" t="n">
        <v>80165.28999999999</v>
      </c>
      <c r="E751" s="2" t="inlineStr">
        <is>
          <t>Andalucía</t>
        </is>
      </c>
      <c r="F751" s="2" t="inlineStr">
        <is>
          <t>Málaga</t>
        </is>
      </c>
      <c r="G751" s="2" t="inlineStr">
        <is>
          <t>fuente de piedra</t>
        </is>
      </c>
      <c r="H751" s="2" t="inlineStr">
        <is>
          <t>Junta de Gobierno Local del Ayuntamiento de Fuente de Piedra</t>
        </is>
      </c>
      <c r="I751" s="2" t="inlineStr">
        <is>
          <t>la ejecución de las obras contenidas en el "Proyecto Básico y de Ejecución para Mejora de Redes de Abastecimiento (PO-AG 35/2026)" en las calles María Zambrano, Vicente Aleixandre y Antonio Gala del municipio de Fuente de Piedra (Málaga</t>
        </is>
      </c>
      <c r="J751" s="2" t="inlineStr">
        <is>
          <t>857/2026</t>
        </is>
      </c>
      <c r="K751" s="2" t="inlineStr">
        <is>
          <t>Abierto simplificado</t>
        </is>
      </c>
      <c r="L751" s="6" t="n">
        <v>4</v>
      </c>
      <c r="M751" s="2" t="n"/>
      <c r="N751" s="7" t="n">
        <v>0</v>
      </c>
      <c r="O751" s="4" t="n"/>
      <c r="P751" s="2" t="inlineStr">
        <is>
          <t>45231300; 45232150</t>
        </is>
      </c>
      <c r="Q751" s="8" t="inlineStr">
        <is>
          <t>Ver</t>
        </is>
      </c>
      <c r="R751" s="8" t="inlineStr">
        <is>
          <t>PCAP</t>
        </is>
      </c>
      <c r="S751" s="9" t="n">
        <v>46310</v>
      </c>
      <c r="T751" s="3" t="n">
        <v>46302.46170138889</v>
      </c>
      <c r="U751" s="2" t="n"/>
    </row>
    <row r="752">
      <c r="A752" s="2" t="inlineStr">
        <is>
          <t>Pendiente de adjudicación</t>
        </is>
      </c>
      <c r="B752" s="3" t="n">
        <v>46272.79166666666</v>
      </c>
      <c r="C752" s="5" t="n">
        <v>334340.88</v>
      </c>
      <c r="D752" s="5" t="n">
        <v>401209.06</v>
      </c>
      <c r="E752" s="2" t="inlineStr">
        <is>
          <t>Andalucía</t>
        </is>
      </c>
      <c r="F752" s="2" t="inlineStr">
        <is>
          <t>Sevilla</t>
        </is>
      </c>
      <c r="G752" s="2" t="inlineStr">
        <is>
          <t>Bormujos</t>
        </is>
      </c>
      <c r="H752" s="2" t="inlineStr">
        <is>
          <t>Gerencia de la Empresa Mancomunada del Aljarafe, S.A. (ALJARAFESA)</t>
        </is>
      </c>
      <c r="I752" s="2" t="inlineStr">
        <is>
          <t>Proyecto de Mejora del Abastecimiento en la Calle Jacaranda, en el municipio de Bormujos (Sevilla)</t>
        </is>
      </c>
      <c r="J752" s="2" t="inlineStr">
        <is>
          <t>PAA/164/2026</t>
        </is>
      </c>
      <c r="K752" s="2" t="inlineStr">
        <is>
          <t>Abierto</t>
        </is>
      </c>
      <c r="L752" s="6" t="n">
        <v>5</v>
      </c>
      <c r="M752" s="2" t="inlineStr">
        <is>
          <t>G6-2; E1-2</t>
        </is>
      </c>
      <c r="N752" s="7" t="n">
        <v>0</v>
      </c>
      <c r="O752" s="4" t="n"/>
      <c r="P752" s="2" t="inlineStr">
        <is>
          <t>45231300; 45233251</t>
        </is>
      </c>
      <c r="Q752" s="8" t="inlineStr">
        <is>
          <t>Ver</t>
        </is>
      </c>
      <c r="R752" s="8" t="inlineStr">
        <is>
          <t>PCAP</t>
        </is>
      </c>
      <c r="S752" s="9" t="n">
        <v>46310</v>
      </c>
      <c r="T752" s="3" t="n">
        <v>46302.4521875</v>
      </c>
      <c r="U752" s="2" t="n"/>
    </row>
    <row r="753">
      <c r="A753" s="2" t="inlineStr">
        <is>
          <t>Pendiente de adjudicación</t>
        </is>
      </c>
      <c r="B753" s="3" t="n">
        <v>46298.99930555555</v>
      </c>
      <c r="C753" s="5" t="n">
        <v>966884.35</v>
      </c>
      <c r="D753" s="5" t="n">
        <v>966884.35</v>
      </c>
      <c r="E753" s="2" t="inlineStr">
        <is>
          <t>Comunitat Valenciana</t>
        </is>
      </c>
      <c r="F753" s="2" t="n"/>
      <c r="G753" s="2" t="n"/>
      <c r="H753" s="2" t="inlineStr">
        <is>
          <t>Conselleria de Educación, Cultura y Universidades</t>
        </is>
      </c>
      <c r="I753" s="2" t="inlineStr">
        <is>
          <t>Rehabilitación y reparación de inmuebles en el extremo sur del Real monasterio de Santa María de la Valldigna</t>
        </is>
      </c>
      <c r="J753" s="2" t="inlineStr">
        <is>
          <t>CMAYOR/2026/17Y03/0013</t>
        </is>
      </c>
      <c r="K753" s="2" t="inlineStr">
        <is>
          <t>Abierto simplificado</t>
        </is>
      </c>
      <c r="L753" s="6" t="n">
        <v>12</v>
      </c>
      <c r="M753" s="2" t="inlineStr">
        <is>
          <t>K7-4</t>
        </is>
      </c>
      <c r="N753" s="7" t="n">
        <v>0.2</v>
      </c>
      <c r="O753" s="4" t="n"/>
      <c r="P753" s="2" t="inlineStr">
        <is>
          <t>45212350; 45262500; 45454100; 45212000; 45212300</t>
        </is>
      </c>
      <c r="Q753" s="8" t="inlineStr">
        <is>
          <t>Ver</t>
        </is>
      </c>
      <c r="R753" s="8" t="inlineStr">
        <is>
          <t>PCAP</t>
        </is>
      </c>
      <c r="S753" s="9" t="n">
        <v>46310</v>
      </c>
      <c r="T753" s="3" t="n">
        <v>46302.45144675926</v>
      </c>
      <c r="U753" s="2" t="n"/>
    </row>
    <row r="754">
      <c r="A754" s="2" t="inlineStr">
        <is>
          <t>Pendiente de adjudicación</t>
        </is>
      </c>
      <c r="B754" s="3" t="n">
        <v>46300.99930555555</v>
      </c>
      <c r="C754" s="5" t="n">
        <v>403932.13</v>
      </c>
      <c r="D754" s="5" t="n">
        <v>403932.13</v>
      </c>
      <c r="E754" s="2" t="inlineStr">
        <is>
          <t>Comunitat Valenciana</t>
        </is>
      </c>
      <c r="F754" s="2" t="inlineStr">
        <is>
          <t>Valencia</t>
        </is>
      </c>
      <c r="G754" s="2" t="n"/>
      <c r="H754" s="2" t="inlineStr">
        <is>
          <t>Alcaldía del Ayuntamiento de Foios</t>
        </is>
      </c>
      <c r="I754" s="2" t="inlineStr">
        <is>
          <t>Obra "Ampliación del Centro Social de Foios"</t>
        </is>
      </c>
      <c r="J754" s="2" t="inlineStr">
        <is>
          <t>2026/1990</t>
        </is>
      </c>
      <c r="K754" s="2" t="inlineStr">
        <is>
          <t>Abierto simplificado</t>
        </is>
      </c>
      <c r="L754" s="6" t="n">
        <v>10</v>
      </c>
      <c r="M754" s="2" t="n"/>
      <c r="N754" s="7" t="n">
        <v>0</v>
      </c>
      <c r="O754" s="4" t="n"/>
      <c r="P754" s="2" t="inlineStr">
        <is>
          <t>45210000</t>
        </is>
      </c>
      <c r="Q754" s="8" t="inlineStr">
        <is>
          <t>Ver</t>
        </is>
      </c>
      <c r="R754" s="8" t="inlineStr">
        <is>
          <t>PCAP</t>
        </is>
      </c>
      <c r="S754" s="9" t="n">
        <v>46310</v>
      </c>
      <c r="T754" s="3" t="n">
        <v>46302.450625</v>
      </c>
      <c r="U754" s="2" t="n"/>
    </row>
    <row r="755">
      <c r="A755" s="2" t="inlineStr">
        <is>
          <t>Resuelta</t>
        </is>
      </c>
      <c r="B755" s="3" t="n">
        <v>46210.54166666666</v>
      </c>
      <c r="C755" s="5" t="n">
        <v>670270.6</v>
      </c>
      <c r="D755" s="5" t="n">
        <v>737297.66</v>
      </c>
      <c r="E755" s="2" t="inlineStr">
        <is>
          <t>Comunitat Valenciana</t>
        </is>
      </c>
      <c r="F755" s="2" t="inlineStr">
        <is>
          <t>Valencia</t>
        </is>
      </c>
      <c r="G755" s="2" t="n"/>
      <c r="H755" s="2" t="inlineStr">
        <is>
          <t>Presidencia de la Diputación Provincial de Valencia</t>
        </is>
      </c>
      <c r="I755" s="2" t="inlineStr">
        <is>
          <t>V-213CIT/O. Mejora de caminos de el término municipal de Alpuente.</t>
        </is>
      </c>
      <c r="J755" s="2" t="inlineStr">
        <is>
          <t>243/26/CAR</t>
        </is>
      </c>
      <c r="K755" s="2" t="inlineStr">
        <is>
          <t>Abierto</t>
        </is>
      </c>
      <c r="L755" s="6" t="n">
        <v>5</v>
      </c>
      <c r="M755" s="2" t="inlineStr">
        <is>
          <t>G4-3</t>
        </is>
      </c>
      <c r="N755" s="7" t="n">
        <v>0.45</v>
      </c>
      <c r="O755" s="4" t="n"/>
      <c r="P755" s="2" t="inlineStr">
        <is>
          <t>45233120</t>
        </is>
      </c>
      <c r="Q755" s="8" t="inlineStr">
        <is>
          <t>Ver</t>
        </is>
      </c>
      <c r="R755" s="8" t="inlineStr">
        <is>
          <t>PCAP</t>
        </is>
      </c>
      <c r="S755" s="9" t="n">
        <v>46310</v>
      </c>
      <c r="T755" s="3" t="n">
        <v>46302.44865740741</v>
      </c>
      <c r="U755" s="2" t="n"/>
    </row>
    <row r="756">
      <c r="A756" s="2" t="inlineStr">
        <is>
          <t>En plazo</t>
        </is>
      </c>
      <c r="B756" s="3" t="n">
        <v>46322.99930555555</v>
      </c>
      <c r="C756" s="5" t="n">
        <v>826446.28</v>
      </c>
      <c r="D756" s="5" t="n">
        <v>826446.28</v>
      </c>
      <c r="E756" s="2" t="inlineStr">
        <is>
          <t>Andalucía</t>
        </is>
      </c>
      <c r="F756" s="2" t="inlineStr">
        <is>
          <t>Almería</t>
        </is>
      </c>
      <c r="G756" s="2" t="n"/>
      <c r="H756" s="2" t="inlineStr">
        <is>
          <t>Junta de Gobierno de la Diputación Provincial de Almería</t>
        </is>
      </c>
      <c r="I756" s="2" t="inlineStr">
        <is>
          <t>Rehabilitación Y Mejora De Edificios Municipales. Benahadux 19PPOS24-27BII</t>
        </is>
      </c>
      <c r="J756" s="2" t="inlineStr">
        <is>
          <t>2026/D31000/006-013/00009</t>
        </is>
      </c>
      <c r="K756" s="2" t="inlineStr">
        <is>
          <t>Abierto simplificado</t>
        </is>
      </c>
      <c r="L756" s="6" t="n">
        <v>15</v>
      </c>
      <c r="M756" s="2" t="inlineStr">
        <is>
          <t>C6-3; C4-3</t>
        </is>
      </c>
      <c r="N756" s="7" t="n">
        <v>0.25</v>
      </c>
      <c r="O756" s="4" t="n"/>
      <c r="P756" s="2" t="inlineStr">
        <is>
          <t>45214000</t>
        </is>
      </c>
      <c r="Q756" s="8" t="inlineStr">
        <is>
          <t>Ver</t>
        </is>
      </c>
      <c r="R756" s="8" t="inlineStr">
        <is>
          <t>PCAP</t>
        </is>
      </c>
      <c r="S756" s="9" t="n">
        <v>46310</v>
      </c>
      <c r="T756" s="3" t="n">
        <v>46302.4315625</v>
      </c>
      <c r="U756" s="2" t="n"/>
    </row>
    <row r="757">
      <c r="A757" s="2" t="inlineStr">
        <is>
          <t>Resuelta</t>
        </is>
      </c>
      <c r="B757" s="3" t="n">
        <v>46196.99930555555</v>
      </c>
      <c r="C757" s="5" t="n">
        <v>92385.09</v>
      </c>
      <c r="D757" s="5" t="n">
        <v>101623.6</v>
      </c>
      <c r="E757" s="2" t="inlineStr">
        <is>
          <t>Comunitat Valenciana</t>
        </is>
      </c>
      <c r="F757" s="2" t="inlineStr">
        <is>
          <t>Alicante</t>
        </is>
      </c>
      <c r="G757" s="2" t="inlineStr">
        <is>
          <t>Alicante</t>
        </is>
      </c>
      <c r="H757" s="2" t="inlineStr">
        <is>
          <t>Departamento de Salud Alicante. Dirección Económica-Gerencia</t>
        </is>
      </c>
      <c r="I757" s="2" t="inlineStr">
        <is>
          <t>Obra de conexión hall principal con vestíbulo-cafetería del Hospital General Universitario Doctor Balmis de Alicante</t>
        </is>
      </c>
      <c r="J757" s="2" t="inlineStr">
        <is>
          <t>PAS 125/2026</t>
        </is>
      </c>
      <c r="K757" s="2" t="inlineStr">
        <is>
          <t>Abierto simplificado</t>
        </is>
      </c>
      <c r="L757" s="6" t="n">
        <v>3</v>
      </c>
      <c r="M757" s="2" t="n"/>
      <c r="N757" s="7" t="n">
        <v>0.25</v>
      </c>
      <c r="O757" s="4" t="n"/>
      <c r="P757" s="2" t="inlineStr">
        <is>
          <t>45220000</t>
        </is>
      </c>
      <c r="Q757" s="8" t="inlineStr">
        <is>
          <t>Ver</t>
        </is>
      </c>
      <c r="R757" s="8" t="inlineStr">
        <is>
          <t>PCAP</t>
        </is>
      </c>
      <c r="S757" s="9" t="n">
        <v>46310</v>
      </c>
      <c r="T757" s="3" t="n">
        <v>46302.42903935185</v>
      </c>
      <c r="U757" s="2" t="n"/>
    </row>
    <row r="758">
      <c r="A758" s="2" t="inlineStr">
        <is>
          <t>Resuelta</t>
        </is>
      </c>
      <c r="B758" s="3" t="n">
        <v>46174.75</v>
      </c>
      <c r="C758" s="5" t="n">
        <v>570165.2</v>
      </c>
      <c r="D758" s="5" t="n">
        <v>570165.2</v>
      </c>
      <c r="E758" s="2" t="inlineStr">
        <is>
          <t>Andalucía</t>
        </is>
      </c>
      <c r="F758" s="2" t="inlineStr">
        <is>
          <t>Almería</t>
        </is>
      </c>
      <c r="G758" s="2" t="inlineStr">
        <is>
          <t>Almería</t>
        </is>
      </c>
      <c r="H758" s="2" t="inlineStr">
        <is>
          <t>Presidencia de la Autoridad Portuaria de Almería</t>
        </is>
      </c>
      <c r="I758" s="2" t="inlineStr">
        <is>
          <t>Adaptación de la Estación Marítima para el acceso a cruceros</t>
        </is>
      </c>
      <c r="J758" s="2" t="inlineStr">
        <is>
          <t>07/O/AS/AL26.BIS</t>
        </is>
      </c>
      <c r="K758" s="2" t="inlineStr">
        <is>
          <t>Abierto simplificado</t>
        </is>
      </c>
      <c r="L758" s="6" t="n">
        <v>4</v>
      </c>
      <c r="M758" s="2" t="inlineStr">
        <is>
          <t>C4-3; C*-4</t>
        </is>
      </c>
      <c r="N758" s="7" t="n">
        <v>0.25</v>
      </c>
      <c r="O758" s="4" t="n"/>
      <c r="P758" s="2" t="inlineStr">
        <is>
          <t>45200000; 45233200; 34931300</t>
        </is>
      </c>
      <c r="Q758" s="8" t="inlineStr">
        <is>
          <t>Ver</t>
        </is>
      </c>
      <c r="R758" s="2" t="n"/>
      <c r="S758" s="9" t="n">
        <v>46310</v>
      </c>
      <c r="T758" s="3" t="n">
        <v>46302.42858796296</v>
      </c>
      <c r="U758" s="2" t="n"/>
    </row>
    <row r="759">
      <c r="A759" s="2" t="inlineStr">
        <is>
          <t>Pendiente de adjudicación</t>
        </is>
      </c>
      <c r="B759" s="3" t="n">
        <v>46253.99930555555</v>
      </c>
      <c r="C759" s="5" t="n">
        <v>195554.7</v>
      </c>
      <c r="D759" s="5" t="n">
        <v>195554.7</v>
      </c>
      <c r="E759" s="2" t="inlineStr">
        <is>
          <t>Comunitat Valenciana</t>
        </is>
      </c>
      <c r="F759" s="2" t="inlineStr">
        <is>
          <t>Alicante</t>
        </is>
      </c>
      <c r="G759" s="2" t="n"/>
      <c r="H759" s="2" t="inlineStr">
        <is>
          <t>Junta de Gobierno del Ayuntamiento Dénia</t>
        </is>
      </c>
      <c r="I759" s="2" t="inlineStr">
        <is>
          <t>Obras de adecuación del Paseo de la Playa de la Marineta Cassiana</t>
        </is>
      </c>
      <c r="J759" s="2" t="inlineStr">
        <is>
          <t>OBR/2026000044</t>
        </is>
      </c>
      <c r="K759" s="2" t="inlineStr">
        <is>
          <t>Abierto simplificado</t>
        </is>
      </c>
      <c r="L759" s="6" t="n">
        <v>4</v>
      </c>
      <c r="M759" s="2" t="inlineStr">
        <is>
          <t>G6-2</t>
        </is>
      </c>
      <c r="N759" s="7" t="n">
        <v>0</v>
      </c>
      <c r="O759" s="4" t="n"/>
      <c r="P759" s="2" t="inlineStr">
        <is>
          <t>45233252</t>
        </is>
      </c>
      <c r="Q759" s="8" t="inlineStr">
        <is>
          <t>Ver</t>
        </is>
      </c>
      <c r="R759" s="8" t="inlineStr">
        <is>
          <t>PCAP</t>
        </is>
      </c>
      <c r="S759" s="9" t="n">
        <v>46310</v>
      </c>
      <c r="T759" s="3" t="n">
        <v>46302.42760416667</v>
      </c>
      <c r="U759" s="2" t="n"/>
    </row>
    <row r="760">
      <c r="A760" s="2" t="inlineStr">
        <is>
          <t>En plazo</t>
        </is>
      </c>
      <c r="B760" s="3" t="n">
        <v>46317.5</v>
      </c>
      <c r="C760" s="5" t="n">
        <v>200456.33</v>
      </c>
      <c r="D760" s="5" t="n">
        <v>208474.58</v>
      </c>
      <c r="E760" s="2" t="inlineStr">
        <is>
          <t>Andalucía</t>
        </is>
      </c>
      <c r="F760" s="2" t="inlineStr">
        <is>
          <t>Granada</t>
        </is>
      </c>
      <c r="G760" s="2" t="inlineStr">
        <is>
          <t>Granada</t>
        </is>
      </c>
      <c r="H760" s="2" t="inlineStr">
        <is>
          <t>Aena. Dirección del Aeropuerto de Granada-Jaén F.G.L.</t>
        </is>
      </c>
      <c r="I760" s="2" t="inlineStr">
        <is>
          <t>Reforma De Locales Para Nuevo Punto Comercial En Zona Pública</t>
        </is>
      </c>
      <c r="J760" s="2" t="inlineStr">
        <is>
          <t>GRX-67/2026</t>
        </is>
      </c>
      <c r="K760" s="2" t="inlineStr">
        <is>
          <t>Normas internas</t>
        </is>
      </c>
      <c r="L760" s="6" t="n">
        <v>6</v>
      </c>
      <c r="M760" s="2" t="n"/>
      <c r="N760" s="7" t="n">
        <v>0</v>
      </c>
      <c r="O760" s="4" t="n"/>
      <c r="P760" s="2" t="inlineStr">
        <is>
          <t>45400000</t>
        </is>
      </c>
      <c r="Q760" s="8" t="inlineStr">
        <is>
          <t>Ver</t>
        </is>
      </c>
      <c r="R760" s="8" t="inlineStr">
        <is>
          <t>PCAP</t>
        </is>
      </c>
      <c r="S760" s="9" t="n">
        <v>46310</v>
      </c>
      <c r="T760" s="3" t="n">
        <v>46302.42663194444</v>
      </c>
      <c r="U760" s="2" t="n"/>
    </row>
    <row r="761">
      <c r="A761" s="2" t="inlineStr">
        <is>
          <t>En plazo</t>
        </is>
      </c>
      <c r="B761" s="3" t="n">
        <v>46322.99930555555</v>
      </c>
      <c r="C761" s="5" t="n">
        <v>100173.95</v>
      </c>
      <c r="D761" s="5" t="n">
        <v>100173.95</v>
      </c>
      <c r="E761" s="2" t="inlineStr">
        <is>
          <t>Comunitat Valenciana</t>
        </is>
      </c>
      <c r="F761" s="2" t="inlineStr">
        <is>
          <t>Alicante</t>
        </is>
      </c>
      <c r="G761" s="2" t="n"/>
      <c r="H761" s="2" t="inlineStr">
        <is>
          <t>Junta de Gobierno del Ayuntamiento de Benissa</t>
        </is>
      </c>
      <c r="I761" s="2" t="inlineStr">
        <is>
          <t>Instalación de ascensores. Dos lotes. Lote 1:Instalacion de ascensor en la Escuela de Música y Lote 2: Instalación de ascensor en el Centro Social Bernia</t>
        </is>
      </c>
      <c r="J761" s="2" t="inlineStr">
        <is>
          <t>6136/2026</t>
        </is>
      </c>
      <c r="K761" s="2" t="inlineStr">
        <is>
          <t>Abierto simplificado</t>
        </is>
      </c>
      <c r="L761" s="6" t="n">
        <v>4</v>
      </c>
      <c r="M761" s="2" t="n"/>
      <c r="N761" s="7" t="n">
        <v>0</v>
      </c>
      <c r="O761" s="4" t="n">
        <v>2</v>
      </c>
      <c r="P761" s="2" t="inlineStr">
        <is>
          <t>45313100</t>
        </is>
      </c>
      <c r="Q761" s="8" t="inlineStr">
        <is>
          <t>Ver</t>
        </is>
      </c>
      <c r="R761" s="8" t="inlineStr">
        <is>
          <t>PCAP</t>
        </is>
      </c>
      <c r="S761" s="9" t="n">
        <v>46310</v>
      </c>
      <c r="T761" s="3" t="n">
        <v>46302.4108449074</v>
      </c>
      <c r="U761" s="2" t="n"/>
    </row>
    <row r="762">
      <c r="A762" s="2" t="inlineStr">
        <is>
          <t>Adjudicada</t>
        </is>
      </c>
      <c r="B762" s="3" t="n">
        <v>46267.58333333334</v>
      </c>
      <c r="C762" s="5" t="n">
        <v>314168.05</v>
      </c>
      <c r="D762" s="5" t="n">
        <v>314168.05</v>
      </c>
      <c r="E762" s="2" t="inlineStr">
        <is>
          <t>Comunitat Valenciana</t>
        </is>
      </c>
      <c r="F762" s="2" t="inlineStr">
        <is>
          <t>Valencia</t>
        </is>
      </c>
      <c r="G762" s="2" t="inlineStr">
        <is>
          <t>Xirivella</t>
        </is>
      </c>
      <c r="H762" s="2" t="inlineStr">
        <is>
          <t>Gerencia de Aigües de l'Horta S.A.</t>
        </is>
      </c>
      <c r="I762" s="2" t="inlineStr">
        <is>
          <t>Renovación de red hidráulica en Doctor Marañón, Xirivella (Fase I)</t>
        </is>
      </c>
      <c r="J762" s="2" t="inlineStr">
        <is>
          <t>Xir_A25004</t>
        </is>
      </c>
      <c r="K762" s="2" t="inlineStr">
        <is>
          <t>Abierto</t>
        </is>
      </c>
      <c r="L762" s="6" t="n">
        <v>4</v>
      </c>
      <c r="M762" s="2" t="n"/>
      <c r="N762" s="7" t="n">
        <v>0.24</v>
      </c>
      <c r="O762" s="4" t="n"/>
      <c r="P762" s="2" t="inlineStr">
        <is>
          <t>45231300</t>
        </is>
      </c>
      <c r="Q762" s="8" t="inlineStr">
        <is>
          <t>Ver</t>
        </is>
      </c>
      <c r="R762" s="8" t="inlineStr">
        <is>
          <t>PCAP</t>
        </is>
      </c>
      <c r="S762" s="9" t="n">
        <v>46310</v>
      </c>
      <c r="T762" s="3" t="n">
        <v>46302.40984953703</v>
      </c>
      <c r="U762" s="2" t="n"/>
    </row>
    <row r="763">
      <c r="A763" s="2" t="inlineStr">
        <is>
          <t>Adjudicada</t>
        </is>
      </c>
      <c r="B763" s="3" t="n">
        <v>46244.99930555555</v>
      </c>
      <c r="C763" s="5" t="n">
        <v>2010610.57</v>
      </c>
      <c r="D763" s="5" t="n">
        <v>2010610.57</v>
      </c>
      <c r="E763" s="2" t="inlineStr">
        <is>
          <t>Andalucía</t>
        </is>
      </c>
      <c r="F763" s="2" t="inlineStr">
        <is>
          <t>Cádiz</t>
        </is>
      </c>
      <c r="G763" s="2" t="n"/>
      <c r="H763" s="2" t="inlineStr">
        <is>
          <t>Junta de Gobierno Local del Ayuntamiento de Jerez</t>
        </is>
      </c>
      <c r="I763" s="2" t="inlineStr">
        <is>
          <t>Reasfaltado de diversas calles de Jerez Urbano, zona - 2.</t>
        </is>
      </c>
      <c r="J763" s="2" t="inlineStr">
        <is>
          <t>48/2026</t>
        </is>
      </c>
      <c r="K763" s="2" t="inlineStr">
        <is>
          <t>Abierto</t>
        </is>
      </c>
      <c r="L763" s="6" t="n">
        <v>5</v>
      </c>
      <c r="M763" s="2" t="inlineStr">
        <is>
          <t>A*-1</t>
        </is>
      </c>
      <c r="N763" s="7" t="n">
        <v>0</v>
      </c>
      <c r="O763" s="4" t="n"/>
      <c r="P763" s="2" t="inlineStr">
        <is>
          <t>45220000</t>
        </is>
      </c>
      <c r="Q763" s="8" t="inlineStr">
        <is>
          <t>Ver</t>
        </is>
      </c>
      <c r="R763" s="8" t="inlineStr">
        <is>
          <t>PCAP</t>
        </is>
      </c>
      <c r="S763" s="9" t="n">
        <v>46310</v>
      </c>
      <c r="T763" s="3" t="n">
        <v>46302.40552083333</v>
      </c>
      <c r="U763" s="2" t="n"/>
    </row>
    <row r="764">
      <c r="A764" s="2" t="inlineStr">
        <is>
          <t>Pendiente de adjudicación</t>
        </is>
      </c>
      <c r="B764" s="3" t="n">
        <v>46275.99930555555</v>
      </c>
      <c r="C764" s="5" t="n">
        <v>130578.51</v>
      </c>
      <c r="D764" s="5" t="n">
        <v>130578.51</v>
      </c>
      <c r="E764" s="2" t="inlineStr">
        <is>
          <t>Comunitat Valenciana</t>
        </is>
      </c>
      <c r="F764" s="2" t="inlineStr">
        <is>
          <t>Castellón</t>
        </is>
      </c>
      <c r="G764" s="2" t="inlineStr">
        <is>
          <t>Torreblanca</t>
        </is>
      </c>
      <c r="H764" s="2" t="inlineStr">
        <is>
          <t>Junta de Gobierno del Ayuntamiento de Torreblanca</t>
        </is>
      </c>
      <c r="I764" s="2" t="inlineStr">
        <is>
          <t>Contrato Obra ampliación Cementerio de Torreblabanca (5ª Fase)</t>
        </is>
      </c>
      <c r="J764" s="2" t="inlineStr">
        <is>
          <t>2126/2026</t>
        </is>
      </c>
      <c r="K764" s="2" t="inlineStr">
        <is>
          <t>Abierto simplificado</t>
        </is>
      </c>
      <c r="L764" s="6" t="n">
        <v>2</v>
      </c>
      <c r="M764" s="2" t="n"/>
      <c r="N764" s="7" t="n">
        <v>0</v>
      </c>
      <c r="O764" s="4" t="n"/>
      <c r="P764" s="2" t="inlineStr">
        <is>
          <t>45215400</t>
        </is>
      </c>
      <c r="Q764" s="8" t="inlineStr">
        <is>
          <t>Ver</t>
        </is>
      </c>
      <c r="R764" s="8" t="inlineStr">
        <is>
          <t>PCAP</t>
        </is>
      </c>
      <c r="S764" s="9" t="n">
        <v>46310</v>
      </c>
      <c r="T764" s="3" t="n">
        <v>46302.40434027778</v>
      </c>
      <c r="U764" s="2" t="n"/>
    </row>
    <row r="765">
      <c r="A765" s="2" t="inlineStr">
        <is>
          <t>En plazo</t>
        </is>
      </c>
      <c r="B765" s="3" t="n">
        <v>46316.58333333334</v>
      </c>
      <c r="C765" s="5" t="n">
        <v>15000000</v>
      </c>
      <c r="D765" s="5" t="n">
        <v>15000000</v>
      </c>
      <c r="E765" s="2" t="inlineStr">
        <is>
          <t>Andalucía</t>
        </is>
      </c>
      <c r="F765" s="2" t="inlineStr">
        <is>
          <t>Córdoba</t>
        </is>
      </c>
      <c r="G765" s="2" t="n"/>
      <c r="H765" s="2" t="inlineStr">
        <is>
          <t>Empresa de Transformación Agraria S.A.,S.M.E., M.P., (TRAGSA)</t>
        </is>
      </c>
      <c r="I765" s="2" t="inlineStr">
        <is>
          <t>Conclusión del Acuerdo Marco para Alquiler de Maquinaria de Obra Civil, Agrícola y Forestal, y Camiones, dotada de operario, para Las Actuaciones de La Gerencia Provincial de Tragsa en Córdoba, incluidas obras Financiadas con Fondos Europeos</t>
        </is>
      </c>
      <c r="J765" s="2" t="inlineStr">
        <is>
          <t>TSA0084239</t>
        </is>
      </c>
      <c r="K765" s="2" t="inlineStr">
        <is>
          <t>Abierto</t>
        </is>
      </c>
      <c r="L765" s="6" t="n">
        <v>24</v>
      </c>
      <c r="M765" s="2" t="inlineStr">
        <is>
          <t>C*-1; A*-1; K*-1; E*-1; D*-1; G*-1</t>
        </is>
      </c>
      <c r="N765" s="7" t="n">
        <v>0</v>
      </c>
      <c r="O765" s="4" t="n"/>
      <c r="P765" s="2" t="inlineStr">
        <is>
          <t>45500000</t>
        </is>
      </c>
      <c r="Q765" s="8" t="inlineStr">
        <is>
          <t>Ver</t>
        </is>
      </c>
      <c r="R765" s="8" t="inlineStr">
        <is>
          <t>PCAP</t>
        </is>
      </c>
      <c r="S765" s="9" t="n">
        <v>46310</v>
      </c>
      <c r="T765" s="3" t="n">
        <v>46302.40373842593</v>
      </c>
      <c r="U765" s="2" t="n"/>
    </row>
    <row r="766">
      <c r="A766" s="2" t="inlineStr">
        <is>
          <t>En plazo</t>
        </is>
      </c>
      <c r="B766" s="3" t="n">
        <v>46324.625</v>
      </c>
      <c r="C766" s="5" t="n">
        <v>45307.47</v>
      </c>
      <c r="D766" s="5" t="n">
        <v>45307.47</v>
      </c>
      <c r="E766" s="2" t="inlineStr">
        <is>
          <t>Comunitat Valenciana</t>
        </is>
      </c>
      <c r="F766" s="2" t="inlineStr">
        <is>
          <t>Alicante</t>
        </is>
      </c>
      <c r="G766" s="2" t="inlineStr">
        <is>
          <t>Muro de Alcoi</t>
        </is>
      </c>
      <c r="H766" s="2" t="inlineStr">
        <is>
          <t>Departamento de Salud Alcoy. Dirección Económica-Gerencia</t>
        </is>
      </c>
      <c r="I766" s="2" t="inlineStr">
        <is>
          <t>Obra de instalación de ventanas para la mejora de la eficiencia energética del CS de Muro.</t>
        </is>
      </c>
      <c r="J766" s="2" t="inlineStr">
        <is>
          <t>PASA 1186/2026</t>
        </is>
      </c>
      <c r="K766" s="2" t="inlineStr">
        <is>
          <t>Abierto simplificado</t>
        </is>
      </c>
      <c r="L766" s="6" t="n">
        <v>1</v>
      </c>
      <c r="M766" s="2" t="n"/>
      <c r="N766" s="7" t="n">
        <v>0</v>
      </c>
      <c r="O766" s="4" t="n"/>
      <c r="P766" s="2" t="inlineStr">
        <is>
          <t>45421132; 44221100</t>
        </is>
      </c>
      <c r="Q766" s="8" t="inlineStr">
        <is>
          <t>Ver</t>
        </is>
      </c>
      <c r="R766" s="8" t="inlineStr">
        <is>
          <t>PCAP</t>
        </is>
      </c>
      <c r="S766" s="9" t="n">
        <v>46310</v>
      </c>
      <c r="T766" s="3" t="n">
        <v>46302.40362268518</v>
      </c>
      <c r="U766" s="2" t="n"/>
    </row>
    <row r="767">
      <c r="A767" s="2" t="inlineStr">
        <is>
          <t>Resuelta</t>
        </is>
      </c>
      <c r="B767" s="3" t="n">
        <v>46076.99930555555</v>
      </c>
      <c r="C767" s="5" t="n">
        <v>645826.91</v>
      </c>
      <c r="D767" s="5" t="n">
        <v>645826.91</v>
      </c>
      <c r="E767" s="2" t="inlineStr">
        <is>
          <t>Comunitat Valenciana</t>
        </is>
      </c>
      <c r="F767" s="2" t="inlineStr">
        <is>
          <t>Valencia</t>
        </is>
      </c>
      <c r="G767" s="2" t="inlineStr">
        <is>
          <t>Valencia</t>
        </is>
      </c>
      <c r="H767" s="2" t="inlineStr">
        <is>
          <t>Rectorado de la Universitat Politècnica de València</t>
        </is>
      </c>
      <c r="I767" s="2" t="inlineStr">
        <is>
          <t>Obra de reforma de climatización y ventilación en el bloque 5E de la Escuela Técnica Superior de Ingeniería Industrial del campus de Vera de la Universitat Politècnica de València</t>
        </is>
      </c>
      <c r="J767" s="2" t="inlineStr">
        <is>
          <t>MY26/VICC/O/5</t>
        </is>
      </c>
      <c r="K767" s="2" t="inlineStr">
        <is>
          <t>Abierto</t>
        </is>
      </c>
      <c r="L767" s="6" t="n">
        <v>6.1</v>
      </c>
      <c r="M767" s="2" t="inlineStr">
        <is>
          <t>J2-3</t>
        </is>
      </c>
      <c r="N767" s="7" t="n">
        <v>0.45</v>
      </c>
      <c r="O767" s="4" t="n"/>
      <c r="P767" s="2" t="inlineStr">
        <is>
          <t>45331000</t>
        </is>
      </c>
      <c r="Q767" s="8" t="inlineStr">
        <is>
          <t>Ver</t>
        </is>
      </c>
      <c r="R767" s="2" t="n"/>
      <c r="S767" s="9" t="n">
        <v>46310</v>
      </c>
      <c r="T767" s="3" t="n">
        <v>46302.4033449074</v>
      </c>
      <c r="U767" s="2" t="n"/>
    </row>
    <row r="768">
      <c r="A768" s="2" t="inlineStr">
        <is>
          <t>En plazo</t>
        </is>
      </c>
      <c r="B768" s="3" t="n">
        <v>46323.5</v>
      </c>
      <c r="C768" s="5" t="n">
        <v>80000</v>
      </c>
      <c r="D768" s="5" t="n">
        <v>80000</v>
      </c>
      <c r="E768" s="2" t="inlineStr">
        <is>
          <t>Andalucía</t>
        </is>
      </c>
      <c r="F768" s="2" t="inlineStr">
        <is>
          <t>Cádiz</t>
        </is>
      </c>
      <c r="G768" s="2" t="n"/>
      <c r="H768" s="2" t="inlineStr">
        <is>
          <t>Comité Central de Compras de Navantia S.A., S.M.E.</t>
        </is>
      </c>
      <c r="I768" s="2" t="inlineStr">
        <is>
          <t>Licitación para la adjudicación de los trabajos de adecuación de barandillas en Dique 1 en Navantia San Fernando.</t>
        </is>
      </c>
      <c r="J768" s="2" t="inlineStr">
        <is>
          <t>5100075573 Adec. barandillas D1 Navantia SF</t>
        </is>
      </c>
      <c r="K768" s="2" t="inlineStr">
        <is>
          <t>Normas internas</t>
        </is>
      </c>
      <c r="L768" s="6" t="n">
        <v>2</v>
      </c>
      <c r="M768" s="2" t="n"/>
      <c r="N768" s="7" t="n">
        <v>1</v>
      </c>
      <c r="O768" s="4" t="n"/>
      <c r="P768" s="2" t="inlineStr">
        <is>
          <t>45259000</t>
        </is>
      </c>
      <c r="Q768" s="8" t="inlineStr">
        <is>
          <t>Ver</t>
        </is>
      </c>
      <c r="R768" s="8" t="inlineStr">
        <is>
          <t>PCAP</t>
        </is>
      </c>
      <c r="S768" s="9" t="n">
        <v>46310</v>
      </c>
      <c r="T768" s="3" t="n">
        <v>46302.39496527778</v>
      </c>
      <c r="U768" s="2" t="n"/>
    </row>
    <row r="769">
      <c r="A769" s="2" t="inlineStr">
        <is>
          <t>Resuelta</t>
        </is>
      </c>
      <c r="B769" s="3" t="n">
        <v>46289.99930555555</v>
      </c>
      <c r="C769" s="5" t="n">
        <v>281304.1</v>
      </c>
      <c r="D769" s="5" t="n">
        <v>281304.1</v>
      </c>
      <c r="E769" s="2" t="inlineStr">
        <is>
          <t>Andalucía</t>
        </is>
      </c>
      <c r="F769" s="2" t="inlineStr">
        <is>
          <t>Málaga</t>
        </is>
      </c>
      <c r="G769" s="2" t="inlineStr">
        <is>
          <t>Nerja</t>
        </is>
      </c>
      <c r="H769" s="2" t="inlineStr">
        <is>
          <t>Junta de Gobierno del Ayuntamiento de Nerja</t>
        </is>
      </c>
      <c r="I769" s="2" t="inlineStr">
        <is>
          <t>Obras correspondientes al Proyecto de Reurbanización de Calle Cantarero, en Maro (Nerja) Actualizado</t>
        </is>
      </c>
      <c r="J769" s="2" t="inlineStr">
        <is>
          <t>2026/4/S245</t>
        </is>
      </c>
      <c r="K769" s="2" t="inlineStr">
        <is>
          <t>Abierto simplificado</t>
        </is>
      </c>
      <c r="L769" s="6" t="n">
        <v>4</v>
      </c>
      <c r="M769" s="2" t="n"/>
      <c r="N769" s="7" t="n">
        <v>0.25</v>
      </c>
      <c r="O769" s="4" t="n"/>
      <c r="P769" s="2" t="inlineStr">
        <is>
          <t>45231100; 45233252; 45233140; 45220000</t>
        </is>
      </c>
      <c r="Q769" s="8" t="inlineStr">
        <is>
          <t>Ver</t>
        </is>
      </c>
      <c r="R769" s="8" t="inlineStr">
        <is>
          <t>PCAP</t>
        </is>
      </c>
      <c r="S769" s="9" t="n">
        <v>46310</v>
      </c>
      <c r="T769" s="3" t="n">
        <v>46302.39099537037</v>
      </c>
      <c r="U769" s="2" t="n"/>
    </row>
    <row r="770">
      <c r="A770" s="2" t="inlineStr">
        <is>
          <t>Pendiente de adjudicación</t>
        </is>
      </c>
      <c r="B770" s="3" t="n">
        <v>46301.99930555555</v>
      </c>
      <c r="C770" s="5" t="n">
        <v>250000</v>
      </c>
      <c r="D770" s="5" t="n">
        <v>250000</v>
      </c>
      <c r="E770" s="2" t="inlineStr">
        <is>
          <t>Andalucía</t>
        </is>
      </c>
      <c r="F770" s="2" t="inlineStr">
        <is>
          <t>Córdoba</t>
        </is>
      </c>
      <c r="G770" s="2" t="n"/>
      <c r="H770" s="2" t="inlineStr">
        <is>
          <t>Diputado delegado de Infraestructuras, Sostenibilidad y Agricultura</t>
        </is>
      </c>
      <c r="I770" s="2" t="inlineStr">
        <is>
          <t>Contratación de las obras de Reparación del camino provincial CP-71, Del Galván, en Córdoba.</t>
        </is>
      </c>
      <c r="J770" s="2" t="inlineStr">
        <is>
          <t>752/26</t>
        </is>
      </c>
      <c r="K770" s="2" t="inlineStr">
        <is>
          <t>Abierto</t>
        </is>
      </c>
      <c r="L770" s="6" t="n">
        <v>4</v>
      </c>
      <c r="M770" s="2" t="n"/>
      <c r="N770" s="7" t="n">
        <v>0.4</v>
      </c>
      <c r="O770" s="4" t="n"/>
      <c r="P770" s="2" t="inlineStr">
        <is>
          <t>45233160</t>
        </is>
      </c>
      <c r="Q770" s="8" t="inlineStr">
        <is>
          <t>Ver</t>
        </is>
      </c>
      <c r="R770" s="8" t="inlineStr">
        <is>
          <t>PCAP</t>
        </is>
      </c>
      <c r="S770" s="9" t="n">
        <v>46310</v>
      </c>
      <c r="T770" s="3" t="n">
        <v>46302.38866898148</v>
      </c>
      <c r="U770" s="2" t="n"/>
    </row>
    <row r="771">
      <c r="A771" s="2" t="inlineStr">
        <is>
          <t>En plazo</t>
        </is>
      </c>
      <c r="B771" s="3" t="n">
        <v>46322.99930555555</v>
      </c>
      <c r="C771" s="5" t="n">
        <v>206611.57</v>
      </c>
      <c r="D771" s="5" t="n">
        <v>206611.57</v>
      </c>
      <c r="E771" s="2" t="inlineStr">
        <is>
          <t>Andalucía</t>
        </is>
      </c>
      <c r="F771" s="2" t="inlineStr">
        <is>
          <t>Almería</t>
        </is>
      </c>
      <c r="G771" s="2" t="n"/>
      <c r="H771" s="2" t="inlineStr">
        <is>
          <t>Junta de Gobierno de la Diputación Provincial de Almería</t>
        </is>
      </c>
      <c r="I771" s="2" t="inlineStr">
        <is>
          <t>Restauración Y Puesta En Valor Del Molino Del Lugar En Zurgena. Este Proyecto Podrá Ser Cofinanciado Por La Unión Europea A Través Del Fondo Europeo De Desarrollo Regional (feder) En El Marco Del Prog 3PAI-ALMANZORA30</t>
        </is>
      </c>
      <c r="J771" s="2" t="inlineStr">
        <is>
          <t>2026/D31000/006-013/00081</t>
        </is>
      </c>
      <c r="K771" s="2" t="inlineStr">
        <is>
          <t>Abierto simplificado</t>
        </is>
      </c>
      <c r="L771" s="6" t="n">
        <v>12</v>
      </c>
      <c r="M771" s="2" t="n"/>
      <c r="N771" s="7" t="n">
        <v>0.25</v>
      </c>
      <c r="O771" s="4" t="n"/>
      <c r="P771" s="2" t="inlineStr">
        <is>
          <t>45200000</t>
        </is>
      </c>
      <c r="Q771" s="8" t="inlineStr">
        <is>
          <t>Ver</t>
        </is>
      </c>
      <c r="R771" s="8" t="inlineStr">
        <is>
          <t>PCAP</t>
        </is>
      </c>
      <c r="S771" s="9" t="n">
        <v>46310</v>
      </c>
      <c r="T771" s="3" t="n">
        <v>46302.38836805556</v>
      </c>
      <c r="U771" s="2" t="n"/>
    </row>
    <row r="772">
      <c r="A772" s="2" t="inlineStr">
        <is>
          <t>Resuelta</t>
        </is>
      </c>
      <c r="B772" s="3" t="n">
        <v>46260.99930555555</v>
      </c>
      <c r="C772" s="5" t="n">
        <v>104059.95</v>
      </c>
      <c r="D772" s="5" t="n">
        <v>104059.95</v>
      </c>
      <c r="E772" s="2" t="inlineStr">
        <is>
          <t>Andalucía</t>
        </is>
      </c>
      <c r="F772" s="2" t="inlineStr">
        <is>
          <t>Granada</t>
        </is>
      </c>
      <c r="G772" s="2" t="n"/>
      <c r="H772" s="2" t="inlineStr">
        <is>
          <t>Dirección Gerente de la Empresa Municipal de Abastecimiento y Saneamiento de Granada, S.A.</t>
        </is>
      </c>
      <c r="I772" s="2" t="inlineStr">
        <is>
          <t>Proyecto de ejecución de fuente recreativa transitable en el parque 28 de febrero de Granada.</t>
        </is>
      </c>
      <c r="J772" s="2" t="inlineStr">
        <is>
          <t>Obra 2026-00021</t>
        </is>
      </c>
      <c r="K772" s="2" t="inlineStr">
        <is>
          <t>Abierto</t>
        </is>
      </c>
      <c r="L772" s="6" t="n">
        <v>2</v>
      </c>
      <c r="M772" s="2" t="n"/>
      <c r="N772" s="7" t="n">
        <v>0.4</v>
      </c>
      <c r="O772" s="4" t="n"/>
      <c r="P772" s="2" t="inlineStr">
        <is>
          <t>45240000</t>
        </is>
      </c>
      <c r="Q772" s="8" t="inlineStr">
        <is>
          <t>Ver</t>
        </is>
      </c>
      <c r="R772" s="8" t="inlineStr">
        <is>
          <t>PCAP</t>
        </is>
      </c>
      <c r="S772" s="9" t="n">
        <v>46310</v>
      </c>
      <c r="T772" s="3" t="n">
        <v>46302.38613425926</v>
      </c>
      <c r="U772" s="2" t="n"/>
    </row>
    <row r="773">
      <c r="A773" s="2" t="inlineStr">
        <is>
          <t>Pendiente de adjudicación</t>
        </is>
      </c>
      <c r="B773" s="3" t="n">
        <v>46268.77083333334</v>
      </c>
      <c r="C773" s="5" t="n">
        <v>70951.78999999999</v>
      </c>
      <c r="D773" s="5" t="n">
        <v>70951.78999999999</v>
      </c>
      <c r="E773" s="2" t="inlineStr">
        <is>
          <t>Andalucía</t>
        </is>
      </c>
      <c r="F773" s="2" t="inlineStr">
        <is>
          <t>Málaga</t>
        </is>
      </c>
      <c r="G773" s="2" t="inlineStr">
        <is>
          <t>Periana (Málaga)</t>
        </is>
      </c>
      <c r="H773" s="2" t="inlineStr">
        <is>
          <t>Alcaldía del Ayuntamiento de Periana</t>
        </is>
      </c>
      <c r="I773" s="2" t="inlineStr">
        <is>
          <t>Construcción de vestuarios, aseos y almacén en pistas C.E.I.P. San Isidro de Periana (Málaga).</t>
        </is>
      </c>
      <c r="J773" s="2" t="inlineStr">
        <is>
          <t>2026/815</t>
        </is>
      </c>
      <c r="K773" s="2" t="inlineStr">
        <is>
          <t>Abierto simplificado</t>
        </is>
      </c>
      <c r="L773" s="6" t="n">
        <v>5</v>
      </c>
      <c r="M773" s="2" t="n"/>
      <c r="N773" s="7" t="n">
        <v>0</v>
      </c>
      <c r="O773" s="4" t="n"/>
      <c r="P773" s="2" t="inlineStr">
        <is>
          <t>45000000</t>
        </is>
      </c>
      <c r="Q773" s="8" t="inlineStr">
        <is>
          <t>Ver</t>
        </is>
      </c>
      <c r="R773" s="8" t="inlineStr">
        <is>
          <t>PCAP</t>
        </is>
      </c>
      <c r="S773" s="9" t="n">
        <v>46310</v>
      </c>
      <c r="T773" s="3" t="n">
        <v>46302.38069444444</v>
      </c>
      <c r="U773" s="2" t="n"/>
    </row>
    <row r="774">
      <c r="A774" s="2" t="inlineStr">
        <is>
          <t>Pendiente de adjudicación</t>
        </is>
      </c>
      <c r="B774" s="3" t="n">
        <v>46301.99930555555</v>
      </c>
      <c r="C774" s="5" t="n">
        <v>82900</v>
      </c>
      <c r="D774" s="5" t="n">
        <v>82900</v>
      </c>
      <c r="E774" s="2" t="inlineStr">
        <is>
          <t>Andalucía</t>
        </is>
      </c>
      <c r="F774" s="2" t="inlineStr">
        <is>
          <t>Córdoba</t>
        </is>
      </c>
      <c r="G774" s="2" t="n"/>
      <c r="H774" s="2" t="inlineStr">
        <is>
          <t>Diputado delegado de Infraestructuras, Sostenibilidad y Agricultura</t>
        </is>
      </c>
      <c r="I774" s="2" t="inlineStr">
        <is>
          <t>Contratación de las obras de Arreglo del camino del río de Encinarejo mediante pavimentación, en Encinarejo (Córdoba). Obra incluida en el Plan de Humanización de Entornos Urbanos y Agenda Rural 2024-2027 (Programa de Agenda Rural 24-27, bienio 26-27).</t>
        </is>
      </c>
      <c r="J774" s="2" t="inlineStr">
        <is>
          <t>721/26</t>
        </is>
      </c>
      <c r="K774" s="2" t="inlineStr">
        <is>
          <t>Abierto</t>
        </is>
      </c>
      <c r="L774" s="6" t="n">
        <v>3</v>
      </c>
      <c r="M774" s="2" t="n"/>
      <c r="N774" s="7" t="n">
        <v>0.4</v>
      </c>
      <c r="O774" s="4" t="n"/>
      <c r="P774" s="2" t="inlineStr">
        <is>
          <t>45233160</t>
        </is>
      </c>
      <c r="Q774" s="8" t="inlineStr">
        <is>
          <t>Ver</t>
        </is>
      </c>
      <c r="R774" s="8" t="inlineStr">
        <is>
          <t>PCAP</t>
        </is>
      </c>
      <c r="S774" s="9" t="n">
        <v>46310</v>
      </c>
      <c r="T774" s="3" t="n">
        <v>46302.37840277778</v>
      </c>
      <c r="U774" s="2" t="n"/>
    </row>
    <row r="775">
      <c r="A775" s="2" t="inlineStr">
        <is>
          <t>Adjudicada</t>
        </is>
      </c>
      <c r="B775" s="3" t="n">
        <v>46238.99930555555</v>
      </c>
      <c r="C775" s="5" t="n">
        <v>777869.6800000001</v>
      </c>
      <c r="D775" s="5" t="n">
        <v>777869.6800000001</v>
      </c>
      <c r="E775" s="2" t="inlineStr">
        <is>
          <t>Comunitat Valenciana</t>
        </is>
      </c>
      <c r="F775" s="2" t="inlineStr">
        <is>
          <t>Valencia</t>
        </is>
      </c>
      <c r="G775" s="2" t="n"/>
      <c r="H775" s="2" t="inlineStr">
        <is>
          <t>Junta de Gobierno del Ayuntamiento de Burjassot</t>
        </is>
      </c>
      <c r="I775" s="2" t="inlineStr">
        <is>
          <t>Obras del proyecto de renovación de parques municipales de Burjassot. Mejora y ampliación de zonas verdes. Pla Obert d'Inversions 2024-2027 de la Diputació De València (POI2024-2027).</t>
        </is>
      </c>
      <c r="J775" s="2" t="inlineStr">
        <is>
          <t>2026/9591J</t>
        </is>
      </c>
      <c r="K775" s="2" t="inlineStr">
        <is>
          <t>Abierto simplificado</t>
        </is>
      </c>
      <c r="L775" s="6" t="n">
        <v>4</v>
      </c>
      <c r="M775" s="2" t="n"/>
      <c r="N775" s="7" t="n">
        <v>0</v>
      </c>
      <c r="O775" s="4" t="n">
        <v>7</v>
      </c>
      <c r="P775" s="2" t="inlineStr">
        <is>
          <t>45236210; 43325000; 37535200; 45112000</t>
        </is>
      </c>
      <c r="Q775" s="8" t="inlineStr">
        <is>
          <t>Ver</t>
        </is>
      </c>
      <c r="R775" s="8" t="inlineStr">
        <is>
          <t>PCAP</t>
        </is>
      </c>
      <c r="S775" s="9" t="n">
        <v>46310</v>
      </c>
      <c r="T775" s="3" t="n">
        <v>46302.3779050926</v>
      </c>
      <c r="U775" s="2" t="n"/>
    </row>
    <row r="776">
      <c r="A776" s="2" t="inlineStr">
        <is>
          <t>En plazo</t>
        </is>
      </c>
      <c r="B776" s="3" t="n">
        <v>46322.625</v>
      </c>
      <c r="C776" s="5" t="n">
        <v>82300.83</v>
      </c>
      <c r="D776" s="5" t="n">
        <v>82300.83</v>
      </c>
      <c r="E776" s="2" t="inlineStr">
        <is>
          <t>Andalucía</t>
        </is>
      </c>
      <c r="F776" s="2" t="inlineStr">
        <is>
          <t>Granada</t>
        </is>
      </c>
      <c r="G776" s="2" t="n"/>
      <c r="H776" s="2" t="inlineStr">
        <is>
          <t>Alcaldía del Ayuntamiento de Escúzar</t>
        </is>
      </c>
      <c r="I776" s="2" t="inlineStr">
        <is>
          <t>Obras de mejora en el camino de Paveros</t>
        </is>
      </c>
      <c r="J776" s="2" t="inlineStr">
        <is>
          <t>2026-04</t>
        </is>
      </c>
      <c r="K776" s="2" t="inlineStr">
        <is>
          <t>Abierto simplificado</t>
        </is>
      </c>
      <c r="L776" s="6" t="n">
        <v>1.5</v>
      </c>
      <c r="M776" s="2" t="n"/>
      <c r="N776" s="7" t="n"/>
      <c r="O776" s="4" t="n"/>
      <c r="P776" s="2" t="inlineStr">
        <is>
          <t>45233141</t>
        </is>
      </c>
      <c r="Q776" s="8" t="inlineStr">
        <is>
          <t>Ver</t>
        </is>
      </c>
      <c r="R776" s="8" t="inlineStr">
        <is>
          <t>PCAP</t>
        </is>
      </c>
      <c r="S776" s="9" t="n">
        <v>46310</v>
      </c>
      <c r="T776" s="3" t="n">
        <v>46302.37600694445</v>
      </c>
      <c r="U776" s="2" t="n"/>
    </row>
    <row r="777">
      <c r="A777" s="2" t="inlineStr">
        <is>
          <t>Resuelta</t>
        </is>
      </c>
      <c r="B777" s="3" t="n">
        <v>45653.99930555555</v>
      </c>
      <c r="C777" s="5" t="n">
        <v>4359578.08</v>
      </c>
      <c r="D777" s="5" t="n">
        <v>4359578.08</v>
      </c>
      <c r="E777" s="2" t="inlineStr">
        <is>
          <t>Comunitat Valenciana</t>
        </is>
      </c>
      <c r="F777" s="2" t="inlineStr">
        <is>
          <t>Alicante</t>
        </is>
      </c>
      <c r="G777" s="2" t="n"/>
      <c r="H777" s="2" t="inlineStr">
        <is>
          <t>Pleno del Ayuntamiento de Novelda</t>
        </is>
      </c>
      <c r="I777" s="2" t="inlineStr">
        <is>
          <t>Contratación De La Ejecución De Las Obras De “Construcción De Aulario Para Ciclos Formativos Y Conserjería, Climatización Y Eficiencia Energética, Accesibilidad Y Evacuación Del Centro I.E.S. La Mola”</t>
        </is>
      </c>
      <c r="J777" s="2" t="inlineStr">
        <is>
          <t>2024/8456S</t>
        </is>
      </c>
      <c r="K777" s="2" t="inlineStr">
        <is>
          <t>Abierto</t>
        </is>
      </c>
      <c r="L777" s="6" t="n">
        <v>12</v>
      </c>
      <c r="M777" s="2" t="inlineStr">
        <is>
          <t>I9-1; C2-1</t>
        </is>
      </c>
      <c r="N777" s="7" t="n">
        <v>0.49</v>
      </c>
      <c r="O777" s="4" t="n"/>
      <c r="P777" s="2" t="inlineStr">
        <is>
          <t>45214220; 45214310</t>
        </is>
      </c>
      <c r="Q777" s="8" t="inlineStr">
        <is>
          <t>Ver</t>
        </is>
      </c>
      <c r="R777" s="8" t="inlineStr">
        <is>
          <t>PCAP</t>
        </is>
      </c>
      <c r="S777" s="9" t="n">
        <v>46310</v>
      </c>
      <c r="T777" s="3" t="n">
        <v>46302.375</v>
      </c>
      <c r="U777" s="2" t="n"/>
    </row>
    <row r="778">
      <c r="A778" s="2" t="inlineStr">
        <is>
          <t>Resuelta</t>
        </is>
      </c>
      <c r="B778" s="3" t="n">
        <v>46233.99930555555</v>
      </c>
      <c r="C778" s="5" t="n">
        <v>390763.14</v>
      </c>
      <c r="D778" s="5" t="n">
        <v>390763.14</v>
      </c>
      <c r="E778" s="2" t="inlineStr">
        <is>
          <t>Comunitat Valenciana</t>
        </is>
      </c>
      <c r="F778" s="2" t="inlineStr">
        <is>
          <t>Valencia</t>
        </is>
      </c>
      <c r="G778" s="2" t="inlineStr">
        <is>
          <t>Torrent</t>
        </is>
      </c>
      <c r="H778" s="2" t="inlineStr">
        <is>
          <t>Junta de Gobierno del Ayuntamiento de Torrent</t>
        </is>
      </c>
      <c r="I778" s="2" t="inlineStr">
        <is>
          <t>Obra para el mantenimiento y reparación interior del edificio existente, compuesto por 4 viviendas y local en planta baja en C/ Maestro Fortea, nº 4 de Torrent</t>
        </is>
      </c>
      <c r="J778" s="2" t="inlineStr">
        <is>
          <t>26002/2026</t>
        </is>
      </c>
      <c r="K778" s="2" t="inlineStr">
        <is>
          <t>Abierto</t>
        </is>
      </c>
      <c r="L778" s="6" t="n">
        <v>4</v>
      </c>
      <c r="M778" s="2" t="n"/>
      <c r="N778" s="7" t="n">
        <v>0</v>
      </c>
      <c r="O778" s="4" t="n"/>
      <c r="P778" s="2" t="inlineStr">
        <is>
          <t>45211100</t>
        </is>
      </c>
      <c r="Q778" s="8" t="inlineStr">
        <is>
          <t>Ver</t>
        </is>
      </c>
      <c r="R778" s="8" t="inlineStr">
        <is>
          <t>PCAP</t>
        </is>
      </c>
      <c r="S778" s="9" t="n">
        <v>46310</v>
      </c>
      <c r="T778" s="3" t="n">
        <v>46302.37027777778</v>
      </c>
      <c r="U778" s="2" t="n"/>
    </row>
    <row r="779">
      <c r="A779" s="2" t="inlineStr">
        <is>
          <t>Adjudicada</t>
        </is>
      </c>
      <c r="B779" s="3" t="n">
        <v>46269.99930555555</v>
      </c>
      <c r="C779" s="5" t="n">
        <v>98192.49000000001</v>
      </c>
      <c r="D779" s="5" t="n">
        <v>127650.24</v>
      </c>
      <c r="E779" s="2" t="inlineStr">
        <is>
          <t>Comunitat Valenciana</t>
        </is>
      </c>
      <c r="F779" s="2" t="inlineStr">
        <is>
          <t>Valencia</t>
        </is>
      </c>
      <c r="G779" s="2" t="n"/>
      <c r="H779" s="2" t="inlineStr">
        <is>
          <t>Departamento de Salud de Manises. Dirección Económica-Gerencia</t>
        </is>
      </c>
      <c r="I779" s="2" t="inlineStr">
        <is>
          <t>Obra e instalaciones de nuevas consultas en el Centro de Salud de Aldaia, perteneciente al Departamento de Salud de Manises.</t>
        </is>
      </c>
      <c r="J779" s="2" t="inlineStr">
        <is>
          <t>PA OB 1385/2026</t>
        </is>
      </c>
      <c r="K779" s="2" t="inlineStr">
        <is>
          <t>Abierto</t>
        </is>
      </c>
      <c r="L779" s="6" t="n">
        <v>6</v>
      </c>
      <c r="M779" s="2" t="n"/>
      <c r="N779" s="7" t="n">
        <v>0.45</v>
      </c>
      <c r="O779" s="4" t="n"/>
      <c r="P779" s="2" t="inlineStr">
        <is>
          <t>45215100; 45200000; 45450000</t>
        </is>
      </c>
      <c r="Q779" s="8" t="inlineStr">
        <is>
          <t>Ver</t>
        </is>
      </c>
      <c r="R779" s="8" t="inlineStr">
        <is>
          <t>PCAP</t>
        </is>
      </c>
      <c r="S779" s="9" t="n">
        <v>46310</v>
      </c>
      <c r="T779" s="3" t="n">
        <v>46302.36770833333</v>
      </c>
      <c r="U779" s="2" t="n"/>
    </row>
    <row r="780">
      <c r="A780" s="2" t="inlineStr">
        <is>
          <t>Pendiente de adjudicación</t>
        </is>
      </c>
      <c r="B780" s="3" t="n">
        <v>46300.99930555555</v>
      </c>
      <c r="C780" s="5" t="n">
        <v>767981.26</v>
      </c>
      <c r="D780" s="5" t="n">
        <v>767981.26</v>
      </c>
      <c r="E780" s="2" t="inlineStr">
        <is>
          <t>Andalucía</t>
        </is>
      </c>
      <c r="F780" s="2" t="inlineStr">
        <is>
          <t>Granada</t>
        </is>
      </c>
      <c r="G780" s="2" t="n"/>
      <c r="H780" s="2" t="inlineStr">
        <is>
          <t>Alcaldía del Ayuntamiento de Atarfe</t>
        </is>
      </c>
      <c r="I780" s="2" t="inlineStr">
        <is>
          <t>Obra para la ejecución del Centro Arqueológico Medina Elvira.</t>
        </is>
      </c>
      <c r="J780" s="2" t="inlineStr">
        <is>
          <t>5796/2026</t>
        </is>
      </c>
      <c r="K780" s="2" t="inlineStr">
        <is>
          <t>Abierto</t>
        </is>
      </c>
      <c r="L780" s="6" t="n">
        <v>18</v>
      </c>
      <c r="M780" s="2" t="n"/>
      <c r="N780" s="7" t="n">
        <v>0</v>
      </c>
      <c r="O780" s="4" t="n"/>
      <c r="P780" s="2" t="inlineStr">
        <is>
          <t>45000000; 45212314; 45210000</t>
        </is>
      </c>
      <c r="Q780" s="8" t="inlineStr">
        <is>
          <t>Ver</t>
        </is>
      </c>
      <c r="R780" s="8" t="inlineStr">
        <is>
          <t>PCAP</t>
        </is>
      </c>
      <c r="S780" s="9" t="n">
        <v>46310</v>
      </c>
      <c r="T780" s="3" t="n">
        <v>46302.36751157408</v>
      </c>
      <c r="U780" s="2" t="n"/>
    </row>
    <row r="781">
      <c r="A781" s="2" t="inlineStr">
        <is>
          <t>Resuelta</t>
        </is>
      </c>
      <c r="B781" s="3" t="n">
        <v>45615.75</v>
      </c>
      <c r="C781" s="5" t="n">
        <v>1604081.59</v>
      </c>
      <c r="D781" s="5" t="n">
        <v>1604081.59</v>
      </c>
      <c r="E781" s="2" t="inlineStr">
        <is>
          <t>Andalucía</t>
        </is>
      </c>
      <c r="F781" s="2" t="inlineStr">
        <is>
          <t>Sevilla</t>
        </is>
      </c>
      <c r="G781" s="2" t="n"/>
      <c r="H781" s="2" t="inlineStr">
        <is>
          <t>Rectorado de la Universidad de Sevilla</t>
        </is>
      </c>
      <c r="I781" s="2" t="inlineStr">
        <is>
          <t>Obra de Rehabilitación y Museografía de la Sala Cero del Museo de la Universidad de Sevilla en el edificio Bien de Interés Cultural de la Antigua Fábrica de Tabacos</t>
        </is>
      </c>
      <c r="J781" s="2" t="inlineStr">
        <is>
          <t>24/ANT/58381</t>
        </is>
      </c>
      <c r="K781" s="2" t="inlineStr">
        <is>
          <t>Abierto simplificado</t>
        </is>
      </c>
      <c r="L781" s="6" t="n">
        <v>6</v>
      </c>
      <c r="M781" s="2" t="inlineStr">
        <is>
          <t>K*-4</t>
        </is>
      </c>
      <c r="N781" s="7" t="n">
        <v>0</v>
      </c>
      <c r="O781" s="4" t="n"/>
      <c r="P781" s="2" t="inlineStr">
        <is>
          <t>45214400</t>
        </is>
      </c>
      <c r="Q781" s="8" t="inlineStr">
        <is>
          <t>Ver</t>
        </is>
      </c>
      <c r="R781" s="8" t="inlineStr">
        <is>
          <t>PCAP</t>
        </is>
      </c>
      <c r="S781" s="9" t="n">
        <v>46310</v>
      </c>
      <c r="T781" s="3" t="n">
        <v>46302.35969907408</v>
      </c>
      <c r="U781" s="2" t="n"/>
    </row>
    <row r="782">
      <c r="A782" s="2" t="inlineStr">
        <is>
          <t>Resuelta</t>
        </is>
      </c>
      <c r="B782" s="3" t="n">
        <v>46251.99930555555</v>
      </c>
      <c r="C782" s="5" t="n">
        <v>232971.31</v>
      </c>
      <c r="D782" s="5" t="n">
        <v>232971.31</v>
      </c>
      <c r="E782" s="2" t="inlineStr">
        <is>
          <t>Andalucía</t>
        </is>
      </c>
      <c r="F782" s="2" t="inlineStr">
        <is>
          <t>Málaga</t>
        </is>
      </c>
      <c r="G782" s="2" t="inlineStr">
        <is>
          <t>Alhaurín el Grande</t>
        </is>
      </c>
      <c r="H782" s="2" t="inlineStr">
        <is>
          <t>Alcaldía del Ayuntamiento de Alhaurín el Grande</t>
        </is>
      </c>
      <c r="I782" s="2" t="inlineStr">
        <is>
          <t>Proyecto de obras de rehabilitación cubierta del Pabellón nº 2 del Polideportivo Municipal de Alhaurín el Grande</t>
        </is>
      </c>
      <c r="J782" s="2" t="inlineStr">
        <is>
          <t>22873/2026 CUBIERTA PABELLON</t>
        </is>
      </c>
      <c r="K782" s="2" t="inlineStr">
        <is>
          <t>Abierto simplificado</t>
        </is>
      </c>
      <c r="L782" s="6" t="n">
        <v>2.5</v>
      </c>
      <c r="M782" s="2" t="n"/>
      <c r="N782" s="7" t="n">
        <v>0.3</v>
      </c>
      <c r="O782" s="4" t="n"/>
      <c r="P782" s="2" t="inlineStr">
        <is>
          <t>45212225</t>
        </is>
      </c>
      <c r="Q782" s="8" t="inlineStr">
        <is>
          <t>Ver</t>
        </is>
      </c>
      <c r="R782" s="8" t="inlineStr">
        <is>
          <t>PCAP</t>
        </is>
      </c>
      <c r="S782" s="9" t="n">
        <v>46310</v>
      </c>
      <c r="T782" s="3" t="n">
        <v>46302.35820601852</v>
      </c>
      <c r="U782" s="2" t="n"/>
    </row>
    <row r="783">
      <c r="A783" s="2" t="inlineStr">
        <is>
          <t>Resuelta</t>
        </is>
      </c>
      <c r="B783" s="3" t="n">
        <v>46281.5</v>
      </c>
      <c r="C783" s="5" t="n">
        <v>133644.51</v>
      </c>
      <c r="D783" s="5" t="n">
        <v>133644.51</v>
      </c>
      <c r="E783" s="2" t="inlineStr">
        <is>
          <t>Andalucía</t>
        </is>
      </c>
      <c r="F783" s="2" t="inlineStr">
        <is>
          <t>Córdoba</t>
        </is>
      </c>
      <c r="G783" s="2" t="n"/>
      <c r="H783" s="2" t="inlineStr">
        <is>
          <t>Jefatura de Intendencia de Asuntos Económicos Sur</t>
        </is>
      </c>
      <c r="I783" s="2" t="inlineStr">
        <is>
          <t>OBRA TC 204-16/25 de sustitución de cubierta y reparación de elementos estructurales en hangar nº 05, Base Cerro Muriano, Córdoba</t>
        </is>
      </c>
      <c r="J783" s="2" t="inlineStr">
        <is>
          <t>2026/ETSAE0226/00005625E</t>
        </is>
      </c>
      <c r="K783" s="2" t="inlineStr">
        <is>
          <t>Abierto</t>
        </is>
      </c>
      <c r="L783" s="6" t="n">
        <v>3</v>
      </c>
      <c r="M783" s="2" t="n"/>
      <c r="N783" s="7" t="n">
        <v>0</v>
      </c>
      <c r="O783" s="4" t="n"/>
      <c r="P783" s="2" t="inlineStr">
        <is>
          <t>45261213</t>
        </is>
      </c>
      <c r="Q783" s="8" t="inlineStr">
        <is>
          <t>Ver</t>
        </is>
      </c>
      <c r="R783" s="8" t="inlineStr">
        <is>
          <t>PCAP</t>
        </is>
      </c>
      <c r="S783" s="9" t="n">
        <v>46310</v>
      </c>
      <c r="T783" s="3" t="n">
        <v>46302.35603009259</v>
      </c>
      <c r="U783" s="2" t="n"/>
    </row>
    <row r="784">
      <c r="A784" s="2" t="inlineStr">
        <is>
          <t>Resuelta</t>
        </is>
      </c>
      <c r="B784" s="3" t="n">
        <v>44858.54166666666</v>
      </c>
      <c r="C784" s="5" t="n">
        <v>1770938.44</v>
      </c>
      <c r="D784" s="5" t="n">
        <v>1770938.44</v>
      </c>
      <c r="E784" s="2" t="inlineStr">
        <is>
          <t>Andalucía</t>
        </is>
      </c>
      <c r="F784" s="2" t="inlineStr">
        <is>
          <t>Sevilla</t>
        </is>
      </c>
      <c r="G784" s="2" t="inlineStr">
        <is>
          <t>Marchena</t>
        </is>
      </c>
      <c r="H784" s="2" t="inlineStr">
        <is>
          <t>Pleno del Ayuntamiento de Marchena</t>
        </is>
      </c>
      <c r="I784"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784" s="2" t="inlineStr">
        <is>
          <t>2022/CTT_01/000156</t>
        </is>
      </c>
      <c r="K784" s="2" t="inlineStr">
        <is>
          <t>Abierto simplificado</t>
        </is>
      </c>
      <c r="L784" s="6" t="n">
        <v>15</v>
      </c>
      <c r="M784" s="2" t="inlineStr">
        <is>
          <t>C9-4; C*-2; C*-6; C*-4</t>
        </is>
      </c>
      <c r="N784" s="7" t="n">
        <v>0</v>
      </c>
      <c r="O784" s="4" t="n"/>
      <c r="P784" s="2" t="inlineStr">
        <is>
          <t>45000000; 45213150</t>
        </is>
      </c>
      <c r="Q784" s="8" t="inlineStr">
        <is>
          <t>Ver</t>
        </is>
      </c>
      <c r="R784" s="8" t="inlineStr">
        <is>
          <t>PCAP</t>
        </is>
      </c>
      <c r="S784" s="9" t="n">
        <v>46310</v>
      </c>
      <c r="T784" s="3" t="n">
        <v>46302.35174768518</v>
      </c>
      <c r="U784" s="2" t="n"/>
    </row>
    <row r="785">
      <c r="A785" s="2" t="inlineStr">
        <is>
          <t>Adjudicada</t>
        </is>
      </c>
      <c r="B785" s="3" t="n">
        <v>46293.625</v>
      </c>
      <c r="C785" s="5" t="n">
        <v>413223.14</v>
      </c>
      <c r="D785" s="5" t="n">
        <v>413223.14</v>
      </c>
      <c r="E785" s="2" t="inlineStr">
        <is>
          <t>Andalucía</t>
        </is>
      </c>
      <c r="F785" s="2" t="inlineStr">
        <is>
          <t>Sevilla</t>
        </is>
      </c>
      <c r="G785" s="2" t="n"/>
      <c r="H785" s="2" t="inlineStr">
        <is>
          <t>Alcaldía del Ayuntamiento de El Pedroso</t>
        </is>
      </c>
      <c r="I785" s="2" t="inlineStr">
        <is>
          <t>Reforma y reparación del Camping La Jarosa</t>
        </is>
      </c>
      <c r="J785" s="2" t="inlineStr">
        <is>
          <t>348/2025</t>
        </is>
      </c>
      <c r="K785" s="2" t="inlineStr">
        <is>
          <t>Abierto</t>
        </is>
      </c>
      <c r="L785" s="6" t="n">
        <v>6</v>
      </c>
      <c r="M785" s="2" t="n"/>
      <c r="N785" s="7" t="n">
        <v>0</v>
      </c>
      <c r="O785" s="4" t="n"/>
      <c r="P785" s="2" t="inlineStr">
        <is>
          <t>45212000</t>
        </is>
      </c>
      <c r="Q785" s="8" t="inlineStr">
        <is>
          <t>Ver</t>
        </is>
      </c>
      <c r="R785" s="8" t="inlineStr">
        <is>
          <t>PCAP</t>
        </is>
      </c>
      <c r="S785" s="9" t="n">
        <v>46310</v>
      </c>
      <c r="T785" s="3" t="n">
        <v>46302.3515162037</v>
      </c>
      <c r="U785" s="2" t="n"/>
    </row>
    <row r="786">
      <c r="A786" s="2" t="inlineStr">
        <is>
          <t>Resuelta</t>
        </is>
      </c>
      <c r="B786" s="3" t="n">
        <v>46253.99930555555</v>
      </c>
      <c r="C786" s="5" t="n">
        <v>547266.03</v>
      </c>
      <c r="D786" s="5" t="n">
        <v>547266.03</v>
      </c>
      <c r="E786" s="2" t="inlineStr">
        <is>
          <t>Andalucía</t>
        </is>
      </c>
      <c r="F786" s="2" t="inlineStr">
        <is>
          <t>Sevilla</t>
        </is>
      </c>
      <c r="G786" s="2" t="inlineStr">
        <is>
          <t>BRENES</t>
        </is>
      </c>
      <c r="H786" s="2" t="inlineStr">
        <is>
          <t>Alcaldía del Ayuntamiento de Brenes</t>
        </is>
      </c>
      <c r="I786" s="2" t="inlineStr">
        <is>
          <t>Contratación de obras de reforma y rehabilitación del edificio antiguo Mercado de Abastos: (Fase I) de rehabilitación y reforma de centro de ocio y esparcimiento en antiguo edificio de Mercado de Abastos</t>
        </is>
      </c>
      <c r="J786" s="2" t="inlineStr">
        <is>
          <t>2666/2026</t>
        </is>
      </c>
      <c r="K786" s="2" t="inlineStr">
        <is>
          <t>Abierto simplificado</t>
        </is>
      </c>
      <c r="L786" s="6" t="n">
        <v>10</v>
      </c>
      <c r="M786" s="2" t="n"/>
      <c r="N786" s="7" t="n">
        <v>0</v>
      </c>
      <c r="O786" s="4" t="n"/>
      <c r="P786" s="2" t="inlineStr">
        <is>
          <t>45212110</t>
        </is>
      </c>
      <c r="Q786" s="8" t="inlineStr">
        <is>
          <t>Ver</t>
        </is>
      </c>
      <c r="R786" s="8" t="inlineStr">
        <is>
          <t>PCAP</t>
        </is>
      </c>
      <c r="S786" s="9" t="n">
        <v>46310</v>
      </c>
      <c r="T786" s="3" t="n">
        <v>46302.34690972222</v>
      </c>
      <c r="U786" s="2" t="n"/>
    </row>
    <row r="787">
      <c r="A787" s="2" t="inlineStr">
        <is>
          <t>Resuelta</t>
        </is>
      </c>
      <c r="B787" s="3" t="n">
        <v>46233.75</v>
      </c>
      <c r="C787" s="5" t="n">
        <v>681938.29</v>
      </c>
      <c r="D787" s="5" t="n">
        <v>681938.29</v>
      </c>
      <c r="E787" s="2" t="inlineStr">
        <is>
          <t>Andalucía</t>
        </is>
      </c>
      <c r="F787" s="2" t="inlineStr">
        <is>
          <t>Cádiz</t>
        </is>
      </c>
      <c r="G787" s="2" t="n"/>
      <c r="H787" s="2" t="inlineStr">
        <is>
          <t>Junta de Gobierno del Ayuntamiento de El Puerto de Santa María</t>
        </is>
      </c>
      <c r="I787" s="2" t="inlineStr">
        <is>
          <t>Ejecución de obras de sustitución de césped e instalación red de riego y equipamiento deportivo en campo de fútbol en la Ciudad Deportiva Rafael Sánchez.</t>
        </is>
      </c>
      <c r="J787" s="2" t="inlineStr">
        <is>
          <t>8239/2026</t>
        </is>
      </c>
      <c r="K787" s="2" t="inlineStr">
        <is>
          <t>Abierto simplificado</t>
        </is>
      </c>
      <c r="L787" s="6" t="n">
        <v>3</v>
      </c>
      <c r="M787" s="2" t="n"/>
      <c r="N787" s="7" t="n">
        <v>0.25</v>
      </c>
      <c r="O787" s="4" t="n"/>
      <c r="P787" s="2" t="inlineStr">
        <is>
          <t>45236119; 45212200; 39293400; 45212290</t>
        </is>
      </c>
      <c r="Q787" s="8" t="inlineStr">
        <is>
          <t>Ver</t>
        </is>
      </c>
      <c r="R787" s="8" t="inlineStr">
        <is>
          <t>PCAP</t>
        </is>
      </c>
      <c r="S787" s="9" t="n">
        <v>46310</v>
      </c>
      <c r="T787" s="3" t="n">
        <v>46302.34282407408</v>
      </c>
      <c r="U787" s="2" t="n"/>
    </row>
    <row r="788">
      <c r="A788" s="2" t="inlineStr">
        <is>
          <t>Pendiente de adjudicación</t>
        </is>
      </c>
      <c r="B788" s="3" t="n">
        <v>46288.99930555555</v>
      </c>
      <c r="C788" s="5" t="n">
        <v>2067776.6</v>
      </c>
      <c r="D788" s="5" t="n">
        <v>2067776.6</v>
      </c>
      <c r="E788" s="2" t="inlineStr">
        <is>
          <t>Andalucía</t>
        </is>
      </c>
      <c r="F788" s="2" t="inlineStr">
        <is>
          <t>Almería</t>
        </is>
      </c>
      <c r="G788" s="2" t="inlineStr">
        <is>
          <t>Huércal de Almería</t>
        </is>
      </c>
      <c r="H788" s="2" t="inlineStr">
        <is>
          <t>Junta de Gobierno Local del Ayuntamiento de Huércal de Almería</t>
        </is>
      </c>
      <c r="I788" s="2" t="inlineStr">
        <is>
          <t>Ejecución de Parque de Bomberos</t>
        </is>
      </c>
      <c r="J788" s="2" t="inlineStr">
        <is>
          <t>3447/2026</t>
        </is>
      </c>
      <c r="K788" s="2" t="inlineStr">
        <is>
          <t>Abierto</t>
        </is>
      </c>
      <c r="L788" s="6" t="n">
        <v>18</v>
      </c>
      <c r="M788" s="2" t="inlineStr">
        <is>
          <t>C2-5</t>
        </is>
      </c>
      <c r="N788" s="7" t="n">
        <v>0.25</v>
      </c>
      <c r="O788" s="4" t="n"/>
      <c r="P788" s="2" t="inlineStr">
        <is>
          <t>45216121</t>
        </is>
      </c>
      <c r="Q788" s="8" t="inlineStr">
        <is>
          <t>Ver</t>
        </is>
      </c>
      <c r="R788" s="8" t="inlineStr">
        <is>
          <t>PCAP</t>
        </is>
      </c>
      <c r="S788" s="9" t="n">
        <v>46310</v>
      </c>
      <c r="T788" s="3" t="n">
        <v>46302.34184027778</v>
      </c>
      <c r="U788" s="2" t="n"/>
    </row>
    <row r="789">
      <c r="A789" s="2" t="inlineStr">
        <is>
          <t>Resuelta</t>
        </is>
      </c>
      <c r="B789" s="3" t="n">
        <v>46260.58333333334</v>
      </c>
      <c r="C789" s="5" t="n">
        <v>99121.78999999999</v>
      </c>
      <c r="D789" s="5" t="n">
        <v>99121.78999999999</v>
      </c>
      <c r="E789" s="2" t="inlineStr">
        <is>
          <t>Comunitat Valenciana</t>
        </is>
      </c>
      <c r="F789" s="2" t="inlineStr">
        <is>
          <t>Valencia</t>
        </is>
      </c>
      <c r="G789" s="2" t="n"/>
      <c r="H789" s="2" t="inlineStr">
        <is>
          <t>Concejalía Delegada de Contratación del Ayuntamiento de Gandía</t>
        </is>
      </c>
      <c r="I789" s="2" t="inlineStr">
        <is>
          <t>Contrato de obras para la construcción de la segunda fase de nichos en la ampliación del Cementerio de Gandia.</t>
        </is>
      </c>
      <c r="J789" s="2" t="inlineStr">
        <is>
          <t>CONT-052/2026 (37840/2026)</t>
        </is>
      </c>
      <c r="K789" s="2" t="inlineStr">
        <is>
          <t>Abierto</t>
        </is>
      </c>
      <c r="L789" s="6" t="n">
        <v>2</v>
      </c>
      <c r="M789" s="2" t="n"/>
      <c r="N789" s="7" t="n">
        <v>0</v>
      </c>
      <c r="O789" s="4" t="n"/>
      <c r="P789" s="2" t="inlineStr">
        <is>
          <t>45215400</t>
        </is>
      </c>
      <c r="Q789" s="8" t="inlineStr">
        <is>
          <t>Ver</t>
        </is>
      </c>
      <c r="R789" s="8" t="inlineStr">
        <is>
          <t>PCAP</t>
        </is>
      </c>
      <c r="S789" s="9" t="n">
        <v>46310</v>
      </c>
      <c r="T789" s="3" t="n">
        <v>46302.3409375</v>
      </c>
      <c r="U789" s="2" t="n"/>
    </row>
    <row r="790">
      <c r="A790" s="2" t="inlineStr">
        <is>
          <t>Pendiente de adjudicación</t>
        </is>
      </c>
      <c r="B790" s="3" t="n">
        <v>46296.54166666666</v>
      </c>
      <c r="C790" s="5" t="n">
        <v>237163.01</v>
      </c>
      <c r="D790" s="5" t="n">
        <v>237163.01</v>
      </c>
      <c r="E790" s="2" t="inlineStr">
        <is>
          <t>Comunitat Valenciana</t>
        </is>
      </c>
      <c r="F790" s="2" t="inlineStr">
        <is>
          <t>Alicante</t>
        </is>
      </c>
      <c r="G790" s="2" t="inlineStr">
        <is>
          <t>Monforte del Cid</t>
        </is>
      </c>
      <c r="H790" s="2" t="inlineStr">
        <is>
          <t>Junta de Gobierno del Ayuntamiento de Monforte del Cid</t>
        </is>
      </c>
      <c r="I790"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790" s="2" t="inlineStr">
        <is>
          <t>2047/2026 Reurbanización acceso San Roque</t>
        </is>
      </c>
      <c r="K790" s="2" t="inlineStr">
        <is>
          <t>Abierto simplificado</t>
        </is>
      </c>
      <c r="L790" s="6" t="n">
        <v>4</v>
      </c>
      <c r="M790" s="2" t="n"/>
      <c r="N790" s="7" t="n">
        <v>0</v>
      </c>
      <c r="O790" s="4" t="n"/>
      <c r="P790" s="2" t="inlineStr">
        <is>
          <t>45000000; 45316100; 45233260; 45232150; 45233252</t>
        </is>
      </c>
      <c r="Q790" s="8" t="inlineStr">
        <is>
          <t>Ver</t>
        </is>
      </c>
      <c r="R790" s="8" t="inlineStr">
        <is>
          <t>PCAP</t>
        </is>
      </c>
      <c r="S790" s="9" t="n">
        <v>46310</v>
      </c>
      <c r="T790" s="3" t="n">
        <v>46302.33501157408</v>
      </c>
      <c r="U790" s="2" t="n"/>
    </row>
    <row r="791">
      <c r="A791" s="2" t="inlineStr">
        <is>
          <t>Pendiente de adjudicación</t>
        </is>
      </c>
      <c r="B791" s="3" t="n">
        <v>46237.99930555555</v>
      </c>
      <c r="C791" s="5" t="n">
        <v>714869.4399999999</v>
      </c>
      <c r="D791" s="5" t="n">
        <v>714869.4399999999</v>
      </c>
      <c r="E791" s="2" t="inlineStr">
        <is>
          <t>Andalucía</t>
        </is>
      </c>
      <c r="F791" s="2" t="inlineStr">
        <is>
          <t>Jaén</t>
        </is>
      </c>
      <c r="G791" s="2" t="inlineStr">
        <is>
          <t>Jaén</t>
        </is>
      </c>
      <c r="H791" s="2" t="inlineStr">
        <is>
          <t>Presidencia de la Diputación Provincial de Jaén</t>
        </is>
      </c>
      <c r="I791" s="2" t="inlineStr">
        <is>
          <t>Contrato de Obra JA-3307, Las Casillas de Martos a Alcaudete, refuerzo de firme P.K. 0+000 al 5+90.</t>
        </is>
      </c>
      <c r="J791" s="2" t="inlineStr">
        <is>
          <t>CO-2026/000346</t>
        </is>
      </c>
      <c r="K791" s="2" t="inlineStr">
        <is>
          <t>Abierto</t>
        </is>
      </c>
      <c r="L791" s="6" t="n">
        <v>6</v>
      </c>
      <c r="M791" s="2" t="inlineStr">
        <is>
          <t>G4-3</t>
        </is>
      </c>
      <c r="N791" s="7" t="n">
        <v>0.4</v>
      </c>
      <c r="O791" s="4" t="n"/>
      <c r="P791" s="2" t="inlineStr">
        <is>
          <t>45233223</t>
        </is>
      </c>
      <c r="Q791" s="8" t="inlineStr">
        <is>
          <t>Ver</t>
        </is>
      </c>
      <c r="R791" s="8" t="inlineStr">
        <is>
          <t>PCAP</t>
        </is>
      </c>
      <c r="S791" s="9" t="n">
        <v>46310</v>
      </c>
      <c r="T791" s="3" t="n">
        <v>46302.33278935185</v>
      </c>
      <c r="U791" s="2" t="n"/>
    </row>
    <row r="792">
      <c r="A792" s="2" t="inlineStr">
        <is>
          <t>Pendiente de adjudicación</t>
        </is>
      </c>
      <c r="B792" s="3" t="n">
        <v>46224.99930555555</v>
      </c>
      <c r="C792" s="5" t="n">
        <v>988457.3100000001</v>
      </c>
      <c r="D792" s="5" t="n">
        <v>988457.3100000001</v>
      </c>
      <c r="E792" s="2" t="inlineStr">
        <is>
          <t>Andalucía</t>
        </is>
      </c>
      <c r="F792" s="2" t="inlineStr">
        <is>
          <t>Córdoba</t>
        </is>
      </c>
      <c r="G792" s="2" t="inlineStr">
        <is>
          <t>Córdoba</t>
        </is>
      </c>
      <c r="H792" s="2" t="inlineStr">
        <is>
          <t>Junta de Gobierno de la Diputación Provincial de Córdoba</t>
        </is>
      </c>
      <c r="I792" s="2" t="inlineStr">
        <is>
          <t>Contratación de la obra de mejora de albergue provincial de Cerro Muriano, 1ª fase, en Córdoba, dividida en 2 lotes.</t>
        </is>
      </c>
      <c r="J792" s="2" t="inlineStr">
        <is>
          <t>406/26</t>
        </is>
      </c>
      <c r="K792" s="2" t="inlineStr">
        <is>
          <t>Abierto</t>
        </is>
      </c>
      <c r="L792" s="6" t="n">
        <v>16</v>
      </c>
      <c r="M792" s="2" t="n"/>
      <c r="N792" s="7" t="n">
        <v>0.4</v>
      </c>
      <c r="O792" s="4" t="n">
        <v>2</v>
      </c>
      <c r="P792" s="2" t="inlineStr">
        <is>
          <t>45223000; 45315300; 45223210; 45315000; 45261215</t>
        </is>
      </c>
      <c r="Q792" s="8" t="inlineStr">
        <is>
          <t>Ver</t>
        </is>
      </c>
      <c r="R792" s="8" t="inlineStr">
        <is>
          <t>PCAP</t>
        </is>
      </c>
      <c r="S792" s="9" t="n">
        <v>46310</v>
      </c>
      <c r="T792" s="3" t="n">
        <v>46302.32056712963</v>
      </c>
      <c r="U792" s="2" t="n"/>
    </row>
    <row r="793">
      <c r="A793" s="2" t="inlineStr">
        <is>
          <t>En plazo</t>
        </is>
      </c>
      <c r="B793" s="3" t="n">
        <v>46315.5</v>
      </c>
      <c r="C793" s="5" t="n">
        <v>52000</v>
      </c>
      <c r="D793" s="5" t="n">
        <v>52000</v>
      </c>
      <c r="E793" s="2" t="inlineStr">
        <is>
          <t>Andalucía</t>
        </is>
      </c>
      <c r="F793" s="2" t="inlineStr">
        <is>
          <t>Granada</t>
        </is>
      </c>
      <c r="G793" s="2" t="n"/>
      <c r="H793" s="2" t="inlineStr">
        <is>
          <t>Dirección General de Renfe Ingeniería y Mantenimiento Sociedad Mercantil Estatal, S.A.</t>
        </is>
      </c>
      <c r="I793" s="2" t="inlineStr">
        <is>
          <t>Obra de adecuacion y sustitucion de alumbrado y acometidas de techos, paredes y fosos, tipo led, en la nave de automotores del cerc de granada</t>
        </is>
      </c>
      <c r="J793" s="2" t="inlineStr">
        <is>
          <t>2026-03849</t>
        </is>
      </c>
      <c r="K793" s="2" t="inlineStr">
        <is>
          <t>Normas internas</t>
        </is>
      </c>
      <c r="L793" s="6" t="n">
        <v>3</v>
      </c>
      <c r="M793" s="2" t="n"/>
      <c r="N793" s="7" t="n"/>
      <c r="O793" s="4" t="n"/>
      <c r="P793" s="2" t="inlineStr">
        <is>
          <t>45316000; 45310000</t>
        </is>
      </c>
      <c r="Q793" s="8" t="inlineStr">
        <is>
          <t>Ver</t>
        </is>
      </c>
      <c r="R793" s="8" t="inlineStr">
        <is>
          <t>PCAP</t>
        </is>
      </c>
      <c r="S793" s="9" t="n">
        <v>46310</v>
      </c>
      <c r="T793" s="3" t="n">
        <v>46302.31199074074</v>
      </c>
      <c r="U793" s="2" t="n"/>
    </row>
    <row r="794">
      <c r="A794" s="2" t="inlineStr">
        <is>
          <t>Pendiente de adjudicación</t>
        </is>
      </c>
      <c r="B794" s="3" t="n">
        <v>46245.5625</v>
      </c>
      <c r="C794" s="5" t="n">
        <v>661641.49</v>
      </c>
      <c r="D794" s="5" t="n">
        <v>661641.49</v>
      </c>
      <c r="E794" s="2" t="inlineStr">
        <is>
          <t>Andalucía</t>
        </is>
      </c>
      <c r="F794" s="2" t="inlineStr">
        <is>
          <t>Cádiz</t>
        </is>
      </c>
      <c r="G794" s="2" t="n"/>
      <c r="H794" s="2" t="inlineStr">
        <is>
          <t>Junta de Gobierno del Ayuntamiento de Chiclana de la Frontera</t>
        </is>
      </c>
      <c r="I794" s="2" t="inlineStr">
        <is>
          <t>Obras de Plan de Barriadas Fase I.</t>
        </is>
      </c>
      <c r="J794" s="2" t="inlineStr">
        <is>
          <t>42/2026</t>
        </is>
      </c>
      <c r="K794" s="2" t="inlineStr">
        <is>
          <t>Abierto simplificado</t>
        </is>
      </c>
      <c r="L794" s="6" t="n">
        <v>7</v>
      </c>
      <c r="M794" s="2" t="inlineStr">
        <is>
          <t>C4-3; C9-3</t>
        </is>
      </c>
      <c r="N794" s="7" t="n">
        <v>0.15</v>
      </c>
      <c r="O794" s="4" t="n">
        <v>2</v>
      </c>
      <c r="P794" s="2" t="inlineStr">
        <is>
          <t>45233140; 45236290</t>
        </is>
      </c>
      <c r="Q794" s="8" t="inlineStr">
        <is>
          <t>Ver</t>
        </is>
      </c>
      <c r="R794" s="8" t="inlineStr">
        <is>
          <t>PCAP</t>
        </is>
      </c>
      <c r="S794" s="9" t="n">
        <v>46310</v>
      </c>
      <c r="T794" s="3" t="n">
        <v>46302.3095949074</v>
      </c>
      <c r="U794" s="2" t="n"/>
    </row>
    <row r="795">
      <c r="A795" s="2" t="inlineStr">
        <is>
          <t>En plazo</t>
        </is>
      </c>
      <c r="B795" s="3" t="n">
        <v>46317.99930555555</v>
      </c>
      <c r="C795" s="5" t="n">
        <v>145984</v>
      </c>
      <c r="D795" s="5" t="n">
        <v>145984</v>
      </c>
      <c r="E795" s="2" t="inlineStr">
        <is>
          <t>Comunitat Valenciana</t>
        </is>
      </c>
      <c r="F795" s="2" t="inlineStr">
        <is>
          <t>Alicante</t>
        </is>
      </c>
      <c r="G795" s="2" t="n"/>
      <c r="H795" s="2" t="inlineStr">
        <is>
          <t>Alcaldía del Ayuntamiento de Polop</t>
        </is>
      </c>
      <c r="I795" s="2" t="inlineStr">
        <is>
          <t>Obras de reparación de fuente y depósito de la Plaza de los Chorros en Polop de la Marina (Alicante).</t>
        </is>
      </c>
      <c r="J795" s="2" t="inlineStr">
        <is>
          <t>2869/2026</t>
        </is>
      </c>
      <c r="K795" s="2" t="inlineStr">
        <is>
          <t>Abierto simplificado</t>
        </is>
      </c>
      <c r="L795" s="6" t="n">
        <v>3</v>
      </c>
      <c r="M795" s="2" t="n"/>
      <c r="N795" s="7" t="n">
        <v>0.25</v>
      </c>
      <c r="O795" s="4" t="n"/>
      <c r="P795" s="2" t="inlineStr">
        <is>
          <t>45212350</t>
        </is>
      </c>
      <c r="Q795" s="8" t="inlineStr">
        <is>
          <t>Ver</t>
        </is>
      </c>
      <c r="R795" s="8" t="inlineStr">
        <is>
          <t>PCAP</t>
        </is>
      </c>
      <c r="S795" s="9" t="n">
        <v>46310</v>
      </c>
      <c r="T795" s="3" t="n">
        <v>46302.25481481481</v>
      </c>
      <c r="U795" s="2" t="n"/>
    </row>
    <row r="796">
      <c r="A796" s="2" t="inlineStr">
        <is>
          <t>En plazo</t>
        </is>
      </c>
      <c r="B796" s="3" t="n">
        <v>46321.58333333334</v>
      </c>
      <c r="C796" s="5" t="n">
        <v>54504.36</v>
      </c>
      <c r="D796" s="5" t="n">
        <v>54504.36</v>
      </c>
      <c r="E796" s="2" t="inlineStr">
        <is>
          <t>Comunitat Valenciana</t>
        </is>
      </c>
      <c r="F796" s="2" t="inlineStr">
        <is>
          <t>Valencia</t>
        </is>
      </c>
      <c r="G796" s="2" t="inlineStr">
        <is>
          <t>Vallanca</t>
        </is>
      </c>
      <c r="H796" s="2" t="inlineStr">
        <is>
          <t>Alcaldía del Ayuntamiento de Vallanca</t>
        </is>
      </c>
      <c r="I796" s="2" t="inlineStr">
        <is>
          <t>Rehabilitación del inmueble municipal Casa Diezmera</t>
        </is>
      </c>
      <c r="J796" s="2" t="inlineStr">
        <is>
          <t>240/2026</t>
        </is>
      </c>
      <c r="K796" s="2" t="inlineStr">
        <is>
          <t>Abierto simplificado</t>
        </is>
      </c>
      <c r="L796" s="6" t="n">
        <v>6</v>
      </c>
      <c r="M796" s="2" t="n"/>
      <c r="N796" s="7" t="n">
        <v>0</v>
      </c>
      <c r="O796" s="4" t="n"/>
      <c r="P796" s="2" t="inlineStr">
        <is>
          <t>45262690</t>
        </is>
      </c>
      <c r="Q796" s="8" t="inlineStr">
        <is>
          <t>Ver</t>
        </is>
      </c>
      <c r="R796" s="8" t="inlineStr">
        <is>
          <t>PCAP</t>
        </is>
      </c>
      <c r="S796" s="9" t="n">
        <v>46310</v>
      </c>
      <c r="T796" s="3" t="n">
        <v>46301.87353009259</v>
      </c>
      <c r="U796" s="2" t="n"/>
    </row>
    <row r="797">
      <c r="A797" s="2" t="inlineStr">
        <is>
          <t>Pendiente de adjudicación</t>
        </is>
      </c>
      <c r="B797" s="3" t="n">
        <v>46294.79166666666</v>
      </c>
      <c r="C797" s="5" t="n">
        <v>172999.74</v>
      </c>
      <c r="D797" s="5" t="n">
        <v>142974.99</v>
      </c>
      <c r="E797" s="2" t="inlineStr">
        <is>
          <t>Andalucía</t>
        </is>
      </c>
      <c r="F797" s="2" t="inlineStr">
        <is>
          <t>Granada</t>
        </is>
      </c>
      <c r="G797" s="2" t="n"/>
      <c r="H797" s="2" t="inlineStr">
        <is>
          <t>Junta de Gobierno Local del Ayuntamiento de Ogíjares</t>
        </is>
      </c>
      <c r="I797" s="2" t="inlineStr">
        <is>
          <t>Contrato de obras de implantación de un punto limpio en C/Sol esquina C/ Polo en Ogíjares (Granada). Fase 1.</t>
        </is>
      </c>
      <c r="J797" s="2" t="inlineStr">
        <is>
          <t>4974/2026</t>
        </is>
      </c>
      <c r="K797" s="2" t="inlineStr">
        <is>
          <t>Abierto simplificado</t>
        </is>
      </c>
      <c r="L797" s="6" t="n">
        <v>3</v>
      </c>
      <c r="M797" s="2" t="n"/>
      <c r="N797" s="7" t="n">
        <v>0</v>
      </c>
      <c r="O797" s="4" t="n"/>
      <c r="P797" s="2" t="inlineStr">
        <is>
          <t>45222100; 45213250</t>
        </is>
      </c>
      <c r="Q797" s="8" t="inlineStr">
        <is>
          <t>Ver</t>
        </is>
      </c>
      <c r="R797" s="8" t="inlineStr">
        <is>
          <t>PCAP</t>
        </is>
      </c>
      <c r="S797" s="9" t="n">
        <v>46310</v>
      </c>
      <c r="T797" s="3" t="n">
        <v>46301.79122685185</v>
      </c>
      <c r="U797" s="2" t="n"/>
    </row>
    <row r="798">
      <c r="A798" s="2" t="inlineStr">
        <is>
          <t>Pendiente de adjudicación</t>
        </is>
      </c>
      <c r="B798" s="3" t="n">
        <v>46174.99930555555</v>
      </c>
      <c r="C798" s="5" t="n">
        <v>162659.88</v>
      </c>
      <c r="D798" s="5" t="n">
        <v>162659.88</v>
      </c>
      <c r="E798" s="2" t="inlineStr">
        <is>
          <t>Andalucía</t>
        </is>
      </c>
      <c r="F798" s="2" t="inlineStr">
        <is>
          <t>Málaga</t>
        </is>
      </c>
      <c r="G798" s="2" t="inlineStr">
        <is>
          <t>Torrox</t>
        </is>
      </c>
      <c r="H798" s="2" t="inlineStr">
        <is>
          <t>Alcaldia del Ayuntamiento de Torrox</t>
        </is>
      </c>
      <c r="I798" s="2" t="inlineStr">
        <is>
          <t>Reparación de canalizaciones, conductos y equipos de climatización y cambio de bomba de calor en edificio de usos multiples en Torrox-Costa</t>
        </is>
      </c>
      <c r="J798" s="2" t="inlineStr">
        <is>
          <t>1775/2026</t>
        </is>
      </c>
      <c r="K798" s="2" t="inlineStr">
        <is>
          <t>Abierto simplificado</t>
        </is>
      </c>
      <c r="L798" s="6" t="n">
        <v>3</v>
      </c>
      <c r="M798" s="2" t="n"/>
      <c r="N798" s="7" t="n">
        <v>0.667</v>
      </c>
      <c r="O798" s="4" t="n"/>
      <c r="P798" s="2" t="inlineStr">
        <is>
          <t>45331220; 42512300; 42512000</t>
        </is>
      </c>
      <c r="Q798" s="8" t="inlineStr">
        <is>
          <t>Ver</t>
        </is>
      </c>
      <c r="R798" s="8" t="inlineStr">
        <is>
          <t>PCAP</t>
        </is>
      </c>
      <c r="S798" s="9" t="n">
        <v>46310</v>
      </c>
      <c r="T798" s="3" t="n">
        <v>46301.78880787037</v>
      </c>
      <c r="U798" s="2" t="n"/>
    </row>
    <row r="799">
      <c r="A799" s="2" t="inlineStr">
        <is>
          <t>En plazo</t>
        </is>
      </c>
      <c r="B799" s="3" t="n">
        <v>46321.99930555555</v>
      </c>
      <c r="C799" s="5" t="n">
        <v>80021.95</v>
      </c>
      <c r="D799" s="5" t="n">
        <v>80021.95</v>
      </c>
      <c r="E799" s="2" t="inlineStr">
        <is>
          <t>Andalucía</t>
        </is>
      </c>
      <c r="F799" s="2" t="inlineStr">
        <is>
          <t>Jaén</t>
        </is>
      </c>
      <c r="G799" s="2" t="inlineStr">
        <is>
          <t>Torreblascopedro, Jaén</t>
        </is>
      </c>
      <c r="H799" s="2" t="inlineStr">
        <is>
          <t>Alcaldía del Ayuntamiento de Torreblascopedro</t>
        </is>
      </c>
      <c r="I799"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799" s="2" t="inlineStr">
        <is>
          <t>299/2026</t>
        </is>
      </c>
      <c r="K799" s="2" t="inlineStr">
        <is>
          <t>Abierto simplificado</t>
        </is>
      </c>
      <c r="L799" s="6" t="n">
        <v>3</v>
      </c>
      <c r="M799" s="2" t="inlineStr">
        <is>
          <t>C7-1</t>
        </is>
      </c>
      <c r="N799" s="7" t="n">
        <v>0</v>
      </c>
      <c r="O799" s="4" t="n"/>
      <c r="P799" s="2" t="inlineStr">
        <is>
          <t>45261900; 45261420; 09331200</t>
        </is>
      </c>
      <c r="Q799" s="8" t="inlineStr">
        <is>
          <t>Ver</t>
        </is>
      </c>
      <c r="R799" s="8" t="inlineStr">
        <is>
          <t>PCAP</t>
        </is>
      </c>
      <c r="S799" s="9" t="n">
        <v>46310</v>
      </c>
      <c r="T799" s="3" t="n">
        <v>46301.77266203704</v>
      </c>
      <c r="U799" s="2" t="n"/>
    </row>
    <row r="800">
      <c r="A800" s="2" t="inlineStr">
        <is>
          <t>Pendiente de adjudicación</t>
        </is>
      </c>
      <c r="B800" s="3" t="n">
        <v>46283.41666666666</v>
      </c>
      <c r="C800" s="5" t="n">
        <v>48486.9</v>
      </c>
      <c r="D800" s="5" t="n">
        <v>48486.9</v>
      </c>
      <c r="E800" s="2" t="inlineStr">
        <is>
          <t>Andalucía</t>
        </is>
      </c>
      <c r="F800" s="2" t="inlineStr">
        <is>
          <t>Huelva</t>
        </is>
      </c>
      <c r="G800" s="2" t="n"/>
      <c r="H800" s="2" t="inlineStr">
        <is>
          <t>Empresa de Transformación Agraria S.A.,S.M.E., M.P., (TRAGSA)</t>
        </is>
      </c>
      <c r="I800" s="2" t="inlineStr">
        <is>
          <t>Ejecución de señalización horizontal para la obra: Proyecto de mejora de los caminos de acceso a la presa del Andévalo, en los T.M. de El Almendro, El Granado y Puebla de Guzmán (Huelva)</t>
        </is>
      </c>
      <c r="J800" s="2" t="inlineStr">
        <is>
          <t>TSA0084000</t>
        </is>
      </c>
      <c r="K800" s="2" t="inlineStr">
        <is>
          <t>Abierto simplificado</t>
        </is>
      </c>
      <c r="L800" s="6" t="n">
        <v>4</v>
      </c>
      <c r="M800" s="2" t="n"/>
      <c r="N800" s="7" t="n">
        <v>0</v>
      </c>
      <c r="O800" s="4" t="n"/>
      <c r="P800" s="2" t="inlineStr">
        <is>
          <t>45233221</t>
        </is>
      </c>
      <c r="Q800" s="8" t="inlineStr">
        <is>
          <t>Ver</t>
        </is>
      </c>
      <c r="R800" s="8" t="inlineStr">
        <is>
          <t>PCAP</t>
        </is>
      </c>
      <c r="S800" s="9" t="n">
        <v>46310</v>
      </c>
      <c r="T800" s="3" t="n">
        <v>46301.77133101852</v>
      </c>
      <c r="U800" s="2" t="n"/>
    </row>
    <row r="801">
      <c r="A801" s="2" t="inlineStr">
        <is>
          <t>Pendiente de adjudicación</t>
        </is>
      </c>
      <c r="B801" s="3" t="n">
        <v>46293.99930555555</v>
      </c>
      <c r="C801" s="5" t="n">
        <v>51577.69</v>
      </c>
      <c r="D801" s="5" t="n">
        <v>51577.69</v>
      </c>
      <c r="E801" s="2" t="inlineStr">
        <is>
          <t>Andalucía</t>
        </is>
      </c>
      <c r="F801" s="2" t="inlineStr">
        <is>
          <t>Granada</t>
        </is>
      </c>
      <c r="G801" s="2" t="inlineStr">
        <is>
          <t>JUN.</t>
        </is>
      </c>
      <c r="H801" s="2" t="inlineStr">
        <is>
          <t>Alcaldía del Ayuntamiento de Jun</t>
        </is>
      </c>
      <c r="I801" s="2" t="inlineStr">
        <is>
          <t>Pavimentación de las calles San Luís, Aguas, Antonio Rodríguez, en JUN.</t>
        </is>
      </c>
      <c r="J801" s="2" t="inlineStr">
        <is>
          <t>387/2026</t>
        </is>
      </c>
      <c r="K801" s="2" t="inlineStr">
        <is>
          <t>Abierto simplificado</t>
        </is>
      </c>
      <c r="L801" s="6" t="n">
        <v>0.7</v>
      </c>
      <c r="M801" s="2" t="n"/>
      <c r="N801" s="7" t="n">
        <v>0</v>
      </c>
      <c r="O801" s="4" t="n"/>
      <c r="P801" s="2" t="inlineStr">
        <is>
          <t>45233252</t>
        </is>
      </c>
      <c r="Q801" s="8" t="inlineStr">
        <is>
          <t>Ver</t>
        </is>
      </c>
      <c r="R801" s="8" t="inlineStr">
        <is>
          <t>PCAP</t>
        </is>
      </c>
      <c r="S801" s="9" t="n">
        <v>46310</v>
      </c>
      <c r="T801" s="3" t="n">
        <v>46301.73722222223</v>
      </c>
      <c r="U801" s="2" t="n"/>
    </row>
    <row r="802">
      <c r="A802" s="2" t="inlineStr">
        <is>
          <t>Adjudicada</t>
        </is>
      </c>
      <c r="B802" s="3" t="n">
        <v>46233.99930555555</v>
      </c>
      <c r="C802" s="5" t="n">
        <v>658504.16</v>
      </c>
      <c r="D802" s="5" t="n">
        <v>658504.16</v>
      </c>
      <c r="E802" s="2" t="inlineStr">
        <is>
          <t>Comunitat Valenciana</t>
        </is>
      </c>
      <c r="F802" s="2" t="inlineStr">
        <is>
          <t>Valencia</t>
        </is>
      </c>
      <c r="G802" s="2" t="inlineStr">
        <is>
          <t>Loriguilla</t>
        </is>
      </c>
      <c r="H802" s="2" t="inlineStr">
        <is>
          <t>Ayuntamiento de Loriguilla</t>
        </is>
      </c>
      <c r="I802"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802" s="2" t="inlineStr">
        <is>
          <t>1232/2026.- AMPLIACIÓN PUENTE LOMA TMD-DANA</t>
        </is>
      </c>
      <c r="K802" s="2" t="inlineStr">
        <is>
          <t>Abierto simplificado</t>
        </is>
      </c>
      <c r="L802" s="6" t="n">
        <v>6</v>
      </c>
      <c r="M802" s="2" t="inlineStr">
        <is>
          <t>B1-3</t>
        </is>
      </c>
      <c r="N802" s="7" t="n">
        <v>0.75</v>
      </c>
      <c r="O802" s="4" t="n"/>
      <c r="P802" s="2" t="inlineStr">
        <is>
          <t>45221110</t>
        </is>
      </c>
      <c r="Q802" s="8" t="inlineStr">
        <is>
          <t>Ver</t>
        </is>
      </c>
      <c r="R802" s="8" t="inlineStr">
        <is>
          <t>PCAP</t>
        </is>
      </c>
      <c r="S802" s="9" t="n">
        <v>46310</v>
      </c>
      <c r="T802" s="3" t="n">
        <v>46301.70366898148</v>
      </c>
      <c r="U802" s="2" t="n"/>
    </row>
    <row r="803">
      <c r="A803" s="2" t="inlineStr">
        <is>
          <t>Adjudicada</t>
        </is>
      </c>
      <c r="B803" s="3" t="n">
        <v>46230.99930555555</v>
      </c>
      <c r="C803" s="5" t="n">
        <v>1239669.42</v>
      </c>
      <c r="D803" s="5" t="n">
        <v>2975206.61</v>
      </c>
      <c r="E803" s="2" t="inlineStr">
        <is>
          <t>Andalucía</t>
        </is>
      </c>
      <c r="F803" s="2" t="inlineStr">
        <is>
          <t>Málaga</t>
        </is>
      </c>
      <c r="G803" s="2" t="n"/>
      <c r="H803" s="2" t="inlineStr">
        <is>
          <t>Concejalía Delegada en Materia de Contratación del Ayuntamiento de Torremolinos</t>
        </is>
      </c>
      <c r="I803" s="2" t="inlineStr">
        <is>
          <t>Acuerdo Marco obras de reparación simple, conservación y mantenimiento de acera y áreas peatonales de espacios públicos del Ayuntamiento de Torremolinos (3 lotes)</t>
        </is>
      </c>
      <c r="J803" s="2" t="inlineStr">
        <is>
          <t>13571/2026</t>
        </is>
      </c>
      <c r="K803" s="2" t="inlineStr">
        <is>
          <t>Abierto</t>
        </is>
      </c>
      <c r="L803" s="6" t="n">
        <v>12</v>
      </c>
      <c r="M803" s="2" t="n"/>
      <c r="N803" s="7" t="n">
        <v>0.15</v>
      </c>
      <c r="O803" s="4" t="n"/>
      <c r="P803" s="2" t="inlineStr">
        <is>
          <t>45233222; 50230000; 45233251; 45233253; 45233252</t>
        </is>
      </c>
      <c r="Q803" s="8" t="inlineStr">
        <is>
          <t>Ver</t>
        </is>
      </c>
      <c r="R803" s="8" t="inlineStr">
        <is>
          <t>PCAP</t>
        </is>
      </c>
      <c r="S803" s="9" t="n">
        <v>46310</v>
      </c>
      <c r="T803" s="3" t="n">
        <v>46301.70177083334</v>
      </c>
      <c r="U803" s="2" t="n"/>
    </row>
    <row r="804">
      <c r="A804" s="2" t="inlineStr">
        <is>
          <t>Adjudicada</t>
        </is>
      </c>
      <c r="B804" s="3" t="n">
        <v>46233.79166666666</v>
      </c>
      <c r="C804" s="5" t="n">
        <v>1751705</v>
      </c>
      <c r="D804" s="5" t="n">
        <v>658504.16</v>
      </c>
      <c r="E804" s="2" t="inlineStr">
        <is>
          <t>Comunitat Valenciana</t>
        </is>
      </c>
      <c r="F804" s="2" t="inlineStr">
        <is>
          <t>Valencia</t>
        </is>
      </c>
      <c r="G804" s="2" t="inlineStr">
        <is>
          <t>Loriguilla</t>
        </is>
      </c>
      <c r="H804" s="2" t="inlineStr">
        <is>
          <t>Ayuntamiento de Loriguilla</t>
        </is>
      </c>
      <c r="I80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804" s="2" t="inlineStr">
        <is>
          <t>1196/2026.- BALSAS LAMINACIÓN TMD- DANA</t>
        </is>
      </c>
      <c r="K804" s="2" t="inlineStr">
        <is>
          <t>Abierto</t>
        </is>
      </c>
      <c r="L804" s="6" t="n">
        <v>6</v>
      </c>
      <c r="M804" s="2" t="inlineStr">
        <is>
          <t>E7-4</t>
        </is>
      </c>
      <c r="N804" s="7" t="n">
        <v>0.75</v>
      </c>
      <c r="O804" s="4" t="n"/>
      <c r="P804" s="2" t="inlineStr">
        <is>
          <t>45240000; 71242000; 71420000; 45112710; 71310000; 71300000</t>
        </is>
      </c>
      <c r="Q804" s="8" t="inlineStr">
        <is>
          <t>Ver</t>
        </is>
      </c>
      <c r="R804" s="8" t="inlineStr">
        <is>
          <t>PCAP</t>
        </is>
      </c>
      <c r="S804" s="9" t="n">
        <v>46310</v>
      </c>
      <c r="T804" s="3" t="n">
        <v>46301.70024305556</v>
      </c>
      <c r="U804" s="2" t="n"/>
    </row>
    <row r="805">
      <c r="A805" s="2" t="inlineStr">
        <is>
          <t>En plazo</t>
        </is>
      </c>
      <c r="B805" s="3" t="n">
        <v>46317.99930555555</v>
      </c>
      <c r="C805" s="5" t="n">
        <v>60846.64</v>
      </c>
      <c r="D805" s="5" t="n">
        <v>66931.3</v>
      </c>
      <c r="E805" s="2" t="inlineStr">
        <is>
          <t>Comunitat Valenciana</t>
        </is>
      </c>
      <c r="F805" s="2" t="inlineStr">
        <is>
          <t>Alicante</t>
        </is>
      </c>
      <c r="G805" s="2" t="inlineStr">
        <is>
          <t>Ondara</t>
        </is>
      </c>
      <c r="H805" s="2" t="inlineStr">
        <is>
          <t>Junta de Gobierno del Ayuntamiento de Ondara</t>
        </is>
      </c>
      <c r="I805" s="2" t="inlineStr">
        <is>
          <t>Pavimentació al barri del Crist i part del camí Vell de Beniarbeig. Pla Inversions 2026 IFS</t>
        </is>
      </c>
      <c r="J805" s="2" t="inlineStr">
        <is>
          <t>2958/2026</t>
        </is>
      </c>
      <c r="K805" s="2" t="inlineStr">
        <is>
          <t>Abierto simplificado</t>
        </is>
      </c>
      <c r="L805" s="6" t="n">
        <v>1.4</v>
      </c>
      <c r="M805" s="2" t="n"/>
      <c r="N805" s="7" t="n">
        <v>0</v>
      </c>
      <c r="O805" s="4" t="n"/>
      <c r="P805" s="2" t="inlineStr">
        <is>
          <t>45233222</t>
        </is>
      </c>
      <c r="Q805" s="8" t="inlineStr">
        <is>
          <t>Ver</t>
        </is>
      </c>
      <c r="R805" s="8" t="inlineStr">
        <is>
          <t>PCAP</t>
        </is>
      </c>
      <c r="S805" s="9" t="n">
        <v>46310</v>
      </c>
      <c r="T805" s="3" t="n">
        <v>46301.64533564815</v>
      </c>
      <c r="U805" s="2" t="n"/>
    </row>
    <row r="806">
      <c r="A806" s="2" t="inlineStr">
        <is>
          <t>En plazo</t>
        </is>
      </c>
      <c r="B806" s="3" t="n">
        <v>46316.99930555555</v>
      </c>
      <c r="C806" s="5" t="n">
        <v>132467.55</v>
      </c>
      <c r="D806" s="5" t="n">
        <v>132467.55</v>
      </c>
      <c r="E806" s="2" t="inlineStr">
        <is>
          <t>Comunitat Valenciana</t>
        </is>
      </c>
      <c r="F806" s="2" t="inlineStr">
        <is>
          <t>Valencia</t>
        </is>
      </c>
      <c r="G806" s="2" t="n"/>
      <c r="H806" s="2" t="inlineStr">
        <is>
          <t>Servicio de Emergencias Sanitarias de la Comunitat Valenciana. Dirección Económica-Gerencia</t>
        </is>
      </c>
      <c r="I806" s="2" t="inlineStr">
        <is>
          <t>Dirección de obra y obra para la adecuación y habilitación de las instalaciones e infraestructuras sitas en la localidad de Sueca del Servicio de Emergencias Sanitarias de la Comunitat Valenciana.</t>
        </is>
      </c>
      <c r="J806" s="2" t="inlineStr">
        <is>
          <t>CNMY 1656/2026</t>
        </is>
      </c>
      <c r="K806" s="2" t="inlineStr">
        <is>
          <t>Abierto simplificado</t>
        </is>
      </c>
      <c r="L806" s="6" t="n">
        <v>3.3</v>
      </c>
      <c r="M806" s="2" t="n"/>
      <c r="N806" s="7" t="n">
        <v>0</v>
      </c>
      <c r="O806" s="4" t="n">
        <v>2</v>
      </c>
      <c r="P806" s="2" t="inlineStr">
        <is>
          <t>45215100; 71240000; 71317210</t>
        </is>
      </c>
      <c r="Q806" s="8" t="inlineStr">
        <is>
          <t>Ver</t>
        </is>
      </c>
      <c r="R806" s="8" t="inlineStr">
        <is>
          <t>PCAP</t>
        </is>
      </c>
      <c r="S806" s="9" t="n">
        <v>46310</v>
      </c>
      <c r="T806" s="3" t="n">
        <v>46301.6433912037</v>
      </c>
      <c r="U806" s="2" t="n"/>
    </row>
    <row r="807">
      <c r="A807" s="2" t="inlineStr">
        <is>
          <t>Resuelta</t>
        </is>
      </c>
      <c r="B807" s="3" t="n">
        <v>46210.58333333334</v>
      </c>
      <c r="C807" s="5" t="n">
        <v>254134.14</v>
      </c>
      <c r="D807" s="5" t="n">
        <v>254134.14</v>
      </c>
      <c r="E807" s="2" t="inlineStr">
        <is>
          <t>Comunitat Valenciana</t>
        </is>
      </c>
      <c r="F807" s="2" t="inlineStr">
        <is>
          <t>Valencia</t>
        </is>
      </c>
      <c r="G807" s="2" t="n"/>
      <c r="H807" s="2" t="inlineStr">
        <is>
          <t>Alcaldía del Ayuntamiento de Almussafes</t>
        </is>
      </c>
      <c r="I807" s="2" t="inlineStr">
        <is>
          <t>Contrato obras de construcción de vestuarios y aseos para uso compartido del campo de fútbol y la pista polivalente de Almussafes</t>
        </is>
      </c>
      <c r="J807" s="2" t="inlineStr">
        <is>
          <t>SEC/cma/020-2026</t>
        </is>
      </c>
      <c r="K807" s="2" t="inlineStr">
        <is>
          <t>Abierto simplificado</t>
        </is>
      </c>
      <c r="L807" s="6" t="n">
        <v>5</v>
      </c>
      <c r="M807" s="2" t="n"/>
      <c r="N807" s="7" t="n">
        <v>0</v>
      </c>
      <c r="O807" s="4" t="n"/>
      <c r="P807" s="2" t="inlineStr">
        <is>
          <t>45212200; 45212230</t>
        </is>
      </c>
      <c r="Q807" s="8" t="inlineStr">
        <is>
          <t>Ver</t>
        </is>
      </c>
      <c r="R807" s="8" t="inlineStr">
        <is>
          <t>PCAP</t>
        </is>
      </c>
      <c r="S807" s="9" t="n">
        <v>46310</v>
      </c>
      <c r="T807" s="3" t="n">
        <v>46301.64070601852</v>
      </c>
      <c r="U807" s="2" t="n"/>
    </row>
    <row r="808">
      <c r="A808" s="2" t="inlineStr">
        <is>
          <t>En plazo</t>
        </is>
      </c>
      <c r="B808" s="3" t="n">
        <v>46328.625</v>
      </c>
      <c r="C808" s="5" t="n">
        <v>304657.12</v>
      </c>
      <c r="D808" s="5" t="n">
        <v>304657.12</v>
      </c>
      <c r="E808" s="2" t="inlineStr">
        <is>
          <t>Comunitat Valenciana</t>
        </is>
      </c>
      <c r="F808" s="2" t="inlineStr">
        <is>
          <t>Alicante</t>
        </is>
      </c>
      <c r="G808" s="2" t="inlineStr">
        <is>
          <t>Alcoi</t>
        </is>
      </c>
      <c r="H808" s="2" t="inlineStr">
        <is>
          <t>Departamento de Salud Alcoy. Dirección Económica-Gerencia</t>
        </is>
      </c>
      <c r="I808" s="2" t="inlineStr">
        <is>
          <t>Obra de reforma de la instalación de climatización del Centro de Salud Plaça de Dins en el Departamento de Salud de Alcoi.</t>
        </is>
      </c>
      <c r="J808" s="2" t="inlineStr">
        <is>
          <t>PAS 821/2026</t>
        </is>
      </c>
      <c r="K808" s="2" t="inlineStr">
        <is>
          <t>Abierto simplificado</t>
        </is>
      </c>
      <c r="L808" s="6" t="n">
        <v>7</v>
      </c>
      <c r="M808" s="2" t="n"/>
      <c r="N808" s="7" t="n">
        <v>0</v>
      </c>
      <c r="O808" s="4" t="n"/>
      <c r="P808" s="2" t="inlineStr">
        <is>
          <t>45331000; 45331200; 45321000; 42512300; 45331210</t>
        </is>
      </c>
      <c r="Q808" s="8" t="inlineStr">
        <is>
          <t>Ver</t>
        </is>
      </c>
      <c r="R808" s="8" t="inlineStr">
        <is>
          <t>PCAP</t>
        </is>
      </c>
      <c r="S808" s="9" t="n">
        <v>46310</v>
      </c>
      <c r="T808" s="3" t="n">
        <v>46301.63835648148</v>
      </c>
      <c r="U808" s="2" t="n"/>
    </row>
    <row r="809">
      <c r="A809" s="2" t="inlineStr">
        <is>
          <t>Resuelta</t>
        </is>
      </c>
      <c r="B809" s="3" t="n">
        <v>46237.99930555555</v>
      </c>
      <c r="C809" s="5" t="n">
        <v>1377516.84</v>
      </c>
      <c r="D809" s="5" t="n">
        <v>1377516.84</v>
      </c>
      <c r="E809" s="2" t="inlineStr">
        <is>
          <t>Andalucía</t>
        </is>
      </c>
      <c r="F809" s="2" t="inlineStr">
        <is>
          <t>Málaga</t>
        </is>
      </c>
      <c r="G809" s="2" t="n"/>
      <c r="H809" s="2" t="inlineStr">
        <is>
          <t>Alcaldía del Ayuntamiento de Alhaurín de la Torre</t>
        </is>
      </c>
      <c r="I809" s="2" t="inlineStr">
        <is>
          <t>Restitución de la canalización de aguas pluviales en las calles Félix Rodríguez de la Fuente, Cabo de Gata, Jose Espronceda y Avenida de la Calera hasta llegar al cauce del Arroyo del Gato</t>
        </is>
      </c>
      <c r="J809" s="2" t="inlineStr">
        <is>
          <t>2026 CONT-00030</t>
        </is>
      </c>
      <c r="K809" s="2" t="inlineStr">
        <is>
          <t>Abierto simplificado</t>
        </is>
      </c>
      <c r="L809" s="6" t="n">
        <v>8</v>
      </c>
      <c r="M809" s="2" t="inlineStr">
        <is>
          <t>E1-4</t>
        </is>
      </c>
      <c r="N809" s="7" t="n">
        <v>0</v>
      </c>
      <c r="O809" s="4" t="n"/>
      <c r="P809" s="2" t="inlineStr">
        <is>
          <t>45000000; 45232400; 45112000; 45233222; 45232410; 45112100; 45231300; 45200000</t>
        </is>
      </c>
      <c r="Q809" s="8" t="inlineStr">
        <is>
          <t>Ver</t>
        </is>
      </c>
      <c r="R809" s="8" t="inlineStr">
        <is>
          <t>PCAP</t>
        </is>
      </c>
      <c r="S809" s="9" t="n">
        <v>46310</v>
      </c>
      <c r="T809" s="3" t="n">
        <v>46301.63260416667</v>
      </c>
      <c r="U809" s="2" t="n"/>
    </row>
    <row r="810">
      <c r="A810" s="2" t="inlineStr">
        <is>
          <t>En plazo</t>
        </is>
      </c>
      <c r="B810" s="3" t="n">
        <v>46316.99930555555</v>
      </c>
      <c r="C810" s="5" t="n">
        <v>59473.66</v>
      </c>
      <c r="D810" s="5" t="n">
        <v>59473.66</v>
      </c>
      <c r="E810" s="2" t="inlineStr">
        <is>
          <t>Andalucía</t>
        </is>
      </c>
      <c r="F810" s="2" t="inlineStr">
        <is>
          <t>Cádiz</t>
        </is>
      </c>
      <c r="G810" s="2" t="inlineStr">
        <is>
          <t>Algeciras (Cádiz)</t>
        </is>
      </c>
      <c r="H810" s="2" t="inlineStr">
        <is>
          <t>Alcaldía del Ayuntamiento de Algeciras</t>
        </is>
      </c>
      <c r="I810" s="2" t="inlineStr">
        <is>
          <t>REPARACIÓN PARCIAL DE CUBIERTA DE LA EEI GLORIAFUERTES LOTE 1: Obra de Reparación parcial de la cubierta en la EEI Gloria Fuertes LOTE2: Asistencia técnica para la coordinación de seguridad y salud en fase ejecución de las obras.</t>
        </is>
      </c>
      <c r="J810" s="2" t="inlineStr">
        <is>
          <t>23105/2026</t>
        </is>
      </c>
      <c r="K810" s="2" t="inlineStr">
        <is>
          <t>Abierto simplificado</t>
        </is>
      </c>
      <c r="L810" s="6" t="n">
        <v>3</v>
      </c>
      <c r="M810" s="2" t="n"/>
      <c r="N810" s="7" t="n">
        <v>0</v>
      </c>
      <c r="O810" s="4" t="n">
        <v>2</v>
      </c>
      <c r="P810" s="2" t="inlineStr">
        <is>
          <t>45200000; 71317200</t>
        </is>
      </c>
      <c r="Q810" s="8" t="inlineStr">
        <is>
          <t>Ver</t>
        </is>
      </c>
      <c r="R810" s="8" t="inlineStr">
        <is>
          <t>PCAP</t>
        </is>
      </c>
      <c r="S810" s="9" t="n">
        <v>46310</v>
      </c>
      <c r="T810" s="3" t="n">
        <v>46301.6309375</v>
      </c>
      <c r="U810" s="2" t="n"/>
    </row>
    <row r="811">
      <c r="A811" s="2" t="inlineStr">
        <is>
          <t>Resuelta</t>
        </is>
      </c>
      <c r="B811" s="3" t="n">
        <v>46094.95833333334</v>
      </c>
      <c r="C811" s="5" t="n">
        <v>353626.79</v>
      </c>
      <c r="D811" s="5" t="n">
        <v>353626.79</v>
      </c>
      <c r="E811" s="2" t="inlineStr">
        <is>
          <t>Andalucía</t>
        </is>
      </c>
      <c r="F811" s="2" t="inlineStr">
        <is>
          <t>Granada</t>
        </is>
      </c>
      <c r="G811" s="2" t="n"/>
      <c r="H811" s="2" t="inlineStr">
        <is>
          <t>Alcaldía del Ayuntamiento de Vegas del Genil</t>
        </is>
      </c>
      <c r="I811" s="2" t="inlineStr">
        <is>
          <t>Remodelación de varios parques (Avda. del Mediterráneo, C/Fuente Vaqueros, C/ Atenea, C/ Águila) y Plaza de Andalucía.</t>
        </is>
      </c>
      <c r="J811" s="2" t="inlineStr">
        <is>
          <t>7448/2025</t>
        </is>
      </c>
      <c r="K811" s="2" t="inlineStr">
        <is>
          <t>Abierto simplificado</t>
        </is>
      </c>
      <c r="L811" s="6" t="n">
        <v>4</v>
      </c>
      <c r="M811" s="2" t="n"/>
      <c r="N811" s="7" t="n">
        <v>0</v>
      </c>
      <c r="O811" s="4" t="n">
        <v>5</v>
      </c>
      <c r="P811" s="2" t="inlineStr">
        <is>
          <t>45112711; 45000000</t>
        </is>
      </c>
      <c r="Q811" s="8" t="inlineStr">
        <is>
          <t>Ver</t>
        </is>
      </c>
      <c r="R811" s="8" t="inlineStr">
        <is>
          <t>PCAP</t>
        </is>
      </c>
      <c r="S811" s="9" t="n">
        <v>46310</v>
      </c>
      <c r="T811" s="3" t="n">
        <v>46301.62054398148</v>
      </c>
      <c r="U811" s="2" t="n"/>
    </row>
    <row r="812">
      <c r="A812" s="2" t="inlineStr">
        <is>
          <t>Adjudicada</t>
        </is>
      </c>
      <c r="B812" s="3" t="n">
        <v>46290.99930555555</v>
      </c>
      <c r="C812" s="5" t="n">
        <v>63809.56</v>
      </c>
      <c r="D812" s="5" t="n">
        <v>63809.56</v>
      </c>
      <c r="E812" s="2" t="inlineStr">
        <is>
          <t>Comunitat Valenciana</t>
        </is>
      </c>
      <c r="F812" s="2" t="inlineStr">
        <is>
          <t>Valencia</t>
        </is>
      </c>
      <c r="G812" s="2" t="inlineStr">
        <is>
          <t>Jalance</t>
        </is>
      </c>
      <c r="H812" s="2" t="inlineStr">
        <is>
          <t>Alcaldía del Ayuntamiento de Jalance</t>
        </is>
      </c>
      <c r="I812" s="2" t="inlineStr">
        <is>
          <t>Obras de acondicionamiento de Camino Penva Campillo según proyecto redactado por Óscar Méndez Argente (Ingeniero Industrial nº4.400) de fecha septiembre 2026, PENVA 2025.</t>
        </is>
      </c>
      <c r="J812" s="2" t="inlineStr">
        <is>
          <t>458-2026</t>
        </is>
      </c>
      <c r="K812" s="2" t="inlineStr">
        <is>
          <t>Abierto simplificado</t>
        </is>
      </c>
      <c r="L812" s="6" t="n"/>
      <c r="M812" s="2" t="n"/>
      <c r="N812" s="7" t="n">
        <v>0</v>
      </c>
      <c r="O812" s="4" t="n"/>
      <c r="P812" s="2" t="inlineStr">
        <is>
          <t>45233222</t>
        </is>
      </c>
      <c r="Q812" s="8" t="inlineStr">
        <is>
          <t>Ver</t>
        </is>
      </c>
      <c r="R812" s="8" t="inlineStr">
        <is>
          <t>PCAP</t>
        </is>
      </c>
      <c r="S812" s="9" t="n">
        <v>46310</v>
      </c>
      <c r="T812" s="3" t="n">
        <v>46301.62006944444</v>
      </c>
      <c r="U812" s="2" t="n"/>
    </row>
    <row r="813">
      <c r="A813" s="2" t="inlineStr">
        <is>
          <t>En plazo</t>
        </is>
      </c>
      <c r="B813" s="3" t="n">
        <v>46321.99930555555</v>
      </c>
      <c r="C813" s="5" t="n">
        <v>1025843.16</v>
      </c>
      <c r="D813" s="5" t="n">
        <v>1025843.16</v>
      </c>
      <c r="E813" s="2" t="inlineStr">
        <is>
          <t>Andalucía</t>
        </is>
      </c>
      <c r="F813" s="2" t="inlineStr">
        <is>
          <t>Málaga</t>
        </is>
      </c>
      <c r="G813" s="2" t="inlineStr">
        <is>
          <t>Alhaurín el Grande</t>
        </is>
      </c>
      <c r="H813" s="2" t="inlineStr">
        <is>
          <t>Alcaldía del Ayuntamiento de Alhaurín el Grande</t>
        </is>
      </c>
      <c r="I813" s="2" t="inlineStr">
        <is>
          <t>Proyecto de obras de renaturalización de las Avenidas Blas Infante y Libertad. Tramo 4</t>
        </is>
      </c>
      <c r="J813" s="2" t="inlineStr">
        <is>
          <t>25734/2026 BLAS INFANTE Y LIBERTAD</t>
        </is>
      </c>
      <c r="K813" s="2" t="inlineStr">
        <is>
          <t>Abierto simplificado</t>
        </is>
      </c>
      <c r="L813" s="6" t="n">
        <v>14</v>
      </c>
      <c r="M813" s="2" t="n"/>
      <c r="N813" s="7" t="n">
        <v>0.1</v>
      </c>
      <c r="O813" s="4" t="n"/>
      <c r="P813" s="2" t="inlineStr">
        <is>
          <t>45223210; 45262520; 45233140; 45262210; 45112000; 45232100</t>
        </is>
      </c>
      <c r="Q813" s="8" t="inlineStr">
        <is>
          <t>Ver</t>
        </is>
      </c>
      <c r="R813" s="8" t="inlineStr">
        <is>
          <t>PCAP</t>
        </is>
      </c>
      <c r="S813" s="9" t="n">
        <v>46310</v>
      </c>
      <c r="T813" s="3" t="n">
        <v>46301.61583333334</v>
      </c>
      <c r="U813" s="2" t="n"/>
    </row>
    <row r="814">
      <c r="A814" s="2" t="inlineStr">
        <is>
          <t>Resuelta</t>
        </is>
      </c>
      <c r="B814" s="3" t="n">
        <v>46105.99930555555</v>
      </c>
      <c r="C814" s="5" t="n">
        <v>210341.16</v>
      </c>
      <c r="D814" s="5" t="n">
        <v>210341.16</v>
      </c>
      <c r="E814" s="2" t="inlineStr">
        <is>
          <t>Comunitat Valenciana</t>
        </is>
      </c>
      <c r="F814" s="2" t="inlineStr">
        <is>
          <t>Valencia</t>
        </is>
      </c>
      <c r="G814" s="2" t="n"/>
      <c r="H814" s="2" t="inlineStr">
        <is>
          <t>Dirección General Societat Anonima de Gestió Sagunt Mitja Propi Municipal S.A.</t>
        </is>
      </c>
      <c r="I814" s="2" t="inlineStr">
        <is>
          <t>Establecimiento de Acuerdo Marco mixto para el suministro de material de pintura (accesorio) y trabajos (principal) de aplicación.</t>
        </is>
      </c>
      <c r="J814" s="2" t="inlineStr">
        <is>
          <t>AMSAG2026-01</t>
        </is>
      </c>
      <c r="K814" s="2" t="inlineStr">
        <is>
          <t>Abierto</t>
        </is>
      </c>
      <c r="L814" s="6" t="n">
        <v>12</v>
      </c>
      <c r="M814" s="2" t="n"/>
      <c r="N814" s="7" t="n">
        <v>0</v>
      </c>
      <c r="O814" s="4" t="n">
        <v>3</v>
      </c>
      <c r="P814" s="2" t="inlineStr">
        <is>
          <t>45233221; 44800000; 44811000; 45442110</t>
        </is>
      </c>
      <c r="Q814" s="8" t="inlineStr">
        <is>
          <t>Ver</t>
        </is>
      </c>
      <c r="R814" s="8" t="inlineStr">
        <is>
          <t>PCAP</t>
        </is>
      </c>
      <c r="S814" s="9" t="n">
        <v>46310</v>
      </c>
      <c r="T814" s="3" t="n">
        <v>46301.61453703704</v>
      </c>
      <c r="U814" s="2" t="n"/>
    </row>
    <row r="815">
      <c r="A815" s="2" t="inlineStr">
        <is>
          <t>Pendiente de adjudicación</t>
        </is>
      </c>
      <c r="B815" s="3" t="n">
        <v>46295.99930555555</v>
      </c>
      <c r="C815" s="5" t="n">
        <v>138372.09</v>
      </c>
      <c r="D815" s="5" t="n">
        <v>114357.1</v>
      </c>
      <c r="E815" s="2" t="inlineStr">
        <is>
          <t>Comunitat Valenciana</t>
        </is>
      </c>
      <c r="F815" s="2" t="inlineStr">
        <is>
          <t>Valencia</t>
        </is>
      </c>
      <c r="G815" s="2" t="n"/>
      <c r="H815" s="2" t="inlineStr">
        <is>
          <t>Alcaldía del Ayuntamiento de Albalat de la Ribera</t>
        </is>
      </c>
      <c r="I815" s="2" t="inlineStr">
        <is>
          <t>Obras de restauración de la cubierta y otras actuaciones en la iglesia parroquial de Sant Pere Apóstol de Albalat de la Ribera (Valencia)</t>
        </is>
      </c>
      <c r="J815" s="2" t="inlineStr">
        <is>
          <t>280/2026</t>
        </is>
      </c>
      <c r="K815" s="2" t="inlineStr">
        <is>
          <t>Abierto simplificado</t>
        </is>
      </c>
      <c r="L815" s="6" t="n">
        <v>3</v>
      </c>
      <c r="M815" s="2" t="n"/>
      <c r="N815" s="7" t="n">
        <v>0</v>
      </c>
      <c r="O815" s="4" t="n"/>
      <c r="P815" s="2" t="inlineStr">
        <is>
          <t>45454100; 45212360; 45212350</t>
        </is>
      </c>
      <c r="Q815" s="8" t="inlineStr">
        <is>
          <t>Ver</t>
        </is>
      </c>
      <c r="R815" s="8" t="inlineStr">
        <is>
          <t>PCAP</t>
        </is>
      </c>
      <c r="S815" s="9" t="n">
        <v>46310</v>
      </c>
      <c r="T815" s="3" t="n">
        <v>46301.61197916666</v>
      </c>
      <c r="U815" s="2" t="n"/>
    </row>
    <row r="816">
      <c r="A816" s="2" t="inlineStr">
        <is>
          <t>Resuelta</t>
        </is>
      </c>
      <c r="B816" s="3" t="n">
        <v>46283.99930555555</v>
      </c>
      <c r="C816" s="5" t="n">
        <v>799142.17</v>
      </c>
      <c r="D816" s="5" t="n">
        <v>799142.17</v>
      </c>
      <c r="E816" s="2" t="inlineStr">
        <is>
          <t>Andalucía</t>
        </is>
      </c>
      <c r="F816" s="2" t="inlineStr">
        <is>
          <t>Sevilla</t>
        </is>
      </c>
      <c r="G816" s="2" t="inlineStr">
        <is>
          <t>Alcalá de Guadaíra</t>
        </is>
      </c>
      <c r="H816" s="2" t="inlineStr">
        <is>
          <t>Junta de Gobierno Local del Ayuntamiento de Alcalá de Guadaíra</t>
        </is>
      </c>
      <c r="I816" s="2" t="inlineStr">
        <is>
          <t>obras de ampliación del museo de la ciudad (C-2026/044)</t>
        </is>
      </c>
      <c r="J816" s="2" t="inlineStr">
        <is>
          <t>7693/2026</t>
        </is>
      </c>
      <c r="K816" s="2" t="inlineStr">
        <is>
          <t>Abierto simplificado</t>
        </is>
      </c>
      <c r="L816" s="6" t="n">
        <v>12</v>
      </c>
      <c r="M816" s="2" t="n"/>
      <c r="N816" s="7" t="n">
        <v>0.2</v>
      </c>
      <c r="O816" s="4" t="n"/>
      <c r="P816" s="2" t="inlineStr">
        <is>
          <t>45212313</t>
        </is>
      </c>
      <c r="Q816" s="8" t="inlineStr">
        <is>
          <t>Ver</t>
        </is>
      </c>
      <c r="R816" s="8" t="inlineStr">
        <is>
          <t>PCAP</t>
        </is>
      </c>
      <c r="S816" s="9" t="n">
        <v>46310</v>
      </c>
      <c r="T816" s="3" t="n">
        <v>46301.60958333333</v>
      </c>
      <c r="U816" s="2" t="n"/>
    </row>
    <row r="817">
      <c r="A817" s="2" t="inlineStr">
        <is>
          <t>En plazo</t>
        </is>
      </c>
      <c r="B817" s="3" t="n">
        <v>46323.5</v>
      </c>
      <c r="C817" s="5" t="n">
        <v>590000</v>
      </c>
      <c r="D817" s="5" t="n">
        <v>590000</v>
      </c>
      <c r="E817" s="2" t="inlineStr">
        <is>
          <t>Andalucía</t>
        </is>
      </c>
      <c r="F817" s="2" t="inlineStr">
        <is>
          <t>Cádiz</t>
        </is>
      </c>
      <c r="G817" s="2" t="n"/>
      <c r="H817" s="2" t="inlineStr">
        <is>
          <t>Comité Central de Compras de Navantia S.A., S.M.E.</t>
        </is>
      </c>
      <c r="I817" s="2" t="inlineStr">
        <is>
          <t>Licitación para la adjudicación de un Contrato para los trabajos de rehabilitación de accesos, protecciones colectivas y líneas de vida en grúas en Navantia Cádiz.</t>
        </is>
      </c>
      <c r="J817" s="2" t="inlineStr">
        <is>
          <t>5100075545 Líneas Vida Grúas Navantia Cádiz</t>
        </is>
      </c>
      <c r="K817" s="2" t="inlineStr">
        <is>
          <t>Normas internas</t>
        </is>
      </c>
      <c r="L817" s="6" t="n">
        <v>7</v>
      </c>
      <c r="M817" s="2" t="n"/>
      <c r="N817" s="7" t="n">
        <v>1</v>
      </c>
      <c r="O817" s="4" t="n"/>
      <c r="P817" s="2" t="inlineStr">
        <is>
          <t>45262600; 45340000</t>
        </is>
      </c>
      <c r="Q817" s="8" t="inlineStr">
        <is>
          <t>Ver</t>
        </is>
      </c>
      <c r="R817" s="8" t="inlineStr">
        <is>
          <t>PCAP</t>
        </is>
      </c>
      <c r="S817" s="9" t="n">
        <v>46310</v>
      </c>
      <c r="T817" s="3" t="n">
        <v>46301.60869212963</v>
      </c>
      <c r="U817" s="2" t="n"/>
    </row>
    <row r="818">
      <c r="A818" s="2" t="inlineStr">
        <is>
          <t>Pendiente de adjudicación</t>
        </is>
      </c>
      <c r="B818" s="3" t="n">
        <v>46231.58333333334</v>
      </c>
      <c r="C818" s="5" t="n">
        <v>11085400.34</v>
      </c>
      <c r="D818" s="5" t="n">
        <v>11085400.34</v>
      </c>
      <c r="E818" s="2" t="inlineStr">
        <is>
          <t>Comunitat Valenciana</t>
        </is>
      </c>
      <c r="F818" s="2" t="inlineStr">
        <is>
          <t>Valencia</t>
        </is>
      </c>
      <c r="G818" s="2" t="n"/>
      <c r="H818" s="2" t="inlineStr">
        <is>
          <t>Presidencia de la Entidad Valenciana de Vivienda y Suelo</t>
        </is>
      </c>
      <c r="I818" s="2" t="inlineStr">
        <is>
          <t>Obras de Ejecución de edificio de 57 viviendas de Protección Pública, y 57 plazas de aparcamiento en sótano, en la calle Artesans, 15 del Sector Benisaet de Torrent (Valencia).</t>
        </is>
      </c>
      <c r="J818" s="2" t="inlineStr">
        <is>
          <t>CMAYOR/2026/EVHA0/0008</t>
        </is>
      </c>
      <c r="K818" s="2" t="inlineStr">
        <is>
          <t>Abierto</t>
        </is>
      </c>
      <c r="L818" s="6" t="n">
        <v>24</v>
      </c>
      <c r="M818" s="2" t="inlineStr">
        <is>
          <t>C6-6; C*-6; C2-6</t>
        </is>
      </c>
      <c r="N818" s="7" t="n">
        <v>0.3</v>
      </c>
      <c r="O818" s="4" t="n"/>
      <c r="P818" s="2" t="inlineStr">
        <is>
          <t>45211340</t>
        </is>
      </c>
      <c r="Q818" s="8" t="inlineStr">
        <is>
          <t>Ver</t>
        </is>
      </c>
      <c r="R818" s="8" t="inlineStr">
        <is>
          <t>PCAP</t>
        </is>
      </c>
      <c r="S818" s="9" t="n">
        <v>46310</v>
      </c>
      <c r="T818" s="3" t="n">
        <v>46301.6075462963</v>
      </c>
      <c r="U818" s="2" t="n"/>
    </row>
    <row r="819">
      <c r="A819" s="2" t="inlineStr">
        <is>
          <t>En plazo</t>
        </is>
      </c>
      <c r="B819" s="3" t="n">
        <v>46321.99930555555</v>
      </c>
      <c r="C819" s="5" t="n">
        <v>66264.12</v>
      </c>
      <c r="D819" s="5" t="n">
        <v>66264.12</v>
      </c>
      <c r="E819" s="2" t="inlineStr">
        <is>
          <t>Andalucía</t>
        </is>
      </c>
      <c r="F819" s="2" t="inlineStr">
        <is>
          <t>Jaén</t>
        </is>
      </c>
      <c r="G819" s="2" t="inlineStr">
        <is>
          <t>Arjona</t>
        </is>
      </c>
      <c r="H819" s="2" t="inlineStr">
        <is>
          <t>Alcaldia del Ayuntamiento de Arjona</t>
        </is>
      </c>
      <c r="I819"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819" s="2" t="inlineStr">
        <is>
          <t>1195/2026</t>
        </is>
      </c>
      <c r="K819" s="2" t="inlineStr">
        <is>
          <t>Abierto simplificado</t>
        </is>
      </c>
      <c r="L819" s="6" t="n">
        <v>4</v>
      </c>
      <c r="M819" s="2" t="inlineStr">
        <is>
          <t>G*-1</t>
        </is>
      </c>
      <c r="N819" s="7" t="n">
        <v>0</v>
      </c>
      <c r="O819" s="4" t="n"/>
      <c r="P819" s="2" t="inlineStr">
        <is>
          <t>45111200</t>
        </is>
      </c>
      <c r="Q819" s="8" t="inlineStr">
        <is>
          <t>Ver</t>
        </is>
      </c>
      <c r="R819" s="8" t="inlineStr">
        <is>
          <t>PCAP</t>
        </is>
      </c>
      <c r="S819" s="9" t="n">
        <v>46310</v>
      </c>
      <c r="T819" s="3" t="n">
        <v>46301.60621527778</v>
      </c>
      <c r="U819" s="2" t="n"/>
    </row>
    <row r="820">
      <c r="A820" s="2" t="inlineStr">
        <is>
          <t>Adjudicada</t>
        </is>
      </c>
      <c r="B820" s="3" t="n">
        <v>46272.79166666666</v>
      </c>
      <c r="C820" s="5" t="n">
        <v>82644.63</v>
      </c>
      <c r="D820" s="5" t="n">
        <v>82644.63</v>
      </c>
      <c r="E820" s="2" t="inlineStr">
        <is>
          <t>Andalucía</t>
        </is>
      </c>
      <c r="F820" s="2" t="inlineStr">
        <is>
          <t>Almería</t>
        </is>
      </c>
      <c r="G820" s="2" t="inlineStr">
        <is>
          <t>Vélez Rubio</t>
        </is>
      </c>
      <c r="H820" s="2" t="inlineStr">
        <is>
          <t>ALCALDÍA AYUNTAMIENTO DE VÉLEZ-RUBIO</t>
        </is>
      </c>
      <c r="I820" s="2" t="inlineStr">
        <is>
          <t>El objeto del contrato es la ejecución de las obras correspondientes a la Memoria Valorada Sustitución Pavimento varias calles del casco antiguo de Vélez Rubio.</t>
        </is>
      </c>
      <c r="J820" s="2" t="inlineStr">
        <is>
          <t>VR 2085/2026</t>
        </is>
      </c>
      <c r="K820" s="2" t="inlineStr">
        <is>
          <t>Abierto simplificado</t>
        </is>
      </c>
      <c r="L820" s="6" t="n">
        <v>2</v>
      </c>
      <c r="M820" s="2" t="n"/>
      <c r="N820" s="7" t="n">
        <v>0</v>
      </c>
      <c r="O820" s="4" t="n"/>
      <c r="P820" s="2" t="inlineStr">
        <is>
          <t>45233222</t>
        </is>
      </c>
      <c r="Q820" s="8" t="inlineStr">
        <is>
          <t>Ver</t>
        </is>
      </c>
      <c r="R820" s="8" t="inlineStr">
        <is>
          <t>PCAP</t>
        </is>
      </c>
      <c r="S820" s="9" t="n">
        <v>46310</v>
      </c>
      <c r="T820" s="3" t="n">
        <v>46301.60490740741</v>
      </c>
      <c r="U820" s="2" t="n"/>
    </row>
    <row r="821">
      <c r="A821" s="2" t="inlineStr">
        <is>
          <t>Pendiente de adjudicación</t>
        </is>
      </c>
      <c r="B821" s="3" t="n">
        <v>46296.54166666666</v>
      </c>
      <c r="C821" s="5" t="n">
        <v>450480.72</v>
      </c>
      <c r="D821" s="5" t="n">
        <v>450480.72</v>
      </c>
      <c r="E821" s="2" t="inlineStr">
        <is>
          <t>Comunitat Valenciana</t>
        </is>
      </c>
      <c r="F821" s="2" t="inlineStr">
        <is>
          <t>Alicante</t>
        </is>
      </c>
      <c r="G821" s="2" t="inlineStr">
        <is>
          <t>Monforte del Cid</t>
        </is>
      </c>
      <c r="H821" s="2" t="inlineStr">
        <is>
          <t>Junta de Gobierno del Ayuntamiento de Monforte del Cid</t>
        </is>
      </c>
      <c r="I821" s="2" t="inlineStr">
        <is>
          <t>La ejecución de las obras definidas en el Proyecto Básico y de Mejoras de Ejecución denominado Acondicionamiento de Café-Bar del Polideportivo Municipal y espacio libre anexo</t>
        </is>
      </c>
      <c r="J821" s="2" t="inlineStr">
        <is>
          <t>3022/2026 Acondicionamiento cafe bar polideportivo</t>
        </is>
      </c>
      <c r="K821" s="2" t="inlineStr">
        <is>
          <t>Abierto simplificado</t>
        </is>
      </c>
      <c r="L821" s="6" t="n">
        <v>8</v>
      </c>
      <c r="M821" s="2" t="n"/>
      <c r="N821" s="7" t="n">
        <v>0</v>
      </c>
      <c r="O821" s="4" t="n"/>
      <c r="P821" s="2" t="inlineStr">
        <is>
          <t>45000000; 45453100; 45210000; 45300000</t>
        </is>
      </c>
      <c r="Q821" s="8" t="inlineStr">
        <is>
          <t>Ver</t>
        </is>
      </c>
      <c r="R821" s="8" t="inlineStr">
        <is>
          <t>PCAP</t>
        </is>
      </c>
      <c r="S821" s="9" t="n">
        <v>46310</v>
      </c>
      <c r="T821" s="3" t="n">
        <v>46301.60425925926</v>
      </c>
      <c r="U821" s="2" t="n"/>
    </row>
    <row r="822">
      <c r="A822" s="2" t="inlineStr">
        <is>
          <t>Pendiente de adjudicación</t>
        </is>
      </c>
      <c r="B822" s="3" t="n">
        <v>46227.75</v>
      </c>
      <c r="C822" s="5" t="n">
        <v>10301266.39</v>
      </c>
      <c r="D822" s="5" t="n">
        <v>10301266.39</v>
      </c>
      <c r="E822" s="2" t="inlineStr">
        <is>
          <t>Andalucía</t>
        </is>
      </c>
      <c r="F822" s="2" t="inlineStr">
        <is>
          <t>Córdoba</t>
        </is>
      </c>
      <c r="G822" s="2" t="inlineStr">
        <is>
          <t>Córdoba</t>
        </is>
      </c>
      <c r="H822" s="2" t="inlineStr">
        <is>
          <t>Consejo de Administración de la Empresa Provincial de Aguas de Córdoba S.A.</t>
        </is>
      </c>
      <c r="I822" s="2" t="inlineStr">
        <is>
          <t>Obra de ejecución de nueva conducción de abastecimiento Iznájar-Casilla del Monte. Tramo II Los Prietos-CP 205 (Córdoba).</t>
        </is>
      </c>
      <c r="J822" s="2" t="inlineStr">
        <is>
          <t>CC 40/2026</t>
        </is>
      </c>
      <c r="K822" s="2" t="inlineStr">
        <is>
          <t>Abierto</t>
        </is>
      </c>
      <c r="L822" s="6" t="n">
        <v>18</v>
      </c>
      <c r="M822" s="2" t="inlineStr">
        <is>
          <t>E1-6</t>
        </is>
      </c>
      <c r="N822" s="7" t="n">
        <v>0.5</v>
      </c>
      <c r="O822" s="4" t="n"/>
      <c r="P822" s="2" t="inlineStr">
        <is>
          <t>45240000</t>
        </is>
      </c>
      <c r="Q822" s="8" t="inlineStr">
        <is>
          <t>Ver</t>
        </is>
      </c>
      <c r="R822" s="8" t="inlineStr">
        <is>
          <t>PCAP</t>
        </is>
      </c>
      <c r="S822" s="9" t="n">
        <v>46310</v>
      </c>
      <c r="T822" s="3" t="n">
        <v>46301.60368055556</v>
      </c>
      <c r="U822" s="2" t="n"/>
    </row>
    <row r="823">
      <c r="A823" s="2" t="inlineStr">
        <is>
          <t>Adjudicada</t>
        </is>
      </c>
      <c r="B823" s="3" t="n">
        <v>46225.99930555555</v>
      </c>
      <c r="C823" s="5" t="n">
        <v>56156.63</v>
      </c>
      <c r="D823" s="5" t="n">
        <v>56156.63</v>
      </c>
      <c r="E823" s="2" t="inlineStr">
        <is>
          <t>Andalucía</t>
        </is>
      </c>
      <c r="F823" s="2" t="inlineStr">
        <is>
          <t>Cádiz</t>
        </is>
      </c>
      <c r="G823" s="2" t="n"/>
      <c r="H823" s="2" t="inlineStr">
        <is>
          <t>Alcaldía del Ayuntamiento de Villamartín</t>
        </is>
      </c>
      <c r="I823" s="2" t="inlineStr">
        <is>
          <t>Proyecto de ejecución de patio de la parcela sita en calle Torrevieja s/n en el municipio de Villamartín (Cádiz)</t>
        </is>
      </c>
      <c r="J823" s="2" t="inlineStr">
        <is>
          <t>758/2026</t>
        </is>
      </c>
      <c r="K823" s="2" t="inlineStr">
        <is>
          <t>Abierto simplificado</t>
        </is>
      </c>
      <c r="L823" s="6" t="n">
        <v>4</v>
      </c>
      <c r="M823" s="2" t="n"/>
      <c r="N823" s="7" t="n">
        <v>0</v>
      </c>
      <c r="O823" s="4" t="n"/>
      <c r="P823" s="2" t="inlineStr">
        <is>
          <t>45232130; 45112000</t>
        </is>
      </c>
      <c r="Q823" s="8" t="inlineStr">
        <is>
          <t>Ver</t>
        </is>
      </c>
      <c r="R823" s="8" t="inlineStr">
        <is>
          <t>PCAP</t>
        </is>
      </c>
      <c r="S823" s="9" t="n">
        <v>46310</v>
      </c>
      <c r="T823" s="3" t="n">
        <v>46301.59913194444</v>
      </c>
      <c r="U823" s="2" t="n"/>
    </row>
    <row r="824">
      <c r="A824" s="2" t="inlineStr">
        <is>
          <t>Adjudicada</t>
        </is>
      </c>
      <c r="B824" s="3" t="n">
        <v>46239.6875</v>
      </c>
      <c r="C824" s="5" t="n">
        <v>732892.26</v>
      </c>
      <c r="D824" s="5" t="n">
        <v>732892.26</v>
      </c>
      <c r="E824" s="2" t="inlineStr">
        <is>
          <t>Comunitat Valenciana</t>
        </is>
      </c>
      <c r="F824" s="2" t="inlineStr">
        <is>
          <t>Valencia</t>
        </is>
      </c>
      <c r="G824" s="2" t="n"/>
      <c r="H824" s="2" t="inlineStr">
        <is>
          <t>Consejo de Administración de la Empresa Municipal de Transportes de Valencia, S.A.U.</t>
        </is>
      </c>
      <c r="I82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824" s="2" t="inlineStr">
        <is>
          <t>2026-0072</t>
        </is>
      </c>
      <c r="K824" s="2" t="inlineStr">
        <is>
          <t>Abierto simplificado</t>
        </is>
      </c>
      <c r="L824" s="6" t="n">
        <v>4.2</v>
      </c>
      <c r="M824" s="2" t="inlineStr">
        <is>
          <t>C7-3; C3-3</t>
        </is>
      </c>
      <c r="N824" s="7" t="n">
        <v>0.25</v>
      </c>
      <c r="O824" s="4" t="n"/>
      <c r="P824" s="2" t="inlineStr">
        <is>
          <t>45261420; 45261220</t>
        </is>
      </c>
      <c r="Q824" s="8" t="inlineStr">
        <is>
          <t>Ver</t>
        </is>
      </c>
      <c r="R824" s="8" t="inlineStr">
        <is>
          <t>PCAP</t>
        </is>
      </c>
      <c r="S824" s="9" t="n">
        <v>46310</v>
      </c>
      <c r="T824" s="3" t="n">
        <v>46301.59878472222</v>
      </c>
      <c r="U824" s="2" t="n"/>
    </row>
    <row r="825">
      <c r="A825" s="2" t="inlineStr">
        <is>
          <t>Pendiente de adjudicación</t>
        </is>
      </c>
      <c r="B825" s="3" t="n">
        <v>46279.99930555555</v>
      </c>
      <c r="C825" s="5" t="n">
        <v>2406538.47</v>
      </c>
      <c r="D825" s="5" t="n">
        <v>3128500.01</v>
      </c>
      <c r="E825" s="2" t="inlineStr">
        <is>
          <t>Comunitat Valenciana</t>
        </is>
      </c>
      <c r="F825" s="2" t="inlineStr">
        <is>
          <t>Castellón</t>
        </is>
      </c>
      <c r="G825" s="2" t="n"/>
      <c r="H825" s="2" t="inlineStr">
        <is>
          <t>Departamento de Salud de Vinaroz. Dirección Económica-Gerencia</t>
        </is>
      </c>
      <c r="I825" s="2" t="inlineStr">
        <is>
          <t>Ejecución de las obras de construcción de 18 nuevas consultas externas en el Hospital de Vinaròs</t>
        </is>
      </c>
      <c r="J825" s="2" t="inlineStr">
        <is>
          <t>PA 718/2026 bis</t>
        </is>
      </c>
      <c r="K825" s="2" t="inlineStr">
        <is>
          <t>Abierto</t>
        </is>
      </c>
      <c r="L825" s="6" t="n">
        <v>6</v>
      </c>
      <c r="M825" s="2" t="inlineStr">
        <is>
          <t>C*-5</t>
        </is>
      </c>
      <c r="N825" s="7" t="n">
        <v>0.2</v>
      </c>
      <c r="O825" s="4" t="n"/>
      <c r="P825" s="2" t="inlineStr">
        <is>
          <t>45215100; 45215140; 45300000; 45200000</t>
        </is>
      </c>
      <c r="Q825" s="8" t="inlineStr">
        <is>
          <t>Ver</t>
        </is>
      </c>
      <c r="R825" s="8" t="inlineStr">
        <is>
          <t>PCAP</t>
        </is>
      </c>
      <c r="S825" s="9" t="n">
        <v>46310</v>
      </c>
      <c r="T825" s="3" t="n">
        <v>46301.5978587963</v>
      </c>
      <c r="U825" s="2" t="n"/>
    </row>
    <row r="826">
      <c r="A826" s="2" t="inlineStr">
        <is>
          <t>Pendiente de adjudicación</t>
        </is>
      </c>
      <c r="B826" s="3" t="n">
        <v>46279.99930555555</v>
      </c>
      <c r="C826" s="5" t="n">
        <v>155697.1</v>
      </c>
      <c r="D826" s="5" t="n">
        <v>202406.23</v>
      </c>
      <c r="E826" s="2" t="inlineStr">
        <is>
          <t>Comunitat Valenciana</t>
        </is>
      </c>
      <c r="F826" s="2" t="inlineStr">
        <is>
          <t>Castellón</t>
        </is>
      </c>
      <c r="G826" s="2" t="n"/>
      <c r="H826" s="2" t="inlineStr">
        <is>
          <t>Departamento de Salud de Vinaroz. Dirección Económica-Gerencia</t>
        </is>
      </c>
      <c r="I826" s="2" t="inlineStr">
        <is>
          <t>Ejecución de las obras de construcción y ampliación de salas destinadas a despachos en el hospital de Vinaròs</t>
        </is>
      </c>
      <c r="J826" s="2" t="inlineStr">
        <is>
          <t>PA 1245/2026</t>
        </is>
      </c>
      <c r="K826" s="2" t="inlineStr">
        <is>
          <t>Abierto</t>
        </is>
      </c>
      <c r="L826" s="6" t="n">
        <v>6</v>
      </c>
      <c r="M826" s="2" t="n"/>
      <c r="N826" s="7" t="n">
        <v>0.25</v>
      </c>
      <c r="O826" s="4" t="n"/>
      <c r="P826" s="2" t="inlineStr">
        <is>
          <t>45215100; 45000000; 45300000; 45215140; 45200000; 45262900</t>
        </is>
      </c>
      <c r="Q826" s="8" t="inlineStr">
        <is>
          <t>Ver</t>
        </is>
      </c>
      <c r="R826" s="8" t="inlineStr">
        <is>
          <t>PCAP</t>
        </is>
      </c>
      <c r="S826" s="9" t="n">
        <v>46310</v>
      </c>
      <c r="T826" s="3" t="n">
        <v>46301.59679398148</v>
      </c>
      <c r="U826" s="2" t="n"/>
    </row>
    <row r="827">
      <c r="A827" s="2" t="inlineStr">
        <is>
          <t>Pendiente de adjudicación</t>
        </is>
      </c>
      <c r="B827" s="3" t="n">
        <v>46300.625</v>
      </c>
      <c r="C827" s="5" t="n">
        <v>245175.69</v>
      </c>
      <c r="D827" s="5" t="n">
        <v>245175.69</v>
      </c>
      <c r="E827" s="2" t="inlineStr">
        <is>
          <t>Andalucía</t>
        </is>
      </c>
      <c r="F827" s="2" t="inlineStr">
        <is>
          <t>Cádiz</t>
        </is>
      </c>
      <c r="G827" s="2" t="n"/>
      <c r="H827" s="2" t="inlineStr">
        <is>
          <t>Delegación Especial del Estado en el Consorcio de la Zona Franca de Cádiz</t>
        </is>
      </c>
      <c r="I827" s="2" t="inlineStr">
        <is>
          <t>Obras necesarias para la ejecución del proyecto de Reparacion de las zonas A-1, A-2, B-1, B-2, C-1, C-2 de la cubierta de la nave 1 del Recinto Interior de la Zona Franca de Cádiz.</t>
        </is>
      </c>
      <c r="J827" s="2" t="inlineStr">
        <is>
          <t>CO-0205-2026-00-A</t>
        </is>
      </c>
      <c r="K827" s="2" t="inlineStr">
        <is>
          <t>Abierto simplificado</t>
        </is>
      </c>
      <c r="L827" s="6" t="n">
        <v>3.5</v>
      </c>
      <c r="M827" s="2" t="n"/>
      <c r="N827" s="7" t="n">
        <v>0.25</v>
      </c>
      <c r="O827" s="4" t="n"/>
      <c r="P827" s="2" t="inlineStr">
        <is>
          <t>45261420; 45261910</t>
        </is>
      </c>
      <c r="Q827" s="8" t="inlineStr">
        <is>
          <t>Ver</t>
        </is>
      </c>
      <c r="R827" s="8" t="inlineStr">
        <is>
          <t>PCAP</t>
        </is>
      </c>
      <c r="S827" s="9" t="n">
        <v>46310</v>
      </c>
      <c r="T827" s="3" t="n">
        <v>46301.59179398148</v>
      </c>
      <c r="U827" s="2" t="n"/>
    </row>
    <row r="828">
      <c r="A828" s="2" t="inlineStr">
        <is>
          <t>En plazo</t>
        </is>
      </c>
      <c r="B828" s="3" t="n">
        <v>46328.99930555555</v>
      </c>
      <c r="C828" s="5" t="n">
        <v>4502927.26</v>
      </c>
      <c r="D828" s="5" t="n">
        <v>4502927.26</v>
      </c>
      <c r="E828" s="2" t="inlineStr">
        <is>
          <t>Comunitat Valenciana</t>
        </is>
      </c>
      <c r="F828" s="2" t="inlineStr">
        <is>
          <t>Valencia</t>
        </is>
      </c>
      <c r="G828" s="2" t="n"/>
      <c r="H828" s="2" t="inlineStr">
        <is>
          <t>Pleno del Ayuntamiento de Carlet</t>
        </is>
      </c>
      <c r="I828" s="2" t="inlineStr">
        <is>
          <t>Obras de restitución de las canalizaciones de la red de agua potable y de la red de saneamiento y pavimentación de la Ronda Malecón, financiadas con cargo al Fondo de Solidaridad de la Unión Europea</t>
        </is>
      </c>
      <c r="J828" s="2" t="inlineStr">
        <is>
          <t>3018/2026</t>
        </is>
      </c>
      <c r="K828" s="2" t="inlineStr">
        <is>
          <t>Abierto</t>
        </is>
      </c>
      <c r="L828" s="6" t="n">
        <v>12</v>
      </c>
      <c r="M828" s="2" t="inlineStr">
        <is>
          <t>E*-5</t>
        </is>
      </c>
      <c r="N828" s="7" t="n">
        <v>0</v>
      </c>
      <c r="O828" s="4" t="n"/>
      <c r="P828" s="2" t="inlineStr">
        <is>
          <t>45240000; 45233200; 45232150; 45232440</t>
        </is>
      </c>
      <c r="Q828" s="8" t="inlineStr">
        <is>
          <t>Ver</t>
        </is>
      </c>
      <c r="R828" s="8" t="inlineStr">
        <is>
          <t>PCAP</t>
        </is>
      </c>
      <c r="S828" s="9" t="n">
        <v>46310</v>
      </c>
      <c r="T828" s="3" t="n">
        <v>46301.58863425926</v>
      </c>
      <c r="U828" s="2" t="n"/>
    </row>
    <row r="829">
      <c r="A829" s="2" t="inlineStr">
        <is>
          <t>Adjudicada</t>
        </is>
      </c>
      <c r="B829" s="3" t="n">
        <v>46224.99930555555</v>
      </c>
      <c r="C829" s="5" t="n">
        <v>35009.62</v>
      </c>
      <c r="D829" s="5" t="n">
        <v>35009.62</v>
      </c>
      <c r="E829" s="2" t="inlineStr">
        <is>
          <t>Andalucía</t>
        </is>
      </c>
      <c r="F829" s="2" t="inlineStr">
        <is>
          <t>Huelva</t>
        </is>
      </c>
      <c r="G829" s="2" t="n"/>
      <c r="H829" s="2" t="inlineStr">
        <is>
          <t>Rectorado de la Universidad de Huelva</t>
        </is>
      </c>
      <c r="I829" s="2" t="inlineStr">
        <is>
          <t>Obras de demolición de espacio de Enseñanza Virtual "Casita del Coronel" en parcela EE17 del Campus Universitario El Carmen</t>
        </is>
      </c>
      <c r="J829" s="2" t="inlineStr">
        <is>
          <t>O-09-26</t>
        </is>
      </c>
      <c r="K829" s="2" t="inlineStr">
        <is>
          <t>Abierto simplificado</t>
        </is>
      </c>
      <c r="L829" s="6" t="n">
        <v>1</v>
      </c>
      <c r="M829" s="2" t="n"/>
      <c r="N829" s="7" t="n">
        <v>0.25</v>
      </c>
      <c r="O829" s="4" t="n"/>
      <c r="P829" s="2" t="inlineStr">
        <is>
          <t>45110000</t>
        </is>
      </c>
      <c r="Q829" s="8" t="inlineStr">
        <is>
          <t>Ver</t>
        </is>
      </c>
      <c r="R829" s="8" t="inlineStr">
        <is>
          <t>PCAP</t>
        </is>
      </c>
      <c r="S829" s="9" t="n">
        <v>46310</v>
      </c>
      <c r="T829" s="3" t="n">
        <v>46301.58828703704</v>
      </c>
      <c r="U829" s="2" t="n"/>
    </row>
    <row r="830">
      <c r="A830" s="2" t="inlineStr">
        <is>
          <t>Resuelta</t>
        </is>
      </c>
      <c r="B830" s="3" t="n"/>
      <c r="C830" s="5" t="n">
        <v>3451695.97</v>
      </c>
      <c r="D830" s="5" t="n">
        <v>3451695.97</v>
      </c>
      <c r="E830" s="2" t="inlineStr">
        <is>
          <t>Comunitat Valenciana</t>
        </is>
      </c>
      <c r="F830" s="2" t="inlineStr">
        <is>
          <t>Valencia</t>
        </is>
      </c>
      <c r="G830" s="2" t="n"/>
      <c r="H830" s="2" t="inlineStr">
        <is>
          <t>Conselleria de Agricultura, Agua, Ganadería y Pesca</t>
        </is>
      </c>
      <c r="I830" s="2" t="inlineStr">
        <is>
          <t>Reparación daños ocasionados por la DANA de 29 de octubre en encauzamientos urbanos de la provincia de Valencia. Área de actuación nº 3 Municipios: Alcàsser, Algemesí, Alginet, Alzira, Benifaió, Carlet, Guadassuar, L'Alcudia y Picassent.</t>
        </is>
      </c>
      <c r="J830" s="2" t="inlineStr">
        <is>
          <t>CMAYOR/2025/26Y05/0012</t>
        </is>
      </c>
      <c r="K830" s="2" t="inlineStr">
        <is>
          <t>Negociado sin publicidad</t>
        </is>
      </c>
      <c r="L830" s="6" t="n">
        <v>15</v>
      </c>
      <c r="M830" s="2" t="inlineStr">
        <is>
          <t>E5-5</t>
        </is>
      </c>
      <c r="N830" s="7" t="n"/>
      <c r="O830" s="4" t="n"/>
      <c r="P830" s="2" t="inlineStr">
        <is>
          <t>45246400</t>
        </is>
      </c>
      <c r="Q830" s="8" t="inlineStr">
        <is>
          <t>Ver</t>
        </is>
      </c>
      <c r="R830" s="2" t="n"/>
      <c r="S830" s="9" t="n">
        <v>46310</v>
      </c>
      <c r="T830" s="3" t="n">
        <v>46301.58646990741</v>
      </c>
      <c r="U830" s="2" t="n"/>
    </row>
    <row r="831">
      <c r="A831" s="2" t="inlineStr">
        <is>
          <t>Pendiente de adjudicación</t>
        </is>
      </c>
      <c r="B831" s="3" t="n">
        <v>46274.79166666666</v>
      </c>
      <c r="C831" s="5" t="n">
        <v>93776.00999999999</v>
      </c>
      <c r="D831" s="5" t="n">
        <v>93776.00999999999</v>
      </c>
      <c r="E831" s="2" t="inlineStr">
        <is>
          <t>Andalucía</t>
        </is>
      </c>
      <c r="F831" s="2" t="inlineStr">
        <is>
          <t>Córdoba</t>
        </is>
      </c>
      <c r="G831" s="2" t="inlineStr">
        <is>
          <t>Espejo</t>
        </is>
      </c>
      <c r="H831" s="2" t="inlineStr">
        <is>
          <t>Alcaldia del Ayuntamiento de Espejo</t>
        </is>
      </c>
      <c r="I831" s="2" t="inlineStr">
        <is>
          <t>Proyecto de intervención parcial en Edificio Municipal</t>
        </is>
      </c>
      <c r="J831" s="2" t="inlineStr">
        <is>
          <t>2026/2434</t>
        </is>
      </c>
      <c r="K831" s="2" t="inlineStr">
        <is>
          <t>Abierto simplificado</t>
        </is>
      </c>
      <c r="L831" s="6" t="n">
        <v>6</v>
      </c>
      <c r="M831" s="2" t="n"/>
      <c r="N831" s="7" t="n">
        <v>0</v>
      </c>
      <c r="O831" s="4" t="n"/>
      <c r="P831" s="2" t="inlineStr">
        <is>
          <t>45000000; 45212300</t>
        </is>
      </c>
      <c r="Q831" s="8" t="inlineStr">
        <is>
          <t>Ver</t>
        </is>
      </c>
      <c r="R831" s="8" t="inlineStr">
        <is>
          <t>PCAP</t>
        </is>
      </c>
      <c r="S831" s="9" t="n">
        <v>46310</v>
      </c>
      <c r="T831" s="3" t="n">
        <v>46301.58628472222</v>
      </c>
      <c r="U831" s="2" t="n"/>
    </row>
    <row r="832">
      <c r="A832" s="2" t="inlineStr">
        <is>
          <t>Pendiente de adjudicación</t>
        </is>
      </c>
      <c r="B832" s="3" t="n">
        <v>46289.79166666666</v>
      </c>
      <c r="C832" s="5" t="n">
        <v>135470.04</v>
      </c>
      <c r="D832" s="5" t="n">
        <v>135470.04</v>
      </c>
      <c r="E832" s="2" t="inlineStr">
        <is>
          <t>Comunitat Valenciana</t>
        </is>
      </c>
      <c r="F832" s="2" t="inlineStr">
        <is>
          <t>Valencia</t>
        </is>
      </c>
      <c r="G832" s="2" t="inlineStr">
        <is>
          <t>Albal (Valencia)</t>
        </is>
      </c>
      <c r="H832" s="2" t="inlineStr">
        <is>
          <t>Junta de Gobierno del Ayuntamiento de Albal</t>
        </is>
      </c>
      <c r="I832" s="2" t="inlineStr">
        <is>
          <t>Construcción de tres módulos con 32 nichos cada uno, con un total de 96 nichos y su urbanización colindante y necesaria para la puesta en servicio de los nichos, a realizar en el cementerio municipal de Albal (Valencia)</t>
        </is>
      </c>
      <c r="J832" s="2" t="inlineStr">
        <is>
          <t>2606032P</t>
        </is>
      </c>
      <c r="K832" s="2" t="inlineStr">
        <is>
          <t>Abierto simplificado</t>
        </is>
      </c>
      <c r="L832" s="6" t="n">
        <v>3</v>
      </c>
      <c r="M832" s="2" t="n"/>
      <c r="N832" s="7" t="n">
        <v>0</v>
      </c>
      <c r="O832" s="4" t="n"/>
      <c r="P832" s="2" t="inlineStr">
        <is>
          <t>45215400; 45215000</t>
        </is>
      </c>
      <c r="Q832" s="8" t="inlineStr">
        <is>
          <t>Ver</t>
        </is>
      </c>
      <c r="R832" s="8" t="inlineStr">
        <is>
          <t>PCAP</t>
        </is>
      </c>
      <c r="S832" s="9" t="n">
        <v>46310</v>
      </c>
      <c r="T832" s="3" t="n">
        <v>46301.58604166667</v>
      </c>
      <c r="U832"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Q39" r:id="rId74"/>
    <hyperlink xmlns:r="http://schemas.openxmlformats.org/officeDocument/2006/relationships" ref="R39" r:id="rId75"/>
    <hyperlink xmlns:r="http://schemas.openxmlformats.org/officeDocument/2006/relationships" ref="Q40" r:id="rId76"/>
    <hyperlink xmlns:r="http://schemas.openxmlformats.org/officeDocument/2006/relationships" ref="R40" r:id="rId77"/>
    <hyperlink xmlns:r="http://schemas.openxmlformats.org/officeDocument/2006/relationships" ref="Q41" r:id="rId78"/>
    <hyperlink xmlns:r="http://schemas.openxmlformats.org/officeDocument/2006/relationships" ref="R41" r:id="rId79"/>
    <hyperlink xmlns:r="http://schemas.openxmlformats.org/officeDocument/2006/relationships" ref="Q42" r:id="rId80"/>
    <hyperlink xmlns:r="http://schemas.openxmlformats.org/officeDocument/2006/relationships" ref="R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Q51" r:id="rId98"/>
    <hyperlink xmlns:r="http://schemas.openxmlformats.org/officeDocument/2006/relationships" ref="R51" r:id="rId99"/>
    <hyperlink xmlns:r="http://schemas.openxmlformats.org/officeDocument/2006/relationships" ref="Q52" r:id="rId100"/>
    <hyperlink xmlns:r="http://schemas.openxmlformats.org/officeDocument/2006/relationships" ref="R52" r:id="rId101"/>
    <hyperlink xmlns:r="http://schemas.openxmlformats.org/officeDocument/2006/relationships" ref="Q53" r:id="rId102"/>
    <hyperlink xmlns:r="http://schemas.openxmlformats.org/officeDocument/2006/relationships" ref="R53" r:id="rId103"/>
    <hyperlink xmlns:r="http://schemas.openxmlformats.org/officeDocument/2006/relationships" ref="Q54" r:id="rId104"/>
    <hyperlink xmlns:r="http://schemas.openxmlformats.org/officeDocument/2006/relationships" ref="R54" r:id="rId105"/>
    <hyperlink xmlns:r="http://schemas.openxmlformats.org/officeDocument/2006/relationships" ref="Q55" r:id="rId106"/>
    <hyperlink xmlns:r="http://schemas.openxmlformats.org/officeDocument/2006/relationships" ref="R55" r:id="rId107"/>
    <hyperlink xmlns:r="http://schemas.openxmlformats.org/officeDocument/2006/relationships" ref="Q56" r:id="rId108"/>
    <hyperlink xmlns:r="http://schemas.openxmlformats.org/officeDocument/2006/relationships" ref="R56" r:id="rId109"/>
    <hyperlink xmlns:r="http://schemas.openxmlformats.org/officeDocument/2006/relationships" ref="Q57" r:id="rId110"/>
    <hyperlink xmlns:r="http://schemas.openxmlformats.org/officeDocument/2006/relationships" ref="R57" r:id="rId111"/>
    <hyperlink xmlns:r="http://schemas.openxmlformats.org/officeDocument/2006/relationships" ref="Q58" r:id="rId112"/>
    <hyperlink xmlns:r="http://schemas.openxmlformats.org/officeDocument/2006/relationships" ref="R58" r:id="rId113"/>
    <hyperlink xmlns:r="http://schemas.openxmlformats.org/officeDocument/2006/relationships" ref="Q59" r:id="rId114"/>
    <hyperlink xmlns:r="http://schemas.openxmlformats.org/officeDocument/2006/relationships" ref="R59" r:id="rId115"/>
    <hyperlink xmlns:r="http://schemas.openxmlformats.org/officeDocument/2006/relationships" ref="Q60" r:id="rId116"/>
    <hyperlink xmlns:r="http://schemas.openxmlformats.org/officeDocument/2006/relationships" ref="R60" r:id="rId117"/>
    <hyperlink xmlns:r="http://schemas.openxmlformats.org/officeDocument/2006/relationships" ref="Q61" r:id="rId118"/>
    <hyperlink xmlns:r="http://schemas.openxmlformats.org/officeDocument/2006/relationships" ref="R61" r:id="rId119"/>
    <hyperlink xmlns:r="http://schemas.openxmlformats.org/officeDocument/2006/relationships" ref="Q62" r:id="rId120"/>
    <hyperlink xmlns:r="http://schemas.openxmlformats.org/officeDocument/2006/relationships" ref="Q63" r:id="rId121"/>
    <hyperlink xmlns:r="http://schemas.openxmlformats.org/officeDocument/2006/relationships" ref="R63" r:id="rId122"/>
    <hyperlink xmlns:r="http://schemas.openxmlformats.org/officeDocument/2006/relationships" ref="Q64" r:id="rId123"/>
    <hyperlink xmlns:r="http://schemas.openxmlformats.org/officeDocument/2006/relationships" ref="R64" r:id="rId124"/>
    <hyperlink xmlns:r="http://schemas.openxmlformats.org/officeDocument/2006/relationships" ref="Q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R68" r:id="rId131"/>
    <hyperlink xmlns:r="http://schemas.openxmlformats.org/officeDocument/2006/relationships" ref="Q69" r:id="rId132"/>
    <hyperlink xmlns:r="http://schemas.openxmlformats.org/officeDocument/2006/relationships" ref="R69" r:id="rId133"/>
    <hyperlink xmlns:r="http://schemas.openxmlformats.org/officeDocument/2006/relationships" ref="Q70" r:id="rId134"/>
    <hyperlink xmlns:r="http://schemas.openxmlformats.org/officeDocument/2006/relationships" ref="R70" r:id="rId135"/>
    <hyperlink xmlns:r="http://schemas.openxmlformats.org/officeDocument/2006/relationships" ref="Q71" r:id="rId136"/>
    <hyperlink xmlns:r="http://schemas.openxmlformats.org/officeDocument/2006/relationships" ref="R71" r:id="rId137"/>
    <hyperlink xmlns:r="http://schemas.openxmlformats.org/officeDocument/2006/relationships" ref="Q72" r:id="rId138"/>
    <hyperlink xmlns:r="http://schemas.openxmlformats.org/officeDocument/2006/relationships" ref="R72" r:id="rId139"/>
    <hyperlink xmlns:r="http://schemas.openxmlformats.org/officeDocument/2006/relationships" ref="Q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R107" r:id="rId208"/>
    <hyperlink xmlns:r="http://schemas.openxmlformats.org/officeDocument/2006/relationships" ref="Q108" r:id="rId209"/>
    <hyperlink xmlns:r="http://schemas.openxmlformats.org/officeDocument/2006/relationships" ref="R108" r:id="rId210"/>
    <hyperlink xmlns:r="http://schemas.openxmlformats.org/officeDocument/2006/relationships" ref="Q109" r:id="rId211"/>
    <hyperlink xmlns:r="http://schemas.openxmlformats.org/officeDocument/2006/relationships" ref="R109" r:id="rId212"/>
    <hyperlink xmlns:r="http://schemas.openxmlformats.org/officeDocument/2006/relationships" ref="Q110" r:id="rId213"/>
    <hyperlink xmlns:r="http://schemas.openxmlformats.org/officeDocument/2006/relationships" ref="R110" r:id="rId214"/>
    <hyperlink xmlns:r="http://schemas.openxmlformats.org/officeDocument/2006/relationships" ref="Q111" r:id="rId215"/>
    <hyperlink xmlns:r="http://schemas.openxmlformats.org/officeDocument/2006/relationships" ref="R111" r:id="rId216"/>
    <hyperlink xmlns:r="http://schemas.openxmlformats.org/officeDocument/2006/relationships" ref="Q112" r:id="rId217"/>
    <hyperlink xmlns:r="http://schemas.openxmlformats.org/officeDocument/2006/relationships" ref="R112" r:id="rId218"/>
    <hyperlink xmlns:r="http://schemas.openxmlformats.org/officeDocument/2006/relationships" ref="Q113" r:id="rId219"/>
    <hyperlink xmlns:r="http://schemas.openxmlformats.org/officeDocument/2006/relationships" ref="R113" r:id="rId220"/>
    <hyperlink xmlns:r="http://schemas.openxmlformats.org/officeDocument/2006/relationships" ref="Q114" r:id="rId221"/>
    <hyperlink xmlns:r="http://schemas.openxmlformats.org/officeDocument/2006/relationships" ref="R114" r:id="rId222"/>
    <hyperlink xmlns:r="http://schemas.openxmlformats.org/officeDocument/2006/relationships" ref="Q115" r:id="rId223"/>
    <hyperlink xmlns:r="http://schemas.openxmlformats.org/officeDocument/2006/relationships" ref="R115" r:id="rId224"/>
    <hyperlink xmlns:r="http://schemas.openxmlformats.org/officeDocument/2006/relationships" ref="Q116" r:id="rId225"/>
    <hyperlink xmlns:r="http://schemas.openxmlformats.org/officeDocument/2006/relationships" ref="R116" r:id="rId226"/>
    <hyperlink xmlns:r="http://schemas.openxmlformats.org/officeDocument/2006/relationships" ref="Q117" r:id="rId227"/>
    <hyperlink xmlns:r="http://schemas.openxmlformats.org/officeDocument/2006/relationships" ref="R117" r:id="rId228"/>
    <hyperlink xmlns:r="http://schemas.openxmlformats.org/officeDocument/2006/relationships" ref="Q118" r:id="rId229"/>
    <hyperlink xmlns:r="http://schemas.openxmlformats.org/officeDocument/2006/relationships" ref="R118" r:id="rId230"/>
    <hyperlink xmlns:r="http://schemas.openxmlformats.org/officeDocument/2006/relationships" ref="Q119" r:id="rId231"/>
    <hyperlink xmlns:r="http://schemas.openxmlformats.org/officeDocument/2006/relationships" ref="R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R130" r:id="rId254"/>
    <hyperlink xmlns:r="http://schemas.openxmlformats.org/officeDocument/2006/relationships" ref="Q131" r:id="rId255"/>
    <hyperlink xmlns:r="http://schemas.openxmlformats.org/officeDocument/2006/relationships" ref="R131" r:id="rId256"/>
    <hyperlink xmlns:r="http://schemas.openxmlformats.org/officeDocument/2006/relationships" ref="Q132" r:id="rId257"/>
    <hyperlink xmlns:r="http://schemas.openxmlformats.org/officeDocument/2006/relationships" ref="R132" r:id="rId258"/>
    <hyperlink xmlns:r="http://schemas.openxmlformats.org/officeDocument/2006/relationships" ref="Q133" r:id="rId259"/>
    <hyperlink xmlns:r="http://schemas.openxmlformats.org/officeDocument/2006/relationships" ref="R133" r:id="rId260"/>
    <hyperlink xmlns:r="http://schemas.openxmlformats.org/officeDocument/2006/relationships" ref="Q134" r:id="rId261"/>
    <hyperlink xmlns:r="http://schemas.openxmlformats.org/officeDocument/2006/relationships" ref="R134" r:id="rId262"/>
    <hyperlink xmlns:r="http://schemas.openxmlformats.org/officeDocument/2006/relationships" ref="Q135" r:id="rId263"/>
    <hyperlink xmlns:r="http://schemas.openxmlformats.org/officeDocument/2006/relationships" ref="R135" r:id="rId264"/>
    <hyperlink xmlns:r="http://schemas.openxmlformats.org/officeDocument/2006/relationships" ref="Q136" r:id="rId265"/>
    <hyperlink xmlns:r="http://schemas.openxmlformats.org/officeDocument/2006/relationships" ref="R136" r:id="rId266"/>
    <hyperlink xmlns:r="http://schemas.openxmlformats.org/officeDocument/2006/relationships" ref="Q137" r:id="rId267"/>
    <hyperlink xmlns:r="http://schemas.openxmlformats.org/officeDocument/2006/relationships" ref="R137" r:id="rId268"/>
    <hyperlink xmlns:r="http://schemas.openxmlformats.org/officeDocument/2006/relationships" ref="Q138" r:id="rId269"/>
    <hyperlink xmlns:r="http://schemas.openxmlformats.org/officeDocument/2006/relationships" ref="R138" r:id="rId270"/>
    <hyperlink xmlns:r="http://schemas.openxmlformats.org/officeDocument/2006/relationships" ref="Q139" r:id="rId271"/>
    <hyperlink xmlns:r="http://schemas.openxmlformats.org/officeDocument/2006/relationships" ref="R139" r:id="rId272"/>
    <hyperlink xmlns:r="http://schemas.openxmlformats.org/officeDocument/2006/relationships" ref="Q140" r:id="rId273"/>
    <hyperlink xmlns:r="http://schemas.openxmlformats.org/officeDocument/2006/relationships" ref="R140" r:id="rId274"/>
    <hyperlink xmlns:r="http://schemas.openxmlformats.org/officeDocument/2006/relationships" ref="Q141" r:id="rId275"/>
    <hyperlink xmlns:r="http://schemas.openxmlformats.org/officeDocument/2006/relationships" ref="R141" r:id="rId276"/>
    <hyperlink xmlns:r="http://schemas.openxmlformats.org/officeDocument/2006/relationships" ref="Q142" r:id="rId277"/>
    <hyperlink xmlns:r="http://schemas.openxmlformats.org/officeDocument/2006/relationships" ref="R142" r:id="rId278"/>
    <hyperlink xmlns:r="http://schemas.openxmlformats.org/officeDocument/2006/relationships" ref="Q143" r:id="rId279"/>
    <hyperlink xmlns:r="http://schemas.openxmlformats.org/officeDocument/2006/relationships" ref="R143" r:id="rId280"/>
    <hyperlink xmlns:r="http://schemas.openxmlformats.org/officeDocument/2006/relationships" ref="Q144" r:id="rId281"/>
    <hyperlink xmlns:r="http://schemas.openxmlformats.org/officeDocument/2006/relationships" ref="R144" r:id="rId282"/>
    <hyperlink xmlns:r="http://schemas.openxmlformats.org/officeDocument/2006/relationships" ref="Q145" r:id="rId283"/>
    <hyperlink xmlns:r="http://schemas.openxmlformats.org/officeDocument/2006/relationships" ref="R145" r:id="rId284"/>
    <hyperlink xmlns:r="http://schemas.openxmlformats.org/officeDocument/2006/relationships" ref="Q146" r:id="rId285"/>
    <hyperlink xmlns:r="http://schemas.openxmlformats.org/officeDocument/2006/relationships" ref="R146" r:id="rId286"/>
    <hyperlink xmlns:r="http://schemas.openxmlformats.org/officeDocument/2006/relationships" ref="Q147" r:id="rId287"/>
    <hyperlink xmlns:r="http://schemas.openxmlformats.org/officeDocument/2006/relationships" ref="R147" r:id="rId288"/>
    <hyperlink xmlns:r="http://schemas.openxmlformats.org/officeDocument/2006/relationships" ref="Q148" r:id="rId289"/>
    <hyperlink xmlns:r="http://schemas.openxmlformats.org/officeDocument/2006/relationships" ref="R148" r:id="rId290"/>
    <hyperlink xmlns:r="http://schemas.openxmlformats.org/officeDocument/2006/relationships" ref="Q149" r:id="rId291"/>
    <hyperlink xmlns:r="http://schemas.openxmlformats.org/officeDocument/2006/relationships" ref="R149" r:id="rId292"/>
    <hyperlink xmlns:r="http://schemas.openxmlformats.org/officeDocument/2006/relationships" ref="Q150" r:id="rId293"/>
    <hyperlink xmlns:r="http://schemas.openxmlformats.org/officeDocument/2006/relationships" ref="R150" r:id="rId294"/>
    <hyperlink xmlns:r="http://schemas.openxmlformats.org/officeDocument/2006/relationships" ref="Q151" r:id="rId295"/>
    <hyperlink xmlns:r="http://schemas.openxmlformats.org/officeDocument/2006/relationships" ref="R151" r:id="rId296"/>
    <hyperlink xmlns:r="http://schemas.openxmlformats.org/officeDocument/2006/relationships" ref="Q152" r:id="rId297"/>
    <hyperlink xmlns:r="http://schemas.openxmlformats.org/officeDocument/2006/relationships" ref="R152" r:id="rId298"/>
    <hyperlink xmlns:r="http://schemas.openxmlformats.org/officeDocument/2006/relationships" ref="Q153" r:id="rId299"/>
    <hyperlink xmlns:r="http://schemas.openxmlformats.org/officeDocument/2006/relationships" ref="R153" r:id="rId300"/>
    <hyperlink xmlns:r="http://schemas.openxmlformats.org/officeDocument/2006/relationships" ref="Q154" r:id="rId301"/>
    <hyperlink xmlns:r="http://schemas.openxmlformats.org/officeDocument/2006/relationships" ref="R154" r:id="rId302"/>
    <hyperlink xmlns:r="http://schemas.openxmlformats.org/officeDocument/2006/relationships" ref="Q155" r:id="rId303"/>
    <hyperlink xmlns:r="http://schemas.openxmlformats.org/officeDocument/2006/relationships" ref="R155" r:id="rId304"/>
    <hyperlink xmlns:r="http://schemas.openxmlformats.org/officeDocument/2006/relationships" ref="Q156" r:id="rId305"/>
    <hyperlink xmlns:r="http://schemas.openxmlformats.org/officeDocument/2006/relationships" ref="R156" r:id="rId306"/>
    <hyperlink xmlns:r="http://schemas.openxmlformats.org/officeDocument/2006/relationships" ref="Q157" r:id="rId307"/>
    <hyperlink xmlns:r="http://schemas.openxmlformats.org/officeDocument/2006/relationships" ref="R157" r:id="rId308"/>
    <hyperlink xmlns:r="http://schemas.openxmlformats.org/officeDocument/2006/relationships" ref="Q158" r:id="rId309"/>
    <hyperlink xmlns:r="http://schemas.openxmlformats.org/officeDocument/2006/relationships" ref="R158" r:id="rId310"/>
    <hyperlink xmlns:r="http://schemas.openxmlformats.org/officeDocument/2006/relationships" ref="Q159" r:id="rId311"/>
    <hyperlink xmlns:r="http://schemas.openxmlformats.org/officeDocument/2006/relationships" ref="R159" r:id="rId312"/>
    <hyperlink xmlns:r="http://schemas.openxmlformats.org/officeDocument/2006/relationships" ref="Q160" r:id="rId313"/>
    <hyperlink xmlns:r="http://schemas.openxmlformats.org/officeDocument/2006/relationships" ref="R160" r:id="rId314"/>
    <hyperlink xmlns:r="http://schemas.openxmlformats.org/officeDocument/2006/relationships" ref="Q161" r:id="rId315"/>
    <hyperlink xmlns:r="http://schemas.openxmlformats.org/officeDocument/2006/relationships" ref="R161" r:id="rId316"/>
    <hyperlink xmlns:r="http://schemas.openxmlformats.org/officeDocument/2006/relationships" ref="Q162" r:id="rId317"/>
    <hyperlink xmlns:r="http://schemas.openxmlformats.org/officeDocument/2006/relationships" ref="R162" r:id="rId318"/>
    <hyperlink xmlns:r="http://schemas.openxmlformats.org/officeDocument/2006/relationships" ref="Q163" r:id="rId319"/>
    <hyperlink xmlns:r="http://schemas.openxmlformats.org/officeDocument/2006/relationships" ref="R163" r:id="rId320"/>
    <hyperlink xmlns:r="http://schemas.openxmlformats.org/officeDocument/2006/relationships" ref="Q164" r:id="rId321"/>
    <hyperlink xmlns:r="http://schemas.openxmlformats.org/officeDocument/2006/relationships" ref="R164" r:id="rId322"/>
    <hyperlink xmlns:r="http://schemas.openxmlformats.org/officeDocument/2006/relationships" ref="Q165" r:id="rId323"/>
    <hyperlink xmlns:r="http://schemas.openxmlformats.org/officeDocument/2006/relationships" ref="R165" r:id="rId324"/>
    <hyperlink xmlns:r="http://schemas.openxmlformats.org/officeDocument/2006/relationships" ref="Q166" r:id="rId325"/>
    <hyperlink xmlns:r="http://schemas.openxmlformats.org/officeDocument/2006/relationships" ref="Q167" r:id="rId326"/>
    <hyperlink xmlns:r="http://schemas.openxmlformats.org/officeDocument/2006/relationships" ref="R167" r:id="rId327"/>
    <hyperlink xmlns:r="http://schemas.openxmlformats.org/officeDocument/2006/relationships" ref="Q168" r:id="rId328"/>
    <hyperlink xmlns:r="http://schemas.openxmlformats.org/officeDocument/2006/relationships" ref="R168" r:id="rId329"/>
    <hyperlink xmlns:r="http://schemas.openxmlformats.org/officeDocument/2006/relationships" ref="Q169" r:id="rId330"/>
    <hyperlink xmlns:r="http://schemas.openxmlformats.org/officeDocument/2006/relationships" ref="R169" r:id="rId331"/>
    <hyperlink xmlns:r="http://schemas.openxmlformats.org/officeDocument/2006/relationships" ref="Q170" r:id="rId332"/>
    <hyperlink xmlns:r="http://schemas.openxmlformats.org/officeDocument/2006/relationships" ref="R170" r:id="rId333"/>
    <hyperlink xmlns:r="http://schemas.openxmlformats.org/officeDocument/2006/relationships" ref="Q171" r:id="rId334"/>
    <hyperlink xmlns:r="http://schemas.openxmlformats.org/officeDocument/2006/relationships" ref="R171" r:id="rId335"/>
    <hyperlink xmlns:r="http://schemas.openxmlformats.org/officeDocument/2006/relationships" ref="Q172" r:id="rId336"/>
    <hyperlink xmlns:r="http://schemas.openxmlformats.org/officeDocument/2006/relationships" ref="R172" r:id="rId337"/>
    <hyperlink xmlns:r="http://schemas.openxmlformats.org/officeDocument/2006/relationships" ref="Q173" r:id="rId338"/>
    <hyperlink xmlns:r="http://schemas.openxmlformats.org/officeDocument/2006/relationships" ref="R173" r:id="rId339"/>
    <hyperlink xmlns:r="http://schemas.openxmlformats.org/officeDocument/2006/relationships" ref="Q174" r:id="rId340"/>
    <hyperlink xmlns:r="http://schemas.openxmlformats.org/officeDocument/2006/relationships" ref="R174" r:id="rId341"/>
    <hyperlink xmlns:r="http://schemas.openxmlformats.org/officeDocument/2006/relationships" ref="Q175" r:id="rId342"/>
    <hyperlink xmlns:r="http://schemas.openxmlformats.org/officeDocument/2006/relationships" ref="R175" r:id="rId343"/>
    <hyperlink xmlns:r="http://schemas.openxmlformats.org/officeDocument/2006/relationships" ref="Q176" r:id="rId344"/>
    <hyperlink xmlns:r="http://schemas.openxmlformats.org/officeDocument/2006/relationships" ref="R176" r:id="rId345"/>
    <hyperlink xmlns:r="http://schemas.openxmlformats.org/officeDocument/2006/relationships" ref="Q177" r:id="rId346"/>
    <hyperlink xmlns:r="http://schemas.openxmlformats.org/officeDocument/2006/relationships" ref="R177" r:id="rId347"/>
    <hyperlink xmlns:r="http://schemas.openxmlformats.org/officeDocument/2006/relationships" ref="Q178" r:id="rId348"/>
    <hyperlink xmlns:r="http://schemas.openxmlformats.org/officeDocument/2006/relationships" ref="R178" r:id="rId349"/>
    <hyperlink xmlns:r="http://schemas.openxmlformats.org/officeDocument/2006/relationships" ref="Q179" r:id="rId350"/>
    <hyperlink xmlns:r="http://schemas.openxmlformats.org/officeDocument/2006/relationships" ref="R179" r:id="rId351"/>
    <hyperlink xmlns:r="http://schemas.openxmlformats.org/officeDocument/2006/relationships" ref="Q180" r:id="rId352"/>
    <hyperlink xmlns:r="http://schemas.openxmlformats.org/officeDocument/2006/relationships" ref="R180" r:id="rId353"/>
    <hyperlink xmlns:r="http://schemas.openxmlformats.org/officeDocument/2006/relationships" ref="Q181" r:id="rId354"/>
    <hyperlink xmlns:r="http://schemas.openxmlformats.org/officeDocument/2006/relationships" ref="R181" r:id="rId355"/>
    <hyperlink xmlns:r="http://schemas.openxmlformats.org/officeDocument/2006/relationships" ref="Q182" r:id="rId356"/>
    <hyperlink xmlns:r="http://schemas.openxmlformats.org/officeDocument/2006/relationships" ref="R182" r:id="rId357"/>
    <hyperlink xmlns:r="http://schemas.openxmlformats.org/officeDocument/2006/relationships" ref="Q183" r:id="rId358"/>
    <hyperlink xmlns:r="http://schemas.openxmlformats.org/officeDocument/2006/relationships" ref="R183" r:id="rId359"/>
    <hyperlink xmlns:r="http://schemas.openxmlformats.org/officeDocument/2006/relationships" ref="Q184" r:id="rId360"/>
    <hyperlink xmlns:r="http://schemas.openxmlformats.org/officeDocument/2006/relationships" ref="R184" r:id="rId361"/>
    <hyperlink xmlns:r="http://schemas.openxmlformats.org/officeDocument/2006/relationships" ref="Q185" r:id="rId362"/>
    <hyperlink xmlns:r="http://schemas.openxmlformats.org/officeDocument/2006/relationships" ref="R185" r:id="rId363"/>
    <hyperlink xmlns:r="http://schemas.openxmlformats.org/officeDocument/2006/relationships" ref="Q186" r:id="rId364"/>
    <hyperlink xmlns:r="http://schemas.openxmlformats.org/officeDocument/2006/relationships" ref="R186" r:id="rId365"/>
    <hyperlink xmlns:r="http://schemas.openxmlformats.org/officeDocument/2006/relationships" ref="Q187" r:id="rId366"/>
    <hyperlink xmlns:r="http://schemas.openxmlformats.org/officeDocument/2006/relationships" ref="R187" r:id="rId367"/>
    <hyperlink xmlns:r="http://schemas.openxmlformats.org/officeDocument/2006/relationships" ref="Q188" r:id="rId368"/>
    <hyperlink xmlns:r="http://schemas.openxmlformats.org/officeDocument/2006/relationships" ref="R188" r:id="rId369"/>
    <hyperlink xmlns:r="http://schemas.openxmlformats.org/officeDocument/2006/relationships" ref="Q189" r:id="rId370"/>
    <hyperlink xmlns:r="http://schemas.openxmlformats.org/officeDocument/2006/relationships" ref="R189" r:id="rId371"/>
    <hyperlink xmlns:r="http://schemas.openxmlformats.org/officeDocument/2006/relationships" ref="Q190" r:id="rId372"/>
    <hyperlink xmlns:r="http://schemas.openxmlformats.org/officeDocument/2006/relationships" ref="R190" r:id="rId373"/>
    <hyperlink xmlns:r="http://schemas.openxmlformats.org/officeDocument/2006/relationships" ref="Q191" r:id="rId374"/>
    <hyperlink xmlns:r="http://schemas.openxmlformats.org/officeDocument/2006/relationships" ref="R191" r:id="rId375"/>
    <hyperlink xmlns:r="http://schemas.openxmlformats.org/officeDocument/2006/relationships" ref="Q192" r:id="rId376"/>
    <hyperlink xmlns:r="http://schemas.openxmlformats.org/officeDocument/2006/relationships" ref="R192" r:id="rId377"/>
    <hyperlink xmlns:r="http://schemas.openxmlformats.org/officeDocument/2006/relationships" ref="Q193" r:id="rId378"/>
    <hyperlink xmlns:r="http://schemas.openxmlformats.org/officeDocument/2006/relationships" ref="R193" r:id="rId379"/>
    <hyperlink xmlns:r="http://schemas.openxmlformats.org/officeDocument/2006/relationships" ref="Q194" r:id="rId380"/>
    <hyperlink xmlns:r="http://schemas.openxmlformats.org/officeDocument/2006/relationships" ref="R194" r:id="rId381"/>
    <hyperlink xmlns:r="http://schemas.openxmlformats.org/officeDocument/2006/relationships" ref="Q195" r:id="rId382"/>
    <hyperlink xmlns:r="http://schemas.openxmlformats.org/officeDocument/2006/relationships" ref="R195" r:id="rId383"/>
    <hyperlink xmlns:r="http://schemas.openxmlformats.org/officeDocument/2006/relationships" ref="Q196" r:id="rId384"/>
    <hyperlink xmlns:r="http://schemas.openxmlformats.org/officeDocument/2006/relationships" ref="R196" r:id="rId385"/>
    <hyperlink xmlns:r="http://schemas.openxmlformats.org/officeDocument/2006/relationships" ref="Q197" r:id="rId386"/>
    <hyperlink xmlns:r="http://schemas.openxmlformats.org/officeDocument/2006/relationships" ref="R197" r:id="rId387"/>
    <hyperlink xmlns:r="http://schemas.openxmlformats.org/officeDocument/2006/relationships" ref="Q198" r:id="rId388"/>
    <hyperlink xmlns:r="http://schemas.openxmlformats.org/officeDocument/2006/relationships" ref="Q199" r:id="rId389"/>
    <hyperlink xmlns:r="http://schemas.openxmlformats.org/officeDocument/2006/relationships" ref="R199" r:id="rId390"/>
    <hyperlink xmlns:r="http://schemas.openxmlformats.org/officeDocument/2006/relationships" ref="Q200" r:id="rId391"/>
    <hyperlink xmlns:r="http://schemas.openxmlformats.org/officeDocument/2006/relationships" ref="R200" r:id="rId392"/>
    <hyperlink xmlns:r="http://schemas.openxmlformats.org/officeDocument/2006/relationships" ref="Q201" r:id="rId393"/>
    <hyperlink xmlns:r="http://schemas.openxmlformats.org/officeDocument/2006/relationships" ref="R201" r:id="rId394"/>
    <hyperlink xmlns:r="http://schemas.openxmlformats.org/officeDocument/2006/relationships" ref="Q202" r:id="rId395"/>
    <hyperlink xmlns:r="http://schemas.openxmlformats.org/officeDocument/2006/relationships" ref="R202" r:id="rId396"/>
    <hyperlink xmlns:r="http://schemas.openxmlformats.org/officeDocument/2006/relationships" ref="Q203" r:id="rId397"/>
    <hyperlink xmlns:r="http://schemas.openxmlformats.org/officeDocument/2006/relationships" ref="R203" r:id="rId398"/>
    <hyperlink xmlns:r="http://schemas.openxmlformats.org/officeDocument/2006/relationships" ref="Q204" r:id="rId399"/>
    <hyperlink xmlns:r="http://schemas.openxmlformats.org/officeDocument/2006/relationships" ref="R204" r:id="rId400"/>
    <hyperlink xmlns:r="http://schemas.openxmlformats.org/officeDocument/2006/relationships" ref="Q205" r:id="rId401"/>
    <hyperlink xmlns:r="http://schemas.openxmlformats.org/officeDocument/2006/relationships" ref="R205" r:id="rId402"/>
    <hyperlink xmlns:r="http://schemas.openxmlformats.org/officeDocument/2006/relationships" ref="Q206" r:id="rId403"/>
    <hyperlink xmlns:r="http://schemas.openxmlformats.org/officeDocument/2006/relationships" ref="R206" r:id="rId404"/>
    <hyperlink xmlns:r="http://schemas.openxmlformats.org/officeDocument/2006/relationships" ref="Q207" r:id="rId405"/>
    <hyperlink xmlns:r="http://schemas.openxmlformats.org/officeDocument/2006/relationships" ref="R207" r:id="rId406"/>
    <hyperlink xmlns:r="http://schemas.openxmlformats.org/officeDocument/2006/relationships" ref="Q208" r:id="rId407"/>
    <hyperlink xmlns:r="http://schemas.openxmlformats.org/officeDocument/2006/relationships" ref="R208" r:id="rId408"/>
    <hyperlink xmlns:r="http://schemas.openxmlformats.org/officeDocument/2006/relationships" ref="Q209" r:id="rId409"/>
    <hyperlink xmlns:r="http://schemas.openxmlformats.org/officeDocument/2006/relationships" ref="R209" r:id="rId410"/>
    <hyperlink xmlns:r="http://schemas.openxmlformats.org/officeDocument/2006/relationships" ref="Q210" r:id="rId411"/>
    <hyperlink xmlns:r="http://schemas.openxmlformats.org/officeDocument/2006/relationships" ref="R210" r:id="rId412"/>
    <hyperlink xmlns:r="http://schemas.openxmlformats.org/officeDocument/2006/relationships" ref="Q211" r:id="rId413"/>
    <hyperlink xmlns:r="http://schemas.openxmlformats.org/officeDocument/2006/relationships" ref="R211" r:id="rId414"/>
    <hyperlink xmlns:r="http://schemas.openxmlformats.org/officeDocument/2006/relationships" ref="Q212" r:id="rId415"/>
    <hyperlink xmlns:r="http://schemas.openxmlformats.org/officeDocument/2006/relationships" ref="R212" r:id="rId416"/>
    <hyperlink xmlns:r="http://schemas.openxmlformats.org/officeDocument/2006/relationships" ref="Q213" r:id="rId417"/>
    <hyperlink xmlns:r="http://schemas.openxmlformats.org/officeDocument/2006/relationships" ref="R213" r:id="rId418"/>
    <hyperlink xmlns:r="http://schemas.openxmlformats.org/officeDocument/2006/relationships" ref="Q214" r:id="rId419"/>
    <hyperlink xmlns:r="http://schemas.openxmlformats.org/officeDocument/2006/relationships" ref="R214" r:id="rId420"/>
    <hyperlink xmlns:r="http://schemas.openxmlformats.org/officeDocument/2006/relationships" ref="Q215" r:id="rId421"/>
    <hyperlink xmlns:r="http://schemas.openxmlformats.org/officeDocument/2006/relationships" ref="R215" r:id="rId422"/>
    <hyperlink xmlns:r="http://schemas.openxmlformats.org/officeDocument/2006/relationships" ref="Q216" r:id="rId423"/>
    <hyperlink xmlns:r="http://schemas.openxmlformats.org/officeDocument/2006/relationships" ref="R216" r:id="rId424"/>
    <hyperlink xmlns:r="http://schemas.openxmlformats.org/officeDocument/2006/relationships" ref="Q217" r:id="rId425"/>
    <hyperlink xmlns:r="http://schemas.openxmlformats.org/officeDocument/2006/relationships" ref="R217" r:id="rId426"/>
    <hyperlink xmlns:r="http://schemas.openxmlformats.org/officeDocument/2006/relationships" ref="Q218" r:id="rId427"/>
    <hyperlink xmlns:r="http://schemas.openxmlformats.org/officeDocument/2006/relationships" ref="Q219" r:id="rId428"/>
    <hyperlink xmlns:r="http://schemas.openxmlformats.org/officeDocument/2006/relationships" ref="R219" r:id="rId429"/>
    <hyperlink xmlns:r="http://schemas.openxmlformats.org/officeDocument/2006/relationships" ref="Q220" r:id="rId430"/>
    <hyperlink xmlns:r="http://schemas.openxmlformats.org/officeDocument/2006/relationships" ref="R220" r:id="rId431"/>
    <hyperlink xmlns:r="http://schemas.openxmlformats.org/officeDocument/2006/relationships" ref="Q221" r:id="rId432"/>
    <hyperlink xmlns:r="http://schemas.openxmlformats.org/officeDocument/2006/relationships" ref="R221" r:id="rId433"/>
    <hyperlink xmlns:r="http://schemas.openxmlformats.org/officeDocument/2006/relationships" ref="Q222" r:id="rId434"/>
    <hyperlink xmlns:r="http://schemas.openxmlformats.org/officeDocument/2006/relationships" ref="R222" r:id="rId435"/>
    <hyperlink xmlns:r="http://schemas.openxmlformats.org/officeDocument/2006/relationships" ref="Q223" r:id="rId436"/>
    <hyperlink xmlns:r="http://schemas.openxmlformats.org/officeDocument/2006/relationships" ref="R223" r:id="rId437"/>
    <hyperlink xmlns:r="http://schemas.openxmlformats.org/officeDocument/2006/relationships" ref="Q224" r:id="rId438"/>
    <hyperlink xmlns:r="http://schemas.openxmlformats.org/officeDocument/2006/relationships" ref="R224" r:id="rId439"/>
    <hyperlink xmlns:r="http://schemas.openxmlformats.org/officeDocument/2006/relationships" ref="Q225" r:id="rId440"/>
    <hyperlink xmlns:r="http://schemas.openxmlformats.org/officeDocument/2006/relationships" ref="R225" r:id="rId441"/>
    <hyperlink xmlns:r="http://schemas.openxmlformats.org/officeDocument/2006/relationships" ref="Q226" r:id="rId442"/>
    <hyperlink xmlns:r="http://schemas.openxmlformats.org/officeDocument/2006/relationships" ref="R226" r:id="rId443"/>
    <hyperlink xmlns:r="http://schemas.openxmlformats.org/officeDocument/2006/relationships" ref="Q227" r:id="rId444"/>
    <hyperlink xmlns:r="http://schemas.openxmlformats.org/officeDocument/2006/relationships" ref="R227" r:id="rId445"/>
    <hyperlink xmlns:r="http://schemas.openxmlformats.org/officeDocument/2006/relationships" ref="Q228" r:id="rId446"/>
    <hyperlink xmlns:r="http://schemas.openxmlformats.org/officeDocument/2006/relationships" ref="R228" r:id="rId447"/>
    <hyperlink xmlns:r="http://schemas.openxmlformats.org/officeDocument/2006/relationships" ref="Q229" r:id="rId448"/>
    <hyperlink xmlns:r="http://schemas.openxmlformats.org/officeDocument/2006/relationships" ref="R229" r:id="rId449"/>
    <hyperlink xmlns:r="http://schemas.openxmlformats.org/officeDocument/2006/relationships" ref="Q230" r:id="rId450"/>
    <hyperlink xmlns:r="http://schemas.openxmlformats.org/officeDocument/2006/relationships" ref="R230" r:id="rId451"/>
    <hyperlink xmlns:r="http://schemas.openxmlformats.org/officeDocument/2006/relationships" ref="Q231" r:id="rId452"/>
    <hyperlink xmlns:r="http://schemas.openxmlformats.org/officeDocument/2006/relationships" ref="R231" r:id="rId453"/>
    <hyperlink xmlns:r="http://schemas.openxmlformats.org/officeDocument/2006/relationships" ref="Q232" r:id="rId454"/>
    <hyperlink xmlns:r="http://schemas.openxmlformats.org/officeDocument/2006/relationships" ref="R232" r:id="rId455"/>
    <hyperlink xmlns:r="http://schemas.openxmlformats.org/officeDocument/2006/relationships" ref="Q233" r:id="rId456"/>
    <hyperlink xmlns:r="http://schemas.openxmlformats.org/officeDocument/2006/relationships" ref="R233" r:id="rId457"/>
    <hyperlink xmlns:r="http://schemas.openxmlformats.org/officeDocument/2006/relationships" ref="Q234" r:id="rId458"/>
    <hyperlink xmlns:r="http://schemas.openxmlformats.org/officeDocument/2006/relationships" ref="R234" r:id="rId459"/>
    <hyperlink xmlns:r="http://schemas.openxmlformats.org/officeDocument/2006/relationships" ref="Q235" r:id="rId460"/>
    <hyperlink xmlns:r="http://schemas.openxmlformats.org/officeDocument/2006/relationships" ref="R235" r:id="rId461"/>
    <hyperlink xmlns:r="http://schemas.openxmlformats.org/officeDocument/2006/relationships" ref="Q236" r:id="rId462"/>
    <hyperlink xmlns:r="http://schemas.openxmlformats.org/officeDocument/2006/relationships" ref="R236" r:id="rId463"/>
    <hyperlink xmlns:r="http://schemas.openxmlformats.org/officeDocument/2006/relationships" ref="Q237" r:id="rId464"/>
    <hyperlink xmlns:r="http://schemas.openxmlformats.org/officeDocument/2006/relationships" ref="R237" r:id="rId465"/>
    <hyperlink xmlns:r="http://schemas.openxmlformats.org/officeDocument/2006/relationships" ref="Q238" r:id="rId466"/>
    <hyperlink xmlns:r="http://schemas.openxmlformats.org/officeDocument/2006/relationships" ref="R238" r:id="rId467"/>
    <hyperlink xmlns:r="http://schemas.openxmlformats.org/officeDocument/2006/relationships" ref="Q239" r:id="rId468"/>
    <hyperlink xmlns:r="http://schemas.openxmlformats.org/officeDocument/2006/relationships" ref="R239" r:id="rId469"/>
    <hyperlink xmlns:r="http://schemas.openxmlformats.org/officeDocument/2006/relationships" ref="Q240" r:id="rId470"/>
    <hyperlink xmlns:r="http://schemas.openxmlformats.org/officeDocument/2006/relationships" ref="R240" r:id="rId471"/>
    <hyperlink xmlns:r="http://schemas.openxmlformats.org/officeDocument/2006/relationships" ref="Q241" r:id="rId472"/>
    <hyperlink xmlns:r="http://schemas.openxmlformats.org/officeDocument/2006/relationships" ref="R241" r:id="rId473"/>
    <hyperlink xmlns:r="http://schemas.openxmlformats.org/officeDocument/2006/relationships" ref="Q242" r:id="rId474"/>
    <hyperlink xmlns:r="http://schemas.openxmlformats.org/officeDocument/2006/relationships" ref="R242" r:id="rId475"/>
    <hyperlink xmlns:r="http://schemas.openxmlformats.org/officeDocument/2006/relationships" ref="Q243" r:id="rId476"/>
    <hyperlink xmlns:r="http://schemas.openxmlformats.org/officeDocument/2006/relationships" ref="R243" r:id="rId477"/>
    <hyperlink xmlns:r="http://schemas.openxmlformats.org/officeDocument/2006/relationships" ref="Q244" r:id="rId478"/>
    <hyperlink xmlns:r="http://schemas.openxmlformats.org/officeDocument/2006/relationships" ref="R244" r:id="rId479"/>
    <hyperlink xmlns:r="http://schemas.openxmlformats.org/officeDocument/2006/relationships" ref="Q245" r:id="rId480"/>
    <hyperlink xmlns:r="http://schemas.openxmlformats.org/officeDocument/2006/relationships" ref="R245" r:id="rId481"/>
    <hyperlink xmlns:r="http://schemas.openxmlformats.org/officeDocument/2006/relationships" ref="Q246" r:id="rId482"/>
    <hyperlink xmlns:r="http://schemas.openxmlformats.org/officeDocument/2006/relationships" ref="R246" r:id="rId483"/>
    <hyperlink xmlns:r="http://schemas.openxmlformats.org/officeDocument/2006/relationships" ref="Q247" r:id="rId484"/>
    <hyperlink xmlns:r="http://schemas.openxmlformats.org/officeDocument/2006/relationships" ref="R247" r:id="rId485"/>
    <hyperlink xmlns:r="http://schemas.openxmlformats.org/officeDocument/2006/relationships" ref="Q248" r:id="rId486"/>
    <hyperlink xmlns:r="http://schemas.openxmlformats.org/officeDocument/2006/relationships" ref="R248" r:id="rId487"/>
    <hyperlink xmlns:r="http://schemas.openxmlformats.org/officeDocument/2006/relationships" ref="Q249" r:id="rId488"/>
    <hyperlink xmlns:r="http://schemas.openxmlformats.org/officeDocument/2006/relationships" ref="R249" r:id="rId489"/>
    <hyperlink xmlns:r="http://schemas.openxmlformats.org/officeDocument/2006/relationships" ref="Q250" r:id="rId490"/>
    <hyperlink xmlns:r="http://schemas.openxmlformats.org/officeDocument/2006/relationships" ref="R250" r:id="rId491"/>
    <hyperlink xmlns:r="http://schemas.openxmlformats.org/officeDocument/2006/relationships" ref="Q251" r:id="rId492"/>
    <hyperlink xmlns:r="http://schemas.openxmlformats.org/officeDocument/2006/relationships" ref="R251" r:id="rId493"/>
    <hyperlink xmlns:r="http://schemas.openxmlformats.org/officeDocument/2006/relationships" ref="Q252" r:id="rId494"/>
    <hyperlink xmlns:r="http://schemas.openxmlformats.org/officeDocument/2006/relationships" ref="R252" r:id="rId495"/>
    <hyperlink xmlns:r="http://schemas.openxmlformats.org/officeDocument/2006/relationships" ref="Q253" r:id="rId496"/>
    <hyperlink xmlns:r="http://schemas.openxmlformats.org/officeDocument/2006/relationships" ref="R253" r:id="rId497"/>
    <hyperlink xmlns:r="http://schemas.openxmlformats.org/officeDocument/2006/relationships" ref="Q254" r:id="rId498"/>
    <hyperlink xmlns:r="http://schemas.openxmlformats.org/officeDocument/2006/relationships" ref="R254" r:id="rId499"/>
    <hyperlink xmlns:r="http://schemas.openxmlformats.org/officeDocument/2006/relationships" ref="Q255" r:id="rId500"/>
    <hyperlink xmlns:r="http://schemas.openxmlformats.org/officeDocument/2006/relationships" ref="R255" r:id="rId501"/>
    <hyperlink xmlns:r="http://schemas.openxmlformats.org/officeDocument/2006/relationships" ref="Q256" r:id="rId502"/>
    <hyperlink xmlns:r="http://schemas.openxmlformats.org/officeDocument/2006/relationships" ref="R256" r:id="rId503"/>
    <hyperlink xmlns:r="http://schemas.openxmlformats.org/officeDocument/2006/relationships" ref="Q257" r:id="rId504"/>
    <hyperlink xmlns:r="http://schemas.openxmlformats.org/officeDocument/2006/relationships" ref="R257" r:id="rId505"/>
    <hyperlink xmlns:r="http://schemas.openxmlformats.org/officeDocument/2006/relationships" ref="Q258" r:id="rId506"/>
    <hyperlink xmlns:r="http://schemas.openxmlformats.org/officeDocument/2006/relationships" ref="R258" r:id="rId507"/>
    <hyperlink xmlns:r="http://schemas.openxmlformats.org/officeDocument/2006/relationships" ref="Q259" r:id="rId508"/>
    <hyperlink xmlns:r="http://schemas.openxmlformats.org/officeDocument/2006/relationships" ref="R259" r:id="rId509"/>
    <hyperlink xmlns:r="http://schemas.openxmlformats.org/officeDocument/2006/relationships" ref="Q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Q279" r:id="rId546"/>
    <hyperlink xmlns:r="http://schemas.openxmlformats.org/officeDocument/2006/relationships" ref="Q280" r:id="rId547"/>
    <hyperlink xmlns:r="http://schemas.openxmlformats.org/officeDocument/2006/relationships" ref="R280" r:id="rId548"/>
    <hyperlink xmlns:r="http://schemas.openxmlformats.org/officeDocument/2006/relationships" ref="Q281" r:id="rId549"/>
    <hyperlink xmlns:r="http://schemas.openxmlformats.org/officeDocument/2006/relationships" ref="R281" r:id="rId550"/>
    <hyperlink xmlns:r="http://schemas.openxmlformats.org/officeDocument/2006/relationships" ref="Q282" r:id="rId551"/>
    <hyperlink xmlns:r="http://schemas.openxmlformats.org/officeDocument/2006/relationships" ref="Q283" r:id="rId552"/>
    <hyperlink xmlns:r="http://schemas.openxmlformats.org/officeDocument/2006/relationships" ref="R283" r:id="rId553"/>
    <hyperlink xmlns:r="http://schemas.openxmlformats.org/officeDocument/2006/relationships" ref="Q284" r:id="rId554"/>
    <hyperlink xmlns:r="http://schemas.openxmlformats.org/officeDocument/2006/relationships" ref="R284" r:id="rId555"/>
    <hyperlink xmlns:r="http://schemas.openxmlformats.org/officeDocument/2006/relationships" ref="Q285" r:id="rId556"/>
    <hyperlink xmlns:r="http://schemas.openxmlformats.org/officeDocument/2006/relationships" ref="R285" r:id="rId557"/>
    <hyperlink xmlns:r="http://schemas.openxmlformats.org/officeDocument/2006/relationships" ref="Q286" r:id="rId558"/>
    <hyperlink xmlns:r="http://schemas.openxmlformats.org/officeDocument/2006/relationships" ref="R286" r:id="rId559"/>
    <hyperlink xmlns:r="http://schemas.openxmlformats.org/officeDocument/2006/relationships" ref="Q287" r:id="rId560"/>
    <hyperlink xmlns:r="http://schemas.openxmlformats.org/officeDocument/2006/relationships" ref="R287" r:id="rId561"/>
    <hyperlink xmlns:r="http://schemas.openxmlformats.org/officeDocument/2006/relationships" ref="Q288" r:id="rId562"/>
    <hyperlink xmlns:r="http://schemas.openxmlformats.org/officeDocument/2006/relationships" ref="R288" r:id="rId563"/>
    <hyperlink xmlns:r="http://schemas.openxmlformats.org/officeDocument/2006/relationships" ref="Q289" r:id="rId564"/>
    <hyperlink xmlns:r="http://schemas.openxmlformats.org/officeDocument/2006/relationships" ref="R289" r:id="rId565"/>
    <hyperlink xmlns:r="http://schemas.openxmlformats.org/officeDocument/2006/relationships" ref="Q290" r:id="rId566"/>
    <hyperlink xmlns:r="http://schemas.openxmlformats.org/officeDocument/2006/relationships" ref="R290" r:id="rId567"/>
    <hyperlink xmlns:r="http://schemas.openxmlformats.org/officeDocument/2006/relationships" ref="Q291" r:id="rId568"/>
    <hyperlink xmlns:r="http://schemas.openxmlformats.org/officeDocument/2006/relationships" ref="R291" r:id="rId569"/>
    <hyperlink xmlns:r="http://schemas.openxmlformats.org/officeDocument/2006/relationships" ref="Q292" r:id="rId570"/>
    <hyperlink xmlns:r="http://schemas.openxmlformats.org/officeDocument/2006/relationships" ref="R292" r:id="rId571"/>
    <hyperlink xmlns:r="http://schemas.openxmlformats.org/officeDocument/2006/relationships" ref="Q293" r:id="rId572"/>
    <hyperlink xmlns:r="http://schemas.openxmlformats.org/officeDocument/2006/relationships" ref="R293" r:id="rId573"/>
    <hyperlink xmlns:r="http://schemas.openxmlformats.org/officeDocument/2006/relationships" ref="Q294" r:id="rId574"/>
    <hyperlink xmlns:r="http://schemas.openxmlformats.org/officeDocument/2006/relationships" ref="Q295" r:id="rId575"/>
    <hyperlink xmlns:r="http://schemas.openxmlformats.org/officeDocument/2006/relationships" ref="R295" r:id="rId576"/>
    <hyperlink xmlns:r="http://schemas.openxmlformats.org/officeDocument/2006/relationships" ref="Q296" r:id="rId577"/>
    <hyperlink xmlns:r="http://schemas.openxmlformats.org/officeDocument/2006/relationships" ref="R296" r:id="rId578"/>
    <hyperlink xmlns:r="http://schemas.openxmlformats.org/officeDocument/2006/relationships" ref="Q297" r:id="rId579"/>
    <hyperlink xmlns:r="http://schemas.openxmlformats.org/officeDocument/2006/relationships" ref="R297" r:id="rId580"/>
    <hyperlink xmlns:r="http://schemas.openxmlformats.org/officeDocument/2006/relationships" ref="Q298" r:id="rId581"/>
    <hyperlink xmlns:r="http://schemas.openxmlformats.org/officeDocument/2006/relationships" ref="R298" r:id="rId582"/>
    <hyperlink xmlns:r="http://schemas.openxmlformats.org/officeDocument/2006/relationships" ref="Q299" r:id="rId583"/>
    <hyperlink xmlns:r="http://schemas.openxmlformats.org/officeDocument/2006/relationships" ref="R299" r:id="rId584"/>
    <hyperlink xmlns:r="http://schemas.openxmlformats.org/officeDocument/2006/relationships" ref="Q300" r:id="rId585"/>
    <hyperlink xmlns:r="http://schemas.openxmlformats.org/officeDocument/2006/relationships" ref="R300" r:id="rId586"/>
    <hyperlink xmlns:r="http://schemas.openxmlformats.org/officeDocument/2006/relationships" ref="Q301" r:id="rId587"/>
    <hyperlink xmlns:r="http://schemas.openxmlformats.org/officeDocument/2006/relationships" ref="R301" r:id="rId588"/>
    <hyperlink xmlns:r="http://schemas.openxmlformats.org/officeDocument/2006/relationships" ref="Q302" r:id="rId589"/>
    <hyperlink xmlns:r="http://schemas.openxmlformats.org/officeDocument/2006/relationships" ref="R302" r:id="rId590"/>
    <hyperlink xmlns:r="http://schemas.openxmlformats.org/officeDocument/2006/relationships" ref="Q303" r:id="rId591"/>
    <hyperlink xmlns:r="http://schemas.openxmlformats.org/officeDocument/2006/relationships" ref="R303" r:id="rId592"/>
    <hyperlink xmlns:r="http://schemas.openxmlformats.org/officeDocument/2006/relationships" ref="Q304" r:id="rId593"/>
    <hyperlink xmlns:r="http://schemas.openxmlformats.org/officeDocument/2006/relationships" ref="R304" r:id="rId594"/>
    <hyperlink xmlns:r="http://schemas.openxmlformats.org/officeDocument/2006/relationships" ref="Q305" r:id="rId595"/>
    <hyperlink xmlns:r="http://schemas.openxmlformats.org/officeDocument/2006/relationships" ref="R305" r:id="rId596"/>
    <hyperlink xmlns:r="http://schemas.openxmlformats.org/officeDocument/2006/relationships" ref="Q306" r:id="rId597"/>
    <hyperlink xmlns:r="http://schemas.openxmlformats.org/officeDocument/2006/relationships" ref="R306" r:id="rId598"/>
    <hyperlink xmlns:r="http://schemas.openxmlformats.org/officeDocument/2006/relationships" ref="Q307" r:id="rId599"/>
    <hyperlink xmlns:r="http://schemas.openxmlformats.org/officeDocument/2006/relationships" ref="R307" r:id="rId600"/>
    <hyperlink xmlns:r="http://schemas.openxmlformats.org/officeDocument/2006/relationships" ref="Q308" r:id="rId601"/>
    <hyperlink xmlns:r="http://schemas.openxmlformats.org/officeDocument/2006/relationships" ref="R308" r:id="rId602"/>
    <hyperlink xmlns:r="http://schemas.openxmlformats.org/officeDocument/2006/relationships" ref="Q309" r:id="rId603"/>
    <hyperlink xmlns:r="http://schemas.openxmlformats.org/officeDocument/2006/relationships" ref="R309" r:id="rId604"/>
    <hyperlink xmlns:r="http://schemas.openxmlformats.org/officeDocument/2006/relationships" ref="Q310" r:id="rId605"/>
    <hyperlink xmlns:r="http://schemas.openxmlformats.org/officeDocument/2006/relationships" ref="R310" r:id="rId606"/>
    <hyperlink xmlns:r="http://schemas.openxmlformats.org/officeDocument/2006/relationships" ref="Q311" r:id="rId607"/>
    <hyperlink xmlns:r="http://schemas.openxmlformats.org/officeDocument/2006/relationships" ref="R311" r:id="rId608"/>
    <hyperlink xmlns:r="http://schemas.openxmlformats.org/officeDocument/2006/relationships" ref="Q312" r:id="rId609"/>
    <hyperlink xmlns:r="http://schemas.openxmlformats.org/officeDocument/2006/relationships" ref="R312" r:id="rId610"/>
    <hyperlink xmlns:r="http://schemas.openxmlformats.org/officeDocument/2006/relationships" ref="Q313" r:id="rId611"/>
    <hyperlink xmlns:r="http://schemas.openxmlformats.org/officeDocument/2006/relationships" ref="R313" r:id="rId612"/>
    <hyperlink xmlns:r="http://schemas.openxmlformats.org/officeDocument/2006/relationships" ref="Q314" r:id="rId613"/>
    <hyperlink xmlns:r="http://schemas.openxmlformats.org/officeDocument/2006/relationships" ref="R314" r:id="rId614"/>
    <hyperlink xmlns:r="http://schemas.openxmlformats.org/officeDocument/2006/relationships" ref="Q315" r:id="rId615"/>
    <hyperlink xmlns:r="http://schemas.openxmlformats.org/officeDocument/2006/relationships" ref="R315" r:id="rId616"/>
    <hyperlink xmlns:r="http://schemas.openxmlformats.org/officeDocument/2006/relationships" ref="Q316" r:id="rId617"/>
    <hyperlink xmlns:r="http://schemas.openxmlformats.org/officeDocument/2006/relationships" ref="R316" r:id="rId618"/>
    <hyperlink xmlns:r="http://schemas.openxmlformats.org/officeDocument/2006/relationships" ref="Q317" r:id="rId619"/>
    <hyperlink xmlns:r="http://schemas.openxmlformats.org/officeDocument/2006/relationships" ref="R317" r:id="rId620"/>
    <hyperlink xmlns:r="http://schemas.openxmlformats.org/officeDocument/2006/relationships" ref="Q318" r:id="rId621"/>
    <hyperlink xmlns:r="http://schemas.openxmlformats.org/officeDocument/2006/relationships" ref="R318" r:id="rId622"/>
    <hyperlink xmlns:r="http://schemas.openxmlformats.org/officeDocument/2006/relationships" ref="Q319" r:id="rId623"/>
    <hyperlink xmlns:r="http://schemas.openxmlformats.org/officeDocument/2006/relationships" ref="R319" r:id="rId624"/>
    <hyperlink xmlns:r="http://schemas.openxmlformats.org/officeDocument/2006/relationships" ref="Q320" r:id="rId625"/>
    <hyperlink xmlns:r="http://schemas.openxmlformats.org/officeDocument/2006/relationships" ref="R320" r:id="rId626"/>
    <hyperlink xmlns:r="http://schemas.openxmlformats.org/officeDocument/2006/relationships" ref="Q321" r:id="rId627"/>
    <hyperlink xmlns:r="http://schemas.openxmlformats.org/officeDocument/2006/relationships" ref="R321" r:id="rId628"/>
    <hyperlink xmlns:r="http://schemas.openxmlformats.org/officeDocument/2006/relationships" ref="Q322" r:id="rId629"/>
    <hyperlink xmlns:r="http://schemas.openxmlformats.org/officeDocument/2006/relationships" ref="Q323" r:id="rId630"/>
    <hyperlink xmlns:r="http://schemas.openxmlformats.org/officeDocument/2006/relationships" ref="R323" r:id="rId631"/>
    <hyperlink xmlns:r="http://schemas.openxmlformats.org/officeDocument/2006/relationships" ref="Q324" r:id="rId632"/>
    <hyperlink xmlns:r="http://schemas.openxmlformats.org/officeDocument/2006/relationships" ref="R324" r:id="rId633"/>
    <hyperlink xmlns:r="http://schemas.openxmlformats.org/officeDocument/2006/relationships" ref="Q325" r:id="rId634"/>
    <hyperlink xmlns:r="http://schemas.openxmlformats.org/officeDocument/2006/relationships" ref="R325" r:id="rId635"/>
    <hyperlink xmlns:r="http://schemas.openxmlformats.org/officeDocument/2006/relationships" ref="Q326" r:id="rId636"/>
    <hyperlink xmlns:r="http://schemas.openxmlformats.org/officeDocument/2006/relationships" ref="R326" r:id="rId637"/>
    <hyperlink xmlns:r="http://schemas.openxmlformats.org/officeDocument/2006/relationships" ref="Q327" r:id="rId638"/>
    <hyperlink xmlns:r="http://schemas.openxmlformats.org/officeDocument/2006/relationships" ref="R327" r:id="rId639"/>
    <hyperlink xmlns:r="http://schemas.openxmlformats.org/officeDocument/2006/relationships" ref="Q328" r:id="rId640"/>
    <hyperlink xmlns:r="http://schemas.openxmlformats.org/officeDocument/2006/relationships" ref="R328" r:id="rId641"/>
    <hyperlink xmlns:r="http://schemas.openxmlformats.org/officeDocument/2006/relationships" ref="Q329" r:id="rId642"/>
    <hyperlink xmlns:r="http://schemas.openxmlformats.org/officeDocument/2006/relationships" ref="R329" r:id="rId643"/>
    <hyperlink xmlns:r="http://schemas.openxmlformats.org/officeDocument/2006/relationships" ref="Q330" r:id="rId644"/>
    <hyperlink xmlns:r="http://schemas.openxmlformats.org/officeDocument/2006/relationships" ref="R330" r:id="rId645"/>
    <hyperlink xmlns:r="http://schemas.openxmlformats.org/officeDocument/2006/relationships" ref="Q331" r:id="rId646"/>
    <hyperlink xmlns:r="http://schemas.openxmlformats.org/officeDocument/2006/relationships" ref="R331" r:id="rId647"/>
    <hyperlink xmlns:r="http://schemas.openxmlformats.org/officeDocument/2006/relationships" ref="Q332" r:id="rId648"/>
    <hyperlink xmlns:r="http://schemas.openxmlformats.org/officeDocument/2006/relationships" ref="R332" r:id="rId649"/>
    <hyperlink xmlns:r="http://schemas.openxmlformats.org/officeDocument/2006/relationships" ref="Q333" r:id="rId650"/>
    <hyperlink xmlns:r="http://schemas.openxmlformats.org/officeDocument/2006/relationships" ref="R333" r:id="rId651"/>
    <hyperlink xmlns:r="http://schemas.openxmlformats.org/officeDocument/2006/relationships" ref="Q334" r:id="rId652"/>
    <hyperlink xmlns:r="http://schemas.openxmlformats.org/officeDocument/2006/relationships" ref="R334" r:id="rId653"/>
    <hyperlink xmlns:r="http://schemas.openxmlformats.org/officeDocument/2006/relationships" ref="Q335" r:id="rId654"/>
    <hyperlink xmlns:r="http://schemas.openxmlformats.org/officeDocument/2006/relationships" ref="R335" r:id="rId655"/>
    <hyperlink xmlns:r="http://schemas.openxmlformats.org/officeDocument/2006/relationships" ref="Q336" r:id="rId656"/>
    <hyperlink xmlns:r="http://schemas.openxmlformats.org/officeDocument/2006/relationships" ref="R336" r:id="rId657"/>
    <hyperlink xmlns:r="http://schemas.openxmlformats.org/officeDocument/2006/relationships" ref="Q337" r:id="rId658"/>
    <hyperlink xmlns:r="http://schemas.openxmlformats.org/officeDocument/2006/relationships" ref="R337" r:id="rId659"/>
    <hyperlink xmlns:r="http://schemas.openxmlformats.org/officeDocument/2006/relationships" ref="Q338" r:id="rId660"/>
    <hyperlink xmlns:r="http://schemas.openxmlformats.org/officeDocument/2006/relationships" ref="R338" r:id="rId661"/>
    <hyperlink xmlns:r="http://schemas.openxmlformats.org/officeDocument/2006/relationships" ref="Q339" r:id="rId662"/>
    <hyperlink xmlns:r="http://schemas.openxmlformats.org/officeDocument/2006/relationships" ref="Q340" r:id="rId663"/>
    <hyperlink xmlns:r="http://schemas.openxmlformats.org/officeDocument/2006/relationships" ref="R340" r:id="rId664"/>
    <hyperlink xmlns:r="http://schemas.openxmlformats.org/officeDocument/2006/relationships" ref="Q341" r:id="rId665"/>
    <hyperlink xmlns:r="http://schemas.openxmlformats.org/officeDocument/2006/relationships" ref="R341" r:id="rId666"/>
    <hyperlink xmlns:r="http://schemas.openxmlformats.org/officeDocument/2006/relationships" ref="Q342" r:id="rId667"/>
    <hyperlink xmlns:r="http://schemas.openxmlformats.org/officeDocument/2006/relationships" ref="Q343" r:id="rId668"/>
    <hyperlink xmlns:r="http://schemas.openxmlformats.org/officeDocument/2006/relationships" ref="R343" r:id="rId669"/>
    <hyperlink xmlns:r="http://schemas.openxmlformats.org/officeDocument/2006/relationships" ref="Q344" r:id="rId670"/>
    <hyperlink xmlns:r="http://schemas.openxmlformats.org/officeDocument/2006/relationships" ref="R344" r:id="rId671"/>
    <hyperlink xmlns:r="http://schemas.openxmlformats.org/officeDocument/2006/relationships" ref="Q345" r:id="rId672"/>
    <hyperlink xmlns:r="http://schemas.openxmlformats.org/officeDocument/2006/relationships" ref="R345" r:id="rId673"/>
    <hyperlink xmlns:r="http://schemas.openxmlformats.org/officeDocument/2006/relationships" ref="Q346" r:id="rId674"/>
    <hyperlink xmlns:r="http://schemas.openxmlformats.org/officeDocument/2006/relationships" ref="R346" r:id="rId675"/>
    <hyperlink xmlns:r="http://schemas.openxmlformats.org/officeDocument/2006/relationships" ref="Q347" r:id="rId676"/>
    <hyperlink xmlns:r="http://schemas.openxmlformats.org/officeDocument/2006/relationships" ref="R347" r:id="rId677"/>
    <hyperlink xmlns:r="http://schemas.openxmlformats.org/officeDocument/2006/relationships" ref="Q348" r:id="rId678"/>
    <hyperlink xmlns:r="http://schemas.openxmlformats.org/officeDocument/2006/relationships" ref="R348" r:id="rId679"/>
    <hyperlink xmlns:r="http://schemas.openxmlformats.org/officeDocument/2006/relationships" ref="Q349" r:id="rId680"/>
    <hyperlink xmlns:r="http://schemas.openxmlformats.org/officeDocument/2006/relationships" ref="R349" r:id="rId681"/>
    <hyperlink xmlns:r="http://schemas.openxmlformats.org/officeDocument/2006/relationships" ref="Q350" r:id="rId682"/>
    <hyperlink xmlns:r="http://schemas.openxmlformats.org/officeDocument/2006/relationships" ref="R350" r:id="rId683"/>
    <hyperlink xmlns:r="http://schemas.openxmlformats.org/officeDocument/2006/relationships" ref="Q351" r:id="rId684"/>
    <hyperlink xmlns:r="http://schemas.openxmlformats.org/officeDocument/2006/relationships" ref="R351" r:id="rId685"/>
    <hyperlink xmlns:r="http://schemas.openxmlformats.org/officeDocument/2006/relationships" ref="Q352" r:id="rId686"/>
    <hyperlink xmlns:r="http://schemas.openxmlformats.org/officeDocument/2006/relationships" ref="R352" r:id="rId687"/>
    <hyperlink xmlns:r="http://schemas.openxmlformats.org/officeDocument/2006/relationships" ref="Q353" r:id="rId688"/>
    <hyperlink xmlns:r="http://schemas.openxmlformats.org/officeDocument/2006/relationships" ref="R353" r:id="rId689"/>
    <hyperlink xmlns:r="http://schemas.openxmlformats.org/officeDocument/2006/relationships" ref="Q354" r:id="rId690"/>
    <hyperlink xmlns:r="http://schemas.openxmlformats.org/officeDocument/2006/relationships" ref="R354" r:id="rId691"/>
    <hyperlink xmlns:r="http://schemas.openxmlformats.org/officeDocument/2006/relationships" ref="Q355" r:id="rId692"/>
    <hyperlink xmlns:r="http://schemas.openxmlformats.org/officeDocument/2006/relationships" ref="R355" r:id="rId693"/>
    <hyperlink xmlns:r="http://schemas.openxmlformats.org/officeDocument/2006/relationships" ref="Q356" r:id="rId694"/>
    <hyperlink xmlns:r="http://schemas.openxmlformats.org/officeDocument/2006/relationships" ref="R356" r:id="rId695"/>
    <hyperlink xmlns:r="http://schemas.openxmlformats.org/officeDocument/2006/relationships" ref="Q357" r:id="rId696"/>
    <hyperlink xmlns:r="http://schemas.openxmlformats.org/officeDocument/2006/relationships" ref="R357" r:id="rId697"/>
    <hyperlink xmlns:r="http://schemas.openxmlformats.org/officeDocument/2006/relationships" ref="Q358" r:id="rId698"/>
    <hyperlink xmlns:r="http://schemas.openxmlformats.org/officeDocument/2006/relationships" ref="R358" r:id="rId699"/>
    <hyperlink xmlns:r="http://schemas.openxmlformats.org/officeDocument/2006/relationships" ref="Q359" r:id="rId700"/>
    <hyperlink xmlns:r="http://schemas.openxmlformats.org/officeDocument/2006/relationships" ref="R359" r:id="rId701"/>
    <hyperlink xmlns:r="http://schemas.openxmlformats.org/officeDocument/2006/relationships" ref="Q360" r:id="rId702"/>
    <hyperlink xmlns:r="http://schemas.openxmlformats.org/officeDocument/2006/relationships" ref="R360" r:id="rId703"/>
    <hyperlink xmlns:r="http://schemas.openxmlformats.org/officeDocument/2006/relationships" ref="Q361" r:id="rId704"/>
    <hyperlink xmlns:r="http://schemas.openxmlformats.org/officeDocument/2006/relationships" ref="R361" r:id="rId705"/>
    <hyperlink xmlns:r="http://schemas.openxmlformats.org/officeDocument/2006/relationships" ref="Q362" r:id="rId706"/>
    <hyperlink xmlns:r="http://schemas.openxmlformats.org/officeDocument/2006/relationships" ref="R362" r:id="rId707"/>
    <hyperlink xmlns:r="http://schemas.openxmlformats.org/officeDocument/2006/relationships" ref="Q363" r:id="rId708"/>
    <hyperlink xmlns:r="http://schemas.openxmlformats.org/officeDocument/2006/relationships" ref="R363" r:id="rId709"/>
    <hyperlink xmlns:r="http://schemas.openxmlformats.org/officeDocument/2006/relationships" ref="Q364" r:id="rId710"/>
    <hyperlink xmlns:r="http://schemas.openxmlformats.org/officeDocument/2006/relationships" ref="R364" r:id="rId711"/>
    <hyperlink xmlns:r="http://schemas.openxmlformats.org/officeDocument/2006/relationships" ref="Q365" r:id="rId712"/>
    <hyperlink xmlns:r="http://schemas.openxmlformats.org/officeDocument/2006/relationships" ref="R365" r:id="rId713"/>
    <hyperlink xmlns:r="http://schemas.openxmlformats.org/officeDocument/2006/relationships" ref="Q366" r:id="rId714"/>
    <hyperlink xmlns:r="http://schemas.openxmlformats.org/officeDocument/2006/relationships" ref="R366" r:id="rId715"/>
    <hyperlink xmlns:r="http://schemas.openxmlformats.org/officeDocument/2006/relationships" ref="Q367" r:id="rId716"/>
    <hyperlink xmlns:r="http://schemas.openxmlformats.org/officeDocument/2006/relationships" ref="R367" r:id="rId717"/>
    <hyperlink xmlns:r="http://schemas.openxmlformats.org/officeDocument/2006/relationships" ref="Q368" r:id="rId718"/>
    <hyperlink xmlns:r="http://schemas.openxmlformats.org/officeDocument/2006/relationships" ref="R368" r:id="rId719"/>
    <hyperlink xmlns:r="http://schemas.openxmlformats.org/officeDocument/2006/relationships" ref="Q369" r:id="rId720"/>
    <hyperlink xmlns:r="http://schemas.openxmlformats.org/officeDocument/2006/relationships" ref="R369" r:id="rId721"/>
    <hyperlink xmlns:r="http://schemas.openxmlformats.org/officeDocument/2006/relationships" ref="Q370" r:id="rId722"/>
    <hyperlink xmlns:r="http://schemas.openxmlformats.org/officeDocument/2006/relationships" ref="R370" r:id="rId723"/>
    <hyperlink xmlns:r="http://schemas.openxmlformats.org/officeDocument/2006/relationships" ref="Q371" r:id="rId724"/>
    <hyperlink xmlns:r="http://schemas.openxmlformats.org/officeDocument/2006/relationships" ref="R371" r:id="rId725"/>
    <hyperlink xmlns:r="http://schemas.openxmlformats.org/officeDocument/2006/relationships" ref="Q372" r:id="rId726"/>
    <hyperlink xmlns:r="http://schemas.openxmlformats.org/officeDocument/2006/relationships" ref="R372" r:id="rId727"/>
    <hyperlink xmlns:r="http://schemas.openxmlformats.org/officeDocument/2006/relationships" ref="Q373" r:id="rId728"/>
    <hyperlink xmlns:r="http://schemas.openxmlformats.org/officeDocument/2006/relationships" ref="R373" r:id="rId729"/>
    <hyperlink xmlns:r="http://schemas.openxmlformats.org/officeDocument/2006/relationships" ref="Q374" r:id="rId730"/>
    <hyperlink xmlns:r="http://schemas.openxmlformats.org/officeDocument/2006/relationships" ref="R374" r:id="rId731"/>
    <hyperlink xmlns:r="http://schemas.openxmlformats.org/officeDocument/2006/relationships" ref="Q375" r:id="rId732"/>
    <hyperlink xmlns:r="http://schemas.openxmlformats.org/officeDocument/2006/relationships" ref="R375" r:id="rId733"/>
    <hyperlink xmlns:r="http://schemas.openxmlformats.org/officeDocument/2006/relationships" ref="Q376" r:id="rId734"/>
    <hyperlink xmlns:r="http://schemas.openxmlformats.org/officeDocument/2006/relationships" ref="R376" r:id="rId735"/>
    <hyperlink xmlns:r="http://schemas.openxmlformats.org/officeDocument/2006/relationships" ref="Q377" r:id="rId736"/>
    <hyperlink xmlns:r="http://schemas.openxmlformats.org/officeDocument/2006/relationships" ref="R377" r:id="rId737"/>
    <hyperlink xmlns:r="http://schemas.openxmlformats.org/officeDocument/2006/relationships" ref="Q378" r:id="rId738"/>
    <hyperlink xmlns:r="http://schemas.openxmlformats.org/officeDocument/2006/relationships" ref="R378" r:id="rId739"/>
    <hyperlink xmlns:r="http://schemas.openxmlformats.org/officeDocument/2006/relationships" ref="Q379" r:id="rId740"/>
    <hyperlink xmlns:r="http://schemas.openxmlformats.org/officeDocument/2006/relationships" ref="R379" r:id="rId741"/>
    <hyperlink xmlns:r="http://schemas.openxmlformats.org/officeDocument/2006/relationships" ref="Q380" r:id="rId742"/>
    <hyperlink xmlns:r="http://schemas.openxmlformats.org/officeDocument/2006/relationships" ref="R380" r:id="rId743"/>
    <hyperlink xmlns:r="http://schemas.openxmlformats.org/officeDocument/2006/relationships" ref="Q381" r:id="rId744"/>
    <hyperlink xmlns:r="http://schemas.openxmlformats.org/officeDocument/2006/relationships" ref="R381" r:id="rId745"/>
    <hyperlink xmlns:r="http://schemas.openxmlformats.org/officeDocument/2006/relationships" ref="Q382" r:id="rId746"/>
    <hyperlink xmlns:r="http://schemas.openxmlformats.org/officeDocument/2006/relationships" ref="R382" r:id="rId747"/>
    <hyperlink xmlns:r="http://schemas.openxmlformats.org/officeDocument/2006/relationships" ref="Q383" r:id="rId748"/>
    <hyperlink xmlns:r="http://schemas.openxmlformats.org/officeDocument/2006/relationships" ref="R383" r:id="rId749"/>
    <hyperlink xmlns:r="http://schemas.openxmlformats.org/officeDocument/2006/relationships" ref="Q384" r:id="rId750"/>
    <hyperlink xmlns:r="http://schemas.openxmlformats.org/officeDocument/2006/relationships" ref="R384" r:id="rId751"/>
    <hyperlink xmlns:r="http://schemas.openxmlformats.org/officeDocument/2006/relationships" ref="Q385" r:id="rId752"/>
    <hyperlink xmlns:r="http://schemas.openxmlformats.org/officeDocument/2006/relationships" ref="R385" r:id="rId753"/>
    <hyperlink xmlns:r="http://schemas.openxmlformats.org/officeDocument/2006/relationships" ref="Q386" r:id="rId754"/>
    <hyperlink xmlns:r="http://schemas.openxmlformats.org/officeDocument/2006/relationships" ref="R386" r:id="rId755"/>
    <hyperlink xmlns:r="http://schemas.openxmlformats.org/officeDocument/2006/relationships" ref="Q387" r:id="rId756"/>
    <hyperlink xmlns:r="http://schemas.openxmlformats.org/officeDocument/2006/relationships" ref="R387" r:id="rId757"/>
    <hyperlink xmlns:r="http://schemas.openxmlformats.org/officeDocument/2006/relationships" ref="Q388" r:id="rId758"/>
    <hyperlink xmlns:r="http://schemas.openxmlformats.org/officeDocument/2006/relationships" ref="R388" r:id="rId759"/>
    <hyperlink xmlns:r="http://schemas.openxmlformats.org/officeDocument/2006/relationships" ref="Q389" r:id="rId760"/>
    <hyperlink xmlns:r="http://schemas.openxmlformats.org/officeDocument/2006/relationships" ref="R389" r:id="rId761"/>
    <hyperlink xmlns:r="http://schemas.openxmlformats.org/officeDocument/2006/relationships" ref="Q390" r:id="rId762"/>
    <hyperlink xmlns:r="http://schemas.openxmlformats.org/officeDocument/2006/relationships" ref="R390" r:id="rId763"/>
    <hyperlink xmlns:r="http://schemas.openxmlformats.org/officeDocument/2006/relationships" ref="Q391" r:id="rId764"/>
    <hyperlink xmlns:r="http://schemas.openxmlformats.org/officeDocument/2006/relationships" ref="R391" r:id="rId765"/>
    <hyperlink xmlns:r="http://schemas.openxmlformats.org/officeDocument/2006/relationships" ref="Q392" r:id="rId766"/>
    <hyperlink xmlns:r="http://schemas.openxmlformats.org/officeDocument/2006/relationships" ref="R392" r:id="rId767"/>
    <hyperlink xmlns:r="http://schemas.openxmlformats.org/officeDocument/2006/relationships" ref="Q393" r:id="rId768"/>
    <hyperlink xmlns:r="http://schemas.openxmlformats.org/officeDocument/2006/relationships" ref="R393" r:id="rId769"/>
    <hyperlink xmlns:r="http://schemas.openxmlformats.org/officeDocument/2006/relationships" ref="Q394" r:id="rId770"/>
    <hyperlink xmlns:r="http://schemas.openxmlformats.org/officeDocument/2006/relationships" ref="R394" r:id="rId771"/>
    <hyperlink xmlns:r="http://schemas.openxmlformats.org/officeDocument/2006/relationships" ref="Q395" r:id="rId772"/>
    <hyperlink xmlns:r="http://schemas.openxmlformats.org/officeDocument/2006/relationships" ref="R395" r:id="rId773"/>
    <hyperlink xmlns:r="http://schemas.openxmlformats.org/officeDocument/2006/relationships" ref="Q396" r:id="rId774"/>
    <hyperlink xmlns:r="http://schemas.openxmlformats.org/officeDocument/2006/relationships" ref="R396" r:id="rId775"/>
    <hyperlink xmlns:r="http://schemas.openxmlformats.org/officeDocument/2006/relationships" ref="Q397" r:id="rId776"/>
    <hyperlink xmlns:r="http://schemas.openxmlformats.org/officeDocument/2006/relationships" ref="R397" r:id="rId777"/>
    <hyperlink xmlns:r="http://schemas.openxmlformats.org/officeDocument/2006/relationships" ref="Q398" r:id="rId778"/>
    <hyperlink xmlns:r="http://schemas.openxmlformats.org/officeDocument/2006/relationships" ref="R398" r:id="rId779"/>
    <hyperlink xmlns:r="http://schemas.openxmlformats.org/officeDocument/2006/relationships" ref="Q399" r:id="rId780"/>
    <hyperlink xmlns:r="http://schemas.openxmlformats.org/officeDocument/2006/relationships" ref="R399" r:id="rId781"/>
    <hyperlink xmlns:r="http://schemas.openxmlformats.org/officeDocument/2006/relationships" ref="Q400" r:id="rId782"/>
    <hyperlink xmlns:r="http://schemas.openxmlformats.org/officeDocument/2006/relationships" ref="Q401" r:id="rId783"/>
    <hyperlink xmlns:r="http://schemas.openxmlformats.org/officeDocument/2006/relationships" ref="R401" r:id="rId784"/>
    <hyperlink xmlns:r="http://schemas.openxmlformats.org/officeDocument/2006/relationships" ref="Q402" r:id="rId785"/>
    <hyperlink xmlns:r="http://schemas.openxmlformats.org/officeDocument/2006/relationships" ref="R402" r:id="rId786"/>
    <hyperlink xmlns:r="http://schemas.openxmlformats.org/officeDocument/2006/relationships" ref="Q403" r:id="rId787"/>
    <hyperlink xmlns:r="http://schemas.openxmlformats.org/officeDocument/2006/relationships" ref="R403" r:id="rId788"/>
    <hyperlink xmlns:r="http://schemas.openxmlformats.org/officeDocument/2006/relationships" ref="Q404" r:id="rId789"/>
    <hyperlink xmlns:r="http://schemas.openxmlformats.org/officeDocument/2006/relationships" ref="R404" r:id="rId790"/>
    <hyperlink xmlns:r="http://schemas.openxmlformats.org/officeDocument/2006/relationships" ref="Q405" r:id="rId791"/>
    <hyperlink xmlns:r="http://schemas.openxmlformats.org/officeDocument/2006/relationships" ref="R405" r:id="rId792"/>
    <hyperlink xmlns:r="http://schemas.openxmlformats.org/officeDocument/2006/relationships" ref="Q406" r:id="rId793"/>
    <hyperlink xmlns:r="http://schemas.openxmlformats.org/officeDocument/2006/relationships" ref="R406" r:id="rId794"/>
    <hyperlink xmlns:r="http://schemas.openxmlformats.org/officeDocument/2006/relationships" ref="Q407" r:id="rId795"/>
    <hyperlink xmlns:r="http://schemas.openxmlformats.org/officeDocument/2006/relationships" ref="R407" r:id="rId796"/>
    <hyperlink xmlns:r="http://schemas.openxmlformats.org/officeDocument/2006/relationships" ref="Q408" r:id="rId797"/>
    <hyperlink xmlns:r="http://schemas.openxmlformats.org/officeDocument/2006/relationships" ref="R408" r:id="rId798"/>
    <hyperlink xmlns:r="http://schemas.openxmlformats.org/officeDocument/2006/relationships" ref="Q409" r:id="rId799"/>
    <hyperlink xmlns:r="http://schemas.openxmlformats.org/officeDocument/2006/relationships" ref="R409" r:id="rId800"/>
    <hyperlink xmlns:r="http://schemas.openxmlformats.org/officeDocument/2006/relationships" ref="Q410" r:id="rId801"/>
    <hyperlink xmlns:r="http://schemas.openxmlformats.org/officeDocument/2006/relationships" ref="R410" r:id="rId802"/>
    <hyperlink xmlns:r="http://schemas.openxmlformats.org/officeDocument/2006/relationships" ref="Q411" r:id="rId803"/>
    <hyperlink xmlns:r="http://schemas.openxmlformats.org/officeDocument/2006/relationships" ref="R411" r:id="rId804"/>
    <hyperlink xmlns:r="http://schemas.openxmlformats.org/officeDocument/2006/relationships" ref="Q412" r:id="rId805"/>
    <hyperlink xmlns:r="http://schemas.openxmlformats.org/officeDocument/2006/relationships" ref="R412" r:id="rId806"/>
    <hyperlink xmlns:r="http://schemas.openxmlformats.org/officeDocument/2006/relationships" ref="Q413" r:id="rId807"/>
    <hyperlink xmlns:r="http://schemas.openxmlformats.org/officeDocument/2006/relationships" ref="R413" r:id="rId808"/>
    <hyperlink xmlns:r="http://schemas.openxmlformats.org/officeDocument/2006/relationships" ref="Q414" r:id="rId809"/>
    <hyperlink xmlns:r="http://schemas.openxmlformats.org/officeDocument/2006/relationships" ref="R414" r:id="rId810"/>
    <hyperlink xmlns:r="http://schemas.openxmlformats.org/officeDocument/2006/relationships" ref="Q415" r:id="rId811"/>
    <hyperlink xmlns:r="http://schemas.openxmlformats.org/officeDocument/2006/relationships" ref="Q416" r:id="rId812"/>
    <hyperlink xmlns:r="http://schemas.openxmlformats.org/officeDocument/2006/relationships" ref="R416" r:id="rId813"/>
    <hyperlink xmlns:r="http://schemas.openxmlformats.org/officeDocument/2006/relationships" ref="Q417" r:id="rId814"/>
    <hyperlink xmlns:r="http://schemas.openxmlformats.org/officeDocument/2006/relationships" ref="R417" r:id="rId815"/>
    <hyperlink xmlns:r="http://schemas.openxmlformats.org/officeDocument/2006/relationships" ref="Q418" r:id="rId816"/>
    <hyperlink xmlns:r="http://schemas.openxmlformats.org/officeDocument/2006/relationships" ref="R418" r:id="rId817"/>
    <hyperlink xmlns:r="http://schemas.openxmlformats.org/officeDocument/2006/relationships" ref="Q419" r:id="rId818"/>
    <hyperlink xmlns:r="http://schemas.openxmlformats.org/officeDocument/2006/relationships" ref="R419" r:id="rId819"/>
    <hyperlink xmlns:r="http://schemas.openxmlformats.org/officeDocument/2006/relationships" ref="Q420" r:id="rId820"/>
    <hyperlink xmlns:r="http://schemas.openxmlformats.org/officeDocument/2006/relationships" ref="R420" r:id="rId821"/>
    <hyperlink xmlns:r="http://schemas.openxmlformats.org/officeDocument/2006/relationships" ref="Q421" r:id="rId822"/>
    <hyperlink xmlns:r="http://schemas.openxmlformats.org/officeDocument/2006/relationships" ref="R421" r:id="rId823"/>
    <hyperlink xmlns:r="http://schemas.openxmlformats.org/officeDocument/2006/relationships" ref="Q422" r:id="rId824"/>
    <hyperlink xmlns:r="http://schemas.openxmlformats.org/officeDocument/2006/relationships" ref="R422" r:id="rId825"/>
    <hyperlink xmlns:r="http://schemas.openxmlformats.org/officeDocument/2006/relationships" ref="Q423" r:id="rId826"/>
    <hyperlink xmlns:r="http://schemas.openxmlformats.org/officeDocument/2006/relationships" ref="R423" r:id="rId827"/>
    <hyperlink xmlns:r="http://schemas.openxmlformats.org/officeDocument/2006/relationships" ref="Q424" r:id="rId828"/>
    <hyperlink xmlns:r="http://schemas.openxmlformats.org/officeDocument/2006/relationships" ref="R424" r:id="rId829"/>
    <hyperlink xmlns:r="http://schemas.openxmlformats.org/officeDocument/2006/relationships" ref="Q425" r:id="rId830"/>
    <hyperlink xmlns:r="http://schemas.openxmlformats.org/officeDocument/2006/relationships" ref="R425" r:id="rId831"/>
    <hyperlink xmlns:r="http://schemas.openxmlformats.org/officeDocument/2006/relationships" ref="Q426" r:id="rId832"/>
    <hyperlink xmlns:r="http://schemas.openxmlformats.org/officeDocument/2006/relationships" ref="R426" r:id="rId833"/>
    <hyperlink xmlns:r="http://schemas.openxmlformats.org/officeDocument/2006/relationships" ref="Q427" r:id="rId834"/>
    <hyperlink xmlns:r="http://schemas.openxmlformats.org/officeDocument/2006/relationships" ref="R427" r:id="rId835"/>
    <hyperlink xmlns:r="http://schemas.openxmlformats.org/officeDocument/2006/relationships" ref="Q428" r:id="rId836"/>
    <hyperlink xmlns:r="http://schemas.openxmlformats.org/officeDocument/2006/relationships" ref="R428" r:id="rId837"/>
    <hyperlink xmlns:r="http://schemas.openxmlformats.org/officeDocument/2006/relationships" ref="Q429" r:id="rId838"/>
    <hyperlink xmlns:r="http://schemas.openxmlformats.org/officeDocument/2006/relationships" ref="R429" r:id="rId839"/>
    <hyperlink xmlns:r="http://schemas.openxmlformats.org/officeDocument/2006/relationships" ref="Q430" r:id="rId840"/>
    <hyperlink xmlns:r="http://schemas.openxmlformats.org/officeDocument/2006/relationships" ref="R430" r:id="rId841"/>
    <hyperlink xmlns:r="http://schemas.openxmlformats.org/officeDocument/2006/relationships" ref="Q431" r:id="rId842"/>
    <hyperlink xmlns:r="http://schemas.openxmlformats.org/officeDocument/2006/relationships" ref="R431" r:id="rId843"/>
    <hyperlink xmlns:r="http://schemas.openxmlformats.org/officeDocument/2006/relationships" ref="Q432" r:id="rId844"/>
    <hyperlink xmlns:r="http://schemas.openxmlformats.org/officeDocument/2006/relationships" ref="R432" r:id="rId845"/>
    <hyperlink xmlns:r="http://schemas.openxmlformats.org/officeDocument/2006/relationships" ref="Q433" r:id="rId846"/>
    <hyperlink xmlns:r="http://schemas.openxmlformats.org/officeDocument/2006/relationships" ref="R433" r:id="rId847"/>
    <hyperlink xmlns:r="http://schemas.openxmlformats.org/officeDocument/2006/relationships" ref="Q434" r:id="rId848"/>
    <hyperlink xmlns:r="http://schemas.openxmlformats.org/officeDocument/2006/relationships" ref="R434" r:id="rId849"/>
    <hyperlink xmlns:r="http://schemas.openxmlformats.org/officeDocument/2006/relationships" ref="Q435" r:id="rId850"/>
    <hyperlink xmlns:r="http://schemas.openxmlformats.org/officeDocument/2006/relationships" ref="R435" r:id="rId851"/>
    <hyperlink xmlns:r="http://schemas.openxmlformats.org/officeDocument/2006/relationships" ref="Q436" r:id="rId852"/>
    <hyperlink xmlns:r="http://schemas.openxmlformats.org/officeDocument/2006/relationships" ref="R436" r:id="rId853"/>
    <hyperlink xmlns:r="http://schemas.openxmlformats.org/officeDocument/2006/relationships" ref="Q437" r:id="rId854"/>
    <hyperlink xmlns:r="http://schemas.openxmlformats.org/officeDocument/2006/relationships" ref="R437" r:id="rId855"/>
    <hyperlink xmlns:r="http://schemas.openxmlformats.org/officeDocument/2006/relationships" ref="Q438" r:id="rId856"/>
    <hyperlink xmlns:r="http://schemas.openxmlformats.org/officeDocument/2006/relationships" ref="Q439" r:id="rId857"/>
    <hyperlink xmlns:r="http://schemas.openxmlformats.org/officeDocument/2006/relationships" ref="R439" r:id="rId858"/>
    <hyperlink xmlns:r="http://schemas.openxmlformats.org/officeDocument/2006/relationships" ref="Q440" r:id="rId859"/>
    <hyperlink xmlns:r="http://schemas.openxmlformats.org/officeDocument/2006/relationships" ref="R440" r:id="rId860"/>
    <hyperlink xmlns:r="http://schemas.openxmlformats.org/officeDocument/2006/relationships" ref="Q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Q453" r:id="rId883"/>
    <hyperlink xmlns:r="http://schemas.openxmlformats.org/officeDocument/2006/relationships" ref="R453" r:id="rId884"/>
    <hyperlink xmlns:r="http://schemas.openxmlformats.org/officeDocument/2006/relationships" ref="Q454" r:id="rId885"/>
    <hyperlink xmlns:r="http://schemas.openxmlformats.org/officeDocument/2006/relationships" ref="R454" r:id="rId886"/>
    <hyperlink xmlns:r="http://schemas.openxmlformats.org/officeDocument/2006/relationships" ref="Q455" r:id="rId887"/>
    <hyperlink xmlns:r="http://schemas.openxmlformats.org/officeDocument/2006/relationships" ref="R455" r:id="rId888"/>
    <hyperlink xmlns:r="http://schemas.openxmlformats.org/officeDocument/2006/relationships" ref="Q456" r:id="rId889"/>
    <hyperlink xmlns:r="http://schemas.openxmlformats.org/officeDocument/2006/relationships" ref="R456" r:id="rId890"/>
    <hyperlink xmlns:r="http://schemas.openxmlformats.org/officeDocument/2006/relationships" ref="Q457" r:id="rId891"/>
    <hyperlink xmlns:r="http://schemas.openxmlformats.org/officeDocument/2006/relationships" ref="R457" r:id="rId892"/>
    <hyperlink xmlns:r="http://schemas.openxmlformats.org/officeDocument/2006/relationships" ref="Q458" r:id="rId893"/>
    <hyperlink xmlns:r="http://schemas.openxmlformats.org/officeDocument/2006/relationships" ref="R458" r:id="rId894"/>
    <hyperlink xmlns:r="http://schemas.openxmlformats.org/officeDocument/2006/relationships" ref="Q459" r:id="rId895"/>
    <hyperlink xmlns:r="http://schemas.openxmlformats.org/officeDocument/2006/relationships" ref="R459" r:id="rId896"/>
    <hyperlink xmlns:r="http://schemas.openxmlformats.org/officeDocument/2006/relationships" ref="Q460" r:id="rId897"/>
    <hyperlink xmlns:r="http://schemas.openxmlformats.org/officeDocument/2006/relationships" ref="R460" r:id="rId898"/>
    <hyperlink xmlns:r="http://schemas.openxmlformats.org/officeDocument/2006/relationships" ref="Q461" r:id="rId899"/>
    <hyperlink xmlns:r="http://schemas.openxmlformats.org/officeDocument/2006/relationships" ref="R461" r:id="rId900"/>
    <hyperlink xmlns:r="http://schemas.openxmlformats.org/officeDocument/2006/relationships" ref="Q462" r:id="rId901"/>
    <hyperlink xmlns:r="http://schemas.openxmlformats.org/officeDocument/2006/relationships" ref="R462" r:id="rId902"/>
    <hyperlink xmlns:r="http://schemas.openxmlformats.org/officeDocument/2006/relationships" ref="Q463" r:id="rId903"/>
    <hyperlink xmlns:r="http://schemas.openxmlformats.org/officeDocument/2006/relationships" ref="R463" r:id="rId904"/>
    <hyperlink xmlns:r="http://schemas.openxmlformats.org/officeDocument/2006/relationships" ref="Q464" r:id="rId905"/>
    <hyperlink xmlns:r="http://schemas.openxmlformats.org/officeDocument/2006/relationships" ref="R464" r:id="rId906"/>
    <hyperlink xmlns:r="http://schemas.openxmlformats.org/officeDocument/2006/relationships" ref="Q465" r:id="rId907"/>
    <hyperlink xmlns:r="http://schemas.openxmlformats.org/officeDocument/2006/relationships" ref="R465" r:id="rId908"/>
    <hyperlink xmlns:r="http://schemas.openxmlformats.org/officeDocument/2006/relationships" ref="Q466" r:id="rId909"/>
    <hyperlink xmlns:r="http://schemas.openxmlformats.org/officeDocument/2006/relationships" ref="R466" r:id="rId910"/>
    <hyperlink xmlns:r="http://schemas.openxmlformats.org/officeDocument/2006/relationships" ref="Q467" r:id="rId911"/>
    <hyperlink xmlns:r="http://schemas.openxmlformats.org/officeDocument/2006/relationships" ref="R467" r:id="rId912"/>
    <hyperlink xmlns:r="http://schemas.openxmlformats.org/officeDocument/2006/relationships" ref="Q468" r:id="rId913"/>
    <hyperlink xmlns:r="http://schemas.openxmlformats.org/officeDocument/2006/relationships" ref="R468" r:id="rId914"/>
    <hyperlink xmlns:r="http://schemas.openxmlformats.org/officeDocument/2006/relationships" ref="Q469" r:id="rId915"/>
    <hyperlink xmlns:r="http://schemas.openxmlformats.org/officeDocument/2006/relationships" ref="R469" r:id="rId916"/>
    <hyperlink xmlns:r="http://schemas.openxmlformats.org/officeDocument/2006/relationships" ref="Q470" r:id="rId917"/>
    <hyperlink xmlns:r="http://schemas.openxmlformats.org/officeDocument/2006/relationships" ref="R470" r:id="rId918"/>
    <hyperlink xmlns:r="http://schemas.openxmlformats.org/officeDocument/2006/relationships" ref="Q471" r:id="rId919"/>
    <hyperlink xmlns:r="http://schemas.openxmlformats.org/officeDocument/2006/relationships" ref="R471" r:id="rId920"/>
    <hyperlink xmlns:r="http://schemas.openxmlformats.org/officeDocument/2006/relationships" ref="Q472" r:id="rId921"/>
    <hyperlink xmlns:r="http://schemas.openxmlformats.org/officeDocument/2006/relationships" ref="R472" r:id="rId922"/>
    <hyperlink xmlns:r="http://schemas.openxmlformats.org/officeDocument/2006/relationships" ref="Q473" r:id="rId923"/>
    <hyperlink xmlns:r="http://schemas.openxmlformats.org/officeDocument/2006/relationships" ref="R473" r:id="rId924"/>
    <hyperlink xmlns:r="http://schemas.openxmlformats.org/officeDocument/2006/relationships" ref="Q474" r:id="rId925"/>
    <hyperlink xmlns:r="http://schemas.openxmlformats.org/officeDocument/2006/relationships" ref="R474" r:id="rId926"/>
    <hyperlink xmlns:r="http://schemas.openxmlformats.org/officeDocument/2006/relationships" ref="Q475" r:id="rId927"/>
    <hyperlink xmlns:r="http://schemas.openxmlformats.org/officeDocument/2006/relationships" ref="R475" r:id="rId928"/>
    <hyperlink xmlns:r="http://schemas.openxmlformats.org/officeDocument/2006/relationships" ref="Q476" r:id="rId929"/>
    <hyperlink xmlns:r="http://schemas.openxmlformats.org/officeDocument/2006/relationships" ref="R476" r:id="rId930"/>
    <hyperlink xmlns:r="http://schemas.openxmlformats.org/officeDocument/2006/relationships" ref="Q477" r:id="rId931"/>
    <hyperlink xmlns:r="http://schemas.openxmlformats.org/officeDocument/2006/relationships" ref="R477" r:id="rId932"/>
    <hyperlink xmlns:r="http://schemas.openxmlformats.org/officeDocument/2006/relationships" ref="Q478" r:id="rId933"/>
    <hyperlink xmlns:r="http://schemas.openxmlformats.org/officeDocument/2006/relationships" ref="R478" r:id="rId934"/>
    <hyperlink xmlns:r="http://schemas.openxmlformats.org/officeDocument/2006/relationships" ref="Q479" r:id="rId935"/>
    <hyperlink xmlns:r="http://schemas.openxmlformats.org/officeDocument/2006/relationships" ref="R479" r:id="rId936"/>
    <hyperlink xmlns:r="http://schemas.openxmlformats.org/officeDocument/2006/relationships" ref="Q480" r:id="rId937"/>
    <hyperlink xmlns:r="http://schemas.openxmlformats.org/officeDocument/2006/relationships" ref="R480" r:id="rId938"/>
    <hyperlink xmlns:r="http://schemas.openxmlformats.org/officeDocument/2006/relationships" ref="Q481" r:id="rId939"/>
    <hyperlink xmlns:r="http://schemas.openxmlformats.org/officeDocument/2006/relationships" ref="R481" r:id="rId940"/>
    <hyperlink xmlns:r="http://schemas.openxmlformats.org/officeDocument/2006/relationships" ref="Q482" r:id="rId941"/>
    <hyperlink xmlns:r="http://schemas.openxmlformats.org/officeDocument/2006/relationships" ref="R482" r:id="rId942"/>
    <hyperlink xmlns:r="http://schemas.openxmlformats.org/officeDocument/2006/relationships" ref="Q483" r:id="rId943"/>
    <hyperlink xmlns:r="http://schemas.openxmlformats.org/officeDocument/2006/relationships" ref="R483" r:id="rId944"/>
    <hyperlink xmlns:r="http://schemas.openxmlformats.org/officeDocument/2006/relationships" ref="Q484" r:id="rId945"/>
    <hyperlink xmlns:r="http://schemas.openxmlformats.org/officeDocument/2006/relationships" ref="R484" r:id="rId946"/>
    <hyperlink xmlns:r="http://schemas.openxmlformats.org/officeDocument/2006/relationships" ref="Q485" r:id="rId947"/>
    <hyperlink xmlns:r="http://schemas.openxmlformats.org/officeDocument/2006/relationships" ref="R485" r:id="rId948"/>
    <hyperlink xmlns:r="http://schemas.openxmlformats.org/officeDocument/2006/relationships" ref="Q486" r:id="rId949"/>
    <hyperlink xmlns:r="http://schemas.openxmlformats.org/officeDocument/2006/relationships" ref="R486" r:id="rId950"/>
    <hyperlink xmlns:r="http://schemas.openxmlformats.org/officeDocument/2006/relationships" ref="Q487" r:id="rId951"/>
    <hyperlink xmlns:r="http://schemas.openxmlformats.org/officeDocument/2006/relationships" ref="R487" r:id="rId952"/>
    <hyperlink xmlns:r="http://schemas.openxmlformats.org/officeDocument/2006/relationships" ref="Q488" r:id="rId953"/>
    <hyperlink xmlns:r="http://schemas.openxmlformats.org/officeDocument/2006/relationships" ref="R488" r:id="rId954"/>
    <hyperlink xmlns:r="http://schemas.openxmlformats.org/officeDocument/2006/relationships" ref="Q489" r:id="rId955"/>
    <hyperlink xmlns:r="http://schemas.openxmlformats.org/officeDocument/2006/relationships" ref="R489" r:id="rId956"/>
    <hyperlink xmlns:r="http://schemas.openxmlformats.org/officeDocument/2006/relationships" ref="Q490" r:id="rId957"/>
    <hyperlink xmlns:r="http://schemas.openxmlformats.org/officeDocument/2006/relationships" ref="R490" r:id="rId958"/>
    <hyperlink xmlns:r="http://schemas.openxmlformats.org/officeDocument/2006/relationships" ref="Q491" r:id="rId959"/>
    <hyperlink xmlns:r="http://schemas.openxmlformats.org/officeDocument/2006/relationships" ref="R491" r:id="rId960"/>
    <hyperlink xmlns:r="http://schemas.openxmlformats.org/officeDocument/2006/relationships" ref="Q492" r:id="rId961"/>
    <hyperlink xmlns:r="http://schemas.openxmlformats.org/officeDocument/2006/relationships" ref="R492" r:id="rId962"/>
    <hyperlink xmlns:r="http://schemas.openxmlformats.org/officeDocument/2006/relationships" ref="Q493" r:id="rId963"/>
    <hyperlink xmlns:r="http://schemas.openxmlformats.org/officeDocument/2006/relationships" ref="R493" r:id="rId964"/>
    <hyperlink xmlns:r="http://schemas.openxmlformats.org/officeDocument/2006/relationships" ref="Q494" r:id="rId965"/>
    <hyperlink xmlns:r="http://schemas.openxmlformats.org/officeDocument/2006/relationships" ref="R494" r:id="rId966"/>
    <hyperlink xmlns:r="http://schemas.openxmlformats.org/officeDocument/2006/relationships" ref="Q495" r:id="rId967"/>
    <hyperlink xmlns:r="http://schemas.openxmlformats.org/officeDocument/2006/relationships" ref="R495" r:id="rId968"/>
    <hyperlink xmlns:r="http://schemas.openxmlformats.org/officeDocument/2006/relationships" ref="Q496" r:id="rId969"/>
    <hyperlink xmlns:r="http://schemas.openxmlformats.org/officeDocument/2006/relationships" ref="R496" r:id="rId970"/>
    <hyperlink xmlns:r="http://schemas.openxmlformats.org/officeDocument/2006/relationships" ref="Q497" r:id="rId971"/>
    <hyperlink xmlns:r="http://schemas.openxmlformats.org/officeDocument/2006/relationships" ref="R497" r:id="rId972"/>
    <hyperlink xmlns:r="http://schemas.openxmlformats.org/officeDocument/2006/relationships" ref="Q498" r:id="rId973"/>
    <hyperlink xmlns:r="http://schemas.openxmlformats.org/officeDocument/2006/relationships" ref="R498" r:id="rId974"/>
    <hyperlink xmlns:r="http://schemas.openxmlformats.org/officeDocument/2006/relationships" ref="Q499" r:id="rId975"/>
    <hyperlink xmlns:r="http://schemas.openxmlformats.org/officeDocument/2006/relationships" ref="R499" r:id="rId976"/>
    <hyperlink xmlns:r="http://schemas.openxmlformats.org/officeDocument/2006/relationships" ref="Q500" r:id="rId977"/>
    <hyperlink xmlns:r="http://schemas.openxmlformats.org/officeDocument/2006/relationships" ref="R500" r:id="rId978"/>
    <hyperlink xmlns:r="http://schemas.openxmlformats.org/officeDocument/2006/relationships" ref="Q501" r:id="rId979"/>
    <hyperlink xmlns:r="http://schemas.openxmlformats.org/officeDocument/2006/relationships" ref="R501" r:id="rId980"/>
    <hyperlink xmlns:r="http://schemas.openxmlformats.org/officeDocument/2006/relationships" ref="Q502" r:id="rId981"/>
    <hyperlink xmlns:r="http://schemas.openxmlformats.org/officeDocument/2006/relationships" ref="R502" r:id="rId982"/>
    <hyperlink xmlns:r="http://schemas.openxmlformats.org/officeDocument/2006/relationships" ref="Q503" r:id="rId983"/>
    <hyperlink xmlns:r="http://schemas.openxmlformats.org/officeDocument/2006/relationships" ref="R503" r:id="rId984"/>
    <hyperlink xmlns:r="http://schemas.openxmlformats.org/officeDocument/2006/relationships" ref="Q504" r:id="rId985"/>
    <hyperlink xmlns:r="http://schemas.openxmlformats.org/officeDocument/2006/relationships" ref="R504" r:id="rId986"/>
    <hyperlink xmlns:r="http://schemas.openxmlformats.org/officeDocument/2006/relationships" ref="Q505" r:id="rId987"/>
    <hyperlink xmlns:r="http://schemas.openxmlformats.org/officeDocument/2006/relationships" ref="R505" r:id="rId988"/>
    <hyperlink xmlns:r="http://schemas.openxmlformats.org/officeDocument/2006/relationships" ref="Q506" r:id="rId989"/>
    <hyperlink xmlns:r="http://schemas.openxmlformats.org/officeDocument/2006/relationships" ref="R506" r:id="rId990"/>
    <hyperlink xmlns:r="http://schemas.openxmlformats.org/officeDocument/2006/relationships" ref="Q507" r:id="rId991"/>
    <hyperlink xmlns:r="http://schemas.openxmlformats.org/officeDocument/2006/relationships" ref="R507" r:id="rId992"/>
    <hyperlink xmlns:r="http://schemas.openxmlformats.org/officeDocument/2006/relationships" ref="Q508" r:id="rId993"/>
    <hyperlink xmlns:r="http://schemas.openxmlformats.org/officeDocument/2006/relationships" ref="R508" r:id="rId994"/>
    <hyperlink xmlns:r="http://schemas.openxmlformats.org/officeDocument/2006/relationships" ref="Q509" r:id="rId995"/>
    <hyperlink xmlns:r="http://schemas.openxmlformats.org/officeDocument/2006/relationships" ref="R509" r:id="rId996"/>
    <hyperlink xmlns:r="http://schemas.openxmlformats.org/officeDocument/2006/relationships" ref="Q510" r:id="rId997"/>
    <hyperlink xmlns:r="http://schemas.openxmlformats.org/officeDocument/2006/relationships" ref="R510" r:id="rId998"/>
    <hyperlink xmlns:r="http://schemas.openxmlformats.org/officeDocument/2006/relationships" ref="Q511" r:id="rId999"/>
    <hyperlink xmlns:r="http://schemas.openxmlformats.org/officeDocument/2006/relationships" ref="R511" r:id="rId1000"/>
    <hyperlink xmlns:r="http://schemas.openxmlformats.org/officeDocument/2006/relationships" ref="Q512" r:id="rId1001"/>
    <hyperlink xmlns:r="http://schemas.openxmlformats.org/officeDocument/2006/relationships" ref="R512" r:id="rId1002"/>
    <hyperlink xmlns:r="http://schemas.openxmlformats.org/officeDocument/2006/relationships" ref="Q513" r:id="rId1003"/>
    <hyperlink xmlns:r="http://schemas.openxmlformats.org/officeDocument/2006/relationships" ref="R513" r:id="rId1004"/>
    <hyperlink xmlns:r="http://schemas.openxmlformats.org/officeDocument/2006/relationships" ref="Q514" r:id="rId1005"/>
    <hyperlink xmlns:r="http://schemas.openxmlformats.org/officeDocument/2006/relationships" ref="R514" r:id="rId1006"/>
    <hyperlink xmlns:r="http://schemas.openxmlformats.org/officeDocument/2006/relationships" ref="Q515" r:id="rId1007"/>
    <hyperlink xmlns:r="http://schemas.openxmlformats.org/officeDocument/2006/relationships" ref="R515" r:id="rId1008"/>
    <hyperlink xmlns:r="http://schemas.openxmlformats.org/officeDocument/2006/relationships" ref="Q516" r:id="rId1009"/>
    <hyperlink xmlns:r="http://schemas.openxmlformats.org/officeDocument/2006/relationships" ref="R516" r:id="rId1010"/>
    <hyperlink xmlns:r="http://schemas.openxmlformats.org/officeDocument/2006/relationships" ref="Q517" r:id="rId1011"/>
    <hyperlink xmlns:r="http://schemas.openxmlformats.org/officeDocument/2006/relationships" ref="R517" r:id="rId1012"/>
    <hyperlink xmlns:r="http://schemas.openxmlformats.org/officeDocument/2006/relationships" ref="Q518" r:id="rId1013"/>
    <hyperlink xmlns:r="http://schemas.openxmlformats.org/officeDocument/2006/relationships" ref="R518" r:id="rId1014"/>
    <hyperlink xmlns:r="http://schemas.openxmlformats.org/officeDocument/2006/relationships" ref="Q519" r:id="rId1015"/>
    <hyperlink xmlns:r="http://schemas.openxmlformats.org/officeDocument/2006/relationships" ref="R519" r:id="rId1016"/>
    <hyperlink xmlns:r="http://schemas.openxmlformats.org/officeDocument/2006/relationships" ref="Q520" r:id="rId1017"/>
    <hyperlink xmlns:r="http://schemas.openxmlformats.org/officeDocument/2006/relationships" ref="R520" r:id="rId1018"/>
    <hyperlink xmlns:r="http://schemas.openxmlformats.org/officeDocument/2006/relationships" ref="Q521" r:id="rId1019"/>
    <hyperlink xmlns:r="http://schemas.openxmlformats.org/officeDocument/2006/relationships" ref="R521" r:id="rId1020"/>
    <hyperlink xmlns:r="http://schemas.openxmlformats.org/officeDocument/2006/relationships" ref="Q522" r:id="rId1021"/>
    <hyperlink xmlns:r="http://schemas.openxmlformats.org/officeDocument/2006/relationships" ref="R522" r:id="rId1022"/>
    <hyperlink xmlns:r="http://schemas.openxmlformats.org/officeDocument/2006/relationships" ref="Q523" r:id="rId1023"/>
    <hyperlink xmlns:r="http://schemas.openxmlformats.org/officeDocument/2006/relationships" ref="R523" r:id="rId1024"/>
    <hyperlink xmlns:r="http://schemas.openxmlformats.org/officeDocument/2006/relationships" ref="Q524" r:id="rId1025"/>
    <hyperlink xmlns:r="http://schemas.openxmlformats.org/officeDocument/2006/relationships" ref="R524" r:id="rId1026"/>
    <hyperlink xmlns:r="http://schemas.openxmlformats.org/officeDocument/2006/relationships" ref="Q525" r:id="rId1027"/>
    <hyperlink xmlns:r="http://schemas.openxmlformats.org/officeDocument/2006/relationships" ref="R525" r:id="rId1028"/>
    <hyperlink xmlns:r="http://schemas.openxmlformats.org/officeDocument/2006/relationships" ref="Q526" r:id="rId1029"/>
    <hyperlink xmlns:r="http://schemas.openxmlformats.org/officeDocument/2006/relationships" ref="R526" r:id="rId1030"/>
    <hyperlink xmlns:r="http://schemas.openxmlformats.org/officeDocument/2006/relationships" ref="Q527" r:id="rId1031"/>
    <hyperlink xmlns:r="http://schemas.openxmlformats.org/officeDocument/2006/relationships" ref="R527" r:id="rId1032"/>
    <hyperlink xmlns:r="http://schemas.openxmlformats.org/officeDocument/2006/relationships" ref="Q528" r:id="rId1033"/>
    <hyperlink xmlns:r="http://schemas.openxmlformats.org/officeDocument/2006/relationships" ref="R528" r:id="rId1034"/>
    <hyperlink xmlns:r="http://schemas.openxmlformats.org/officeDocument/2006/relationships" ref="Q529" r:id="rId1035"/>
    <hyperlink xmlns:r="http://schemas.openxmlformats.org/officeDocument/2006/relationships" ref="R529" r:id="rId1036"/>
    <hyperlink xmlns:r="http://schemas.openxmlformats.org/officeDocument/2006/relationships" ref="Q530" r:id="rId1037"/>
    <hyperlink xmlns:r="http://schemas.openxmlformats.org/officeDocument/2006/relationships" ref="R530" r:id="rId1038"/>
    <hyperlink xmlns:r="http://schemas.openxmlformats.org/officeDocument/2006/relationships" ref="Q531" r:id="rId1039"/>
    <hyperlink xmlns:r="http://schemas.openxmlformats.org/officeDocument/2006/relationships" ref="R531" r:id="rId1040"/>
    <hyperlink xmlns:r="http://schemas.openxmlformats.org/officeDocument/2006/relationships" ref="Q532" r:id="rId1041"/>
    <hyperlink xmlns:r="http://schemas.openxmlformats.org/officeDocument/2006/relationships" ref="R532" r:id="rId1042"/>
    <hyperlink xmlns:r="http://schemas.openxmlformats.org/officeDocument/2006/relationships" ref="Q533" r:id="rId1043"/>
    <hyperlink xmlns:r="http://schemas.openxmlformats.org/officeDocument/2006/relationships" ref="R533" r:id="rId1044"/>
    <hyperlink xmlns:r="http://schemas.openxmlformats.org/officeDocument/2006/relationships" ref="Q534" r:id="rId1045"/>
    <hyperlink xmlns:r="http://schemas.openxmlformats.org/officeDocument/2006/relationships" ref="R534" r:id="rId1046"/>
    <hyperlink xmlns:r="http://schemas.openxmlformats.org/officeDocument/2006/relationships" ref="Q535" r:id="rId1047"/>
    <hyperlink xmlns:r="http://schemas.openxmlformats.org/officeDocument/2006/relationships" ref="R535" r:id="rId1048"/>
    <hyperlink xmlns:r="http://schemas.openxmlformats.org/officeDocument/2006/relationships" ref="Q536" r:id="rId1049"/>
    <hyperlink xmlns:r="http://schemas.openxmlformats.org/officeDocument/2006/relationships" ref="R536" r:id="rId1050"/>
    <hyperlink xmlns:r="http://schemas.openxmlformats.org/officeDocument/2006/relationships" ref="Q537" r:id="rId1051"/>
    <hyperlink xmlns:r="http://schemas.openxmlformats.org/officeDocument/2006/relationships" ref="R537" r:id="rId1052"/>
    <hyperlink xmlns:r="http://schemas.openxmlformats.org/officeDocument/2006/relationships" ref="Q538" r:id="rId1053"/>
    <hyperlink xmlns:r="http://schemas.openxmlformats.org/officeDocument/2006/relationships" ref="Q539" r:id="rId1054"/>
    <hyperlink xmlns:r="http://schemas.openxmlformats.org/officeDocument/2006/relationships" ref="R539" r:id="rId1055"/>
    <hyperlink xmlns:r="http://schemas.openxmlformats.org/officeDocument/2006/relationships" ref="Q540" r:id="rId1056"/>
    <hyperlink xmlns:r="http://schemas.openxmlformats.org/officeDocument/2006/relationships" ref="R540" r:id="rId1057"/>
    <hyperlink xmlns:r="http://schemas.openxmlformats.org/officeDocument/2006/relationships" ref="Q541" r:id="rId1058"/>
    <hyperlink xmlns:r="http://schemas.openxmlformats.org/officeDocument/2006/relationships" ref="R541" r:id="rId1059"/>
    <hyperlink xmlns:r="http://schemas.openxmlformats.org/officeDocument/2006/relationships" ref="Q542" r:id="rId1060"/>
    <hyperlink xmlns:r="http://schemas.openxmlformats.org/officeDocument/2006/relationships" ref="R542" r:id="rId1061"/>
    <hyperlink xmlns:r="http://schemas.openxmlformats.org/officeDocument/2006/relationships" ref="Q543" r:id="rId1062"/>
    <hyperlink xmlns:r="http://schemas.openxmlformats.org/officeDocument/2006/relationships" ref="R543" r:id="rId1063"/>
    <hyperlink xmlns:r="http://schemas.openxmlformats.org/officeDocument/2006/relationships" ref="Q544" r:id="rId1064"/>
    <hyperlink xmlns:r="http://schemas.openxmlformats.org/officeDocument/2006/relationships" ref="R544" r:id="rId1065"/>
    <hyperlink xmlns:r="http://schemas.openxmlformats.org/officeDocument/2006/relationships" ref="Q545" r:id="rId1066"/>
    <hyperlink xmlns:r="http://schemas.openxmlformats.org/officeDocument/2006/relationships" ref="R545" r:id="rId1067"/>
    <hyperlink xmlns:r="http://schemas.openxmlformats.org/officeDocument/2006/relationships" ref="Q546" r:id="rId1068"/>
    <hyperlink xmlns:r="http://schemas.openxmlformats.org/officeDocument/2006/relationships" ref="R546" r:id="rId1069"/>
    <hyperlink xmlns:r="http://schemas.openxmlformats.org/officeDocument/2006/relationships" ref="Q547" r:id="rId1070"/>
    <hyperlink xmlns:r="http://schemas.openxmlformats.org/officeDocument/2006/relationships" ref="R547" r:id="rId1071"/>
    <hyperlink xmlns:r="http://schemas.openxmlformats.org/officeDocument/2006/relationships" ref="Q548" r:id="rId1072"/>
    <hyperlink xmlns:r="http://schemas.openxmlformats.org/officeDocument/2006/relationships" ref="R548" r:id="rId1073"/>
    <hyperlink xmlns:r="http://schemas.openxmlformats.org/officeDocument/2006/relationships" ref="Q549" r:id="rId1074"/>
    <hyperlink xmlns:r="http://schemas.openxmlformats.org/officeDocument/2006/relationships" ref="R549" r:id="rId1075"/>
    <hyperlink xmlns:r="http://schemas.openxmlformats.org/officeDocument/2006/relationships" ref="Q550" r:id="rId1076"/>
    <hyperlink xmlns:r="http://schemas.openxmlformats.org/officeDocument/2006/relationships" ref="R550" r:id="rId1077"/>
    <hyperlink xmlns:r="http://schemas.openxmlformats.org/officeDocument/2006/relationships" ref="Q551" r:id="rId1078"/>
    <hyperlink xmlns:r="http://schemas.openxmlformats.org/officeDocument/2006/relationships" ref="R551" r:id="rId1079"/>
    <hyperlink xmlns:r="http://schemas.openxmlformats.org/officeDocument/2006/relationships" ref="Q552" r:id="rId1080"/>
    <hyperlink xmlns:r="http://schemas.openxmlformats.org/officeDocument/2006/relationships" ref="R552" r:id="rId1081"/>
    <hyperlink xmlns:r="http://schemas.openxmlformats.org/officeDocument/2006/relationships" ref="Q553" r:id="rId1082"/>
    <hyperlink xmlns:r="http://schemas.openxmlformats.org/officeDocument/2006/relationships" ref="R553" r:id="rId1083"/>
    <hyperlink xmlns:r="http://schemas.openxmlformats.org/officeDocument/2006/relationships" ref="Q554" r:id="rId1084"/>
    <hyperlink xmlns:r="http://schemas.openxmlformats.org/officeDocument/2006/relationships" ref="R554" r:id="rId1085"/>
    <hyperlink xmlns:r="http://schemas.openxmlformats.org/officeDocument/2006/relationships" ref="Q555" r:id="rId1086"/>
    <hyperlink xmlns:r="http://schemas.openxmlformats.org/officeDocument/2006/relationships" ref="R555" r:id="rId1087"/>
    <hyperlink xmlns:r="http://schemas.openxmlformats.org/officeDocument/2006/relationships" ref="Q556" r:id="rId1088"/>
    <hyperlink xmlns:r="http://schemas.openxmlformats.org/officeDocument/2006/relationships" ref="R556" r:id="rId1089"/>
    <hyperlink xmlns:r="http://schemas.openxmlformats.org/officeDocument/2006/relationships" ref="Q557" r:id="rId1090"/>
    <hyperlink xmlns:r="http://schemas.openxmlformats.org/officeDocument/2006/relationships" ref="R557" r:id="rId1091"/>
    <hyperlink xmlns:r="http://schemas.openxmlformats.org/officeDocument/2006/relationships" ref="Q558" r:id="rId1092"/>
    <hyperlink xmlns:r="http://schemas.openxmlformats.org/officeDocument/2006/relationships" ref="R558" r:id="rId1093"/>
    <hyperlink xmlns:r="http://schemas.openxmlformats.org/officeDocument/2006/relationships" ref="Q559" r:id="rId1094"/>
    <hyperlink xmlns:r="http://schemas.openxmlformats.org/officeDocument/2006/relationships" ref="R559" r:id="rId1095"/>
    <hyperlink xmlns:r="http://schemas.openxmlformats.org/officeDocument/2006/relationships" ref="Q560" r:id="rId1096"/>
    <hyperlink xmlns:r="http://schemas.openxmlformats.org/officeDocument/2006/relationships" ref="R560" r:id="rId1097"/>
    <hyperlink xmlns:r="http://schemas.openxmlformats.org/officeDocument/2006/relationships" ref="Q561" r:id="rId1098"/>
    <hyperlink xmlns:r="http://schemas.openxmlformats.org/officeDocument/2006/relationships" ref="R561" r:id="rId1099"/>
    <hyperlink xmlns:r="http://schemas.openxmlformats.org/officeDocument/2006/relationships" ref="Q562" r:id="rId1100"/>
    <hyperlink xmlns:r="http://schemas.openxmlformats.org/officeDocument/2006/relationships" ref="R562" r:id="rId1101"/>
    <hyperlink xmlns:r="http://schemas.openxmlformats.org/officeDocument/2006/relationships" ref="Q563" r:id="rId1102"/>
    <hyperlink xmlns:r="http://schemas.openxmlformats.org/officeDocument/2006/relationships" ref="R563" r:id="rId1103"/>
    <hyperlink xmlns:r="http://schemas.openxmlformats.org/officeDocument/2006/relationships" ref="Q564" r:id="rId1104"/>
    <hyperlink xmlns:r="http://schemas.openxmlformats.org/officeDocument/2006/relationships" ref="R564" r:id="rId1105"/>
    <hyperlink xmlns:r="http://schemas.openxmlformats.org/officeDocument/2006/relationships" ref="Q565" r:id="rId1106"/>
    <hyperlink xmlns:r="http://schemas.openxmlformats.org/officeDocument/2006/relationships" ref="R565" r:id="rId1107"/>
    <hyperlink xmlns:r="http://schemas.openxmlformats.org/officeDocument/2006/relationships" ref="Q566" r:id="rId1108"/>
    <hyperlink xmlns:r="http://schemas.openxmlformats.org/officeDocument/2006/relationships" ref="R566" r:id="rId1109"/>
    <hyperlink xmlns:r="http://schemas.openxmlformats.org/officeDocument/2006/relationships" ref="Q567" r:id="rId1110"/>
    <hyperlink xmlns:r="http://schemas.openxmlformats.org/officeDocument/2006/relationships" ref="R567" r:id="rId1111"/>
    <hyperlink xmlns:r="http://schemas.openxmlformats.org/officeDocument/2006/relationships" ref="Q568" r:id="rId1112"/>
    <hyperlink xmlns:r="http://schemas.openxmlformats.org/officeDocument/2006/relationships" ref="R568" r:id="rId1113"/>
    <hyperlink xmlns:r="http://schemas.openxmlformats.org/officeDocument/2006/relationships" ref="Q569" r:id="rId1114"/>
    <hyperlink xmlns:r="http://schemas.openxmlformats.org/officeDocument/2006/relationships" ref="R569" r:id="rId1115"/>
    <hyperlink xmlns:r="http://schemas.openxmlformats.org/officeDocument/2006/relationships" ref="Q570" r:id="rId1116"/>
    <hyperlink xmlns:r="http://schemas.openxmlformats.org/officeDocument/2006/relationships" ref="R570" r:id="rId1117"/>
    <hyperlink xmlns:r="http://schemas.openxmlformats.org/officeDocument/2006/relationships" ref="Q571" r:id="rId1118"/>
    <hyperlink xmlns:r="http://schemas.openxmlformats.org/officeDocument/2006/relationships" ref="R571" r:id="rId1119"/>
    <hyperlink xmlns:r="http://schemas.openxmlformats.org/officeDocument/2006/relationships" ref="Q572" r:id="rId1120"/>
    <hyperlink xmlns:r="http://schemas.openxmlformats.org/officeDocument/2006/relationships" ref="R572" r:id="rId1121"/>
    <hyperlink xmlns:r="http://schemas.openxmlformats.org/officeDocument/2006/relationships" ref="Q573" r:id="rId1122"/>
    <hyperlink xmlns:r="http://schemas.openxmlformats.org/officeDocument/2006/relationships" ref="R573" r:id="rId1123"/>
    <hyperlink xmlns:r="http://schemas.openxmlformats.org/officeDocument/2006/relationships" ref="Q574" r:id="rId1124"/>
    <hyperlink xmlns:r="http://schemas.openxmlformats.org/officeDocument/2006/relationships" ref="R574" r:id="rId1125"/>
    <hyperlink xmlns:r="http://schemas.openxmlformats.org/officeDocument/2006/relationships" ref="Q575" r:id="rId1126"/>
    <hyperlink xmlns:r="http://schemas.openxmlformats.org/officeDocument/2006/relationships" ref="R575" r:id="rId1127"/>
    <hyperlink xmlns:r="http://schemas.openxmlformats.org/officeDocument/2006/relationships" ref="Q576" r:id="rId1128"/>
    <hyperlink xmlns:r="http://schemas.openxmlformats.org/officeDocument/2006/relationships" ref="R576" r:id="rId1129"/>
    <hyperlink xmlns:r="http://schemas.openxmlformats.org/officeDocument/2006/relationships" ref="Q577" r:id="rId1130"/>
    <hyperlink xmlns:r="http://schemas.openxmlformats.org/officeDocument/2006/relationships" ref="R577" r:id="rId1131"/>
    <hyperlink xmlns:r="http://schemas.openxmlformats.org/officeDocument/2006/relationships" ref="Q578" r:id="rId1132"/>
    <hyperlink xmlns:r="http://schemas.openxmlformats.org/officeDocument/2006/relationships" ref="R578" r:id="rId1133"/>
    <hyperlink xmlns:r="http://schemas.openxmlformats.org/officeDocument/2006/relationships" ref="Q579" r:id="rId1134"/>
    <hyperlink xmlns:r="http://schemas.openxmlformats.org/officeDocument/2006/relationships" ref="R579" r:id="rId1135"/>
    <hyperlink xmlns:r="http://schemas.openxmlformats.org/officeDocument/2006/relationships" ref="Q580" r:id="rId1136"/>
    <hyperlink xmlns:r="http://schemas.openxmlformats.org/officeDocument/2006/relationships" ref="R580" r:id="rId1137"/>
    <hyperlink xmlns:r="http://schemas.openxmlformats.org/officeDocument/2006/relationships" ref="Q581" r:id="rId1138"/>
    <hyperlink xmlns:r="http://schemas.openxmlformats.org/officeDocument/2006/relationships" ref="R581" r:id="rId1139"/>
    <hyperlink xmlns:r="http://schemas.openxmlformats.org/officeDocument/2006/relationships" ref="Q582" r:id="rId1140"/>
    <hyperlink xmlns:r="http://schemas.openxmlformats.org/officeDocument/2006/relationships" ref="R582" r:id="rId1141"/>
    <hyperlink xmlns:r="http://schemas.openxmlformats.org/officeDocument/2006/relationships" ref="Q583" r:id="rId1142"/>
    <hyperlink xmlns:r="http://schemas.openxmlformats.org/officeDocument/2006/relationships" ref="R583" r:id="rId1143"/>
    <hyperlink xmlns:r="http://schemas.openxmlformats.org/officeDocument/2006/relationships" ref="Q584" r:id="rId1144"/>
    <hyperlink xmlns:r="http://schemas.openxmlformats.org/officeDocument/2006/relationships" ref="R584" r:id="rId1145"/>
    <hyperlink xmlns:r="http://schemas.openxmlformats.org/officeDocument/2006/relationships" ref="Q585" r:id="rId1146"/>
    <hyperlink xmlns:r="http://schemas.openxmlformats.org/officeDocument/2006/relationships" ref="R585" r:id="rId1147"/>
    <hyperlink xmlns:r="http://schemas.openxmlformats.org/officeDocument/2006/relationships" ref="Q586" r:id="rId1148"/>
    <hyperlink xmlns:r="http://schemas.openxmlformats.org/officeDocument/2006/relationships" ref="R586" r:id="rId1149"/>
    <hyperlink xmlns:r="http://schemas.openxmlformats.org/officeDocument/2006/relationships" ref="Q587" r:id="rId1150"/>
    <hyperlink xmlns:r="http://schemas.openxmlformats.org/officeDocument/2006/relationships" ref="R587" r:id="rId1151"/>
    <hyperlink xmlns:r="http://schemas.openxmlformats.org/officeDocument/2006/relationships" ref="Q588" r:id="rId1152"/>
    <hyperlink xmlns:r="http://schemas.openxmlformats.org/officeDocument/2006/relationships" ref="R588" r:id="rId1153"/>
    <hyperlink xmlns:r="http://schemas.openxmlformats.org/officeDocument/2006/relationships" ref="Q589" r:id="rId1154"/>
    <hyperlink xmlns:r="http://schemas.openxmlformats.org/officeDocument/2006/relationships" ref="R589" r:id="rId1155"/>
    <hyperlink xmlns:r="http://schemas.openxmlformats.org/officeDocument/2006/relationships" ref="Q590" r:id="rId1156"/>
    <hyperlink xmlns:r="http://schemas.openxmlformats.org/officeDocument/2006/relationships" ref="R590" r:id="rId1157"/>
    <hyperlink xmlns:r="http://schemas.openxmlformats.org/officeDocument/2006/relationships" ref="Q591" r:id="rId1158"/>
    <hyperlink xmlns:r="http://schemas.openxmlformats.org/officeDocument/2006/relationships" ref="R591" r:id="rId1159"/>
    <hyperlink xmlns:r="http://schemas.openxmlformats.org/officeDocument/2006/relationships" ref="Q592" r:id="rId1160"/>
    <hyperlink xmlns:r="http://schemas.openxmlformats.org/officeDocument/2006/relationships" ref="R592" r:id="rId1161"/>
    <hyperlink xmlns:r="http://schemas.openxmlformats.org/officeDocument/2006/relationships" ref="Q593" r:id="rId1162"/>
    <hyperlink xmlns:r="http://schemas.openxmlformats.org/officeDocument/2006/relationships" ref="R593" r:id="rId1163"/>
    <hyperlink xmlns:r="http://schemas.openxmlformats.org/officeDocument/2006/relationships" ref="Q594" r:id="rId1164"/>
    <hyperlink xmlns:r="http://schemas.openxmlformats.org/officeDocument/2006/relationships" ref="R594" r:id="rId1165"/>
    <hyperlink xmlns:r="http://schemas.openxmlformats.org/officeDocument/2006/relationships" ref="Q595" r:id="rId1166"/>
    <hyperlink xmlns:r="http://schemas.openxmlformats.org/officeDocument/2006/relationships" ref="R595" r:id="rId1167"/>
    <hyperlink xmlns:r="http://schemas.openxmlformats.org/officeDocument/2006/relationships" ref="Q596" r:id="rId1168"/>
    <hyperlink xmlns:r="http://schemas.openxmlformats.org/officeDocument/2006/relationships" ref="R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R603" r:id="rId1183"/>
    <hyperlink xmlns:r="http://schemas.openxmlformats.org/officeDocument/2006/relationships" ref="Q604" r:id="rId1184"/>
    <hyperlink xmlns:r="http://schemas.openxmlformats.org/officeDocument/2006/relationships" ref="R604" r:id="rId1185"/>
    <hyperlink xmlns:r="http://schemas.openxmlformats.org/officeDocument/2006/relationships" ref="Q605" r:id="rId1186"/>
    <hyperlink xmlns:r="http://schemas.openxmlformats.org/officeDocument/2006/relationships" ref="R605" r:id="rId1187"/>
    <hyperlink xmlns:r="http://schemas.openxmlformats.org/officeDocument/2006/relationships" ref="Q606" r:id="rId1188"/>
    <hyperlink xmlns:r="http://schemas.openxmlformats.org/officeDocument/2006/relationships" ref="R606" r:id="rId1189"/>
    <hyperlink xmlns:r="http://schemas.openxmlformats.org/officeDocument/2006/relationships" ref="Q607" r:id="rId1190"/>
    <hyperlink xmlns:r="http://schemas.openxmlformats.org/officeDocument/2006/relationships" ref="R607" r:id="rId1191"/>
    <hyperlink xmlns:r="http://schemas.openxmlformats.org/officeDocument/2006/relationships" ref="Q608" r:id="rId1192"/>
    <hyperlink xmlns:r="http://schemas.openxmlformats.org/officeDocument/2006/relationships" ref="R608" r:id="rId1193"/>
    <hyperlink xmlns:r="http://schemas.openxmlformats.org/officeDocument/2006/relationships" ref="Q609" r:id="rId1194"/>
    <hyperlink xmlns:r="http://schemas.openxmlformats.org/officeDocument/2006/relationships" ref="R609" r:id="rId1195"/>
    <hyperlink xmlns:r="http://schemas.openxmlformats.org/officeDocument/2006/relationships" ref="Q610" r:id="rId1196"/>
    <hyperlink xmlns:r="http://schemas.openxmlformats.org/officeDocument/2006/relationships" ref="R610" r:id="rId1197"/>
    <hyperlink xmlns:r="http://schemas.openxmlformats.org/officeDocument/2006/relationships" ref="Q611" r:id="rId1198"/>
    <hyperlink xmlns:r="http://schemas.openxmlformats.org/officeDocument/2006/relationships" ref="R611" r:id="rId1199"/>
    <hyperlink xmlns:r="http://schemas.openxmlformats.org/officeDocument/2006/relationships" ref="Q612" r:id="rId1200"/>
    <hyperlink xmlns:r="http://schemas.openxmlformats.org/officeDocument/2006/relationships" ref="R612" r:id="rId1201"/>
    <hyperlink xmlns:r="http://schemas.openxmlformats.org/officeDocument/2006/relationships" ref="Q613" r:id="rId1202"/>
    <hyperlink xmlns:r="http://schemas.openxmlformats.org/officeDocument/2006/relationships" ref="R613" r:id="rId1203"/>
    <hyperlink xmlns:r="http://schemas.openxmlformats.org/officeDocument/2006/relationships" ref="Q614" r:id="rId1204"/>
    <hyperlink xmlns:r="http://schemas.openxmlformats.org/officeDocument/2006/relationships" ref="R614" r:id="rId1205"/>
    <hyperlink xmlns:r="http://schemas.openxmlformats.org/officeDocument/2006/relationships" ref="Q615" r:id="rId1206"/>
    <hyperlink xmlns:r="http://schemas.openxmlformats.org/officeDocument/2006/relationships" ref="R615" r:id="rId1207"/>
    <hyperlink xmlns:r="http://schemas.openxmlformats.org/officeDocument/2006/relationships" ref="Q616" r:id="rId1208"/>
    <hyperlink xmlns:r="http://schemas.openxmlformats.org/officeDocument/2006/relationships" ref="R616" r:id="rId1209"/>
    <hyperlink xmlns:r="http://schemas.openxmlformats.org/officeDocument/2006/relationships" ref="Q617" r:id="rId1210"/>
    <hyperlink xmlns:r="http://schemas.openxmlformats.org/officeDocument/2006/relationships" ref="R617" r:id="rId1211"/>
    <hyperlink xmlns:r="http://schemas.openxmlformats.org/officeDocument/2006/relationships" ref="Q618" r:id="rId1212"/>
    <hyperlink xmlns:r="http://schemas.openxmlformats.org/officeDocument/2006/relationships" ref="R618" r:id="rId1213"/>
    <hyperlink xmlns:r="http://schemas.openxmlformats.org/officeDocument/2006/relationships" ref="Q619" r:id="rId1214"/>
    <hyperlink xmlns:r="http://schemas.openxmlformats.org/officeDocument/2006/relationships" ref="R619" r:id="rId1215"/>
    <hyperlink xmlns:r="http://schemas.openxmlformats.org/officeDocument/2006/relationships" ref="Q620" r:id="rId1216"/>
    <hyperlink xmlns:r="http://schemas.openxmlformats.org/officeDocument/2006/relationships" ref="R620" r:id="rId1217"/>
    <hyperlink xmlns:r="http://schemas.openxmlformats.org/officeDocument/2006/relationships" ref="Q621" r:id="rId1218"/>
    <hyperlink xmlns:r="http://schemas.openxmlformats.org/officeDocument/2006/relationships" ref="R621" r:id="rId1219"/>
    <hyperlink xmlns:r="http://schemas.openxmlformats.org/officeDocument/2006/relationships" ref="Q622" r:id="rId1220"/>
    <hyperlink xmlns:r="http://schemas.openxmlformats.org/officeDocument/2006/relationships" ref="R622" r:id="rId1221"/>
    <hyperlink xmlns:r="http://schemas.openxmlformats.org/officeDocument/2006/relationships" ref="Q623" r:id="rId1222"/>
    <hyperlink xmlns:r="http://schemas.openxmlformats.org/officeDocument/2006/relationships" ref="R623" r:id="rId1223"/>
    <hyperlink xmlns:r="http://schemas.openxmlformats.org/officeDocument/2006/relationships" ref="Q624" r:id="rId1224"/>
    <hyperlink xmlns:r="http://schemas.openxmlformats.org/officeDocument/2006/relationships" ref="R624" r:id="rId1225"/>
    <hyperlink xmlns:r="http://schemas.openxmlformats.org/officeDocument/2006/relationships" ref="Q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R688" r:id="rId1352"/>
    <hyperlink xmlns:r="http://schemas.openxmlformats.org/officeDocument/2006/relationships" ref="Q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R716" r:id="rId1407"/>
    <hyperlink xmlns:r="http://schemas.openxmlformats.org/officeDocument/2006/relationships" ref="Q717" r:id="rId1408"/>
    <hyperlink xmlns:r="http://schemas.openxmlformats.org/officeDocument/2006/relationships" ref="R717" r:id="rId1409"/>
    <hyperlink xmlns:r="http://schemas.openxmlformats.org/officeDocument/2006/relationships" ref="Q718" r:id="rId1410"/>
    <hyperlink xmlns:r="http://schemas.openxmlformats.org/officeDocument/2006/relationships" ref="R718" r:id="rId1411"/>
    <hyperlink xmlns:r="http://schemas.openxmlformats.org/officeDocument/2006/relationships" ref="Q719" r:id="rId1412"/>
    <hyperlink xmlns:r="http://schemas.openxmlformats.org/officeDocument/2006/relationships" ref="R719" r:id="rId1413"/>
    <hyperlink xmlns:r="http://schemas.openxmlformats.org/officeDocument/2006/relationships" ref="Q720" r:id="rId1414"/>
    <hyperlink xmlns:r="http://schemas.openxmlformats.org/officeDocument/2006/relationships" ref="R720" r:id="rId1415"/>
    <hyperlink xmlns:r="http://schemas.openxmlformats.org/officeDocument/2006/relationships" ref="Q721" r:id="rId1416"/>
    <hyperlink xmlns:r="http://schemas.openxmlformats.org/officeDocument/2006/relationships" ref="R721" r:id="rId1417"/>
    <hyperlink xmlns:r="http://schemas.openxmlformats.org/officeDocument/2006/relationships" ref="Q722" r:id="rId1418"/>
    <hyperlink xmlns:r="http://schemas.openxmlformats.org/officeDocument/2006/relationships" ref="R722" r:id="rId1419"/>
    <hyperlink xmlns:r="http://schemas.openxmlformats.org/officeDocument/2006/relationships" ref="Q723" r:id="rId1420"/>
    <hyperlink xmlns:r="http://schemas.openxmlformats.org/officeDocument/2006/relationships" ref="R723" r:id="rId1421"/>
    <hyperlink xmlns:r="http://schemas.openxmlformats.org/officeDocument/2006/relationships" ref="Q724" r:id="rId1422"/>
    <hyperlink xmlns:r="http://schemas.openxmlformats.org/officeDocument/2006/relationships" ref="R724" r:id="rId1423"/>
    <hyperlink xmlns:r="http://schemas.openxmlformats.org/officeDocument/2006/relationships" ref="Q725" r:id="rId1424"/>
    <hyperlink xmlns:r="http://schemas.openxmlformats.org/officeDocument/2006/relationships" ref="R725" r:id="rId1425"/>
    <hyperlink xmlns:r="http://schemas.openxmlformats.org/officeDocument/2006/relationships" ref="Q726" r:id="rId1426"/>
    <hyperlink xmlns:r="http://schemas.openxmlformats.org/officeDocument/2006/relationships" ref="R726" r:id="rId1427"/>
    <hyperlink xmlns:r="http://schemas.openxmlformats.org/officeDocument/2006/relationships" ref="Q727" r:id="rId1428"/>
    <hyperlink xmlns:r="http://schemas.openxmlformats.org/officeDocument/2006/relationships" ref="R727" r:id="rId1429"/>
    <hyperlink xmlns:r="http://schemas.openxmlformats.org/officeDocument/2006/relationships" ref="Q728" r:id="rId1430"/>
    <hyperlink xmlns:r="http://schemas.openxmlformats.org/officeDocument/2006/relationships" ref="R728" r:id="rId1431"/>
    <hyperlink xmlns:r="http://schemas.openxmlformats.org/officeDocument/2006/relationships" ref="Q729" r:id="rId1432"/>
    <hyperlink xmlns:r="http://schemas.openxmlformats.org/officeDocument/2006/relationships" ref="R729" r:id="rId1433"/>
    <hyperlink xmlns:r="http://schemas.openxmlformats.org/officeDocument/2006/relationships" ref="Q730" r:id="rId1434"/>
    <hyperlink xmlns:r="http://schemas.openxmlformats.org/officeDocument/2006/relationships" ref="R730" r:id="rId1435"/>
    <hyperlink xmlns:r="http://schemas.openxmlformats.org/officeDocument/2006/relationships" ref="Q731" r:id="rId1436"/>
    <hyperlink xmlns:r="http://schemas.openxmlformats.org/officeDocument/2006/relationships" ref="R731" r:id="rId1437"/>
    <hyperlink xmlns:r="http://schemas.openxmlformats.org/officeDocument/2006/relationships" ref="Q732" r:id="rId1438"/>
    <hyperlink xmlns:r="http://schemas.openxmlformats.org/officeDocument/2006/relationships" ref="R732" r:id="rId1439"/>
    <hyperlink xmlns:r="http://schemas.openxmlformats.org/officeDocument/2006/relationships" ref="Q733" r:id="rId1440"/>
    <hyperlink xmlns:r="http://schemas.openxmlformats.org/officeDocument/2006/relationships" ref="R733" r:id="rId1441"/>
    <hyperlink xmlns:r="http://schemas.openxmlformats.org/officeDocument/2006/relationships" ref="Q734" r:id="rId1442"/>
    <hyperlink xmlns:r="http://schemas.openxmlformats.org/officeDocument/2006/relationships" ref="R734" r:id="rId1443"/>
    <hyperlink xmlns:r="http://schemas.openxmlformats.org/officeDocument/2006/relationships" ref="Q735" r:id="rId1444"/>
    <hyperlink xmlns:r="http://schemas.openxmlformats.org/officeDocument/2006/relationships" ref="R735" r:id="rId1445"/>
    <hyperlink xmlns:r="http://schemas.openxmlformats.org/officeDocument/2006/relationships" ref="Q736" r:id="rId1446"/>
    <hyperlink xmlns:r="http://schemas.openxmlformats.org/officeDocument/2006/relationships" ref="R736" r:id="rId1447"/>
    <hyperlink xmlns:r="http://schemas.openxmlformats.org/officeDocument/2006/relationships" ref="Q737" r:id="rId1448"/>
    <hyperlink xmlns:r="http://schemas.openxmlformats.org/officeDocument/2006/relationships" ref="R737" r:id="rId1449"/>
    <hyperlink xmlns:r="http://schemas.openxmlformats.org/officeDocument/2006/relationships" ref="Q738" r:id="rId1450"/>
    <hyperlink xmlns:r="http://schemas.openxmlformats.org/officeDocument/2006/relationships" ref="R738" r:id="rId1451"/>
    <hyperlink xmlns:r="http://schemas.openxmlformats.org/officeDocument/2006/relationships" ref="Q739" r:id="rId1452"/>
    <hyperlink xmlns:r="http://schemas.openxmlformats.org/officeDocument/2006/relationships" ref="R739" r:id="rId1453"/>
    <hyperlink xmlns:r="http://schemas.openxmlformats.org/officeDocument/2006/relationships" ref="Q740" r:id="rId1454"/>
    <hyperlink xmlns:r="http://schemas.openxmlformats.org/officeDocument/2006/relationships" ref="Q741" r:id="rId1455"/>
    <hyperlink xmlns:r="http://schemas.openxmlformats.org/officeDocument/2006/relationships" ref="R741" r:id="rId1456"/>
    <hyperlink xmlns:r="http://schemas.openxmlformats.org/officeDocument/2006/relationships" ref="Q742" r:id="rId1457"/>
    <hyperlink xmlns:r="http://schemas.openxmlformats.org/officeDocument/2006/relationships" ref="R742" r:id="rId1458"/>
    <hyperlink xmlns:r="http://schemas.openxmlformats.org/officeDocument/2006/relationships" ref="Q743" r:id="rId1459"/>
    <hyperlink xmlns:r="http://schemas.openxmlformats.org/officeDocument/2006/relationships" ref="R743" r:id="rId1460"/>
    <hyperlink xmlns:r="http://schemas.openxmlformats.org/officeDocument/2006/relationships" ref="Q744" r:id="rId1461"/>
    <hyperlink xmlns:r="http://schemas.openxmlformats.org/officeDocument/2006/relationships" ref="R744" r:id="rId1462"/>
    <hyperlink xmlns:r="http://schemas.openxmlformats.org/officeDocument/2006/relationships" ref="Q745" r:id="rId1463"/>
    <hyperlink xmlns:r="http://schemas.openxmlformats.org/officeDocument/2006/relationships" ref="R745" r:id="rId1464"/>
    <hyperlink xmlns:r="http://schemas.openxmlformats.org/officeDocument/2006/relationships" ref="Q746" r:id="rId1465"/>
    <hyperlink xmlns:r="http://schemas.openxmlformats.org/officeDocument/2006/relationships" ref="R746" r:id="rId1466"/>
    <hyperlink xmlns:r="http://schemas.openxmlformats.org/officeDocument/2006/relationships" ref="Q747" r:id="rId1467"/>
    <hyperlink xmlns:r="http://schemas.openxmlformats.org/officeDocument/2006/relationships" ref="R747" r:id="rId1468"/>
    <hyperlink xmlns:r="http://schemas.openxmlformats.org/officeDocument/2006/relationships" ref="Q748" r:id="rId1469"/>
    <hyperlink xmlns:r="http://schemas.openxmlformats.org/officeDocument/2006/relationships" ref="R748" r:id="rId1470"/>
    <hyperlink xmlns:r="http://schemas.openxmlformats.org/officeDocument/2006/relationships" ref="Q749" r:id="rId1471"/>
    <hyperlink xmlns:r="http://schemas.openxmlformats.org/officeDocument/2006/relationships" ref="R749" r:id="rId1472"/>
    <hyperlink xmlns:r="http://schemas.openxmlformats.org/officeDocument/2006/relationships" ref="Q750" r:id="rId1473"/>
    <hyperlink xmlns:r="http://schemas.openxmlformats.org/officeDocument/2006/relationships" ref="R750" r:id="rId1474"/>
    <hyperlink xmlns:r="http://schemas.openxmlformats.org/officeDocument/2006/relationships" ref="Q751" r:id="rId1475"/>
    <hyperlink xmlns:r="http://schemas.openxmlformats.org/officeDocument/2006/relationships" ref="R751" r:id="rId1476"/>
    <hyperlink xmlns:r="http://schemas.openxmlformats.org/officeDocument/2006/relationships" ref="Q752" r:id="rId1477"/>
    <hyperlink xmlns:r="http://schemas.openxmlformats.org/officeDocument/2006/relationships" ref="R752" r:id="rId1478"/>
    <hyperlink xmlns:r="http://schemas.openxmlformats.org/officeDocument/2006/relationships" ref="Q753" r:id="rId1479"/>
    <hyperlink xmlns:r="http://schemas.openxmlformats.org/officeDocument/2006/relationships" ref="R753" r:id="rId1480"/>
    <hyperlink xmlns:r="http://schemas.openxmlformats.org/officeDocument/2006/relationships" ref="Q754" r:id="rId1481"/>
    <hyperlink xmlns:r="http://schemas.openxmlformats.org/officeDocument/2006/relationships" ref="R754" r:id="rId1482"/>
    <hyperlink xmlns:r="http://schemas.openxmlformats.org/officeDocument/2006/relationships" ref="Q755" r:id="rId1483"/>
    <hyperlink xmlns:r="http://schemas.openxmlformats.org/officeDocument/2006/relationships" ref="R755" r:id="rId1484"/>
    <hyperlink xmlns:r="http://schemas.openxmlformats.org/officeDocument/2006/relationships" ref="Q756" r:id="rId1485"/>
    <hyperlink xmlns:r="http://schemas.openxmlformats.org/officeDocument/2006/relationships" ref="R756" r:id="rId1486"/>
    <hyperlink xmlns:r="http://schemas.openxmlformats.org/officeDocument/2006/relationships" ref="Q757" r:id="rId1487"/>
    <hyperlink xmlns:r="http://schemas.openxmlformats.org/officeDocument/2006/relationships" ref="R757" r:id="rId1488"/>
    <hyperlink xmlns:r="http://schemas.openxmlformats.org/officeDocument/2006/relationships" ref="Q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Q768" r:id="rId1507"/>
    <hyperlink xmlns:r="http://schemas.openxmlformats.org/officeDocument/2006/relationships" ref="R768" r:id="rId1508"/>
    <hyperlink xmlns:r="http://schemas.openxmlformats.org/officeDocument/2006/relationships" ref="Q769" r:id="rId1509"/>
    <hyperlink xmlns:r="http://schemas.openxmlformats.org/officeDocument/2006/relationships" ref="R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R787" r:id="rId1546"/>
    <hyperlink xmlns:r="http://schemas.openxmlformats.org/officeDocument/2006/relationships" ref="Q788" r:id="rId1547"/>
    <hyperlink xmlns:r="http://schemas.openxmlformats.org/officeDocument/2006/relationships" ref="R788" r:id="rId1548"/>
    <hyperlink xmlns:r="http://schemas.openxmlformats.org/officeDocument/2006/relationships" ref="Q789" r:id="rId1549"/>
    <hyperlink xmlns:r="http://schemas.openxmlformats.org/officeDocument/2006/relationships" ref="R789" r:id="rId1550"/>
    <hyperlink xmlns:r="http://schemas.openxmlformats.org/officeDocument/2006/relationships" ref="Q790" r:id="rId1551"/>
    <hyperlink xmlns:r="http://schemas.openxmlformats.org/officeDocument/2006/relationships" ref="R790" r:id="rId1552"/>
    <hyperlink xmlns:r="http://schemas.openxmlformats.org/officeDocument/2006/relationships" ref="Q791" r:id="rId1553"/>
    <hyperlink xmlns:r="http://schemas.openxmlformats.org/officeDocument/2006/relationships" ref="R791" r:id="rId1554"/>
    <hyperlink xmlns:r="http://schemas.openxmlformats.org/officeDocument/2006/relationships" ref="Q792" r:id="rId1555"/>
    <hyperlink xmlns:r="http://schemas.openxmlformats.org/officeDocument/2006/relationships" ref="R792" r:id="rId1556"/>
    <hyperlink xmlns:r="http://schemas.openxmlformats.org/officeDocument/2006/relationships" ref="Q793" r:id="rId1557"/>
    <hyperlink xmlns:r="http://schemas.openxmlformats.org/officeDocument/2006/relationships" ref="R793" r:id="rId1558"/>
    <hyperlink xmlns:r="http://schemas.openxmlformats.org/officeDocument/2006/relationships" ref="Q794" r:id="rId1559"/>
    <hyperlink xmlns:r="http://schemas.openxmlformats.org/officeDocument/2006/relationships" ref="R794" r:id="rId1560"/>
    <hyperlink xmlns:r="http://schemas.openxmlformats.org/officeDocument/2006/relationships" ref="Q795" r:id="rId1561"/>
    <hyperlink xmlns:r="http://schemas.openxmlformats.org/officeDocument/2006/relationships" ref="R795" r:id="rId1562"/>
    <hyperlink xmlns:r="http://schemas.openxmlformats.org/officeDocument/2006/relationships" ref="Q796" r:id="rId1563"/>
    <hyperlink xmlns:r="http://schemas.openxmlformats.org/officeDocument/2006/relationships" ref="R796" r:id="rId1564"/>
    <hyperlink xmlns:r="http://schemas.openxmlformats.org/officeDocument/2006/relationships" ref="Q797" r:id="rId1565"/>
    <hyperlink xmlns:r="http://schemas.openxmlformats.org/officeDocument/2006/relationships" ref="R797" r:id="rId1566"/>
    <hyperlink xmlns:r="http://schemas.openxmlformats.org/officeDocument/2006/relationships" ref="Q798" r:id="rId1567"/>
    <hyperlink xmlns:r="http://schemas.openxmlformats.org/officeDocument/2006/relationships" ref="R798" r:id="rId1568"/>
    <hyperlink xmlns:r="http://schemas.openxmlformats.org/officeDocument/2006/relationships" ref="Q799" r:id="rId1569"/>
    <hyperlink xmlns:r="http://schemas.openxmlformats.org/officeDocument/2006/relationships" ref="R799" r:id="rId1570"/>
    <hyperlink xmlns:r="http://schemas.openxmlformats.org/officeDocument/2006/relationships" ref="Q800" r:id="rId1571"/>
    <hyperlink xmlns:r="http://schemas.openxmlformats.org/officeDocument/2006/relationships" ref="R800" r:id="rId1572"/>
    <hyperlink xmlns:r="http://schemas.openxmlformats.org/officeDocument/2006/relationships" ref="Q801" r:id="rId1573"/>
    <hyperlink xmlns:r="http://schemas.openxmlformats.org/officeDocument/2006/relationships" ref="R801" r:id="rId1574"/>
    <hyperlink xmlns:r="http://schemas.openxmlformats.org/officeDocument/2006/relationships" ref="Q802" r:id="rId1575"/>
    <hyperlink xmlns:r="http://schemas.openxmlformats.org/officeDocument/2006/relationships" ref="R802" r:id="rId1576"/>
    <hyperlink xmlns:r="http://schemas.openxmlformats.org/officeDocument/2006/relationships" ref="Q803" r:id="rId1577"/>
    <hyperlink xmlns:r="http://schemas.openxmlformats.org/officeDocument/2006/relationships" ref="R803" r:id="rId1578"/>
    <hyperlink xmlns:r="http://schemas.openxmlformats.org/officeDocument/2006/relationships" ref="Q804" r:id="rId1579"/>
    <hyperlink xmlns:r="http://schemas.openxmlformats.org/officeDocument/2006/relationships" ref="R804" r:id="rId1580"/>
    <hyperlink xmlns:r="http://schemas.openxmlformats.org/officeDocument/2006/relationships" ref="Q805" r:id="rId1581"/>
    <hyperlink xmlns:r="http://schemas.openxmlformats.org/officeDocument/2006/relationships" ref="R805" r:id="rId1582"/>
    <hyperlink xmlns:r="http://schemas.openxmlformats.org/officeDocument/2006/relationships" ref="Q806" r:id="rId1583"/>
    <hyperlink xmlns:r="http://schemas.openxmlformats.org/officeDocument/2006/relationships" ref="R806" r:id="rId1584"/>
    <hyperlink xmlns:r="http://schemas.openxmlformats.org/officeDocument/2006/relationships" ref="Q807" r:id="rId1585"/>
    <hyperlink xmlns:r="http://schemas.openxmlformats.org/officeDocument/2006/relationships" ref="R807" r:id="rId1586"/>
    <hyperlink xmlns:r="http://schemas.openxmlformats.org/officeDocument/2006/relationships" ref="Q808" r:id="rId1587"/>
    <hyperlink xmlns:r="http://schemas.openxmlformats.org/officeDocument/2006/relationships" ref="R808" r:id="rId1588"/>
    <hyperlink xmlns:r="http://schemas.openxmlformats.org/officeDocument/2006/relationships" ref="Q809" r:id="rId1589"/>
    <hyperlink xmlns:r="http://schemas.openxmlformats.org/officeDocument/2006/relationships" ref="R809" r:id="rId1590"/>
    <hyperlink xmlns:r="http://schemas.openxmlformats.org/officeDocument/2006/relationships" ref="Q810" r:id="rId1591"/>
    <hyperlink xmlns:r="http://schemas.openxmlformats.org/officeDocument/2006/relationships" ref="R810" r:id="rId1592"/>
    <hyperlink xmlns:r="http://schemas.openxmlformats.org/officeDocument/2006/relationships" ref="Q811" r:id="rId1593"/>
    <hyperlink xmlns:r="http://schemas.openxmlformats.org/officeDocument/2006/relationships" ref="R811" r:id="rId1594"/>
    <hyperlink xmlns:r="http://schemas.openxmlformats.org/officeDocument/2006/relationships" ref="Q812" r:id="rId1595"/>
    <hyperlink xmlns:r="http://schemas.openxmlformats.org/officeDocument/2006/relationships" ref="R812" r:id="rId1596"/>
    <hyperlink xmlns:r="http://schemas.openxmlformats.org/officeDocument/2006/relationships" ref="Q813" r:id="rId1597"/>
    <hyperlink xmlns:r="http://schemas.openxmlformats.org/officeDocument/2006/relationships" ref="R813" r:id="rId1598"/>
    <hyperlink xmlns:r="http://schemas.openxmlformats.org/officeDocument/2006/relationships" ref="Q814" r:id="rId1599"/>
    <hyperlink xmlns:r="http://schemas.openxmlformats.org/officeDocument/2006/relationships" ref="R814" r:id="rId1600"/>
    <hyperlink xmlns:r="http://schemas.openxmlformats.org/officeDocument/2006/relationships" ref="Q815" r:id="rId1601"/>
    <hyperlink xmlns:r="http://schemas.openxmlformats.org/officeDocument/2006/relationships" ref="R815" r:id="rId1602"/>
    <hyperlink xmlns:r="http://schemas.openxmlformats.org/officeDocument/2006/relationships" ref="Q816" r:id="rId1603"/>
    <hyperlink xmlns:r="http://schemas.openxmlformats.org/officeDocument/2006/relationships" ref="R816" r:id="rId1604"/>
    <hyperlink xmlns:r="http://schemas.openxmlformats.org/officeDocument/2006/relationships" ref="Q817" r:id="rId1605"/>
    <hyperlink xmlns:r="http://schemas.openxmlformats.org/officeDocument/2006/relationships" ref="R817" r:id="rId1606"/>
    <hyperlink xmlns:r="http://schemas.openxmlformats.org/officeDocument/2006/relationships" ref="Q818" r:id="rId1607"/>
    <hyperlink xmlns:r="http://schemas.openxmlformats.org/officeDocument/2006/relationships" ref="R818" r:id="rId1608"/>
    <hyperlink xmlns:r="http://schemas.openxmlformats.org/officeDocument/2006/relationships" ref="Q819" r:id="rId1609"/>
    <hyperlink xmlns:r="http://schemas.openxmlformats.org/officeDocument/2006/relationships" ref="R819" r:id="rId1610"/>
    <hyperlink xmlns:r="http://schemas.openxmlformats.org/officeDocument/2006/relationships" ref="Q820" r:id="rId1611"/>
    <hyperlink xmlns:r="http://schemas.openxmlformats.org/officeDocument/2006/relationships" ref="R820" r:id="rId1612"/>
    <hyperlink xmlns:r="http://schemas.openxmlformats.org/officeDocument/2006/relationships" ref="Q821" r:id="rId1613"/>
    <hyperlink xmlns:r="http://schemas.openxmlformats.org/officeDocument/2006/relationships" ref="R821" r:id="rId1614"/>
    <hyperlink xmlns:r="http://schemas.openxmlformats.org/officeDocument/2006/relationships" ref="Q822" r:id="rId1615"/>
    <hyperlink xmlns:r="http://schemas.openxmlformats.org/officeDocument/2006/relationships" ref="R822" r:id="rId1616"/>
    <hyperlink xmlns:r="http://schemas.openxmlformats.org/officeDocument/2006/relationships" ref="Q823" r:id="rId1617"/>
    <hyperlink xmlns:r="http://schemas.openxmlformats.org/officeDocument/2006/relationships" ref="R823" r:id="rId1618"/>
    <hyperlink xmlns:r="http://schemas.openxmlformats.org/officeDocument/2006/relationships" ref="Q824" r:id="rId1619"/>
    <hyperlink xmlns:r="http://schemas.openxmlformats.org/officeDocument/2006/relationships" ref="R824" r:id="rId1620"/>
    <hyperlink xmlns:r="http://schemas.openxmlformats.org/officeDocument/2006/relationships" ref="Q825" r:id="rId1621"/>
    <hyperlink xmlns:r="http://schemas.openxmlformats.org/officeDocument/2006/relationships" ref="R825" r:id="rId1622"/>
    <hyperlink xmlns:r="http://schemas.openxmlformats.org/officeDocument/2006/relationships" ref="Q826" r:id="rId1623"/>
    <hyperlink xmlns:r="http://schemas.openxmlformats.org/officeDocument/2006/relationships" ref="R826" r:id="rId1624"/>
    <hyperlink xmlns:r="http://schemas.openxmlformats.org/officeDocument/2006/relationships" ref="Q827" r:id="rId1625"/>
    <hyperlink xmlns:r="http://schemas.openxmlformats.org/officeDocument/2006/relationships" ref="R827" r:id="rId1626"/>
    <hyperlink xmlns:r="http://schemas.openxmlformats.org/officeDocument/2006/relationships" ref="Q828" r:id="rId1627"/>
    <hyperlink xmlns:r="http://schemas.openxmlformats.org/officeDocument/2006/relationships" ref="R828" r:id="rId1628"/>
    <hyperlink xmlns:r="http://schemas.openxmlformats.org/officeDocument/2006/relationships" ref="Q829" r:id="rId1629"/>
    <hyperlink xmlns:r="http://schemas.openxmlformats.org/officeDocument/2006/relationships" ref="R829" r:id="rId1630"/>
    <hyperlink xmlns:r="http://schemas.openxmlformats.org/officeDocument/2006/relationships" ref="Q830" r:id="rId1631"/>
    <hyperlink xmlns:r="http://schemas.openxmlformats.org/officeDocument/2006/relationships" ref="Q831" r:id="rId1632"/>
    <hyperlink xmlns:r="http://schemas.openxmlformats.org/officeDocument/2006/relationships" ref="R831" r:id="rId1633"/>
    <hyperlink xmlns:r="http://schemas.openxmlformats.org/officeDocument/2006/relationships" ref="Q832" r:id="rId1634"/>
    <hyperlink xmlns:r="http://schemas.openxmlformats.org/officeDocument/2006/relationships" ref="R832" r:id="rId1635"/>
  </hyperlinks>
  <pageMargins left="0.75" right="0.75" top="1" bottom="1" header="0.5" footer="0.5"/>
  <pageSetup orientation="landscape" paperSize="9" fitToHeight="0" fitToWidth="1"/>
  <tableParts count="1">
    <tablePart xmlns:r="http://schemas.openxmlformats.org/officeDocument/2006/relationships" r:id="rId163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2026-10-15T10:10:24Z</dcterms:created>
  <dcterms:modified xsi:type="dcterms:W3CDTF">2026-10-15T10:10:24Z</dcterms:modified>
</cp:coreProperties>
</file>