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 plazo" sheetId="1" state="visible" r:id="rId1"/>
    <sheet name="Resumen" sheetId="2" state="visible" r:id="rId2"/>
    <sheet name="Histórico" sheetId="3" state="visible" r:id="rId3"/>
  </sheets>
  <definedNames>
    <definedName name="_xlnm.Print_Titles" localSheetId="0">'En plazo'!$1:$1</definedName>
    <definedName name="_xlnm.Print_Titles" localSheetId="2">'Histórico'!$1:$1</definedName>
  </definedNames>
  <calcPr calcId="124519" fullCalcOnLoad="1"/>
</workbook>
</file>

<file path=xl/styles.xml><?xml version="1.0" encoding="utf-8"?>
<styleSheet xmlns="http://schemas.openxmlformats.org/spreadsheetml/2006/main">
  <numFmts count="5">
    <numFmt numFmtId="164" formatCode="yyyy-mm-dd h:mm:ss"/>
    <numFmt numFmtId="165" formatCode="dd/mm/yyyy hh:mm"/>
    <numFmt numFmtId="166" formatCode="#,##0.00 &quot;€&quot;"/>
    <numFmt numFmtId="167" formatCode="0.0"/>
    <numFmt numFmtId="168" formatCode="dd/mm/yyyy"/>
  </numFmts>
  <fonts count="8">
    <font>
      <name val="Calibri"/>
      <family val="2"/>
      <color theme="1"/>
      <sz val="11"/>
      <scheme val="minor"/>
    </font>
    <font>
      <name val="Arial"/>
      <b val="1"/>
      <color rgb="00FFFFFF"/>
      <sz val="10"/>
    </font>
    <font>
      <name val="Arial"/>
      <sz val="10"/>
    </font>
    <font>
      <name val="Arial"/>
      <color rgb="000563C1"/>
      <sz val="10"/>
      <u val="single"/>
    </font>
    <font>
      <name val="Arial"/>
      <b val="1"/>
      <color rgb="001F4E78"/>
      <sz val="14"/>
    </font>
    <font>
      <name val="Arial"/>
      <b val="1"/>
      <sz val="10"/>
    </font>
    <font>
      <name val="Arial"/>
      <b val="1"/>
      <color rgb="001F4E78"/>
      <sz val="11"/>
    </font>
    <font>
      <name val="Arial"/>
      <i val="1"/>
      <color rgb="00595959"/>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wrapText="1"/>
    </xf>
    <xf numFmtId="0" fontId="2" fillId="0" borderId="0" pivotButton="0" quotePrefix="0" xfId="0"/>
    <xf numFmtId="165" fontId="2" fillId="0" borderId="0" pivotButton="0" quotePrefix="0" xfId="0"/>
    <xf numFmtId="1" fontId="2" fillId="0" borderId="0" pivotButton="0" quotePrefix="0" xfId="0"/>
    <xf numFmtId="166" fontId="2" fillId="0" borderId="0" pivotButton="0" quotePrefix="0" xfId="0"/>
    <xf numFmtId="167" fontId="2" fillId="0" borderId="0" pivotButton="0" quotePrefix="0" xfId="0"/>
    <xf numFmtId="9" fontId="2" fillId="0" borderId="0" pivotButton="0" quotePrefix="0" xfId="0"/>
    <xf numFmtId="0" fontId="3" fillId="0" borderId="0" pivotButton="0" quotePrefix="0" xfId="0"/>
    <xf numFmtId="168" fontId="2" fillId="0" borderId="0" pivotButton="0" quotePrefix="0" xfId="0"/>
    <xf numFmtId="0" fontId="4" fillId="0" borderId="0" pivotButton="0" quotePrefix="0" xfId="0"/>
    <xf numFmtId="0" fontId="5" fillId="0" borderId="0" pivotButton="0" quotePrefix="0" xfId="0"/>
    <xf numFmtId="165" fontId="2" fillId="0" borderId="0" applyAlignment="1" pivotButton="0" quotePrefix="0" xfId="0">
      <alignment horizontal="left"/>
    </xf>
    <xf numFmtId="0" fontId="2" fillId="0" borderId="0" applyAlignment="1" pivotButton="0" quotePrefix="0" xfId="0">
      <alignment horizontal="left"/>
    </xf>
    <xf numFmtId="3" fontId="2" fillId="0" borderId="0" applyAlignment="1" pivotButton="0" quotePrefix="0" xfId="0">
      <alignment horizontal="left"/>
    </xf>
    <xf numFmtId="166" fontId="2" fillId="0" borderId="0" applyAlignment="1" pivotButton="0" quotePrefix="0" xfId="0">
      <alignment horizontal="left"/>
    </xf>
    <xf numFmtId="0" fontId="6" fillId="0" borderId="0" pivotButton="0" quotePrefix="0" xfId="0"/>
    <xf numFmtId="0" fontId="1" fillId="2" borderId="0" pivotButton="0" quotePrefix="0" xfId="0"/>
    <xf numFmtId="3" fontId="2" fillId="0" borderId="0" pivotButton="0" quotePrefix="0" xfId="0"/>
    <xf numFmtId="3" fontId="5" fillId="0" borderId="0" pivotButton="0" quotePrefix="0" xfId="0"/>
    <xf numFmtId="166" fontId="5" fillId="0" borderId="0" pivotButton="0" quotePrefix="0" xfId="0"/>
    <xf numFmtId="0" fontId="7" fillId="0" borderId="0" pivotButton="0" quotePrefix="0" xfId="0"/>
  </cellXfs>
  <cellStyles count="1">
    <cellStyle name="Normal" xfId="0" builtinId="0" hidden="0"/>
  </cellStyles>
  <dxfs count="4">
    <dxf>
      <font>
        <name val="Arial"/>
        <b val="1"/>
        <color rgb="009C0006"/>
        <sz val="10"/>
      </font>
      <fill>
        <patternFill patternType="solid">
          <fgColor rgb="00FFC7CE"/>
        </patternFill>
      </fill>
    </dxf>
    <dxf>
      <font>
        <name val="Arial"/>
        <color rgb="009C5700"/>
        <sz val="10"/>
      </font>
      <fill>
        <patternFill patternType="solid">
          <fgColor rgb="00FFEB9C"/>
        </patternFill>
      </fill>
    </dxf>
    <dxf>
      <font>
        <name val="Arial"/>
        <b val="1"/>
        <color rgb="00006100"/>
        <sz val="10"/>
      </font>
      <fill>
        <patternFill patternType="solid">
          <fgColor rgb="00C6EFCE"/>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EnPlazo" displayName="EnPlazo" ref="A1:Y102" headerRowCount="1">
  <autoFilter ref="A1:Y102"/>
  <tableColumns count="25">
    <tableColumn id="1" name="Nueva"/>
    <tableColumn id="2" name="Fecha límite"/>
    <tableColumn id="3" name="Días restantes"/>
    <tableColumn id="4" name="Presupuesto base sin IVA"/>
    <tableColumn id="5" name="Valor estimado"/>
    <tableColumn id="6" name="Comunidad"/>
    <tableColumn id="7" name="Provincia"/>
    <tableColumn id="8" name="Municipio"/>
    <tableColumn id="9" name="Órgano de contratación"/>
    <tableColumn id="10" name="Objeto"/>
    <tableColumn id="11" name="Expediente"/>
    <tableColumn id="12" name="Procedimiento"/>
    <tableColumn id="13" name="Plazo de ejecución (meses)"/>
    <tableColumn id="14" name="Clasificación exigida"/>
    <tableColumn id="15" name="Juicio de valor"/>
    <tableColumn id="16" name="Criterios de adjudicación"/>
    <tableColumn id="17" name="Garantías"/>
    <tableColumn id="18" name="Revisión de precios"/>
    <tableColumn id="19" name="Nº lotes"/>
    <tableColumn id="20" name="CPV"/>
    <tableColumn id="21" name="PCAP"/>
    <tableColumn id="22" name="PPT"/>
    <tableColumn id="23" name="Ficha PLACSP"/>
    <tableColumn id="24" name="Primera detección"/>
    <tableColumn id="25" name="Cambios"/>
  </tableColumns>
  <tableStyleInfo name="TableStyleMedium2" showRowStripes="1"/>
</table>
</file>

<file path=xl/tables/table2.xml><?xml version="1.0" encoding="utf-8"?>
<table xmlns="http://schemas.openxmlformats.org/spreadsheetml/2006/main" id="2" name="Historico" displayName="Historico" ref="A1:U1760" headerRowCount="1">
  <autoFilter ref="A1:U1760"/>
  <tableColumns count="21">
    <tableColumn id="1" name="Estado"/>
    <tableColumn id="2" name="Fecha límite"/>
    <tableColumn id="3" name="Presupuesto base sin IVA"/>
    <tableColumn id="4" name="Valor estimado"/>
    <tableColumn id="5" name="Comunidad"/>
    <tableColumn id="6" name="Provincia"/>
    <tableColumn id="7" name="Municipio"/>
    <tableColumn id="8" name="Órgano de contratación"/>
    <tableColumn id="9" name="Objeto"/>
    <tableColumn id="10" name="Expediente"/>
    <tableColumn id="11" name="Procedimiento"/>
    <tableColumn id="12" name="Plazo de ejecución (meses)"/>
    <tableColumn id="13" name="Clasificación exigida"/>
    <tableColumn id="14" name="Juicio de valor"/>
    <tableColumn id="15" name="Nº lotes"/>
    <tableColumn id="16" name="CPV"/>
    <tableColumn id="17" name="Ficha PLACSP"/>
    <tableColumn id="18" name="PCAP"/>
    <tableColumn id="19" name="Primera detección"/>
    <tableColumn id="20" name="Última actualización en PLACSP"/>
    <tableColumn id="21" name="Cambio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ntrataciondelestado.es/FileSystem/servlet/GetDocumentByIdServlet?cifrado=QUC1GjXXSiLkydRHJBmbpw%3D%3D&amp;DocumentIdParam=aQiZsJ4MySJ9ZqTU1C8LmxesmSHFRZKjkPMZI5P2SNHc8oZlaaYPxzX6EsEb80FIXKRgtqlU5arbvgWW/oP0oa3ak/fFl0xfHeMxSlt1DVht/o8fNevwsujgRzaBbugn" TargetMode="External" Id="rId1" /><Relationship Type="http://schemas.openxmlformats.org/officeDocument/2006/relationships/hyperlink" Target="https://contrataciondelestado.es/FileSystem/servlet/GetDocumentByIdServlet?cifrado=QUC1GjXXSiLkydRHJBmbpw%3D%3D&amp;DocumentIdParam=db4dGufGDHugcEOHowq2JLKw/okPbaN%2BBBUb7R%2B1C/ycWGkJGCnEyTvc9dwjXB6X6gmxQ3VLk8wJuoBDr5tZdWnuj0QuaEjGZxald4ILAAaCx2e6p7hqtlp2aFupgHMr" TargetMode="External" Id="rId2" /><Relationship Type="http://schemas.openxmlformats.org/officeDocument/2006/relationships/hyperlink" Target="https://contrataciondelestado.es/wps/poc?uri=deeplink:detalle_licitacion&amp;idEvl=zB%2ByHsNPij2ExvMJXBMHHQ%3D%3D" TargetMode="External" Id="rId3" /><Relationship Type="http://schemas.openxmlformats.org/officeDocument/2006/relationships/hyperlink" Target="https://contrataciondelestado.es/FileSystem/servlet/GetDocumentByIdServlet?cifrado=QUC1GjXXSiLkydRHJBmbpw%3D%3D&amp;DocumentIdParam=f4OkZgAvgnCoSaoKSMViAW91lUID41ETjkgKjz2NKJv5bQ4e4lDIWjn4/AM2%2BFOhZxjHnyKwuebVUnzG1dCCHQjTTEAUxas2ZyiBkjKJvxwC1/zDIE0Kw/PWNnLS0Z0z" TargetMode="External" Id="rId4" /><Relationship Type="http://schemas.openxmlformats.org/officeDocument/2006/relationships/hyperlink" Target="https://contrataciondelestado.es/FileSystem/servlet/GetDocumentByIdServlet?cifrado=QUC1GjXXSiLkydRHJBmbpw%3D%3D&amp;DocumentIdParam=lj5bDZBNt59TVfxPQvb/UqY8NOeNVn4uW/GIoHfpZ2VY2OShK%2BPKgswIUV4X%2B66aKQyX0eT74OYCzWA/mARrrhNciI5i3FUrthLbrmISvXHDdQD9RyhUmzT4jZ2In4zL" TargetMode="External" Id="rId5" /><Relationship Type="http://schemas.openxmlformats.org/officeDocument/2006/relationships/hyperlink" Target="https://contrataciondelestado.es/wps/poc?uri=deeplink:detalle_licitacion&amp;idEvl=ugqzsN97RgdrhBlEHQFSKA%3D%3D" TargetMode="External" Id="rId6" /><Relationship Type="http://schemas.openxmlformats.org/officeDocument/2006/relationships/hyperlink" Target="https://contrataciondelestado.es/FileSystem/servlet/GetDocumentByIdServlet?cifrado=QUC1GjXXSiLkydRHJBmbpw%3D%3D&amp;DocumentIdParam=PAC5brfGoAoWGI5I%2BYWX9DDL0koBesN0yHzrAYV3Rnasxv8NFW3hWhNXdo1EOdChx%2Bnzf0jEk4AIUgnGzkyQJotldqsdOpeq9URZ08v3wQl45ClyWkoJ44mKM70IFcOu" TargetMode="External" Id="rId7" /><Relationship Type="http://schemas.openxmlformats.org/officeDocument/2006/relationships/hyperlink" Target="https://contrataciondelestado.es/FileSystem/servlet/GetDocumentByIdServlet?cifrado=QUC1GjXXSiLkydRHJBmbpw%3D%3D&amp;DocumentIdParam=5trGNMvFBUDDNc06hSYkZ4tQkTr84TnQCKq7gWLEcMEX7IWXKWxLITlMSxDulpfZqLJ//FaqxsR5lABQkN8AyhTKyO9DrJd6x%2B11ORIkG0kC1/zDIE0Kw/PWNnLS0Z0z" TargetMode="External" Id="rId8" /><Relationship Type="http://schemas.openxmlformats.org/officeDocument/2006/relationships/hyperlink" Target="https://contrataciondelestado.es/wps/poc?uri=deeplink:detalle_licitacion&amp;idEvl=0NmPyeFB%2Be4ZDGvgaZEVxQ%3D%3D" TargetMode="External" Id="rId9" /><Relationship Type="http://schemas.openxmlformats.org/officeDocument/2006/relationships/hyperlink" Target="https://contrataciondelestado.es/FileSystem/servlet/GetDocumentByIdServlet?cifrado=QUC1GjXXSiLkydRHJBmbpw%3D%3D&amp;DocumentIdParam=u3XfAQ4YHNQ1eRX1B4mhPBmbPm%2BlIhm9yYOboRL%2Bs5KXNzPV5kd9m/06AtzFaHmy1in2AfYUIjoBEgTvLeIcrVLxwq1GNXlkMb1dyS9oKvSB0nvVKRzfe4rpHcnlPhSZ" TargetMode="External" Id="rId10" /><Relationship Type="http://schemas.openxmlformats.org/officeDocument/2006/relationships/hyperlink" Target="https://contrataciondelestado.es/wps/poc?uri=deeplink:detalle_licitacion&amp;idEvl=%2BKWo7%2B323N1SYrkJkLlFdw%3D%3D" TargetMode="External" Id="rId11" /><Relationship Type="http://schemas.openxmlformats.org/officeDocument/2006/relationships/hyperlink" Target="https://contrataciondelestado.es/FileSystem/servlet/GetDocumentByIdServlet?cifrado=QUC1GjXXSiLkydRHJBmbpw%3D%3D&amp;DocumentIdParam=q8/nNRFPeyxh/rTsRc%2BbcCiox/gXOAusd/xEn6bc/NEoBDfoNzT6TmNU5QrU0HuFDwZLANh2nOAICU1XFnZB6P2EaZBx4HehqWN5XhDmarCB0nvVKRzfe4rpHcnlPhSZ" TargetMode="External" Id="rId12" /><Relationship Type="http://schemas.openxmlformats.org/officeDocument/2006/relationships/hyperlink" Target="https://contrataciondelestado.es/FileSystem/servlet/GetDocumentByIdServlet?cifrado=QUC1GjXXSiLkydRHJBmbpw%3D%3D&amp;DocumentIdParam=VHdXhiQ1P0FXpdRWBT1oVE4yRVsoWU3jhgPKRl/8W30z3l5z1wlhuHS7OR1aUGj8q6I1iFm/kIDK6kjFSX8%2BMGA8yRgdadHhrM2TBPI8jHlt/o8fNevwsujgRzaBbugn" TargetMode="External" Id="rId13" /><Relationship Type="http://schemas.openxmlformats.org/officeDocument/2006/relationships/hyperlink" Target="https://contrataciondelestado.es/wps/poc?uri=deeplink:detalle_licitacion&amp;idEvl=9kNKmiY1NbdVYjgxA4nMUw%3D%3D" TargetMode="External" Id="rId14" /><Relationship Type="http://schemas.openxmlformats.org/officeDocument/2006/relationships/hyperlink" Target="https://contrataciondelestado.es/FileSystem/servlet/GetDocumentByIdServlet?cifrado=QUC1GjXXSiLkydRHJBmbpw%3D%3D&amp;DocumentIdParam=o46o238VJDkYv2x7nSJejv18OqsAqkLNa1af9w%2BP0cpQVJAvqJdCXcBWko6KH3sy850O5FWXcRnJsfHkP5ZbRADjXqWbRoOLTky2Zk6WsSJJOVDbGCDM%2BMigrvuVS7Rv" TargetMode="External" Id="rId15" /><Relationship Type="http://schemas.openxmlformats.org/officeDocument/2006/relationships/hyperlink" Target="https://contrataciondelestado.es/FileSystem/servlet/GetDocumentByIdServlet?cifrado=QUC1GjXXSiLkydRHJBmbpw%3D%3D&amp;DocumentIdParam=ljJZKAEkSp7rodSaLnsGBCDkEI67xlSSnylb/ZSt61iDs0gvggQwEMU2w/OgoHXDtv0AXvJnezY/yKJqfERpmXf3xt4p54FCYOuj9MVTYFw//q7NB2iMZvNyf0xrJmjt" TargetMode="External" Id="rId16" /><Relationship Type="http://schemas.openxmlformats.org/officeDocument/2006/relationships/hyperlink" Target="https://contrataciondelestado.es/wps/poc?uri=deeplink:detalle_licitacion&amp;idEvl=PseRgz82Eq8tm4eBPtV6eQ%3D%3D" TargetMode="External" Id="rId17" /><Relationship Type="http://schemas.openxmlformats.org/officeDocument/2006/relationships/hyperlink" Target="https://contrataciondelestado.es/FileSystem/servlet/GetDocumentByIdServlet?cifrado=QUC1GjXXSiLkydRHJBmbpw%3D%3D&amp;DocumentIdParam=jqfKjzCLhfrGqSZ5tlGRwLxnjAnGMiab6LZsLvK5Arx2hGG6pB%2BilnPOdvllArgd2SADwSKVprl%2BpFMbFTFuaIn3h4gAjoJFfL9XiVAiMKJ7QB3HKyQaFUExmUVQCerk" TargetMode="External" Id="rId18" /><Relationship Type="http://schemas.openxmlformats.org/officeDocument/2006/relationships/hyperlink" Target="https://contrataciondelestado.es/FileSystem/servlet/GetDocumentByIdServlet?cifrado=QUC1GjXXSiLkydRHJBmbpw%3D%3D&amp;DocumentIdParam=cBUWnPPK/rKUMtXA38zVk8DztvOnkazDoO7v1tv9j1H9px8hWLAnOng8KJJcNr7%2BkZkl0mdMW/4/priJGEiEFC6G4JuGPBMnMwo8/ipA6aKHAj0WEJrB5sP7amrh2jBD" TargetMode="External" Id="rId19" /><Relationship Type="http://schemas.openxmlformats.org/officeDocument/2006/relationships/hyperlink" Target="https://contrataciondelestado.es/wps/poc?uri=deeplink:detalle_licitacion&amp;idEvl=zso0KsUSwMV6nTs9LZ9RhQ%3D%3D" TargetMode="External" Id="rId20" /><Relationship Type="http://schemas.openxmlformats.org/officeDocument/2006/relationships/hyperlink" Target="https://contrataciondelestado.es/FileSystem/servlet/GetDocumentByIdServlet?cifrado=QUC1GjXXSiLkydRHJBmbpw%3D%3D&amp;DocumentIdParam=pDGVJBqAo3fvRjmbNgXuvk9LxPOHoYySZZRDw93/gYZsAUb1tLmAlb3nq5zOXc3fMou/Sp%2BMX92kjLh6l1QIhVGvEW7l9OImVtNWKx718TO1aXEvq3KHa/AEHgtDrQw0" TargetMode="External" Id="rId21" /><Relationship Type="http://schemas.openxmlformats.org/officeDocument/2006/relationships/hyperlink" Target="https://contrataciondelestado.es/wps/poc?uri=deeplink:detalle_licitacion&amp;idEvl=x%2BjD2mslfxfL1rX3q%2FMAPA%3D%3D" TargetMode="External" Id="rId22" /><Relationship Type="http://schemas.openxmlformats.org/officeDocument/2006/relationships/hyperlink" Target="https://contrataciondelestado.es/FileSystem/servlet/GetDocumentByIdServlet?cifrado=QUC1GjXXSiLkydRHJBmbpw%3D%3D&amp;DocumentIdParam=TWPeOxRT5zyNfhbM%2BQkeFDd3jW4s0UuhLRoDMChqrRtLtln5JoMNffS8PQK3PYNXlWtHva35QyLYsaCV8XVrl2cxqWmFoJYAf%2BnH/zLBkzFt/o8fNevwsujgRzaBbugn" TargetMode="External" Id="rId23" /><Relationship Type="http://schemas.openxmlformats.org/officeDocument/2006/relationships/hyperlink" Target="https://contrataciondelestado.es/FileSystem/servlet/GetDocumentByIdServlet?cifrado=QUC1GjXXSiLkydRHJBmbpw%3D%3D&amp;DocumentIdParam=PH8ZJgKb4f5k8FzaHmghI67rRg5pHI5ZNrk3Q3PXzyqWg4Dk9JYNu6SotF6Cejwb8JRmBCsQ4rwyQCcXT3q%2BqffyaozsloJjIjshDDR/j2H6CYyL7SIrUOBFfNf52ZqA" TargetMode="External" Id="rId24" /><Relationship Type="http://schemas.openxmlformats.org/officeDocument/2006/relationships/hyperlink" Target="https://contrataciondelestado.es/wps/poc?uri=deeplink:detalle_licitacion&amp;idEvl=Ys3LngVXSMidkQsA7ROvsg%3D%3D" TargetMode="External" Id="rId25" /><Relationship Type="http://schemas.openxmlformats.org/officeDocument/2006/relationships/hyperlink" Target="https://contrataciondelestado.es/FileSystem/servlet/GetDocumentByIdServlet?cifrado=QUC1GjXXSiLkydRHJBmbpw%3D%3D&amp;DocumentIdParam=d2pU/wHR1wtzvzzA8kivjaFOvXjx3KvJ7y6OhQ4gPPAIQ4pgPiUj5fbVsdo3M50Gf1anLABQJj8zdjsLzxEDwmMzX4PLcrAvVp7UMApolgBJOVDbGCDM%2BMigrvuVS7Rv" TargetMode="External" Id="rId26" /><Relationship Type="http://schemas.openxmlformats.org/officeDocument/2006/relationships/hyperlink" Target="https://contrataciondelestado.es/FileSystem/servlet/GetDocumentByIdServlet?cifrado=QUC1GjXXSiLkydRHJBmbpw%3D%3D&amp;DocumentIdParam=UH0PFacRqeVRnHwBUcQ8KEg7ikva4IzILfx/y1CqZPsfihbBUfddDOc7BlFKk91IGP/rRJ0YhOyHepws6X/fgsvERptEnV9y%2BlZOk89K04d7QB3HKyQaFUExmUVQCerk" TargetMode="External" Id="rId27" /><Relationship Type="http://schemas.openxmlformats.org/officeDocument/2006/relationships/hyperlink" Target="https://contrataciondelestado.es/wps/poc?uri=deeplink:detalle_licitacion&amp;idEvl=DbQ1dyjFeeuFlFRHfEzEaw%3D%3D" TargetMode="External" Id="rId28" /><Relationship Type="http://schemas.openxmlformats.org/officeDocument/2006/relationships/hyperlink" Target="https://contrataciondelestado.es/FileSystem/servlet/GetDocumentByIdServlet?cifrado=QUC1GjXXSiLkydRHJBmbpw%3D%3D&amp;DocumentIdParam=NLiGvrlBZKDB8mPb4bhZxpHy3WhmLO0NiJymbrQd0fzlb9Bzbe5Ml3PDKiMIyIkau7yGz3BnwtC6c5IYWdfCyOyBJmIQr%2B7etdZ6w70U29l7QB3HKyQaFUExmUVQCerk" TargetMode="External" Id="rId29" /><Relationship Type="http://schemas.openxmlformats.org/officeDocument/2006/relationships/hyperlink" Target="https://contrataciondelestado.es/FileSystem/servlet/GetDocumentByIdServlet?cifrado=QUC1GjXXSiLkydRHJBmbpw%3D%3D&amp;DocumentIdParam=baV4DPcSILXW4OTUgJKpw1GeHfU9lkH2lLLO8qI8nQPiWofETFf5G2BltOBnEJQMVh77R2B7w7zAAq5eWCAc/vQNG6VTl3EnM%2BWb0/4euqD6CYyL7SIrUOBFfNf52ZqA" TargetMode="External" Id="rId30" /><Relationship Type="http://schemas.openxmlformats.org/officeDocument/2006/relationships/hyperlink" Target="https://contrataciondelestado.es/wps/poc?uri=deeplink:detalle_licitacion&amp;idEvl=i1jUKg0H2ko%2Bk2oCbDosIw%3D%3D" TargetMode="External" Id="rId31" /><Relationship Type="http://schemas.openxmlformats.org/officeDocument/2006/relationships/hyperlink" Target="https://contrataciondelestado.es/FileSystem/servlet/GetDocumentByIdServlet?cifrado=QUC1GjXXSiLkydRHJBmbpw%3D%3D&amp;DocumentIdParam=kQ2YBv8zMh/uLBj0I7zUEEfaYJrNNdaVP%2BLLkotg7jpmO/EMLg0Wj%2BRXQmV1FgWFITMIowIBEc5VylLFVNOHgHA/fyLD1a0OKzE5%2BsiCEiuCx2e6p7hqtlp2aFupgHMr" TargetMode="External" Id="rId32" /><Relationship Type="http://schemas.openxmlformats.org/officeDocument/2006/relationships/hyperlink" Target="https://contrataciondelestado.es/FileSystem/servlet/GetDocumentByIdServlet?cifrado=QUC1GjXXSiLkydRHJBmbpw%3D%3D&amp;DocumentIdParam=UWsfXNhVbWIOLXT6tRUYYjIuy6y9yEPtB7sdBUgxxWpihGljgjUUO%2BEmPdsS39/34dQoecPANFRVe/nxEMeklxKOCTCeRBW5hH/c1UpRFe8ZyAJWGsSt0OzTSTyw9JAs" TargetMode="External" Id="rId33" /><Relationship Type="http://schemas.openxmlformats.org/officeDocument/2006/relationships/hyperlink" Target="https://contrataciondelestado.es/wps/poc?uri=deeplink:detalle_licitacion&amp;idEvl=qKjSf4xzbvVWhbmkna2nXQ%3D%3D" TargetMode="External" Id="rId34" /><Relationship Type="http://schemas.openxmlformats.org/officeDocument/2006/relationships/hyperlink" Target="https://contrataciondelestado.es/FileSystem/servlet/GetDocumentByIdServlet?cifrado=QUC1GjXXSiLkydRHJBmbpw%3D%3D&amp;DocumentIdParam=ezppluGR6ASZP91ja1qSgvuaM1EB8dFCpPuZTEOFpoxAW1dwpPqcvpYsxJIOtGIvXmJMcyCWmbBrOGbEiUMbDkoWPbMxaVZJdjyghibzupqHAj0WEJrB5sP7amrh2jBD" TargetMode="External" Id="rId35" /><Relationship Type="http://schemas.openxmlformats.org/officeDocument/2006/relationships/hyperlink" Target="https://contrataciondelestado.es/FileSystem/servlet/GetDocumentByIdServlet?cifrado=QUC1GjXXSiLkydRHJBmbpw%3D%3D&amp;DocumentIdParam=1CJeB324NzlhmTGcEVC39YMjoGwoxUNMj6Q%2BBEuIws7kF%2B3cZH2nHHvLLEhKlbhgq0ueeo2AbY7kskAjpUoCh8/GVSFf8OubDx8%2B302z1F545ClyWkoJ44mKM70IFcOu" TargetMode="External" Id="rId36" /><Relationship Type="http://schemas.openxmlformats.org/officeDocument/2006/relationships/hyperlink" Target="https://contrataciondelestado.es/wps/poc?uri=deeplink:detalle_licitacion&amp;idEvl=AkmziTT2Wyotm4eBPtV6eQ%3D%3D" TargetMode="External" Id="rId37" /><Relationship Type="http://schemas.openxmlformats.org/officeDocument/2006/relationships/hyperlink" Target="https://contrataciondelestado.es/FileSystem/servlet/GetDocumentByIdServlet?cifrado=QUC1GjXXSiLkydRHJBmbpw%3D%3D&amp;DocumentIdParam=bskdD/HIHqMBjDUm/Gv0/Ca5y5yGdk2dzwsz7dIRPG2lr/DCvvI5AMu5%2Bro0scAWdHeCcfQIMqKI3vbDfqFwGhjHY58D74R9qM0x1qY3r4u1aXEvq3KHa/AEHgtDrQw0" TargetMode="External" Id="rId38" /><Relationship Type="http://schemas.openxmlformats.org/officeDocument/2006/relationships/hyperlink" Target="https://contrataciondelestado.es/wps/poc?uri=deeplink:detalle_licitacion&amp;idEvl=Tfq5WEVf26txseVhcqrkhw%3D%3D" TargetMode="External" Id="rId39" /><Relationship Type="http://schemas.openxmlformats.org/officeDocument/2006/relationships/hyperlink" Target="https://contrataciondelestado.es/FileSystem/servlet/GetDocumentByIdServlet?cifrado=QUC1GjXXSiLkydRHJBmbpw%3D%3D&amp;DocumentIdParam=5R4IgpGrkvNtOlLdPmB9FlNOt0DCerfr%2Bvnufft6k7mJC2fUJJ6bTonw3Lpw0v51qd/k6UsLEwI1QshThKTaOqpoAlbda9WSlXM2x3zAvp0//q7NB2iMZvNyf0xrJmjt" TargetMode="External" Id="rId40" /><Relationship Type="http://schemas.openxmlformats.org/officeDocument/2006/relationships/hyperlink" Target="https://contrataciondelestado.es/FileSystem/servlet/GetDocumentByIdServlet?cifrado=QUC1GjXXSiLkydRHJBmbpw%3D%3D&amp;DocumentIdParam=MvGrmzEsVwUL%2BGTmk2HpqBEFP5Npk50zsAs6rTq8Df7ux4p/PaFo39Gm7WPdPwFeHBjcc6MqXkz9cKo9Kdh9dQmKSmB8l8Iip/xAnQ7TvDN7QB3HKyQaFUExmUVQCerk" TargetMode="External" Id="rId41" /><Relationship Type="http://schemas.openxmlformats.org/officeDocument/2006/relationships/hyperlink" Target="https://contrataciondelestado.es/wps/poc?uri=deeplink:detalle_licitacion&amp;idEvl=mVq8uFi87t7N3k3tjedSGw%3D%3D" TargetMode="External" Id="rId42" /><Relationship Type="http://schemas.openxmlformats.org/officeDocument/2006/relationships/hyperlink" Target="https://contrataciondelestado.es/FileSystem/servlet/GetDocumentByIdServlet?cifrado=QUC1GjXXSiLkydRHJBmbpw%3D%3D&amp;DocumentIdParam=NBOzDiow0QKneVYmFsM%2Bvg0HfIHOwxsY3lhZ5tAjzseiSw4URRLs8KH%2Ba3V2/jex7VfFUuds93SfAuAf1tbBLmMiZiYs19vPPtLGRHsKLe9JOVDbGCDM%2BMigrvuVS7Rv" TargetMode="External" Id="rId43" /><Relationship Type="http://schemas.openxmlformats.org/officeDocument/2006/relationships/hyperlink" Target="https://contrataciondelestado.es/FileSystem/servlet/GetDocumentByIdServlet?cifrado=QUC1GjXXSiLkydRHJBmbpw%3D%3D&amp;DocumentIdParam=tIpzzNDql23rPOFPTI%2Bf8lJVKJz/7rBx647xrx0NPUv3sE4bI4x/4E8gPmUkHi%2BK/79O/u8CBaLITloy%2BNie4SRtYta0W7R1gu%2BtzpzKdiAZyAJWGsSt0OzTSTyw9JAs" TargetMode="External" Id="rId44" /><Relationship Type="http://schemas.openxmlformats.org/officeDocument/2006/relationships/hyperlink" Target="https://contrataciondelestado.es/wps/poc?uri=deeplink:detalle_licitacion&amp;idEvl=bMax%2B3FiBEYmMOlAXxDEjw%3D%3D" TargetMode="External" Id="rId45" /><Relationship Type="http://schemas.openxmlformats.org/officeDocument/2006/relationships/hyperlink" Target="https://contrataciondelestado.es/FileSystem/servlet/GetDocumentByIdServlet?cifrado=QUC1GjXXSiLkydRHJBmbpw%3D%3D&amp;DocumentIdParam=YjChuvJzZXU%2Bin9w6HCdmfOkK8C1asi57WF/0lP5JzxHN/AuXOWY6Z1MwvFQ7J4uFFsVyK5HCd2F%2B7fDyuxPKtPj8vKoDovPaYEc1qVBM/MC1/zDIE0Kw/PWNnLS0Z0z" TargetMode="External" Id="rId46" /><Relationship Type="http://schemas.openxmlformats.org/officeDocument/2006/relationships/hyperlink" Target="https://contrataciondelestado.es/FileSystem/servlet/GetDocumentByIdServlet?cifrado=QUC1GjXXSiLkydRHJBmbpw%3D%3D&amp;DocumentIdParam=7MP9c2AJkOpRG5ZDazvnPv2XXapqs5WgEnjMP9HkfaOWdWDwNQhHdGZL6/%2Bt2GycpwEs6%2BCPNnSALSab9YpQu4PmZg1Cy4S85i9m/53Xl3/fdyQgZAdTm3EfcUAC7CJ6" TargetMode="External" Id="rId47" /><Relationship Type="http://schemas.openxmlformats.org/officeDocument/2006/relationships/hyperlink" Target="https://contrataciondelestado.es/wps/poc?uri=deeplink:detalle_licitacion&amp;idEvl=CEh8NhDAK2l9PLkba5eRog%3D%3D" TargetMode="External" Id="rId48" /><Relationship Type="http://schemas.openxmlformats.org/officeDocument/2006/relationships/hyperlink" Target="https://contrataciondelestado.es/FileSystem/servlet/GetDocumentByIdServlet?cifrado=QUC1GjXXSiLkydRHJBmbpw%3D%3D&amp;DocumentIdParam=ab%2B8Mp%2BBS3Adgunz3Tpf58ISeGcP8TzXr%2BjRUgB6zNAKPpYowRDWfEdmqDRDxzXKoZ0lCApgEGEXdYD3rsDlKEZ6ks%2BDDK64b%2BTf7DxyYeqHAj0WEJrB5sP7amrh2jBD" TargetMode="External" Id="rId49" /><Relationship Type="http://schemas.openxmlformats.org/officeDocument/2006/relationships/hyperlink" Target="https://contrataciondelestado.es/FileSystem/servlet/GetDocumentByIdServlet?cifrado=QUC1GjXXSiLkydRHJBmbpw%3D%3D&amp;DocumentIdParam=Lz02EZApWJgUl6Xv4RN/7vGqYzz3bKFAXkVaQops%2Bg9RzBNa11dmAedFNiuxMt28LHPqracQ3FTVaJD4SQ7CW0J7YRWINLHBfjRsqAyaItOHAj0WEJrB5sP7amrh2jBD" TargetMode="External" Id="rId50" /><Relationship Type="http://schemas.openxmlformats.org/officeDocument/2006/relationships/hyperlink" Target="https://contrataciondelestado.es/wps/poc?uri=deeplink:detalle_licitacion&amp;idEvl=PEeOxC2o%2BTx%2BF6L2uCfUWg%3D%3D" TargetMode="External" Id="rId51" /><Relationship Type="http://schemas.openxmlformats.org/officeDocument/2006/relationships/hyperlink" Target="https://contrataciondelestado.es/FileSystem/servlet/GetDocumentByIdServlet?cifrado=QUC1GjXXSiLkydRHJBmbpw%3D%3D&amp;DocumentIdParam=8ACl%2BdPqAFvselg1yNlVd/llY6Q/qFLB4CILaBGe0dWmm7jXSHaviysWBMRuBTUK1abQ3qJF9BARhlchro1iBkGytD62NjGxFmS8m6D31PfDdQD9RyhUmzT4jZ2In4zL" TargetMode="External" Id="rId52" /><Relationship Type="http://schemas.openxmlformats.org/officeDocument/2006/relationships/hyperlink" Target="https://contrataciondelestado.es/FileSystem/servlet/GetDocumentByIdServlet?cifrado=QUC1GjXXSiLkydRHJBmbpw%3D%3D&amp;DocumentIdParam=fCB1ebW51o2x5VUmmC5tOZGy%2BPj276u770cHgzXKAu5FtgKsMstXEdAxQAde%2BJTECiLA6yHxofMPtH0PP9u/K1HibTTIDcm9xep0O6xU6grfdyQgZAdTm3EfcUAC7CJ6" TargetMode="External" Id="rId53" /><Relationship Type="http://schemas.openxmlformats.org/officeDocument/2006/relationships/hyperlink" Target="https://contrataciondelestado.es/wps/poc?uri=deeplink:detalle_licitacion&amp;idEvl=8tSROFZiP93yoM4us5k4vw%3D%3D" TargetMode="External" Id="rId54" /><Relationship Type="http://schemas.openxmlformats.org/officeDocument/2006/relationships/hyperlink" Target="https://contrataciondelestado.es/FileSystem/servlet/GetDocumentByIdServlet?cifrado=QUC1GjXXSiLkydRHJBmbpw%3D%3D&amp;DocumentIdParam=EvNLXcH34YGE/AkgGXmdu%2B25m0r%2BPRyv2m9m78qv9cq2QUZFTiUKhAt7oB0aHZPEobFiwJhMOrrgukYkl%2BLpxS2vI6ouJpMBUGLDCyH1j4iB0nvVKRzfe4rpHcnlPhSZ" TargetMode="External" Id="rId55" /><Relationship Type="http://schemas.openxmlformats.org/officeDocument/2006/relationships/hyperlink" Target="https://contrataciondelestado.es/FileSystem/servlet/GetDocumentByIdServlet?cifrado=QUC1GjXXSiLkydRHJBmbpw%3D%3D&amp;DocumentIdParam=hayopJ59p51JALhT0r5LxyK6lBPR2LQt%2Bdtq3BIfboDXbnz%2BVrdrG5TxoU4U9mpoYsorqX0tsJMiKKRs2GUyk3WbH9MBqA7aneMTahjd23Rt/o8fNevwsujgRzaBbugn" TargetMode="External" Id="rId56" /><Relationship Type="http://schemas.openxmlformats.org/officeDocument/2006/relationships/hyperlink" Target="https://contrataciondelestado.es/wps/poc?uri=deeplink:detalle_licitacion&amp;idEvl=H%2BfoiMiWeQuS81gZFETWmA%3D%3D" TargetMode="External" Id="rId57" /><Relationship Type="http://schemas.openxmlformats.org/officeDocument/2006/relationships/hyperlink" Target="https://contrataciondelestado.es/FileSystem/servlet/GetDocumentByIdServlet?cifrado=QUC1GjXXSiLkydRHJBmbpw%3D%3D&amp;DocumentIdParam=e3DdtjMwO3Ruf4Ze2gc%2BIRKH6hw5/LxKsRA4PxgTW0O0/RbNAYawuTtHLOj7vbkYkg0SCcQKS3opc2MdID09Q7Ehh%2BJlqZWtJV9/C60fFKMC1/zDIE0Kw/PWNnLS0Z0z" TargetMode="External" Id="rId58" /><Relationship Type="http://schemas.openxmlformats.org/officeDocument/2006/relationships/hyperlink" Target="https://contrataciondelestado.es/FileSystem/servlet/GetDocumentByIdServlet?cifrado=QUC1GjXXSiLkydRHJBmbpw%3D%3D&amp;DocumentIdParam=bLPV4Unj2bx1uUByrXlat6f8tiJQVLVrqDhJwG0IH4N7mDW%2BSuuTzaW8dw9Qq99Kb500DfFBsEdBl8GsNmTTvDjuD1PSU9m8OGBM9lLz66VJOVDbGCDM%2BMigrvuVS7Rv" TargetMode="External" Id="rId59" /><Relationship Type="http://schemas.openxmlformats.org/officeDocument/2006/relationships/hyperlink" Target="https://contrataciondelestado.es/wps/poc?uri=deeplink:detalle_licitacion&amp;idEvl=aRIdqffKCsteKgd8LfVV9g%3D%3D" TargetMode="External" Id="rId60" /><Relationship Type="http://schemas.openxmlformats.org/officeDocument/2006/relationships/hyperlink" Target="https://contrataciondelestado.es/FileSystem/servlet/GetDocumentByIdServlet?cifrado=QUC1GjXXSiLkydRHJBmbpw%3D%3D&amp;DocumentIdParam=sl146V6ElEXcBcNUnXBP8xFpuk5avXnaJlAjUcK3iWrhd4lVaCfV3eWOA1aI/j358DrPdEA0cOp94OREG7v4Ww7%2Bzw%2BOFd0ItLIO06w1lcz3GVhXrFFqN7yFncy7YfRK" TargetMode="External" Id="rId61" /><Relationship Type="http://schemas.openxmlformats.org/officeDocument/2006/relationships/hyperlink" Target="https://contrataciondelestado.es/FileSystem/servlet/GetDocumentByIdServlet?cifrado=QUC1GjXXSiLkydRHJBmbpw%3D%3D&amp;DocumentIdParam=5Hy4alwlYPNovuZz1xAOn6dLFYojJNXs/w4CKQ7Xu9M%2Bzww8M/hGN4Jq9Zy68vE0RgDLR/asVLPXJON30Nn2WWyk%2BbeXykmer4VqlMC965L3GVhXrFFqN7yFncy7YfRK" TargetMode="External" Id="rId62" /><Relationship Type="http://schemas.openxmlformats.org/officeDocument/2006/relationships/hyperlink" Target="https://contrataciondelestado.es/wps/poc?uri=deeplink:detalle_licitacion&amp;idEvl=XjsYRiFYwurCfVQHDepjGQ%3D%3D" TargetMode="External" Id="rId63" /><Relationship Type="http://schemas.openxmlformats.org/officeDocument/2006/relationships/hyperlink" Target="https://contrataciondelestado.es/FileSystem/servlet/GetDocumentByIdServlet?cifrado=QUC1GjXXSiLkydRHJBmbpw%3D%3D&amp;DocumentIdParam=SoHAb6jy1XstgZ2qXEg/w192AgqQz0GdcJaiNsewZ%2BkOg%2Bg3VCblSZRR7RTzecDONbpnxdTtPH3MuTTPVkbCuXUVxVnCk5Xi5nBiS4B6XnPDdQD9RyhUmzT4jZ2In4zL" TargetMode="External" Id="rId64" /><Relationship Type="http://schemas.openxmlformats.org/officeDocument/2006/relationships/hyperlink" Target="https://contrataciondelestado.es/FileSystem/servlet/GetDocumentByIdServlet?cifrado=QUC1GjXXSiLkydRHJBmbpw%3D%3D&amp;DocumentIdParam=IKRrgkRv8Q6iDY0ixmOBOuCHkOqRlx6cJS8NOXWGdYJT23KX4I8OHd2D9Pz8AziOulzQs7r2RLghwMtvAKOe9zMOlNooznrKv9msGbhzVxsZyAJWGsSt0OzTSTyw9JAs" TargetMode="External" Id="rId65" /><Relationship Type="http://schemas.openxmlformats.org/officeDocument/2006/relationships/hyperlink" Target="https://contrataciondelestado.es/wps/poc?uri=deeplink:detalle_licitacion&amp;idEvl=%2BowZ1JjLNKwkJPJS%2BPS9vg%3D%3D" TargetMode="External" Id="rId66" /><Relationship Type="http://schemas.openxmlformats.org/officeDocument/2006/relationships/hyperlink" Target="https://contrataciondelestado.es/FileSystem/servlet/GetDocumentByIdServlet?cifrado=QUC1GjXXSiLkydRHJBmbpw%3D%3D&amp;DocumentIdParam=4Olo7kYgFvEES5uZIJmlCaF47L0pi0cIdysP9rXxOT/IBbtNYzkykXtlyhnlJQF44tLHDOJ/UReADDyQAK0axUz29Ffs09SLlkITFmGl6q0C1/zDIE0Kw/PWNnLS0Z0z" TargetMode="External" Id="rId67" /><Relationship Type="http://schemas.openxmlformats.org/officeDocument/2006/relationships/hyperlink" Target="https://contrataciondelestado.es/FileSystem/servlet/GetDocumentByIdServlet?cifrado=QUC1GjXXSiLkydRHJBmbpw%3D%3D&amp;DocumentIdParam=ul55xYnUsyKmgoamhRplgl6ikqvAos3%2B8Zobyyb7kl/%2Bmc5oRHIKSJ7bV7veCq0zkfIaT49560uCmgcbvJYMc6GD4K7qkeiCdd/a1VSxhgSB0nvVKRzfe4rpHcnlPhSZ" TargetMode="External" Id="rId68" /><Relationship Type="http://schemas.openxmlformats.org/officeDocument/2006/relationships/hyperlink" Target="https://contrataciondelestado.es/wps/poc?uri=deeplink:detalle_licitacion&amp;idEvl=cQbWxtnWm2Ts%2BnLj3vAg5A%3D%3D" TargetMode="External" Id="rId69" /><Relationship Type="http://schemas.openxmlformats.org/officeDocument/2006/relationships/hyperlink" Target="https://contrataciondelestado.es/FileSystem/servlet/GetDocumentByIdServlet?cifrado=QUC1GjXXSiLkydRHJBmbpw%3D%3D&amp;DocumentIdParam=yjGH9rRUDTNJKXaKtgMCRbla2JVoSHRAnvyW7ytMVS0qNq41kuftyKXXEUnEMV/zH1QAz3CXSHaDb9vUFkEenIvXqi5g8tl03wvWSGagmGw//q7NB2iMZvNyf0xrJmjt" TargetMode="External" Id="rId70" /><Relationship Type="http://schemas.openxmlformats.org/officeDocument/2006/relationships/hyperlink" Target="https://contrataciondelestado.es/FileSystem/servlet/GetDocumentByIdServlet?cifrado=QUC1GjXXSiLkydRHJBmbpw%3D%3D&amp;DocumentIdParam=n8S2ew/t6iFEAYtN07z8RYCaC/HxI73vb9/g%2BxpSKV0BO9d0rkp53Tpanhy8jiJo9ilS3mykccSi%2B8lSudjbGWUp0cjI1DDT%2BfA9wW%2BttZj6CYyL7SIrUOBFfNf52ZqA" TargetMode="External" Id="rId71" /><Relationship Type="http://schemas.openxmlformats.org/officeDocument/2006/relationships/hyperlink" Target="https://contrataciondelestado.es/wps/poc?uri=deeplink:detalle_licitacion&amp;idEvl=ujnDWDuOeiqP66GS%2BONYvQ%3D%3D" TargetMode="External" Id="rId72" /><Relationship Type="http://schemas.openxmlformats.org/officeDocument/2006/relationships/hyperlink" Target="https://contrataciondelestado.es/FileSystem/servlet/GetDocumentByIdServlet?cifrado=QUC1GjXXSiLkydRHJBmbpw%3D%3D&amp;DocumentIdParam=/6ZF07JdSPkDtCvzGHT3VAw99w46PhGtPcm3Inif6F0wclU94ozJDoPHlw/Cvx0euzdh2U2zN4m4ajXLkywE/KWKWxyZi/n%2BErUJ3wzJqqZt/o8fNevwsujgRzaBbugn" TargetMode="External" Id="rId73" /><Relationship Type="http://schemas.openxmlformats.org/officeDocument/2006/relationships/hyperlink" Target="https://contrataciondelestado.es/FileSystem/servlet/GetDocumentByIdServlet?cifrado=QUC1GjXXSiLkydRHJBmbpw%3D%3D&amp;DocumentIdParam=C1fIbJpju/yNsBj2yXHUmzViR9YIvESrEtumNWyxFalzIndHu0Jk9aD%2BrffjjKqnZLJoH8HmMwwT3Ypy%2BlWDT5t2vxjO1cY7Db%2B82JZKlLqCx2e6p7hqtlp2aFupgHMr" TargetMode="External" Id="rId74" /><Relationship Type="http://schemas.openxmlformats.org/officeDocument/2006/relationships/hyperlink" Target="https://contrataciondelestado.es/wps/poc?uri=deeplink:detalle_licitacion&amp;idEvl=g%2FgQDBbaHQLjHF5qKI4aaw%3D%3D" TargetMode="External" Id="rId75" /><Relationship Type="http://schemas.openxmlformats.org/officeDocument/2006/relationships/hyperlink" Target="https://contrataciondelestado.es/FileSystem/servlet/GetDocumentByIdServlet?cifrado=QUC1GjXXSiLkydRHJBmbpw%3D%3D&amp;DocumentIdParam=RHYDe2wPV85WWu1LDE8qwmQyMFze6xUmMpWojAwerPj0BcSZEGasgpOl7vtTTaTXlAfw8tBeDtodLkEDk0NFCVcFcLonXkvSxxIopJ28Na2HAj0WEJrB5sP7amrh2jBD" TargetMode="External" Id="rId76" /><Relationship Type="http://schemas.openxmlformats.org/officeDocument/2006/relationships/hyperlink" Target="https://contrataciondelestado.es/FileSystem/servlet/GetDocumentByIdServlet?cifrado=QUC1GjXXSiLkydRHJBmbpw%3D%3D&amp;DocumentIdParam=6MUn/EDjThsuv1ILZBHW6Gu8ahZ7HTpXResx2E0QjbaSZgeoG5ugT/lHlMDNtmee7GuK0mEkX69wnqCt1XZIEIidmoz0%2BilC1N3ENxqoghNJOVDbGCDM%2BMigrvuVS7Rv" TargetMode="External" Id="rId77" /><Relationship Type="http://schemas.openxmlformats.org/officeDocument/2006/relationships/hyperlink" Target="https://contrataciondelestado.es/wps/poc?uri=deeplink:detalle_licitacion&amp;idEvl=ymEwm7ENNZyIzo3LHNPGcQ%3D%3D" TargetMode="External" Id="rId78" /><Relationship Type="http://schemas.openxmlformats.org/officeDocument/2006/relationships/hyperlink" Target="https://contrataciondelestado.es/FileSystem/servlet/GetDocumentByIdServlet?cifrado=QUC1GjXXSiLkydRHJBmbpw%3D%3D&amp;DocumentIdParam=Fe6UsSXGfnIOpMeNt2PRTH0sSTCCdp5T%2BQw9aV6kqnQab4rfQpcnzTfVgMjjpAVbO7ACjJaTq1l9eUvChEKSEfzsomK%2BM5MIf81TjUeEZkp7QB3HKyQaFUExmUVQCerk" TargetMode="External" Id="rId79" /><Relationship Type="http://schemas.openxmlformats.org/officeDocument/2006/relationships/hyperlink" Target="https://contrataciondelestado.es/FileSystem/servlet/GetDocumentByIdServlet?cifrado=QUC1GjXXSiLkydRHJBmbpw%3D%3D&amp;DocumentIdParam=HQm2unoulnvXPgjAkH64iONN1oB5t%2BlAthbmYmTB/WgoXsl1RPqfMtDDN91jdDoyatgYE9XbtrjDXyEsEI2QDNijMAkvAZ%2BVA9FkxmV6SQc//q7NB2iMZvNyf0xrJmjt" TargetMode="External" Id="rId80" /><Relationship Type="http://schemas.openxmlformats.org/officeDocument/2006/relationships/hyperlink" Target="https://contrataciondelestado.es/wps/poc?uri=deeplink:detalle_licitacion&amp;idEvl=9EX80%2FnPwTY2wEhQbcAqug%3D%3D" TargetMode="External" Id="rId81" /><Relationship Type="http://schemas.openxmlformats.org/officeDocument/2006/relationships/hyperlink" Target="https://contrataciondelestado.es/FileSystem/servlet/GetDocumentByIdServlet?cifrado=QUC1GjXXSiLkydRHJBmbpw%3D%3D&amp;DocumentIdParam=dctCS6c85QUAHgoKiAIVN/j8sM8OhULw91Ls6/IE7pGb83Kodvxk/TAcRogJXKMPEBUfxhzr5ZkQfPrTRI/icat99T7wAGEUnyVTuM/rjjSB0nvVKRzfe4rpHcnlPhSZ" TargetMode="External" Id="rId82" /><Relationship Type="http://schemas.openxmlformats.org/officeDocument/2006/relationships/hyperlink" Target="https://contrataciondelestado.es/FileSystem/servlet/GetDocumentByIdServlet?cifrado=QUC1GjXXSiLkydRHJBmbpw%3D%3D&amp;DocumentIdParam=wijkqwWoUD8ItVBTZqfk19yxJ7PffHGljWKhlq89UesaCVed7JJXwKeUjsVXM6TYS2lQevOguW0gOGdH6V7M1/ScYa7Nqo9A2oDkqW7MquZJOVDbGCDM%2BMigrvuVS7Rv" TargetMode="External" Id="rId83" /><Relationship Type="http://schemas.openxmlformats.org/officeDocument/2006/relationships/hyperlink" Target="https://contrataciondelestado.es/wps/poc?uri=deeplink:detalle_licitacion&amp;idEvl=2yXCdpseY5ceIBJRHQiPkQ%3D%3D" TargetMode="External" Id="rId84" /><Relationship Type="http://schemas.openxmlformats.org/officeDocument/2006/relationships/hyperlink" Target="https://contrataciondelestado.es/FileSystem/servlet/GetDocumentByIdServlet?cifrado=QUC1GjXXSiLkydRHJBmbpw%3D%3D&amp;DocumentIdParam=XlVGDYtJZk%2BIIEcRpoXjJmOBEoWIzYXiilR%2BqZ3IRbitLuyS/be0V0aekUEKIgrXQ/nr6UhLcaFdTPjF3SGttUXg/7KycQ3PcY9XMCWg4wIZyAJWGsSt0OzTSTyw9JAs" TargetMode="External" Id="rId85" /><Relationship Type="http://schemas.openxmlformats.org/officeDocument/2006/relationships/hyperlink" Target="https://contrataciondelestado.es/FileSystem/servlet/GetDocumentByIdServlet?cifrado=QUC1GjXXSiLkydRHJBmbpw%3D%3D&amp;DocumentIdParam=J%2B1obLrMmThnRqU24TnggYQAm2JdQMbzoVeZu9Lov5YPNKfSmYRWPtNQG/Q2ezG5sehkPbjLg8SU7vruSbkDq2LenZe149j5kz9QGYO9n8O1aXEvq3KHa/AEHgtDrQw0" TargetMode="External" Id="rId86" /><Relationship Type="http://schemas.openxmlformats.org/officeDocument/2006/relationships/hyperlink" Target="https://contrataciondelestado.es/wps/poc?uri=deeplink:detalle_licitacion&amp;idEvl=3DhfagLElaOFlFRHfEzEaw%3D%3D" TargetMode="External" Id="rId87" /><Relationship Type="http://schemas.openxmlformats.org/officeDocument/2006/relationships/hyperlink" Target="https://contrataciondelestado.es/FileSystem/servlet/GetDocumentByIdServlet?cifrado=QUC1GjXXSiLkydRHJBmbpw%3D%3D&amp;DocumentIdParam=Jxus2S103E9ZBWDhCg1qUTtCPlXVpm7WSLypUYWQvZr5WsYNaCTX9999fWbFIsr2cEs6B21Ql%2BcBCYt/0f%2BNfOgMoWDmgPL7ov2yCi4Rt6uHAj0WEJrB5sP7amrh2jBD" TargetMode="External" Id="rId88" /><Relationship Type="http://schemas.openxmlformats.org/officeDocument/2006/relationships/hyperlink" Target="https://contrataciondelestado.es/FileSystem/servlet/GetDocumentByIdServlet?cifrado=QUC1GjXXSiLkydRHJBmbpw%3D%3D&amp;DocumentIdParam=DdhdMre6JB1HVrdx76exTKZHkzE%2BE18P8/nho0VJOzQ%2Bxzuiz4c62g5gGBitG63jL02dS7JwnISV67yDKaEZIXb6cDQDk8S2I9v9/LlcvsiB0nvVKRzfe4rpHcnlPhSZ" TargetMode="External" Id="rId89" /><Relationship Type="http://schemas.openxmlformats.org/officeDocument/2006/relationships/hyperlink" Target="https://contrataciondelestado.es/wps/poc?uri=deeplink:detalle_licitacion&amp;idEvl=Y1DjExvRJ056nTs9LZ9RhQ%3D%3D" TargetMode="External" Id="rId90" /><Relationship Type="http://schemas.openxmlformats.org/officeDocument/2006/relationships/hyperlink" Target="https://contrataciondelestado.es/FileSystem/servlet/GetDocumentByIdServlet?cifrado=QUC1GjXXSiLkydRHJBmbpw%3D%3D&amp;DocumentIdParam=DL0oQnlVBmYEu5MOdoO%2B7Rtwoegu9RHu8e6oYX2vo21IIVMfbVp5hCqNFb4s1tkMNjPAkyr0TCIC7Fxu0z3qPHh6cNwCyHuZDitv50hF435t/o8fNevwsujgRzaBbugn" TargetMode="External" Id="rId91" /><Relationship Type="http://schemas.openxmlformats.org/officeDocument/2006/relationships/hyperlink" Target="https://contrataciondelestado.es/FileSystem/servlet/GetDocumentByIdServlet?cifrado=QUC1GjXXSiLkydRHJBmbpw%3D%3D&amp;DocumentIdParam=wLt21MWL01GpO9oY0DMK9KkdO3R3ayvM%2BsXgf30eId/bqEWKD9GOLMbRQmsGd8V4eHvp2KIqs6uN9aW0Zu2tz3KC9yiWWolt8L20s3koVMnVTD3T98KC0nSgQFM0q%2B5s" TargetMode="External" Id="rId92" /><Relationship Type="http://schemas.openxmlformats.org/officeDocument/2006/relationships/hyperlink" Target="https://contrataciondelestado.es/wps/poc?uri=deeplink:detalle_licitacion&amp;idEvl=OozDsAmdLF%2BHCIsjvJ3rhQ%3D%3D" TargetMode="External" Id="rId93" /><Relationship Type="http://schemas.openxmlformats.org/officeDocument/2006/relationships/hyperlink" Target="https://contrataciondelestado.es/FileSystem/servlet/GetDocumentByIdServlet?cifrado=QUC1GjXXSiLkydRHJBmbpw%3D%3D&amp;DocumentIdParam=dTFc1c3kMyaQNxv%2BhOC2ab1FK7IozruaeuUZb9llzgVPmnSfFL6OAU/NF/JNVguyP5OlGcN9X5/1Jv1fwta8cEXqCUt9K%2BMseGufzgTWKzz3GVhXrFFqN7yFncy7YfRK" TargetMode="External" Id="rId94" /><Relationship Type="http://schemas.openxmlformats.org/officeDocument/2006/relationships/hyperlink" Target="https://contrataciondelestado.es/FileSystem/servlet/GetDocumentByIdServlet?cifrado=QUC1GjXXSiLkydRHJBmbpw%3D%3D&amp;DocumentIdParam=DlvsTWsXotGbCRagNNwzztll837WKNNO/1r/unbbNTsruAe7QQtT0SFeBC2NgGjyOykDYR0NkEUnrT/lHgI1sT0VQQCCbD/Tc4uNDvZwgl7fdyQgZAdTm3EfcUAC7CJ6" TargetMode="External" Id="rId95" /><Relationship Type="http://schemas.openxmlformats.org/officeDocument/2006/relationships/hyperlink" Target="https://contrataciondelestado.es/wps/poc?uri=deeplink:detalle_licitacion&amp;idEvl=KbsbD2zm6oWdkQsA7ROvsg%3D%3D" TargetMode="External" Id="rId96" /><Relationship Type="http://schemas.openxmlformats.org/officeDocument/2006/relationships/hyperlink" Target="https://contrataciondelestado.es/FileSystem/servlet/GetDocumentByIdServlet?cifrado=QUC1GjXXSiLkydRHJBmbpw%3D%3D&amp;DocumentIdParam=61bQDv1xhJsnMZApKUX%2BMWr3oGoEfWJ0XwpUiGdjLHBI9rK4hHbAvYAF1U/y69gS4v3yXSGgdmZVjYJOOzQE%2BiPbkTWrgMWW167TJIbBf2I//q7NB2iMZvNyf0xrJmjt" TargetMode="External" Id="rId97" /><Relationship Type="http://schemas.openxmlformats.org/officeDocument/2006/relationships/hyperlink" Target="https://contrataciondelestado.es/FileSystem/servlet/GetDocumentByIdServlet?cifrado=QUC1GjXXSiLkydRHJBmbpw%3D%3D&amp;DocumentIdParam=zeEGQUeyZ6sW20AcQiOPvoNOFgDLa5FWKP9BJylXESMKa3Z0jmV9sCFDT1lFdD7T%2BbPwAO1/YkVljAdXwl39r85Zr4IAGa3jpG%2B3zpWC7ZoC1/zDIE0Kw/PWNnLS0Z0z" TargetMode="External" Id="rId98" /><Relationship Type="http://schemas.openxmlformats.org/officeDocument/2006/relationships/hyperlink" Target="https://contrataciondelestado.es/wps/poc?uri=deeplink:detalle_licitacion&amp;idEvl=yuBOYXAA35BVkTabT%2FRM8A%3D%3D" TargetMode="External" Id="rId99" /><Relationship Type="http://schemas.openxmlformats.org/officeDocument/2006/relationships/hyperlink" Target="https://contrataciondelestado.es/FileSystem/servlet/GetDocumentByIdServlet?cifrado=QUC1GjXXSiLkydRHJBmbpw%3D%3D&amp;DocumentIdParam=jG9E/WKSgejAurViKw/tVwQGiMt1vP7qve4xgG3AY9VJbbdwrDpGq6QRHvavhjmtqTQ4fkV02jSX18VrzpRPrYz1e/5UAAAeF96OMkby8loZyAJWGsSt0OzTSTyw9JAs" TargetMode="External" Id="rId100" /><Relationship Type="http://schemas.openxmlformats.org/officeDocument/2006/relationships/hyperlink" Target="https://contrataciondelestado.es/FileSystem/servlet/GetDocumentByIdServlet?cifrado=QUC1GjXXSiLkydRHJBmbpw%3D%3D&amp;DocumentIdParam=UF4k57et1VNoGK74aOAAKNw5ehOal7S7X/%2Blw4L25ILJrbE4nsH/36XMUUDPYlUdXCm9qeZP9lv6pXVYfLPVLhxCLAFp2s2tUw7xVMHu6tL3GVhXrFFqN7yFncy7YfRK" TargetMode="External" Id="rId101" /><Relationship Type="http://schemas.openxmlformats.org/officeDocument/2006/relationships/hyperlink" Target="https://contrataciondelestado.es/wps/poc?uri=deeplink:detalle_licitacion&amp;idEvl=XzwaRS%2B94TSP66GS%2BONYvQ%3D%3D" TargetMode="External" Id="rId102" /><Relationship Type="http://schemas.openxmlformats.org/officeDocument/2006/relationships/hyperlink" Target="https://contrataciondelestado.es/FileSystem/servlet/GetDocumentByIdServlet?cifrado=QUC1GjXXSiLkydRHJBmbpw%3D%3D&amp;DocumentIdParam=jeJLxlq1SJ3X2N1GWal2Ipy6eQR4JB9VqHmvfX6lkurgoWY%2BDouBqjFi4wZjEgPjC8vsEC%2BqNZsTVN%2BGrw59ufUpuFrK4offCgegiifGKjNJOVDbGCDM%2BMigrvuVS7Rv" TargetMode="External" Id="rId103" /><Relationship Type="http://schemas.openxmlformats.org/officeDocument/2006/relationships/hyperlink" Target="https://contrataciondelestado.es/FileSystem/servlet/GetDocumentByIdServlet?cifrado=QUC1GjXXSiLkydRHJBmbpw%3D%3D&amp;DocumentIdParam=OrIsFxHojO%2Bzn299vYIbE2T6Qx3K2Z8KD4rM6iXQE/GfP3HXWmKFI0fAK%2B%2B7eZn%2BC2UOv/Ff0WTgDis41jCLQRHh%2B2qfwtI4WYj0DwJkyDh7QB3HKyQaFUExmUVQCerk" TargetMode="External" Id="rId104" /><Relationship Type="http://schemas.openxmlformats.org/officeDocument/2006/relationships/hyperlink" Target="https://contrataciondelestado.es/wps/poc?uri=deeplink:detalle_licitacion&amp;idEvl=p3nSL0kjEDoadbH3CysQuQ%3D%3D" TargetMode="External" Id="rId105" /><Relationship Type="http://schemas.openxmlformats.org/officeDocument/2006/relationships/hyperlink" Target="https://contrataciondelestado.es/FileSystem/servlet/GetDocumentByIdServlet?cifrado=QUC1GjXXSiLkydRHJBmbpw%3D%3D&amp;DocumentIdParam=A3lAb%2BkddSIDRFlGcAwB5UEsP6pI746ZSSVpilKMVsmA9%2BIQUpqHaPMn2Yqo1lfWn2KT5iH2y582dM9gplIPer9nG37iv5klkGeB5542J3aHAj0WEJrB5sP7amrh2jBD" TargetMode="External" Id="rId106" /><Relationship Type="http://schemas.openxmlformats.org/officeDocument/2006/relationships/hyperlink" Target="https://contrataciondelestado.es/FileSystem/servlet/GetDocumentByIdServlet?cifrado=QUC1GjXXSiLkydRHJBmbpw%3D%3D&amp;DocumentIdParam=ZNwQ83rNaLr/TnxqFLz6XUCSXX4dXwouIX7lAWZb0xVXJ0j3sRy%2B38Tcv2Og3D7r89gyWw69tIc1FolYje0m00nSwd1CHQ5LUSTmZyH5xr5t/o8fNevwsujgRzaBbugn" TargetMode="External" Id="rId107" /><Relationship Type="http://schemas.openxmlformats.org/officeDocument/2006/relationships/hyperlink" Target="https://contrataciondelestado.es/wps/poc?uri=deeplink:detalle_licitacion&amp;idEvl=vZ%2FhsH%2B0w7lt5r0ngvMetA%3D%3D" TargetMode="External" Id="rId108" /><Relationship Type="http://schemas.openxmlformats.org/officeDocument/2006/relationships/hyperlink" Target="https://contrataciondelestado.es/FileSystem/servlet/GetDocumentByIdServlet?cifrado=QUC1GjXXSiLkydRHJBmbpw%3D%3D&amp;DocumentIdParam=ai0daZl1GIO669JKq/vVEVQNeNdlkc9DIEFWf3DlH/NyiKnNVcdqYqY5pj0FDQpOLqNevCktFvMrAoc2RK3e3s0f8poUUJSERukpcs/1Axp45ClyWkoJ44mKM70IFcOu" TargetMode="External" Id="rId109" /><Relationship Type="http://schemas.openxmlformats.org/officeDocument/2006/relationships/hyperlink" Target="https://contrataciondelestado.es/FileSystem/servlet/GetDocumentByIdServlet?cifrado=QUC1GjXXSiLkydRHJBmbpw%3D%3D&amp;DocumentIdParam=xJX0TwoRvcMxw//45lD93Mf68LBDObX0e1brHyeTx/rYFedgpElLfRR2W6QvYw0DNJ1SZsbf9cs70xjaj7Y0R6yWTihQcq0s7C4TGwgpj376CYyL7SIrUOBFfNf52ZqA" TargetMode="External" Id="rId110" /><Relationship Type="http://schemas.openxmlformats.org/officeDocument/2006/relationships/hyperlink" Target="https://contrataciondelestado.es/wps/poc?uri=deeplink:detalle_licitacion&amp;idEvl=dbZTwVAjBOPLIx6q1oPaMg%3D%3D" TargetMode="External" Id="rId111" /><Relationship Type="http://schemas.openxmlformats.org/officeDocument/2006/relationships/hyperlink" Target="https://contrataciondelestado.es/FileSystem/servlet/GetDocumentByIdServlet?cifrado=QUC1GjXXSiLkydRHJBmbpw%3D%3D&amp;DocumentIdParam=wqa/Exao78XC5J325RKvzf3/RBpeos31cbXW2ULITEEEoZflhRuOMevhVIrJ6uRGfh%2B7i%2B4kdGYRGZxndRCzn9aglQHauw49HXf3xWDfNpzDdQD9RyhUmzT4jZ2In4zL" TargetMode="External" Id="rId112" /><Relationship Type="http://schemas.openxmlformats.org/officeDocument/2006/relationships/hyperlink" Target="https://contrataciondelestado.es/FileSystem/servlet/GetDocumentByIdServlet?cifrado=QUC1GjXXSiLkydRHJBmbpw%3D%3D&amp;DocumentIdParam=Dq3o2DADhNK9ts0AnOasAuPjjfV9RhB0QLQPQBS6kabfJAslxlxBs0DqR/DJwQL7LhnM%2BK40zpzSc0A8ipeJpuH8McdFluoXVssPjuQbH276CYyL7SIrUOBFfNf52ZqA" TargetMode="External" Id="rId113" /><Relationship Type="http://schemas.openxmlformats.org/officeDocument/2006/relationships/hyperlink" Target="https://contrataciondelestado.es/wps/poc?uri=deeplink:detalle_licitacion&amp;idEvl=UWTEU69ooRb10HRJw8TEnQ%3D%3D" TargetMode="External" Id="rId114" /><Relationship Type="http://schemas.openxmlformats.org/officeDocument/2006/relationships/hyperlink" Target="https://contrataciondelestado.es/FileSystem/servlet/GetDocumentByIdServlet?cifrado=QUC1GjXXSiLkydRHJBmbpw%3D%3D&amp;DocumentIdParam=788eBK2CtvseMHtdP1CXqRcq1UVbp0pr14C15UDsIfTMLyeN8Vk3XnU3r98yr3Pzn9uoadkyVf92HY%2B%2B9q86%2BeDNZKyUqnrwRnmHfMWO8lrDdQD9RyhUmzT4jZ2In4zL" TargetMode="External" Id="rId115" /><Relationship Type="http://schemas.openxmlformats.org/officeDocument/2006/relationships/hyperlink" Target="https://contrataciondelestado.es/FileSystem/servlet/GetDocumentByIdServlet?cifrado=QUC1GjXXSiLkydRHJBmbpw%3D%3D&amp;DocumentIdParam=7oOx6ax2zPZNUrEqHDitJLSazTGhEJ%2BNyd9aUpicsdSshmCQYNXkKPRcft2YuJ6ZHrMad8kF2LRsjMdFNm%2B9h3HtniNKZXesvo5WBDgdwWjVTD3T98KC0nSgQFM0q%2B5s" TargetMode="External" Id="rId116" /><Relationship Type="http://schemas.openxmlformats.org/officeDocument/2006/relationships/hyperlink" Target="https://contrataciondelestado.es/wps/poc?uri=deeplink:detalle_licitacion&amp;idEvl=Kj2XwvoU3IaHCIsjvJ3rhQ%3D%3D" TargetMode="External" Id="rId117" /><Relationship Type="http://schemas.openxmlformats.org/officeDocument/2006/relationships/hyperlink" Target="https://contrataciondelestado.es/FileSystem/servlet/GetDocumentByIdServlet?cifrado=QUC1GjXXSiLkydRHJBmbpw%3D%3D&amp;DocumentIdParam=nxtaa/pqHWrWwhTIggFFGu6amtHd8auj/pF16or7Arqvk8mzUV0eFL/qw/xRQLCSdKpGdl6aoXohzpv1lVWfVvy4MQJmv78JC9brb7J3yyOCx2e6p7hqtlp2aFupgHMr" TargetMode="External" Id="rId118" /><Relationship Type="http://schemas.openxmlformats.org/officeDocument/2006/relationships/hyperlink" Target="https://contrataciondelestado.es/FileSystem/servlet/GetDocumentByIdServlet?cifrado=QUC1GjXXSiLkydRHJBmbpw%3D%3D&amp;DocumentIdParam=4gMYFPFbisNH4/nvIJkih3evjSithrzQ0VcuK%2BxO1CgjJwd4bItbTaTXT9mirBScP5ATlBOpKrqX7Ktd76grl5iGWX3wWgxWL98YIwzZpBGHAj0WEJrB5sP7amrh2jBD" TargetMode="External" Id="rId119" /><Relationship Type="http://schemas.openxmlformats.org/officeDocument/2006/relationships/hyperlink" Target="https://contrataciondelestado.es/wps/poc?uri=deeplink:detalle_licitacion&amp;idEvl=pmYMpF9fjEKHCIsjvJ3rhQ%3D%3D" TargetMode="External" Id="rId120" /><Relationship Type="http://schemas.openxmlformats.org/officeDocument/2006/relationships/hyperlink" Target="https://contrataciondelestado.es/FileSystem/servlet/GetDocumentByIdServlet?cifrado=QUC1GjXXSiLkydRHJBmbpw%3D%3D&amp;DocumentIdParam=fz16SdZtYh43KVnbAUgVs%2B%2BZK7nvt8trgsoBEfcoxgPM7rLhPeIsOuoKj1Se8ITOKk0Q8ajWy0nEWr%2BEsa9TTojsmySsFoycrIXmANkzBw8C1/zDIE0Kw/PWNnLS0Z0z" TargetMode="External" Id="rId121" /><Relationship Type="http://schemas.openxmlformats.org/officeDocument/2006/relationships/hyperlink" Target="https://contrataciondelestado.es/FileSystem/servlet/GetDocumentByIdServlet?cifrado=QUC1GjXXSiLkydRHJBmbpw%3D%3D&amp;DocumentIdParam=8W474AAWMhgEgO9F/TJF7rVenLKek5UBE2A29lzwY8P471Bq%2Blng8/JH07DdqfIFacsJHjGyCdwXKGg0Wka5s/Meyr/bTACzzvS5ZICN9smB0nvVKRzfe4rpHcnlPhSZ" TargetMode="External" Id="rId122" /><Relationship Type="http://schemas.openxmlformats.org/officeDocument/2006/relationships/hyperlink" Target="https://contrataciondelestado.es/wps/poc?uri=deeplink:detalle_licitacion&amp;idEvl=F4QT2ZcCQwWExvMJXBMHHQ%3D%3D" TargetMode="External" Id="rId123" /><Relationship Type="http://schemas.openxmlformats.org/officeDocument/2006/relationships/hyperlink" Target="https://contrataciondelestado.es/FileSystem/servlet/GetDocumentByIdServlet?cifrado=QUC1GjXXSiLkydRHJBmbpw%3D%3D&amp;DocumentIdParam=u52eBlG0idrIsZpLne0sJXxq7XjzQ17AcC4DxCEotQo%2B1%2BWe%2BANHj%2B6%2B4Itd/wBCsbyiHXwohZn8MzZ0mAsAoWt7AMYblxSjzxOvCrPZARsC1/zDIE0Kw/PWNnLS0Z0z" TargetMode="External" Id="rId124" /><Relationship Type="http://schemas.openxmlformats.org/officeDocument/2006/relationships/hyperlink" Target="https://contrataciondelestado.es/wps/poc?uri=deeplink:detalle_licitacion&amp;idEvl=btxl5SA3sV9%2FR5QFTlaM4A%3D%3D" TargetMode="External" Id="rId125" /><Relationship Type="http://schemas.openxmlformats.org/officeDocument/2006/relationships/hyperlink" Target="https://contrataciondelestado.es/FileSystem/servlet/GetDocumentByIdServlet?cifrado=QUC1GjXXSiLkydRHJBmbpw%3D%3D&amp;DocumentIdParam=H/0OhLwqB8Yj8P1TC9VOeUpGHxO0TklRSabO4%2BUNiXXMW6MfZmVqqcPsRZDjZ3Q34UNwesTzNuqTXIU5kSK97tEsIlIth7Bh9Ov13hrMn6jDdQD9RyhUmzT4jZ2In4zL" TargetMode="External" Id="rId126" /><Relationship Type="http://schemas.openxmlformats.org/officeDocument/2006/relationships/hyperlink" Target="https://contrataciondelestado.es/FileSystem/servlet/GetDocumentByIdServlet?cifrado=QUC1GjXXSiLkydRHJBmbpw%3D%3D&amp;DocumentIdParam=IpL8xdQYBWs4sCRw0YKbgWvC9C%2BqqhJLiD1bXNEUcVe6wnOSxLmxn2AZ2i8MVnAE42lyQGG9vg%2B4LPBSqwzNDNG9Re/z44ZhPvN3aM9gy8dJOVDbGCDM%2BMigrvuVS7Rv" TargetMode="External" Id="rId127" /><Relationship Type="http://schemas.openxmlformats.org/officeDocument/2006/relationships/hyperlink" Target="https://contrataciondelestado.es/wps/poc?uri=deeplink:detalle_licitacion&amp;idEvl=YUo21ObYBAYUqXM96WStVA%3D%3D" TargetMode="External" Id="rId128" /><Relationship Type="http://schemas.openxmlformats.org/officeDocument/2006/relationships/hyperlink" Target="https://contrataciondelestado.es/FileSystem/servlet/GetDocumentByIdServlet?cifrado=QUC1GjXXSiLkydRHJBmbpw%3D%3D&amp;DocumentIdParam=ii6SDDx6IdkBd6g/WOvbyMVFaSN5yP1uluJLkQJw5/OugIy96zlzcsHmeZ%2BUJWG4ZUn9zuNBUebmF2L%2BbjzKPetkMHwfasjha7yRPyU0ZIm1aXEvq3KHa/AEHgtDrQw0" TargetMode="External" Id="rId129" /><Relationship Type="http://schemas.openxmlformats.org/officeDocument/2006/relationships/hyperlink" Target="https://contrataciondelestado.es/FileSystem/servlet/GetDocumentByIdServlet?cifrado=QUC1GjXXSiLkydRHJBmbpw%3D%3D&amp;DocumentIdParam=5WHE%2Be2VHRxMwfaeyukYSKILAdBIBLa8TEfCcnlINxRb9rGMEMUjEGhYYslPqbHforG4%2BeA/tHcSBLR4U2QS9QcKKTkUqk0yi2gBPXY4ssh7QB3HKyQaFUExmUVQCerk" TargetMode="External" Id="rId130" /><Relationship Type="http://schemas.openxmlformats.org/officeDocument/2006/relationships/hyperlink" Target="https://contrataciondelestado.es/wps/poc?uri=deeplink:detalle_licitacion&amp;idEvl=yFbq%2F4Grs3MeIBJRHQiPkQ%3D%3D" TargetMode="External" Id="rId131" /><Relationship Type="http://schemas.openxmlformats.org/officeDocument/2006/relationships/hyperlink" Target="https://contrataciondelestado.es/FileSystem/servlet/GetDocumentByIdServlet?cifrado=QUC1GjXXSiLkydRHJBmbpw%3D%3D&amp;DocumentIdParam=cLUvA7JZDzryhAjWxRfB404ycpjdgiALhXCE7GfLTnZKu1zCFgR2P4CGcXDT0Ey4Pzg66/%2Bc5PaXaF0qN2vbhAIDCb4nrjc4PkAEX0ckgL7fdyQgZAdTm3EfcUAC7CJ6" TargetMode="External" Id="rId132" /><Relationship Type="http://schemas.openxmlformats.org/officeDocument/2006/relationships/hyperlink" Target="https://contrataciondelestado.es/FileSystem/servlet/GetDocumentByIdServlet?cifrado=QUC1GjXXSiLkydRHJBmbpw%3D%3D&amp;DocumentIdParam=I0Y3NDvM3NqhUhs2v%2BtrlhyPA512oV39DKlh3MEhAWlrrLep0or7nqAV9Uqayk27OXQAPcRILYlbdO/QdAY%2Bb9p2KM8WkP1igfPW74msvHFt/o8fNevwsujgRzaBbugn" TargetMode="External" Id="rId133" /><Relationship Type="http://schemas.openxmlformats.org/officeDocument/2006/relationships/hyperlink" Target="https://contrataciondelestado.es/wps/poc?uri=deeplink:detalle_licitacion&amp;idEvl=5EaLiaIqw78aF6cS8TCh%2FA%3D%3D" TargetMode="External" Id="rId134" /><Relationship Type="http://schemas.openxmlformats.org/officeDocument/2006/relationships/hyperlink" Target="https://contrataciondelestado.es/FileSystem/servlet/GetDocumentByIdServlet?cifrado=QUC1GjXXSiLkydRHJBmbpw%3D%3D&amp;DocumentIdParam=iLBwkU%2BD20zoK2lRGRwJKfsDpjsHrFeCbGksJhFiBU2GJsPem/1qWsFT1na2sZEu8clK6QQ8tfoKg7X3YK9YXwwZiNoTbB4z3ycFl3hFbot7QB3HKyQaFUExmUVQCerk" TargetMode="External" Id="rId135" /><Relationship Type="http://schemas.openxmlformats.org/officeDocument/2006/relationships/hyperlink" Target="https://contrataciondelestado.es/FileSystem/servlet/GetDocumentByIdServlet?cifrado=QUC1GjXXSiLkydRHJBmbpw%3D%3D&amp;DocumentIdParam=qR7KLtQJvwHWguHxUpPGRH2wEbzmD%2BCHKey1liekndHVZxNLU%2BVHPyuG9g3TJrlvfbDYk0%2B8kKa4yXHFPowzqkWuSLG%2BSRru1xj9fl%2B2Lqk//q7NB2iMZvNyf0xrJmjt" TargetMode="External" Id="rId136" /><Relationship Type="http://schemas.openxmlformats.org/officeDocument/2006/relationships/hyperlink" Target="https://contrataciondelestado.es/wps/poc?uri=deeplink:detalle_licitacion&amp;idEvl=NvCEy043dPnECtSnloz%2BZQ%3D%3D" TargetMode="External" Id="rId137" /><Relationship Type="http://schemas.openxmlformats.org/officeDocument/2006/relationships/hyperlink" Target="https://contrataciondelestado.es/FileSystem/servlet/GetDocumentByIdServlet?cifrado=QUC1GjXXSiLkydRHJBmbpw%3D%3D&amp;DocumentIdParam=db4dGufGDHugcEOHowq2JFJjBpu676JgQeWeveyEI5BIh0TTxkHvSf8Aj5PU6CgVVP2sXBnWmtfuyRJVPX4Vb/s6bxL9LEuN4W0XyJM26DQC1/zDIE0Kw/PWNnLS0Z0z" TargetMode="External" Id="rId138" /><Relationship Type="http://schemas.openxmlformats.org/officeDocument/2006/relationships/hyperlink" Target="https://contrataciondelestado.es/FileSystem/servlet/GetDocumentByIdServlet?cifrado=QUC1GjXXSiLkydRHJBmbpw%3D%3D&amp;DocumentIdParam=S8M92rZFwDzrcnI5Lth733Gh/LeVYDvaMDc%2BmYRKi/oKJQjOChq40rgJyjxLM%2Bve5HyPof5E/VlZ0llZm8srTaBZPmw8RWBRpdqUZXAAqB6HAj0WEJrB5sP7amrh2jBD" TargetMode="External" Id="rId139" /><Relationship Type="http://schemas.openxmlformats.org/officeDocument/2006/relationships/hyperlink" Target="https://contrataciondelestado.es/wps/poc?uri=deeplink:detalle_licitacion&amp;idEvl=4jDd2ZU0f2r5Rey58Yagpg%3D%3D" TargetMode="External" Id="rId140" /><Relationship Type="http://schemas.openxmlformats.org/officeDocument/2006/relationships/hyperlink" Target="https://contrataciondelestado.es/FileSystem/servlet/GetDocumentByIdServlet?cifrado=QUC1GjXXSiLkydRHJBmbpw%3D%3D&amp;DocumentIdParam=SAjm9PcL8yw3L3/zIdPIZ8xIjfhfjLgTqHnNBST%2B2KhKlJnJjXtvOjCsNDxaT7tlL9y4JxR/0BHwvMXM7z/kVTLzCsZzgG0bGWVUx0hnKM1JOVDbGCDM%2BMigrvuVS7Rv" TargetMode="External" Id="rId141" /><Relationship Type="http://schemas.openxmlformats.org/officeDocument/2006/relationships/hyperlink" Target="https://contrataciondelestado.es/FileSystem/servlet/GetDocumentByIdServlet?cifrado=QUC1GjXXSiLkydRHJBmbpw%3D%3D&amp;DocumentIdParam=kRWzoev%2BqgDvhvc4t0S0NfU9l8RN7MWZ49Nu77cQxIdzYBRDCU%2BlEKTqJfgMzT1kOXRgt%2BaXO3g9NlaukGE463idIX%2BgQ42WtzrnYAxeWszfdyQgZAdTm3EfcUAC7CJ6" TargetMode="External" Id="rId142" /><Relationship Type="http://schemas.openxmlformats.org/officeDocument/2006/relationships/hyperlink" Target="https://contrataciondelestado.es/wps/poc?uri=deeplink:detalle_licitacion&amp;idEvl=5QJ46lMoUzOsNfRW6APEDw%3D%3D" TargetMode="External" Id="rId143" /><Relationship Type="http://schemas.openxmlformats.org/officeDocument/2006/relationships/hyperlink" Target="https://contrataciondelestado.es/FileSystem/servlet/GetDocumentByIdServlet?cifrado=QUC1GjXXSiLkydRHJBmbpw%3D%3D&amp;DocumentIdParam=/%2BQ/74YfnyeSh0g3cs2%2Bis4CKcQdeEXtwNqiWWeF/7r8zimrhQprjhYMuFegORXJ6dgD7wR2vuJtcM4fbFw5rDv9mv8/viMM90AE9TvgEnWHAj0WEJrB5sP7amrh2jBD" TargetMode="External" Id="rId144" /><Relationship Type="http://schemas.openxmlformats.org/officeDocument/2006/relationships/hyperlink" Target="https://contrataciondelestado.es/FileSystem/servlet/GetDocumentByIdServlet?cifrado=QUC1GjXXSiLkydRHJBmbpw%3D%3D&amp;DocumentIdParam=gb7WzUJWd4qtKvhT61w9rVLO5/NvPpmWMuPcx7LDwo8s6eI3HQ8ngeNIQ2GFcLd3HOjLi/TI2XMCF4SLR3tYbmZO84KeNW%2B79zQxx9BUW8T3GVhXrFFqN7yFncy7YfRK" TargetMode="External" Id="rId145" /><Relationship Type="http://schemas.openxmlformats.org/officeDocument/2006/relationships/hyperlink" Target="https://contrataciondelestado.es/wps/poc?uri=deeplink:detalle_licitacion&amp;idEvl=sqrBRzTVXT2zz8fXU2i3eQ%3D%3D" TargetMode="External" Id="rId146" /><Relationship Type="http://schemas.openxmlformats.org/officeDocument/2006/relationships/hyperlink" Target="https://contrataciondelestado.es/FileSystem/servlet/GetDocumentByIdServlet?cifrado=QUC1GjXXSiLkydRHJBmbpw%3D%3D&amp;DocumentIdParam=Pf7ufdyo0EpKAmk7bmwFzC2k7zDFkTIpTJpWVrg8SOeEGjysgVqTkTKPVeWkBF8ftYD0%2B2YzzzIjff9cld6Sm48EBxKq93AdiJc1YGNXBWgC1/zDIE0Kw/PWNnLS0Z0z" TargetMode="External" Id="rId147" /><Relationship Type="http://schemas.openxmlformats.org/officeDocument/2006/relationships/hyperlink" Target="https://contrataciondelestado.es/FileSystem/servlet/GetDocumentByIdServlet?cifrado=QUC1GjXXSiLkydRHJBmbpw%3D%3D&amp;DocumentIdParam=eQi9%2BuaOBy5XgxNSEV7goYgk6FFrYCoyVQN8NU5e5twc9Vb82UZc6j3doS/opEyxPAxmeNa6ZcG/NXnC4Z/mKEHeXm7lVJe5SrQP12X4%2BTsZyAJWGsSt0OzTSTyw9JAs" TargetMode="External" Id="rId148" /><Relationship Type="http://schemas.openxmlformats.org/officeDocument/2006/relationships/hyperlink" Target="https://contrataciondelestado.es/wps/poc?uri=deeplink:detalle_licitacion&amp;idEvl=7fUAiBOYYpsaF6cS8TCh%2FA%3D%3D" TargetMode="External" Id="rId149" /><Relationship Type="http://schemas.openxmlformats.org/officeDocument/2006/relationships/hyperlink" Target="https://contrataciondelestado.es/FileSystem/servlet/GetDocumentByIdServlet?cifrado=QUC1GjXXSiLkydRHJBmbpw%3D%3D&amp;DocumentIdParam=ytX%2BrL7pPXhbxK7cnb6UDZhXNMY5uMvYsUwQpkD9DzrLA5351cz%2BLSMge5wWVTHRDtWTcZ8bQNZP4hGgcaf1/fptY8TUZ/IkYteOD%2BcqoAt7QB3HKyQaFUExmUVQCerk" TargetMode="External" Id="rId150" /><Relationship Type="http://schemas.openxmlformats.org/officeDocument/2006/relationships/hyperlink" Target="https://contrataciondelestado.es/wps/poc?uri=deeplink:detalle_licitacion&amp;idEvl=47FkCao0SxydkQsA7ROvsg%3D%3D" TargetMode="External" Id="rId151" /><Relationship Type="http://schemas.openxmlformats.org/officeDocument/2006/relationships/hyperlink" Target="https://contrataciondelestado.es/FileSystem/servlet/GetDocumentByIdServlet?cifrado=QUC1GjXXSiLkydRHJBmbpw%3D%3D&amp;DocumentIdParam=N/mIxDdANKWDCD9RdbCenkKmIC65gByxfJ2hx44M%2BHIJKfE/jFoWFbXKQSde5ujt1voWz2k5U6Ryv6uK7yV0tssrrzMP/uaUEqMB6JfitBJt/o8fNevwsujgRzaBbugn" TargetMode="External" Id="rId152" /><Relationship Type="http://schemas.openxmlformats.org/officeDocument/2006/relationships/hyperlink" Target="https://contrataciondelestado.es/FileSystem/servlet/GetDocumentByIdServlet?cifrado=QUC1GjXXSiLkydRHJBmbpw%3D%3D&amp;DocumentIdParam=0LVpevJ2anHx8CpmF2fYGBxhhiJjH8JtkEdqHNDWnZj7kkHvkvyMqm0c1e9shGX5ulVoeKL8tTQ%2BL0brgvrew3VNUX6TEaozQ9v5nh7ZHgyB0nvVKRzfe4rpHcnlPhSZ" TargetMode="External" Id="rId153" /><Relationship Type="http://schemas.openxmlformats.org/officeDocument/2006/relationships/hyperlink" Target="https://contrataciondelestado.es/wps/poc?uri=deeplink:detalle_licitacion&amp;idEvl=BSfRoch9rmJVkTabT%2FRM8A%3D%3D" TargetMode="External" Id="rId154" /><Relationship Type="http://schemas.openxmlformats.org/officeDocument/2006/relationships/hyperlink" Target="https://contrataciondelestado.es/FileSystem/servlet/GetDocumentByIdServlet?cifrado=QUC1GjXXSiLkydRHJBmbpw%3D%3D&amp;DocumentIdParam=6oyHwfNedpezjiiejThZNOjez7EWfU4y6italppiOkF6ejN5oihOY9UkT82u18/gGRn6QsyIlZgvhKDe4%2BnHfY0zTBL4SAldD7CDG8%2BFhcp7QB3HKyQaFUExmUVQCerk" TargetMode="External" Id="rId155" /><Relationship Type="http://schemas.openxmlformats.org/officeDocument/2006/relationships/hyperlink" Target="https://contrataciondelestado.es/wps/poc?uri=deeplink:detalle_licitacion&amp;idEvl=6k1aJ3uUy514zIRvjBVCSw%3D%3D" TargetMode="External" Id="rId156" /><Relationship Type="http://schemas.openxmlformats.org/officeDocument/2006/relationships/hyperlink" Target="https://contrataciondelestado.es/FileSystem/servlet/GetDocumentByIdServlet?cifrado=QUC1GjXXSiLkydRHJBmbpw%3D%3D&amp;DocumentIdParam=CHgG80wJTEjv/YAIr0fJHrC7S0YTqQVDR0y/r3MR79TlhjP%2B4tEZjWMdArVgx7W0%2BgO7L2PTotsVr%2BhLFD0YwO9tcC53Q/RnBtnOAddoda/DdQD9RyhUmzT4jZ2In4zL" TargetMode="External" Id="rId157" /><Relationship Type="http://schemas.openxmlformats.org/officeDocument/2006/relationships/hyperlink" Target="https://contrataciondelestado.es/FileSystem/servlet/GetDocumentByIdServlet?cifrado=QUC1GjXXSiLkydRHJBmbpw%3D%3D&amp;DocumentIdParam=9Kp9L0watlwu%2BEyLdKrWYttiCnVr6xJ4Xgesth3sMT1H45oO4a1QY6sR3g/NmRYFgtE2DGFQSWw%2BkdcqJEm30XUuOAeHYl5nXu6DLJfpY2PVTD3T98KC0nSgQFM0q%2B5s" TargetMode="External" Id="rId158" /><Relationship Type="http://schemas.openxmlformats.org/officeDocument/2006/relationships/hyperlink" Target="https://contrataciondelestado.es/wps/poc?uri=deeplink:detalle_licitacion&amp;idEvl=THC%2BVp2hV%2Bh6nTs9LZ9RhQ%3D%3D" TargetMode="External" Id="rId159" /><Relationship Type="http://schemas.openxmlformats.org/officeDocument/2006/relationships/hyperlink" Target="https://contrataciondelestado.es/FileSystem/servlet/GetDocumentByIdServlet?cifrado=QUC1GjXXSiLkydRHJBmbpw%3D%3D&amp;DocumentIdParam=6HbCSNzzQo0c/X7Gc/AIbC7TEudsRAYN4aRPt52bIN9gMKjtafPqqCQzYvSV8MW91fIR2qNgvfGhEnRah8lSc%2BnEGgp%2BdjwTf6oQ%2BOevikA//q7NB2iMZvNyf0xrJmjt" TargetMode="External" Id="rId160" /><Relationship Type="http://schemas.openxmlformats.org/officeDocument/2006/relationships/hyperlink" Target="https://contrataciondelestado.es/FileSystem/servlet/GetDocumentByIdServlet?cifrado=QUC1GjXXSiLkydRHJBmbpw%3D%3D&amp;DocumentIdParam=0HmXqVb8aJWKG%2BYX9VjsGg5WRCluyYPg9YlxCmVNLQtN0V2GBlV9jUO9HpIdCuxs2EL8xBObVQYoFjqRwqIk4NKiW7tl%2Bq8eSllW4rgdQTA//q7NB2iMZvNyf0xrJmjt" TargetMode="External" Id="rId161" /><Relationship Type="http://schemas.openxmlformats.org/officeDocument/2006/relationships/hyperlink" Target="https://contrataciondelestado.es/wps/poc?uri=deeplink:detalle_licitacion&amp;idEvl=6qJf3M1TMmKIzo3LHNPGcQ%3D%3D" TargetMode="External" Id="rId162" /><Relationship Type="http://schemas.openxmlformats.org/officeDocument/2006/relationships/hyperlink" Target="https://contrataciondelestado.es/FileSystem/servlet/GetDocumentByIdServlet?cifrado=QUC1GjXXSiLkydRHJBmbpw%3D%3D&amp;DocumentIdParam=DDbQ9KJRqT/PtT6jOkQOZ%2BUXwqXOvPn3xB%2BSO9bwHIL1Kmei80gTk5f2V8XJNk98EmHdOs1NvJ2u2W%2BV9EBTTr2zqmKQGQ1YLiFBcWYvEhf6CYyL7SIrUOBFfNf52ZqA" TargetMode="External" Id="rId163" /><Relationship Type="http://schemas.openxmlformats.org/officeDocument/2006/relationships/hyperlink" Target="https://contrataciondelestado.es/FileSystem/servlet/GetDocumentByIdServlet?cifrado=QUC1GjXXSiLkydRHJBmbpw%3D%3D&amp;DocumentIdParam=E%2BQ2R35/C0XyiAQswLG9ssoTmDvcSjK9ZFOj0Ls%2BREPfzACSvLGHv9ybVnGJl3owHN7HSn7X1ooxZ%2Bf/nhduhY0pE3LQHUtCXxFE9vLXRojDdQD9RyhUmzT4jZ2In4zL" TargetMode="External" Id="rId164" /><Relationship Type="http://schemas.openxmlformats.org/officeDocument/2006/relationships/hyperlink" Target="https://contrataciondelestado.es/wps/poc?uri=deeplink:detalle_licitacion&amp;idEvl=lZm5mMPSh1aS81gZFETWmA%3D%3D" TargetMode="External" Id="rId165" /><Relationship Type="http://schemas.openxmlformats.org/officeDocument/2006/relationships/hyperlink" Target="https://contrataciondelestado.es/FileSystem/servlet/GetDocumentByIdServlet?cifrado=QUC1GjXXSiLkydRHJBmbpw%3D%3D&amp;DocumentIdParam=JqrTEMTzviSkWSwGX2ejB5zlADG9cWOD/K8%2BgCp/zccER2HPpC85TVt9sHLzLWeo1TrOyFkm69iWsRAzkkNafu3cZ1GPLTyYbJQKUJrwEerVTD3T98KC0nSgQFM0q%2B5s" TargetMode="External" Id="rId166" /><Relationship Type="http://schemas.openxmlformats.org/officeDocument/2006/relationships/hyperlink" Target="https://contrataciondelestado.es/FileSystem/servlet/GetDocumentByIdServlet?cifrado=QUC1GjXXSiLkydRHJBmbpw%3D%3D&amp;DocumentIdParam=iXwBZkqQ0/9CU2afUiMBpgcQJtQVoYyxFpdRstel6hLqIP3oaCgPbKf7/DfKj/DBYAdVR4M6Bku90W2wq4A0ZoJZCZpBqBRwo5%2BrxwhwYXpt/o8fNevwsujgRzaBbugn" TargetMode="External" Id="rId167" /><Relationship Type="http://schemas.openxmlformats.org/officeDocument/2006/relationships/hyperlink" Target="https://contrataciondelestado.es/wps/poc?uri=deeplink:detalle_licitacion&amp;idEvl=IwYt08KPtCi7JOCXkOhcDg%3D%3D" TargetMode="External" Id="rId168" /><Relationship Type="http://schemas.openxmlformats.org/officeDocument/2006/relationships/hyperlink" Target="https://contrataciondelestado.es/FileSystem/servlet/GetDocumentByIdServlet?cifrado=QUC1GjXXSiLkydRHJBmbpw%3D%3D&amp;DocumentIdParam=Vmk2waGCw3AnQbLeIwfzL5XHBPArFF0kuH7ZRtjdRMGab0dqtAxj8FeL2pO3N0SxcMGiOF9m4MmrUazDeJogM0sl1vMyGLJb6/aLNGyjDNz3GVhXrFFqN7yFncy7YfRK" TargetMode="External" Id="rId169" /><Relationship Type="http://schemas.openxmlformats.org/officeDocument/2006/relationships/hyperlink" Target="https://contrataciondelestado.es/FileSystem/servlet/GetDocumentByIdServlet?cifrado=QUC1GjXXSiLkydRHJBmbpw%3D%3D&amp;DocumentIdParam=zKa7rb9czpVqHk%2BbW2LkE/0Yyg%2B93owAPtSHwsp31M8XsEsE90mTqFWxDIhQFDtv83bXgsh76ooLglAjHXHIoAPahY38m805lQPNFEhN1eYC1/zDIE0Kw/PWNnLS0Z0z" TargetMode="External" Id="rId170" /><Relationship Type="http://schemas.openxmlformats.org/officeDocument/2006/relationships/hyperlink" Target="https://contrataciondelestado.es/wps/poc?uri=deeplink:detalle_licitacion&amp;idEvl=%2FoDpoPCaVOtq1DdmE7eaXg%3D%3D" TargetMode="External" Id="rId171" /><Relationship Type="http://schemas.openxmlformats.org/officeDocument/2006/relationships/hyperlink" Target="https://contrataciondelestado.es/FileSystem/servlet/GetDocumentByIdServlet?cifrado=QUC1GjXXSiLkydRHJBmbpw%3D%3D&amp;DocumentIdParam=/8W8HpH18G/lq4A7GuftOl9mH7RtEVpUiCUaChajGyQhQGkjTfIfmbn0w7R5vac7ggFCsA8l%2B7QN66rI8%2BUnxLWTt/UCYhBdkPd5q0ZNaGQ//q7NB2iMZvNyf0xrJmjt" TargetMode="External" Id="rId172" /><Relationship Type="http://schemas.openxmlformats.org/officeDocument/2006/relationships/hyperlink" Target="https://contrataciondelestado.es/FileSystem/servlet/GetDocumentByIdServlet?cifrado=QUC1GjXXSiLkydRHJBmbpw%3D%3D&amp;DocumentIdParam=x/NsHFy%2BYJnqGKBbitk8x6CeSH4OCRzgfXZ/1pRNyD2rsOj043%2BO6Zyn18uDbPOoq5ZW5IrDzfQZRUYE0jVEtyzG2%2BSYxr2a0mpFOaFyU9RJOVDbGCDM%2BMigrvuVS7Rv" TargetMode="External" Id="rId173" /><Relationship Type="http://schemas.openxmlformats.org/officeDocument/2006/relationships/hyperlink" Target="https://contrataciondelestado.es/wps/poc?uri=deeplink:detalle_licitacion&amp;idEvl=TDsWprVukqcUqXM96WStVA%3D%3D" TargetMode="External" Id="rId174" /><Relationship Type="http://schemas.openxmlformats.org/officeDocument/2006/relationships/hyperlink" Target="https://contrataciondelestado.es/FileSystem/servlet/GetDocumentByIdServlet?cifrado=QUC1GjXXSiLkydRHJBmbpw%3D%3D&amp;DocumentIdParam=TweDv8RMQCj8Uht5GvKUgvVxphhc46%2BwttoyPRY/907g3mSRpALbUG2J0Ya71tIYHRKp5zzU1ziepfyqrogB%2BMKgkmNPBKOUwuEphCyQe1145ClyWkoJ44mKM70IFcOu" TargetMode="External" Id="rId175" /><Relationship Type="http://schemas.openxmlformats.org/officeDocument/2006/relationships/hyperlink" Target="https://contrataciondelestado.es/FileSystem/servlet/GetDocumentByIdServlet?cifrado=QUC1GjXXSiLkydRHJBmbpw%3D%3D&amp;DocumentIdParam=zC3qm0/Xg7VYLzS%2BEDqUN8r4FDU9fC731Qu2PkYF7jx2dlBttHDbkSK%2B/aCjq952SFvhHMybHb0PJSliON4PVCZ2awWjnGelPbvgUEwDrzD3GVhXrFFqN7yFncy7YfRK" TargetMode="External" Id="rId176" /><Relationship Type="http://schemas.openxmlformats.org/officeDocument/2006/relationships/hyperlink" Target="https://contrataciondelestado.es/wps/poc?uri=deeplink:detalle_licitacion&amp;idEvl=jvJ3ph4P%2FNDyoM4us5k4vw%3D%3D" TargetMode="External" Id="rId177" /><Relationship Type="http://schemas.openxmlformats.org/officeDocument/2006/relationships/hyperlink" Target="https://contrataciondelestado.es/FileSystem/servlet/GetDocumentByIdServlet?cifrado=QUC1GjXXSiLkydRHJBmbpw%3D%3D&amp;DocumentIdParam=9ebvb88Vs9DxvHh9Zz/N%2B4DBZAf0gnZSwKas3M3VDz1hDWodizsVw83TRK6NNBZDhK82BZt7CVMpm1%2BabzhAH2tlaHTJoIzdFZmZ/Q32VhBt/o8fNevwsujgRzaBbugn" TargetMode="External" Id="rId178" /><Relationship Type="http://schemas.openxmlformats.org/officeDocument/2006/relationships/hyperlink" Target="https://contrataciondelestado.es/FileSystem/servlet/GetDocumentByIdServlet?cifrado=QUC1GjXXSiLkydRHJBmbpw%3D%3D&amp;DocumentIdParam=NHKfhEI5KjlupDxKl4Fq2vI2sK5Esggei4kM5EXJgTISrQrSy/9NYtT1Dxx7kpo9ArepoEFYJSgxyVrxuCZKfTvSeaw/2l9fLix2SDEC0hwZyAJWGsSt0OzTSTyw9JAs" TargetMode="External" Id="rId179" /><Relationship Type="http://schemas.openxmlformats.org/officeDocument/2006/relationships/hyperlink" Target="https://contrataciondelestado.es/wps/poc?uri=deeplink:detalle_licitacion&amp;idEvl=7T1zxXisYdnLIx6q1oPaMg%3D%3D" TargetMode="External" Id="rId180" /><Relationship Type="http://schemas.openxmlformats.org/officeDocument/2006/relationships/hyperlink" Target="https://contrataciondelestado.es/FileSystem/servlet/GetDocumentByIdServlet?cifrado=QUC1GjXXSiLkydRHJBmbpw%3D%3D&amp;DocumentIdParam=OWRU/b6PARESmSReWeh2jY2TPFX5OpS0bM677WZLoNiN7ZgiX96ArSLkWw1PLkvHWVXSv3r2XwcEUwazMjqlCimWx%2BX7CkT3/gTXoPxrWJbfdyQgZAdTm3EfcUAC7CJ6" TargetMode="External" Id="rId181" /><Relationship Type="http://schemas.openxmlformats.org/officeDocument/2006/relationships/hyperlink" Target="https://contrataciondelestado.es/FileSystem/servlet/GetDocumentByIdServlet?cifrado=QUC1GjXXSiLkydRHJBmbpw%3D%3D&amp;DocumentIdParam=hHdOOfufp09903vGIJ68hsYJOObThXtBkreVeg3wf3zdv9wQWz/2D%2BpmF/RW9zUNAjnhqbpUBizz7bWIIpYH0iyPd2dQmDQl8qcVTVfOmVWB0nvVKRzfe4rpHcnlPhSZ" TargetMode="External" Id="rId182" /><Relationship Type="http://schemas.openxmlformats.org/officeDocument/2006/relationships/hyperlink" Target="https://contrataciondelestado.es/wps/poc?uri=deeplink:detalle_licitacion&amp;idEvl=mRpjWc4Nlf8wYTJJ03sHog%3D%3D" TargetMode="External" Id="rId183" /><Relationship Type="http://schemas.openxmlformats.org/officeDocument/2006/relationships/hyperlink" Target="https://contrataciondelestado.es/FileSystem/servlet/GetDocumentByIdServlet?cifrado=QUC1GjXXSiLkydRHJBmbpw%3D%3D&amp;DocumentIdParam=dpYT70RLLRSqco0pvlhXxx/ymGxrOWDqO6JVSnI7Nhb1MQw02TEV4Hm/oCWtMJS62Jpp2zlZQ8RtqZ9QD6%2BUkMpC8QUyf1W5JLNeExmsWaGB0nvVKRzfe4rpHcnlPhSZ" TargetMode="External" Id="rId184" /><Relationship Type="http://schemas.openxmlformats.org/officeDocument/2006/relationships/hyperlink" Target="https://contrataciondelestado.es/FileSystem/servlet/GetDocumentByIdServlet?cifrado=QUC1GjXXSiLkydRHJBmbpw%3D%3D&amp;DocumentIdParam=e1HpMrJ%2BCx5uWtQgZ7/FlMwy5emMGEPEGHrW7kK%2BRQ0IRW9T0udwLbCK51pI8wwcYhkBF46SRfC60cC1JkGqL42VP8fuGXZjlvWyd2A6/FaB0nvVKRzfe4rpHcnlPhSZ" TargetMode="External" Id="rId185" /><Relationship Type="http://schemas.openxmlformats.org/officeDocument/2006/relationships/hyperlink" Target="https://contrataciondelestado.es/wps/poc?uri=deeplink:detalle_licitacion&amp;idEvl=l2rGhcJQ2m%2BKeVWTb9Scog%3D%3D" TargetMode="External" Id="rId186" /><Relationship Type="http://schemas.openxmlformats.org/officeDocument/2006/relationships/hyperlink" Target="https://contrataciondelestado.es/FileSystem/servlet/GetDocumentByIdServlet?cifrado=QUC1GjXXSiLkydRHJBmbpw%3D%3D&amp;DocumentIdParam=4GJuYQWBc6/k9NDxXaBB%2B/bk2G0mIKc6O7eXL3bKudnsP7vUVg5bNt%2BKyS0bs%2Bj4AFmuu5UnByIbWUOyg8XosLOgcY9VfkHFDiK1tV6ePTuCx2e6p7hqtlp2aFupgHMr" TargetMode="External" Id="rId187" /><Relationship Type="http://schemas.openxmlformats.org/officeDocument/2006/relationships/hyperlink" Target="https://contrataciondelestado.es/FileSystem/servlet/GetDocumentByIdServlet?cifrado=QUC1GjXXSiLkydRHJBmbpw%3D%3D&amp;DocumentIdParam=0YYNKImFfBN4FO%2BpwqO5TYZnyQMT5GYrmGw8ovilaRP2FG9OnRJjXkvQkx0zfw7k8bBOhYcWyIaboSoqD3bTzXfXDTkgKLREFd4e6byxQqaCx2e6p7hqtlp2aFupgHMr" TargetMode="External" Id="rId188" /><Relationship Type="http://schemas.openxmlformats.org/officeDocument/2006/relationships/hyperlink" Target="https://contrataciondelestado.es/wps/poc?uri=deeplink:detalle_licitacion&amp;idEvl=BARU4uB1d%2BGTylGzYmBF9Q%3D%3D" TargetMode="External" Id="rId189" /><Relationship Type="http://schemas.openxmlformats.org/officeDocument/2006/relationships/hyperlink" Target="https://contrataciondelestado.es/FileSystem/servlet/GetDocumentByIdServlet?cifrado=QUC1GjXXSiLkydRHJBmbpw%3D%3D&amp;DocumentIdParam=DL2prXYSyFWDOTwjyI%2B2nP9QcyTO/AXL368svYb4uczs23SLhY106miw5VQp8svsyO30uCkgz7iJ7Cc7WIxfcGBWkOwYa1hzTKUUL3qM9ScZyAJWGsSt0OzTSTyw9JAs" TargetMode="External" Id="rId190" /><Relationship Type="http://schemas.openxmlformats.org/officeDocument/2006/relationships/hyperlink" Target="https://contrataciondelestado.es/FileSystem/servlet/GetDocumentByIdServlet?cifrado=QUC1GjXXSiLkydRHJBmbpw%3D%3D&amp;DocumentIdParam=0Pr/eimxP2J55Hc1wU2PLLn/clX4vDhRFE50r4g4w/TzAeNgwbTmvK8qHKd9nxCTSWoFg7TQUeMO1Dq/JuiIdQW1pnV1fnyKhv0N%2Buz7H0v6CYyL7SIrUOBFfNf52ZqA" TargetMode="External" Id="rId191" /><Relationship Type="http://schemas.openxmlformats.org/officeDocument/2006/relationships/hyperlink" Target="https://contrataciondelestado.es/wps/poc?uri=deeplink:detalle_licitacion&amp;idEvl=8n%2BfaXpvKQYmMOlAXxDEjw%3D%3D" TargetMode="External" Id="rId192" /><Relationship Type="http://schemas.openxmlformats.org/officeDocument/2006/relationships/hyperlink" Target="https://contrataciondelestado.es/FileSystem/servlet/GetDocumentByIdServlet?cifrado=QUC1GjXXSiLkydRHJBmbpw%3D%3D&amp;DocumentIdParam=%2BOzrx9rxKIHSecV2a7DnGEFMXZGy9FlBlEKShFfenEMkIV8tzlb8qcQ1OEq5MMBM7iJP%2BBQAp4yP88GKKO05HNYlAHKJHpP3bBTtNQ0%2BxHyB0nvVKRzfe4rpHcnlPhSZ" TargetMode="External" Id="rId193" /><Relationship Type="http://schemas.openxmlformats.org/officeDocument/2006/relationships/hyperlink" Target="https://contrataciondelestado.es/FileSystem/servlet/GetDocumentByIdServlet?cifrado=QUC1GjXXSiLkydRHJBmbpw%3D%3D&amp;DocumentIdParam=ihKowu21j5t8CwPcm4L4FEAxrROBeWi0p/3424Yhk0mNX1BdmMU7/5TOyJjnUULI83yrzwN687d5Ocb%2BRSd6mYIJPQKT8mjPaoL56dOc%2BVZ45ClyWkoJ44mKM70IFcOu" TargetMode="External" Id="rId194" /><Relationship Type="http://schemas.openxmlformats.org/officeDocument/2006/relationships/hyperlink" Target="https://contrataciondelestado.es/wps/poc?uri=deeplink:detalle_licitacion&amp;idEvl=KQA5aUxcsRBVq4S9zvaQpQ%3D%3D" TargetMode="External" Id="rId195" /><Relationship Type="http://schemas.openxmlformats.org/officeDocument/2006/relationships/hyperlink" Target="https://contrataciondelestado.es/FileSystem/servlet/GetDocumentByIdServlet?cifrado=QUC1GjXXSiLkydRHJBmbpw%3D%3D&amp;DocumentIdParam=BZ3OTIVJn%2Bj%2BT06%2BonnJYm/fVL70BH4kYAmoicWS5SFvD6yWOQKm2PBQGbCqjWbg0qMCtRy5wtDEnD5Wt0m5WBH2GUYxRMPMHcnkMCLHhIBt/o8fNevwsujgRzaBbugn" TargetMode="External" Id="rId196" /><Relationship Type="http://schemas.openxmlformats.org/officeDocument/2006/relationships/hyperlink" Target="https://contrataciondelestado.es/FileSystem/servlet/GetDocumentByIdServlet?cifrado=QUC1GjXXSiLkydRHJBmbpw%3D%3D&amp;DocumentIdParam=Bt0Wu9Yw7ICVhDI2qqgIVex7I/j4vV/7CcO5C1/B02h8UGc8FDdvhPvrsIMWW0n2pVp%2B1JkV0fGLOC%2BuKcXJwH%2BtPRBe6DVSZTOvlZMaGUffdyQgZAdTm3EfcUAC7CJ6" TargetMode="External" Id="rId197" /><Relationship Type="http://schemas.openxmlformats.org/officeDocument/2006/relationships/hyperlink" Target="https://contrataciondelestado.es/wps/poc?uri=deeplink:detalle_licitacion&amp;idEvl=I2%2F1TgOpql%2F9pbnDwlaUlg%3D%3D" TargetMode="External" Id="rId198" /><Relationship Type="http://schemas.openxmlformats.org/officeDocument/2006/relationships/hyperlink" Target="https://contrataciondelestado.es/FileSystem/servlet/GetDocumentByIdServlet?cifrado=QUC1GjXXSiLkydRHJBmbpw%3D%3D&amp;DocumentIdParam=J4VYxvIYvy/5WqFVzElKGGvLQiBQ%2BEGajN6ZWufdZiNKEkVMM0Yl6qbA2hrB/uwrz6ElIS7QWUqUhEl2tEN%2B6VKZcEJ1HsOPNdvRyJXyuRp45ClyWkoJ44mKM70IFcOu" TargetMode="External" Id="rId199" /><Relationship Type="http://schemas.openxmlformats.org/officeDocument/2006/relationships/hyperlink" Target="https://contrataciondelestado.es/FileSystem/servlet/GetDocumentByIdServlet?cifrado=QUC1GjXXSiLkydRHJBmbpw%3D%3D&amp;DocumentIdParam=akjXLCKlffyOOp7hfEuJNUTSltj%2B4HB9ES5pUddizRH7C%2BMgUpcjRQBCND9f9ovzRsyFQODaw85%2B5HIv38CTGTDWuhUp0o7HkzH80FwnpPffdyQgZAdTm3EfcUAC7CJ6" TargetMode="External" Id="rId200" /><Relationship Type="http://schemas.openxmlformats.org/officeDocument/2006/relationships/hyperlink" Target="https://contrataciondelestado.es/wps/poc?uri=deeplink:detalle_licitacion&amp;idEvl=%2FueOpfZ51uKcTfjQf3USOg%3D%3D" TargetMode="External" Id="rId201" /><Relationship Type="http://schemas.openxmlformats.org/officeDocument/2006/relationships/hyperlink" Target="https://contrataciondelestado.es/FileSystem/servlet/GetDocumentByIdServlet?cifrado=QUC1GjXXSiLkydRHJBmbpw%3D%3D&amp;DocumentIdParam=BKdSlZvhpjftRmnBed9HR06MX%2BykH/2tJFX0RPFLG62WYHzhpef6DZ%2BPxf7ktfjY0gzl0d5B5losV%2BWbEvks5IMtlaxoE7aTgodlEGAihAQZyAJWGsSt0OzTSTyw9JAs" TargetMode="External" Id="rId202" /><Relationship Type="http://schemas.openxmlformats.org/officeDocument/2006/relationships/hyperlink" Target="https://contrataciondelestado.es/wps/poc?uri=deeplink:detalle_licitacion&amp;idEvl=aqJ6G4muQPSS81gZFETWmA%3D%3D" TargetMode="External" Id="rId203" /><Relationship Type="http://schemas.openxmlformats.org/officeDocument/2006/relationships/hyperlink" Target="https://contrataciondelestado.es/FileSystem/servlet/GetDocumentByIdServlet?cifrado=QUC1GjXXSiLkydRHJBmbpw%3D%3D&amp;DocumentIdParam=wmM2qPx8/n2dhM5045uvclqwTOy6czmxkOaRwNegN47iInBRAAqYV%2Bl/UzakU5R0lUbUoAnA4QjpfqdOAPc3Qck6uf3KXdy9zIv%2BFLG9EoR7QB3HKyQaFUExmUVQCerk" TargetMode="External" Id="rId204" /><Relationship Type="http://schemas.openxmlformats.org/officeDocument/2006/relationships/hyperlink" Target="https://contrataciondelestado.es/FileSystem/servlet/GetDocumentByIdServlet?cifrado=QUC1GjXXSiLkydRHJBmbpw%3D%3D&amp;DocumentIdParam=LAnth1YQsG1WFhwe2B/d7ojKo/f7PToTN%2BJt/9cp%2BfTLQs4%2B1WYieA6RU1UqfdczKJwTFCGykAElWLkh93hg3vy0RXC6myjmZtfCmB/Qs2GB0nvVKRzfe4rpHcnlPhSZ" TargetMode="External" Id="rId205" /><Relationship Type="http://schemas.openxmlformats.org/officeDocument/2006/relationships/hyperlink" Target="https://contrataciondelestado.es/wps/poc?uri=deeplink:detalle_licitacion&amp;idEvl=M%2BP1AKIIWr0%2Bk2oCbDosIw%3D%3D" TargetMode="External" Id="rId206" /><Relationship Type="http://schemas.openxmlformats.org/officeDocument/2006/relationships/hyperlink" Target="https://contrataciondelestado.es/FileSystem/servlet/GetDocumentByIdServlet?cifrado=QUC1GjXXSiLkydRHJBmbpw%3D%3D&amp;DocumentIdParam=fIQ5b5kLGEOS4S/sSF5fax4UAbUH2Ow%2B5tOxwthLAGR3ra2oaTbxtFhwabX/anPtoqCGSuxRssKx0pp0igVedsN3npZxE8jLZgXecHh4rGPDdQD9RyhUmzT4jZ2In4zL" TargetMode="External" Id="rId207" /><Relationship Type="http://schemas.openxmlformats.org/officeDocument/2006/relationships/hyperlink" Target="https://contrataciondelestado.es/FileSystem/servlet/GetDocumentByIdServlet?cifrado=QUC1GjXXSiLkydRHJBmbpw%3D%3D&amp;DocumentIdParam=GdlVAqGQtE4/3xWe7IfB%2BVMLslRmjBv66%2BDoEI44g/hr7Tz%2BLCqxwmLr2yV%2Bw6me7gc39TmDEOTTMVOyQGnPZhSDsl4q6oSipPMiZZUyN%2BOB0nvVKRzfe4rpHcnlPhSZ" TargetMode="External" Id="rId208" /><Relationship Type="http://schemas.openxmlformats.org/officeDocument/2006/relationships/hyperlink" Target="https://contrataciondelestado.es/wps/poc?uri=deeplink:detalle_licitacion&amp;idEvl=zcdj9UejJoSTylGzYmBF9Q%3D%3D" TargetMode="External" Id="rId209" /><Relationship Type="http://schemas.openxmlformats.org/officeDocument/2006/relationships/hyperlink" Target="https://contrataciondelestado.es/FileSystem/servlet/GetDocumentByIdServlet?cifrado=QUC1GjXXSiLkydRHJBmbpw%3D%3D&amp;DocumentIdParam=J9u/yd16g4mGNDJAX43x0MbIG%2Bk4Fy8O9GEcXlkfMYqqfoHeq0/HhjFDBil4wmGWf2CzlmJe4cj2EXyasovn%2BuWRAyhBcFDAIyp14ef6mQw//q7NB2iMZvNyf0xrJmjt" TargetMode="External" Id="rId210" /><Relationship Type="http://schemas.openxmlformats.org/officeDocument/2006/relationships/hyperlink" Target="https://contrataciondelestado.es/FileSystem/servlet/GetDocumentByIdServlet?cifrado=QUC1GjXXSiLkydRHJBmbpw%3D%3D&amp;DocumentIdParam=FYTEtGMWats/yrokVb5oVCnE2zE3LY33c26/AJcayLpqCCXFnqH7ivNICb8XgtQTEyKT9NVchlvoC9Hg8bd7RG9DkaJe%2B3v6D7MtUh0cjGDDdQD9RyhUmzT4jZ2In4zL" TargetMode="External" Id="rId211" /><Relationship Type="http://schemas.openxmlformats.org/officeDocument/2006/relationships/hyperlink" Target="https://contrataciondelestado.es/wps/poc?uri=deeplink:detalle_licitacion&amp;idEvl=7f3dvyBHu%2Bmqb7rCcv76BA%3D%3D" TargetMode="External" Id="rId212" /><Relationship Type="http://schemas.openxmlformats.org/officeDocument/2006/relationships/hyperlink" Target="https://contrataciondelestado.es/FileSystem/servlet/GetDocumentByIdServlet?cifrado=QUC1GjXXSiLkydRHJBmbpw%3D%3D&amp;DocumentIdParam=GneVU/zz0Z%2B51%2B3rmaea1R05LxK8vEFth/OXCIzj4q%2BMo/vqez0qZ8uTYGWMQH84LA2%2BKVFB6hvYCv4%2BczBvS1mqt3dLwTgTG/hEqSM%2BWfl7QB3HKyQaFUExmUVQCerk" TargetMode="External" Id="rId213" /><Relationship Type="http://schemas.openxmlformats.org/officeDocument/2006/relationships/hyperlink" Target="https://contrataciondelestado.es/FileSystem/servlet/GetDocumentByIdServlet?cifrado=QUC1GjXXSiLkydRHJBmbpw%3D%3D&amp;DocumentIdParam=O1ztHKLXSJngMFMKpgAy5mf2kQsDpBD39XJqVur1Fo1OtCGN0c95SL2suxWmKdFFFyJP%2BAQHt13JmOySIuW5bqQIa2E/m64C4lT88V3vmoIZyAJWGsSt0OzTSTyw9JAs" TargetMode="External" Id="rId214" /><Relationship Type="http://schemas.openxmlformats.org/officeDocument/2006/relationships/hyperlink" Target="https://contrataciondelestado.es/wps/poc?uri=deeplink:detalle_licitacion&amp;idEvl=dnYuaFwk%2BgecCF8sV%2BqtYA%3D%3D" TargetMode="External" Id="rId215" /><Relationship Type="http://schemas.openxmlformats.org/officeDocument/2006/relationships/hyperlink" Target="https://contrataciondelestado.es/FileSystem/servlet/GetDocumentByIdServlet?cifrado=QUC1GjXXSiLkydRHJBmbpw%3D%3D&amp;DocumentIdParam=LJ13Ga5khgjYvowFQJ6MkpeXpYf4iLWaiFLEAxM0304DBk%2BiuGwJZHtKPC04DPWNxgyxQ%2BXyVQtGPha260GC4E/5MDIYUHRr9FV2HSqZb6xt/o8fNevwsujgRzaBbugn" TargetMode="External" Id="rId216" /><Relationship Type="http://schemas.openxmlformats.org/officeDocument/2006/relationships/hyperlink" Target="https://contrataciondelestado.es/FileSystem/servlet/GetDocumentByIdServlet?cifrado=QUC1GjXXSiLkydRHJBmbpw%3D%3D&amp;DocumentIdParam=sFblu4/Rhpjk6IMz3opKHYWtTxOn3YaTGd21QbrR3n/0d6nrevJ2TEJ8UkCFPXRGcK%2BpnG%2BTYSBpu3ycl%2B4ENsYbdS2/QR1Lt/Xod9jOhijVTD3T98KC0nSgQFM0q%2B5s" TargetMode="External" Id="rId217" /><Relationship Type="http://schemas.openxmlformats.org/officeDocument/2006/relationships/hyperlink" Target="https://contrataciondelestado.es/wps/poc?uri=deeplink:detalle_licitacion&amp;idEvl=oCjY4l4eX8pSYrkJkLlFdw%3D%3D" TargetMode="External" Id="rId218" /><Relationship Type="http://schemas.openxmlformats.org/officeDocument/2006/relationships/hyperlink" Target="https://contrataciondelestado.es/FileSystem/servlet/GetDocumentByIdServlet?cifrado=QUC1GjXXSiLkydRHJBmbpw%3D%3D&amp;DocumentIdParam=y6PUttHvBTKnu5EEuwIArfvpoW438SqWwoBhURFLjdV7WAjqDUzjxA%2BduSso4Zubrp6neTSjSTDhe8YjOt4d3UHJo597phcoGUgCnKqmXt6HAj0WEJrB5sP7amrh2jBD" TargetMode="External" Id="rId219" /><Relationship Type="http://schemas.openxmlformats.org/officeDocument/2006/relationships/hyperlink" Target="https://contrataciondelestado.es/FileSystem/servlet/GetDocumentByIdServlet?cifrado=QUC1GjXXSiLkydRHJBmbpw%3D%3D&amp;DocumentIdParam=M%2B5FtSEjUP8JQuHGI4SEpXa56rWisZJAJhTHfZODC/tGLSbUVOaIxDMfjOq3lKDmjyp4zkhTt0RdzfbN6FYsmawQo%2B7dZ7AKGDBb4KN6GM4C1/zDIE0Kw/PWNnLS0Z0z" TargetMode="External" Id="rId220" /><Relationship Type="http://schemas.openxmlformats.org/officeDocument/2006/relationships/hyperlink" Target="https://contrataciondelestado.es/wps/poc?uri=deeplink:detalle_licitacion&amp;idEvl=3GYQZoC9g%2Fj5Rey58Yagpg%3D%3D" TargetMode="External" Id="rId221" /><Relationship Type="http://schemas.openxmlformats.org/officeDocument/2006/relationships/hyperlink" Target="https://contrataciondelestado.es/FileSystem/servlet/GetDocumentByIdServlet?cifrado=QUC1GjXXSiLkydRHJBmbpw%3D%3D&amp;DocumentIdParam=KyaWfF6%2BQBOyyBa9ZVeQ0Pj8s14CKmpT8ykOenoewlYedspNm4%2BN67SbhLx2%2Br0ecevNrueUwoIbMa%2BK9XJ/oCdJQZbf3oNiAxuPjEKvZnE//q7NB2iMZvNyf0xrJmjt" TargetMode="External" Id="rId222" /><Relationship Type="http://schemas.openxmlformats.org/officeDocument/2006/relationships/hyperlink" Target="https://contrataciondelestado.es/FileSystem/servlet/GetDocumentByIdServlet?cifrado=QUC1GjXXSiLkydRHJBmbpw%3D%3D&amp;DocumentIdParam=kDhqNqGSWZ6TLWGSTMsjhhbUK2DvMt8C6tJ4uZH72baP6X2qWC%2BkRWmMM8VorYoW5zJgpd4l%2BaFccWEw/3nLZX1vUNr6chJHzvz3qX39eVY//q7NB2iMZvNyf0xrJmjt" TargetMode="External" Id="rId223" /><Relationship Type="http://schemas.openxmlformats.org/officeDocument/2006/relationships/hyperlink" Target="https://contrataciondelestado.es/wps/poc?uri=deeplink:detalle_licitacion&amp;idEvl=iT7J%2FbvgaxekU02jNGj1Fw%3D%3D" TargetMode="External" Id="rId224" /><Relationship Type="http://schemas.openxmlformats.org/officeDocument/2006/relationships/hyperlink" Target="https://contrataciondelestado.es/FileSystem/servlet/GetDocumentByIdServlet?cifrado=QUC1GjXXSiLkydRHJBmbpw%3D%3D&amp;DocumentIdParam=UrbM4AEFOeSNS1uEy8OsYnp65GWQk4fiaFkdJt3flw5kj6%2B2WDo8hJL9Ma0340Eod41jNf/u1sbxQpAn2Swy6a/ixmjWkkrJtGnkDUoDVHP3GVhXrFFqN7yFncy7YfRK" TargetMode="External" Id="rId225" /><Relationship Type="http://schemas.openxmlformats.org/officeDocument/2006/relationships/hyperlink" Target="https://contrataciondelestado.es/FileSystem/servlet/GetDocumentByIdServlet?cifrado=QUC1GjXXSiLkydRHJBmbpw%3D%3D&amp;DocumentIdParam=xO9KiE1vLO5HuuWnXDcvhL8Vi/7A2cs4hexg3/S7jeMvtZct1pCOFj%2BP2UfhKYLysTEZDbGtYzh6R8RYzba4JVdxaWJ/xQDCg6IYI3AB4bk//q7NB2iMZvNyf0xrJmjt" TargetMode="External" Id="rId226" /><Relationship Type="http://schemas.openxmlformats.org/officeDocument/2006/relationships/hyperlink" Target="https://contrataciondelestado.es/wps/poc?uri=deeplink:detalle_licitacion&amp;idEvl=%2BJr54v3oPwCFQ%2FlhRK79lA%3D%3D" TargetMode="External" Id="rId227" /><Relationship Type="http://schemas.openxmlformats.org/officeDocument/2006/relationships/hyperlink" Target="https://contrataciondelestado.es/FileSystem/servlet/GetDocumentByIdServlet?cifrado=QUC1GjXXSiLkydRHJBmbpw%3D%3D&amp;DocumentIdParam=e1HpMrJ%2BCx5uWtQgZ7/FlH9vec%2BvgmL2RYz73u8xe/6cJeHv39ZxiRFrlOgA8j8gvO1Nced9e%2B7QQykJ8NMCswyOySrgzYwbuCW4AgCTxom1aXEvq3KHa/AEHgtDrQw0" TargetMode="External" Id="rId228" /><Relationship Type="http://schemas.openxmlformats.org/officeDocument/2006/relationships/hyperlink" Target="https://contrataciondelestado.es/FileSystem/servlet/GetDocumentByIdServlet?cifrado=QUC1GjXXSiLkydRHJBmbpw%3D%3D&amp;DocumentIdParam=zfdAViCSk%2B%2BbFAvuk6lGjXNgeUuttqNtcsNPAZxz7%2BUEtaVYT0/6m/922sfLT1X2l0dw4QDJ0n73xSDZB4cf2rrzvvgX1iN4UtOgkTpLvbG1aXEvq3KHa/AEHgtDrQw0" TargetMode="External" Id="rId229" /><Relationship Type="http://schemas.openxmlformats.org/officeDocument/2006/relationships/hyperlink" Target="https://contrataciondelestado.es/wps/poc?uri=deeplink:detalle_licitacion&amp;idEvl=Mx%2FCWxNEyM22gkLQ8TeYKA%3D%3D" TargetMode="External" Id="rId230" /><Relationship Type="http://schemas.openxmlformats.org/officeDocument/2006/relationships/hyperlink" Target="https://contrataciondelestado.es/FileSystem/servlet/GetDocumentByIdServlet?cifrado=QUC1GjXXSiLkydRHJBmbpw%3D%3D&amp;DocumentIdParam=fl5Xm%2Bwq5dBAIUDTGD51dq8Eda30aiEe/VerE0wFYaCEVcsZ7/FbOlEDnPwlrE/S8Hp1Up4jU9LP5/nczKJdVsZgieOrfD7ELw7QZNE9yzYC1/zDIE0Kw/PWNnLS0Z0z" TargetMode="External" Id="rId231" /><Relationship Type="http://schemas.openxmlformats.org/officeDocument/2006/relationships/hyperlink" Target="https://contrataciondelestado.es/FileSystem/servlet/GetDocumentByIdServlet?cifrado=QUC1GjXXSiLkydRHJBmbpw%3D%3D&amp;DocumentIdParam=a5htdh0Put1s1h1x8MxogqHzZewPgCBu6pIjG6XqXvfUAEZ/2Pw7eE2Q3RyTJAPCB0wkXsp%2BmGVP9EcriG15TnKu4wsiJRZBYpBhxKUB/BjVTD3T98KC0nSgQFM0q%2B5s" TargetMode="External" Id="rId232" /><Relationship Type="http://schemas.openxmlformats.org/officeDocument/2006/relationships/hyperlink" Target="https://contrataciondelestado.es/wps/poc?uri=deeplink:detalle_licitacion&amp;idEvl=W5Xfl0CJgx3ECtSnloz%2BZQ%3D%3D" TargetMode="External" Id="rId233" /><Relationship Type="http://schemas.openxmlformats.org/officeDocument/2006/relationships/hyperlink" Target="https://contrataciondelestado.es/FileSystem/servlet/GetDocumentByIdServlet?cifrado=QUC1GjXXSiLkydRHJBmbpw%3D%3D&amp;DocumentIdParam=cG7B%2Bpa2VgJx6Zj2b4RZBbOV80uI87%2BtF2pAevoWZmysdXlerBXsuLvwMQ38iJiAMcNE4L9dUSgiAG6bPUNJfE8jvpc7E2d4TmEIeWsoxkBJOVDbGCDM%2BMigrvuVS7Rv" TargetMode="External" Id="rId234" /><Relationship Type="http://schemas.openxmlformats.org/officeDocument/2006/relationships/hyperlink" Target="https://contrataciondelestado.es/FileSystem/servlet/GetDocumentByIdServlet?cifrado=QUC1GjXXSiLkydRHJBmbpw%3D%3D&amp;DocumentIdParam=OUgIhd8vnl88bz/TFsuHxNzExU96kAzmAJI0tLRrCk6bcSMHox7w/VbfoSCCUnK36c8uMy7z9UKn/iss5niXBuUsYtCxJQ21sYU40UvkyODfdyQgZAdTm3EfcUAC7CJ6" TargetMode="External" Id="rId235" /><Relationship Type="http://schemas.openxmlformats.org/officeDocument/2006/relationships/hyperlink" Target="https://contrataciondelestado.es/wps/poc?uri=deeplink:detalle_licitacion&amp;idEvl=QkGueFkUjcXpxJFXpLZ%2B2A%3D%3D" TargetMode="External" Id="rId236" /><Relationship Type="http://schemas.openxmlformats.org/officeDocument/2006/relationships/hyperlink" Target="https://contrataciondelestado.es/FileSystem/servlet/GetDocumentByIdServlet?cifrado=QUC1GjXXSiLkydRHJBmbpw%3D%3D&amp;DocumentIdParam=IHZRSVptYXhWXt6KupKJQhpPubNm7zF3xmBR1FYVfcO9xIfSHS1yr4rFmzGanzviX297wrN6r0bJ/m8VzS6Io5e5neWCf7nRahEp6E2pV5eCx2e6p7hqtlp2aFupgHMr" TargetMode="External" Id="rId237" /><Relationship Type="http://schemas.openxmlformats.org/officeDocument/2006/relationships/hyperlink" Target="https://contrataciondelestado.es/FileSystem/servlet/GetDocumentByIdServlet?cifrado=QUC1GjXXSiLkydRHJBmbpw%3D%3D&amp;DocumentIdParam=xCLyg4/vLZqOkTj6bGY9gmKOtZhXNhZRvf/dQ8YCYwHNam9a27mEMXWZAJjapnWMjCdo1hHfthvZ/chMYx9nDXjaNyHJ9EtLy6yNR9Z8EvZt/o8fNevwsujgRzaBbugn" TargetMode="External" Id="rId238" /><Relationship Type="http://schemas.openxmlformats.org/officeDocument/2006/relationships/hyperlink" Target="https://contrataciondelestado.es/wps/poc?uri=deeplink:detalle_licitacion&amp;idEvl=2qdpV8AJNT7IGlsa0Wad%2Bw%3D%3D" TargetMode="External" Id="rId239" /><Relationship Type="http://schemas.openxmlformats.org/officeDocument/2006/relationships/hyperlink" Target="https://contrataciondelestado.es/FileSystem/servlet/GetDocumentByIdServlet?cifrado=QUC1GjXXSiLkydRHJBmbpw%3D%3D&amp;DocumentIdParam=3N/msgZbCtXj2GZxuPcOIfJiRzVEIy6wJKtgNjkotOtbZZe48zg/Q29JiQA9KFb0bYdG4q9ViLFuVtHuI5MP08TsZFJiB0qzMc3Rt74CziS1aXEvq3KHa/AEHgtDrQw0" TargetMode="External" Id="rId240" /><Relationship Type="http://schemas.openxmlformats.org/officeDocument/2006/relationships/hyperlink" Target="https://contrataciondelestado.es/FileSystem/servlet/GetDocumentByIdServlet?cifrado=QUC1GjXXSiLkydRHJBmbpw%3D%3D&amp;DocumentIdParam=x/As8g8WeIHZq9Dc3GSzo31IZ%2BrSEfEIf77hcLTWW/y7fxABDo%2Bq5X9SMOK0fxXZOfM966RyQBAfMvIs8E05ZURs7E2g3junYFFP4/Gt8Fp7QB3HKyQaFUExmUVQCerk" TargetMode="External" Id="rId241" /><Relationship Type="http://schemas.openxmlformats.org/officeDocument/2006/relationships/hyperlink" Target="https://contrataciondelestado.es/wps/poc?uri=deeplink:detalle_licitacion&amp;idEvl=rr9sX%2Fm%2B6hSOUi78BmzhOQ%3D%3D" TargetMode="External" Id="rId242" /><Relationship Type="http://schemas.openxmlformats.org/officeDocument/2006/relationships/hyperlink" Target="https://contrataciondelestado.es/FileSystem/servlet/GetDocumentByIdServlet?cifrado=QUC1GjXXSiLkydRHJBmbpw%3D%3D&amp;DocumentIdParam=AZNKorTB7VmpnF69Fj8h5QpdEDl20kpPSpch3eYxZwP%2BykRppgOiEPaFROZYWYxzPZMsqvqoYL3vz3Oo92JpU5ziMus30EjVMa9CNfeuv3XVTD3T98KC0nSgQFM0q%2B5s" TargetMode="External" Id="rId243" /><Relationship Type="http://schemas.openxmlformats.org/officeDocument/2006/relationships/hyperlink" Target="https://contrataciondelestado.es/FileSystem/servlet/GetDocumentByIdServlet?cifrado=QUC1GjXXSiLkydRHJBmbpw%3D%3D&amp;DocumentIdParam=Ii%2B6bytvnLgoKSTVJHTD4aLoP52BohnyRKFcekHBXmIfjSTw2zU/QgEftpUp87PgHdX3WhS19HVOtUuKcAyFTjr7mXNMwrnf7bZ2TjKCe4c//q7NB2iMZvNyf0xrJmjt" TargetMode="External" Id="rId244" /><Relationship Type="http://schemas.openxmlformats.org/officeDocument/2006/relationships/hyperlink" Target="https://contrataciondelestado.es/wps/poc?uri=deeplink:detalle_licitacion&amp;idEvl=tdcF022LA%2BO9Hd5zqvq9cg%3D%3D" TargetMode="External" Id="rId245" /><Relationship Type="http://schemas.openxmlformats.org/officeDocument/2006/relationships/hyperlink" Target="https://contrataciondelestado.es/FileSystem/servlet/GetDocumentByIdServlet?cifrado=QUC1GjXXSiLkydRHJBmbpw%3D%3D&amp;DocumentIdParam=qR76M89NUwbLz/B21rcPxEZWStx6KlIYPyQl2j4A0wUBmIU%2BaL7AX9Z7xa2G6TRBMg3lDH7XX7qYJPy0bf3zT5oQUolpCZp/iNSdRTFfn3TDdQD9RyhUmzT4jZ2In4zL" TargetMode="External" Id="rId246" /><Relationship Type="http://schemas.openxmlformats.org/officeDocument/2006/relationships/hyperlink" Target="https://contrataciondelestado.es/FileSystem/servlet/GetDocumentByIdServlet?cifrado=QUC1GjXXSiLkydRHJBmbpw%3D%3D&amp;DocumentIdParam=AWPETSsEiGBzLg5dG8sYusYw5XoyE1Czs%2BAnjMJ%2Bad0%2BesgcGZKPAJdeQCptay37XlSogBjUsZb5IuQLjwM1WQU2FVcreXaJsv9kL2gRmGHfdyQgZAdTm3EfcUAC7CJ6" TargetMode="External" Id="rId247" /><Relationship Type="http://schemas.openxmlformats.org/officeDocument/2006/relationships/hyperlink" Target="https://contrataciondelestado.es/wps/poc?uri=deeplink:detalle_licitacion&amp;idEvl=rU5zHHg4kqLgL1BHd3qjQA%3D%3D" TargetMode="External" Id="rId248" /><Relationship Type="http://schemas.openxmlformats.org/officeDocument/2006/relationships/hyperlink" Target="https://contrataciondelestado.es/FileSystem/servlet/GetDocumentByIdServlet?cifrado=QUC1GjXXSiLkydRHJBmbpw%3D%3D&amp;DocumentIdParam=oQ5M8NVEZGpiVQyvQfIIEv2YSce1k/MDnXze%2BVa3INjW2raTHoOxFdGPTZNsyLj9jy8aztT3Wm6tg9BF1OFmo7Kr5YtCyH8EpRNIaD/m6nX6CYyL7SIrUOBFfNf52ZqA" TargetMode="External" Id="rId249" /><Relationship Type="http://schemas.openxmlformats.org/officeDocument/2006/relationships/hyperlink" Target="https://contrataciondelestado.es/wps/poc?uri=deeplink:detalle_licitacion&amp;idEvl=vHEGkLojNQQzjChw4z%2FXvw%3D%3D" TargetMode="External" Id="rId250" /><Relationship Type="http://schemas.openxmlformats.org/officeDocument/2006/relationships/hyperlink" Target="https://contrataciondelestado.es/FileSystem/servlet/GetDocumentByIdServlet?cifrado=QUC1GjXXSiLkydRHJBmbpw%3D%3D&amp;DocumentIdParam=eB23c45uJQDLh0lF/rR570QXrW8vz3/nockFNL14tY1GD/ZhNdB98JP/kbcCDzxbnHR%2BNkj4q44PZK0rMdC3pEdQB2G8dk0qwvoRZkfj1sl45ClyWkoJ44mKM70IFcOu" TargetMode="External" Id="rId251" /><Relationship Type="http://schemas.openxmlformats.org/officeDocument/2006/relationships/hyperlink" Target="https://contrataciondelestado.es/FileSystem/servlet/GetDocumentByIdServlet?cifrado=QUC1GjXXSiLkydRHJBmbpw%3D%3D&amp;DocumentIdParam=VvEzS7I2qkSQ0vwY1F8D4n4JkyyCOa5cQeELYn4dycEM661AbsOr6MnJ/%2BlWTkYc3pRQ/9hhvPpdEUNFDGBF4Utk%2B%2BgChoiUXLZ7fSMEnmSB0nvVKRzfe4rpHcnlPhSZ" TargetMode="External" Id="rId252" /><Relationship Type="http://schemas.openxmlformats.org/officeDocument/2006/relationships/hyperlink" Target="https://contrataciondelestado.es/wps/poc?uri=deeplink:detalle_licitacion&amp;idEvl=dC%2BQ55A9bI036J9Lctlsuw%3D%3D" TargetMode="External" Id="rId253" /><Relationship Type="http://schemas.openxmlformats.org/officeDocument/2006/relationships/hyperlink" Target="https://contrataciondelestado.es/FileSystem/servlet/GetDocumentByIdServlet?cifrado=QUC1GjXXSiLkydRHJBmbpw%3D%3D&amp;DocumentIdParam=ESiVzjftdHap2ED/UEIs7SMOjM453jxS5U4foWc2Dq0%2BwhSqO2EoEYn1r87jT56EbIPmA93xhc/r3jvA5WTcvrCd7xUW/5HGAMYApWhhXuA//q7NB2iMZvNyf0xrJmjt" TargetMode="External" Id="rId254" /><Relationship Type="http://schemas.openxmlformats.org/officeDocument/2006/relationships/hyperlink" Target="https://contrataciondelestado.es/FileSystem/servlet/GetDocumentByIdServlet?cifrado=QUC1GjXXSiLkydRHJBmbpw%3D%3D&amp;DocumentIdParam=n%2BMEwZX7l/n1OtARUQ30sYN8mOGM0KNwR6sgBbagSKHJOxfVqIMhMrehaowukhhcAXzaImBrbyTcELCMjTGkahn6hHVFc309rMrLEAppY3h45ClyWkoJ44mKM70IFcOu" TargetMode="External" Id="rId255" /><Relationship Type="http://schemas.openxmlformats.org/officeDocument/2006/relationships/hyperlink" Target="https://contrataciondelestado.es/wps/poc?uri=deeplink:detalle_licitacion&amp;idEvl=UY9I%2BuFLCrYIYE3ZiZ%2BxmQ%3D%3D" TargetMode="External" Id="rId256" /><Relationship Type="http://schemas.openxmlformats.org/officeDocument/2006/relationships/hyperlink" Target="https://contrataciondelestado.es/FileSystem/servlet/GetDocumentByIdServlet?cifrado=QUC1GjXXSiLkydRHJBmbpw%3D%3D&amp;DocumentIdParam=YI/nEF4h8/Y5gh6bun6EID%2BI%2BQMX66m0meAD4fXhNhIujEdipImFDOfq3I3D%2B3WDZSZxW0ZFScYgbZWWs0oqE03L2OyhIJmUbUW0ftRxaiR45ClyWkoJ44mKM70IFcOu" TargetMode="External" Id="rId257" /><Relationship Type="http://schemas.openxmlformats.org/officeDocument/2006/relationships/hyperlink" Target="https://contrataciondelestado.es/FileSystem/servlet/GetDocumentByIdServlet?cifrado=QUC1GjXXSiLkydRHJBmbpw%3D%3D&amp;DocumentIdParam=hePCGvfj9jhPx/tPgP%2By4QTbn8vU1qWypXSCbcIv2HGKbv9t0KX8RkUnu8PSLd/gUpJqsyl7q8FUkjc9bCDzuIRjXiEg3v6bN9I%2B15Wb4GcZyAJWGsSt0OzTSTyw9JAs" TargetMode="External" Id="rId258" /><Relationship Type="http://schemas.openxmlformats.org/officeDocument/2006/relationships/hyperlink" Target="https://contrataciondelestado.es/wps/poc?uri=deeplink:detalle_licitacion&amp;idEvl=M%2FCIPj1vl9fkY6rls5tG9A%3D%3D" TargetMode="External" Id="rId259" /><Relationship Type="http://schemas.openxmlformats.org/officeDocument/2006/relationships/hyperlink" Target="https://contrataciondelestado.es/FileSystem/servlet/GetDocumentByIdServlet?cifrado=QUC1GjXXSiLkydRHJBmbpw%3D%3D&amp;DocumentIdParam=AOoph1R9IlLqjeHh7s48Iu4o78Yujb3bSKaWr8DcggfOuq/onlnCMUzpdRwLptMFzrEaubeXHuyFzjHw9845el6TG2xvRHnRC2qVa435jyAC1/zDIE0Kw/PWNnLS0Z0z" TargetMode="External" Id="rId260" /><Relationship Type="http://schemas.openxmlformats.org/officeDocument/2006/relationships/hyperlink" Target="https://contrataciondelestado.es/FileSystem/servlet/GetDocumentByIdServlet?cifrado=QUC1GjXXSiLkydRHJBmbpw%3D%3D&amp;DocumentIdParam=%2B/qWyENGqYsBhtCCtpVdNkQfcLgkNnvnZ2k2i7AxXVVUzpZGgxwImyNp3JAQQIoQUE/YnRoYKM%2BgAKOmtnd5PvftGOCR79L3YI8oHIfXvuYZyAJWGsSt0OzTSTyw9JAs" TargetMode="External" Id="rId261" /><Relationship Type="http://schemas.openxmlformats.org/officeDocument/2006/relationships/hyperlink" Target="https://contrataciondelestado.es/wps/poc?uri=deeplink:detalle_licitacion&amp;idEvl=AE4x5A02S%2B%2F9pbnDwlaUlg%3D%3D" TargetMode="External" Id="rId262" /><Relationship Type="http://schemas.openxmlformats.org/officeDocument/2006/relationships/hyperlink" Target="https://contrataciondelestado.es/FileSystem/servlet/GetDocumentByIdServlet?cifrado=QUC1GjXXSiLkydRHJBmbpw%3D%3D&amp;DocumentIdParam=blqIV4BU8julf0vxnLMYMjbOWQ%2B/6o9kIgHHezKiY8qR23OZBHp1FjYAWEAjhRfMfhZ9k2iUCaaM7DMvGBStdw6zROKB40KhZLSC7ju%2ByoZ7QB3HKyQaFUExmUVQCerk" TargetMode="External" Id="rId263" /><Relationship Type="http://schemas.openxmlformats.org/officeDocument/2006/relationships/hyperlink" Target="https://contrataciondelestado.es/FileSystem/servlet/GetDocumentByIdServlet?cifrado=QUC1GjXXSiLkydRHJBmbpw%3D%3D&amp;DocumentIdParam=dfZ1hNqyzekJvDAHhQkbya4qGMMOBIRid2Z4ODc%2BqTGnJD7sjX8dM6K1ucZS5r7Tz04jfpJWyUP8cQ2R3X6KnbrNyXDE4/hvxnQPLUSv99dt/o8fNevwsujgRzaBbugn" TargetMode="External" Id="rId264" /><Relationship Type="http://schemas.openxmlformats.org/officeDocument/2006/relationships/hyperlink" Target="https://contrataciondelestado.es/wps/poc?uri=deeplink:detalle_licitacion&amp;idEvl=1%2F2J38w8wwiS81gZFETWmA%3D%3D" TargetMode="External" Id="rId265" /><Relationship Type="http://schemas.openxmlformats.org/officeDocument/2006/relationships/hyperlink" Target="https://contrataciondelestado.es/FileSystem/servlet/GetDocumentByIdServlet?cifrado=QUC1GjXXSiLkydRHJBmbpw%3D%3D&amp;DocumentIdParam=YI/nEF4h8/Y5gh6bun6EIFHY7FqjhgSuL1CRRyi8SV8eN73CL3zRmDEMC3x6AAvBmfm5Le8ym5j9PD4y0Lag4kIRug01wOlUU0BIFeGomlKB0nvVKRzfe4rpHcnlPhSZ" TargetMode="External" Id="rId266" /><Relationship Type="http://schemas.openxmlformats.org/officeDocument/2006/relationships/hyperlink" Target="https://contrataciondelestado.es/wps/poc?uri=deeplink:detalle_licitacion&amp;idEvl=0jeuIpwipJ3VGIpKDxgsAQ%3D%3D" TargetMode="External" Id="rId267" /><Relationship Type="http://schemas.openxmlformats.org/officeDocument/2006/relationships/hyperlink" Target="https://contrataciondelestado.es/FileSystem/servlet/GetDocumentByIdServlet?cifrado=QUC1GjXXSiLkydRHJBmbpw%3D%3D&amp;DocumentIdParam=3bJIwdBq7PkaELRYiFflsghgEB4OF513cr/YFMLg/xerkSlu4K4ZdziokY9IQy5bF8lKsD%2BhUATVKyzqpFvZxA82hXBKgyyVFM/DMyOXxg145ClyWkoJ44mKM70IFcOu" TargetMode="External" Id="rId268" /><Relationship Type="http://schemas.openxmlformats.org/officeDocument/2006/relationships/hyperlink" Target="https://contrataciondelestado.es/FileSystem/servlet/GetDocumentByIdServlet?cifrado=QUC1GjXXSiLkydRHJBmbpw%3D%3D&amp;DocumentIdParam=aP9JD58oagWE7cXvnO5vjHMR4C5Wloyl1ef4erTFYq5t0ECrMSwCBnj%2BQwnreyZm864CnXgJTEWyjELbeUWZD/KkazfquPPfl416tqE6ORwC1/zDIE0Kw/PWNnLS0Z0z" TargetMode="External" Id="rId269" /><Relationship Type="http://schemas.openxmlformats.org/officeDocument/2006/relationships/hyperlink" Target="https://contrataciondelestado.es/wps/poc?uri=deeplink:detalle_licitacion&amp;idEvl=01od6Zp6%2B6H9pbnDwlaUlg%3D%3D" TargetMode="External" Id="rId270" /><Relationship Type="http://schemas.openxmlformats.org/officeDocument/2006/relationships/hyperlink" Target="https://contrataciondelestado.es/FileSystem/servlet/GetDocumentByIdServlet?cifrado=QUC1GjXXSiLkydRHJBmbpw%3D%3D&amp;DocumentIdParam=OPv1JDIoq/SlFMU1QN%2B/%2BuOrCUaidxxKM4RJGk//oabOs9DSLy0WFfETzM%2Bzd1h6W9csd10SHxtpFtyJPfJ2xDSsjM3rnH58QpqqcID4hL6Cx2e6p7hqtlp2aFupgHMr" TargetMode="External" Id="rId271" /><Relationship Type="http://schemas.openxmlformats.org/officeDocument/2006/relationships/hyperlink" Target="https://contrataciondelestado.es/FileSystem/servlet/GetDocumentByIdServlet?cifrado=QUC1GjXXSiLkydRHJBmbpw%3D%3D&amp;DocumentIdParam=3Orcm%2BUg6BUd33BDsT70%2B%2BnVr%2B3nB1CcYdYWPdDmOUBpRBQLaF6gjOeLjc7hpaZjeL/UUKExFgCaAy73f82bUdLZ5BMhNaot64sGx2f5bbnDdQD9RyhUmzT4jZ2In4zL" TargetMode="External" Id="rId272" /><Relationship Type="http://schemas.openxmlformats.org/officeDocument/2006/relationships/hyperlink" Target="https://contrataciondelestado.es/wps/poc?uri=deeplink:detalle_licitacion&amp;idEvl=9kACiXdrNPNQFSeKCRun4Q%3D%3D" TargetMode="External" Id="rId273" /><Relationship Type="http://schemas.openxmlformats.org/officeDocument/2006/relationships/hyperlink" Target="https://contrataciondelestado.es/FileSystem/servlet/GetDocumentByIdServlet?cifrado=QUC1GjXXSiLkydRHJBmbpw%3D%3D&amp;DocumentIdParam=QfLUTTJ1LF%2BUAVdDLPgyTVnaMQIfLQehVE1dpVZxvVj%2BYiz72BpEc548bbRkgzM8gHD7xBdHMGh4AFaR5ny5HeLoD1pTcqfJ3/qQD3Q%2BU1nfdyQgZAdTm3EfcUAC7CJ6" TargetMode="External" Id="rId274" /><Relationship Type="http://schemas.openxmlformats.org/officeDocument/2006/relationships/hyperlink" Target="https://contrataciondelestado.es/FileSystem/servlet/GetDocumentByIdServlet?cifrado=QUC1GjXXSiLkydRHJBmbpw%3D%3D&amp;DocumentIdParam=Ipu7b4TUhlxNmyMUKvvD6uF6Ri66dm85z3Sluvbiz2WhDq8n8BmyDm%2B5yRynbM7l/9ExQJAemyeC5D6Ojl70mYBoyMannkFBllo%2BejspKM3DdQD9RyhUmzT4jZ2In4zL" TargetMode="External" Id="rId275" /><Relationship Type="http://schemas.openxmlformats.org/officeDocument/2006/relationships/hyperlink" Target="https://contrataciondelestado.es/wps/poc?uri=deeplink:detalle_licitacion&amp;idEvl=sFkzQqi8nMT10HRJw8TEnQ%3D%3D" TargetMode="External" Id="rId276" /><Relationship Type="http://schemas.openxmlformats.org/officeDocument/2006/relationships/hyperlink" Target="https://contrataciondelestado.es/FileSystem/servlet/GetDocumentByIdServlet?cifrado=QUC1GjXXSiLkydRHJBmbpw%3D%3D&amp;DocumentIdParam=mKv2iM4TweAmD18pLUZImpitypG5ZJ2qdUTSISQ6mpruz972MHxR6ynZ0uTtH1m7L4VhWUV6%2BSapFR04sIgDzcOQ6uhdbmjVt50LcqPjq6h7QB3HKyQaFUExmUVQCerk" TargetMode="External" Id="rId277" /><Relationship Type="http://schemas.openxmlformats.org/officeDocument/2006/relationships/hyperlink" Target="https://contrataciondelestado.es/FileSystem/servlet/GetDocumentByIdServlet?cifrado=QUC1GjXXSiLkydRHJBmbpw%3D%3D&amp;DocumentIdParam=GDsXQcodSThc4QEZ0rwqzOHdQV8uUun0b4l9Vd45SPbRHI/Z7DAZkGkKgwCLGI%2BzZ/UdGy1U9dOqWpPYwNuINe17iwAnppNiQqocrE7YlLPDdQD9RyhUmzT4jZ2In4zL" TargetMode="External" Id="rId278" /><Relationship Type="http://schemas.openxmlformats.org/officeDocument/2006/relationships/hyperlink" Target="https://contrataciondelestado.es/wps/poc?uri=deeplink:detalle_licitacion&amp;idEvl=fDUya87P3%2BEXhk1FZxEyvw%3D%3D" TargetMode="External" Id="rId279" /><Relationship Type="http://schemas.openxmlformats.org/officeDocument/2006/relationships/hyperlink" Target="https://contrataciondelestado.es/FileSystem/servlet/GetDocumentByIdServlet?cifrado=QUC1GjXXSiLkydRHJBmbpw%3D%3D&amp;DocumentIdParam=SMpTTRNBSZUUqa1BKBqunrc/Q1VitEEWEJhXtJ2PuRvJoXyXfOs4zTcar0kSPh6Fg7pFMgJq9CzhssGSkQnXm90keXqxzPUCLaY/MZheU0nVTD3T98KC0nSgQFM0q%2B5s" TargetMode="External" Id="rId280" /><Relationship Type="http://schemas.openxmlformats.org/officeDocument/2006/relationships/hyperlink" Target="https://contrataciondelestado.es/wps/poc?uri=deeplink:detalle_licitacion&amp;idEvl=JLBk4dMPTkNSYrkJkLlFdw%3D%3D" TargetMode="External" Id="rId281" /><Relationship Type="http://schemas.openxmlformats.org/officeDocument/2006/relationships/hyperlink" Target="https://contrataciondelestado.es/FileSystem/servlet/GetDocumentByIdServlet?cifrado=QUC1GjXXSiLkydRHJBmbpw%3D%3D&amp;DocumentIdParam=YyWdjUpYZX6YXQGm2OZiA7/eW%2B67Or01cOUrBlXTzZ0iYLe5ueWQuoqA/SHh6YjgfKR39NvXCDXtbpO8sr2wkRI46j0jPYCpdPTN/20UqSxt/o8fNevwsujgRzaBbugn" TargetMode="External" Id="rId282" /><Relationship Type="http://schemas.openxmlformats.org/officeDocument/2006/relationships/hyperlink" Target="https://contrataciondelestado.es/FileSystem/servlet/GetDocumentByIdServlet?cifrado=QUC1GjXXSiLkydRHJBmbpw%3D%3D&amp;DocumentIdParam=G87FfKnWWsclTdL/G/ndgGx3Qq4vkEYYArYZc8nUQROGti7qctYkBwZbExwMzkKRRRqTrb4PrLmOoIyy1DHxJigJrUTw/nXQvQXIVJFwOf9JOVDbGCDM%2BMigrvuVS7Rv" TargetMode="External" Id="rId283" /><Relationship Type="http://schemas.openxmlformats.org/officeDocument/2006/relationships/hyperlink" Target="https://contrataciondelestado.es/wps/poc?uri=deeplink:detalle_licitacion&amp;idEvl=m3kRQyjsvG65HQrHoP3G5A%3D%3D" TargetMode="External" Id="rId284" /><Relationship Type="http://schemas.openxmlformats.org/officeDocument/2006/relationships/hyperlink" Target="https://contrataciondelestado.es/FileSystem/servlet/GetDocumentByIdServlet?cifrado=QUC1GjXXSiLkydRHJBmbpw%3D%3D&amp;DocumentIdParam=z5KVM%2B9qtFXa9yYBt/%2BRP2WUblQR1XqiHUrQefjHbyTp%2BnR09xV665q%2B9uyElANl32PTAhwmwaak9S%2Bw6sIBtMi4k4GwOr/UJimvYCOcnMF45ClyWkoJ44mKM70IFcOu" TargetMode="External" Id="rId285" /><Relationship Type="http://schemas.openxmlformats.org/officeDocument/2006/relationships/hyperlink" Target="https://contrataciondelestado.es/FileSystem/servlet/GetDocumentByIdServlet?cifrado=QUC1GjXXSiLkydRHJBmbpw%3D%3D&amp;DocumentIdParam=kLux8xYiLoft3nvlpXD%2BMnJagltgj5NuG6c4vfZtt847784UlyrXa4F1mWXEhfugXytuILgfMAPcbVBDHCuZZM9phmpvLq70JVxA3ERuzbDfdyQgZAdTm3EfcUAC7CJ6" TargetMode="External" Id="rId286" /><Relationship Type="http://schemas.openxmlformats.org/officeDocument/2006/relationships/hyperlink" Target="https://contrataciondelestado.es/wps/poc?uri=deeplink:detalle_licitacion&amp;idEvl=MgSULOZxrQbzAq95uGTrDQ%3D%3D" TargetMode="External" Id="rId287" /><Relationship Type="http://schemas.openxmlformats.org/officeDocument/2006/relationships/hyperlink" Target="https://contrataciondelestado.es/FileSystem/servlet/GetDocumentByIdServlet?cifrado=QUC1GjXXSiLkydRHJBmbpw%3D%3D&amp;DocumentIdParam=YqZris3D/R7aBqB1qloVLvoT58PPAcH4zauHBsvx1sQVNQwIXsS617iCWGwfmXPbyraRBnPWuSD0oQ9UeZ%2B8DCS4uOD5eduFoBaPKJXxn8r3GVhXrFFqN7yFncy7YfRK" TargetMode="External" Id="rId288" /><Relationship Type="http://schemas.openxmlformats.org/officeDocument/2006/relationships/hyperlink" Target="https://contrataciondelestado.es/FileSystem/servlet/GetDocumentByIdServlet?cifrado=QUC1GjXXSiLkydRHJBmbpw%3D%3D&amp;DocumentIdParam=QO8a5IHiLPzfqLPLloCGp/Z9j%2BGpb09rLCvaj0STgvkvwMOdinOMQBInS7%2BrlGTCfz2C7SSUsvh1KxQJKTJXcecchAxASyOVWZfw5oTLyM/fdyQgZAdTm3EfcUAC7CJ6" TargetMode="External" Id="rId289" /><Relationship Type="http://schemas.openxmlformats.org/officeDocument/2006/relationships/hyperlink" Target="https://contrataciondelestado.es/wps/poc?uri=deeplink:detalle_licitacion&amp;idEvl=JRfwJjPzVTKExvMJXBMHHQ%3D%3D" TargetMode="External" Id="rId290" /><Relationship Type="http://schemas.openxmlformats.org/officeDocument/2006/relationships/hyperlink" Target="https://contrataciondelestado.es/FileSystem/servlet/GetDocumentByIdServlet?cifrado=QUC1GjXXSiLkydRHJBmbpw%3D%3D&amp;DocumentIdParam=brpNW/HQUn6t5boFqzQC4o6fYtWOVT8lkBpBPpF0uSYy9pBXoguMCFcNY8%2B2Cluw8RdM20WlTEOL34ESRd0fWYpuxnhJviSLGut9nJPcd7iHAj0WEJrB5sP7amrh2jBD" TargetMode="External" Id="rId291" /><Relationship Type="http://schemas.openxmlformats.org/officeDocument/2006/relationships/hyperlink" Target="https://contrataciondelestado.es/FileSystem/servlet/GetDocumentByIdServlet?cifrado=QUC1GjXXSiLkydRHJBmbpw%3D%3D&amp;DocumentIdParam=QNdTt/U1P2exyaJNVeKvgcTMIRAj1EtwjMDjs5UKuIZ7jTvgPj/eI%2BGSw/L1FR68ARf6VWh3QefPuUPii97dJvYnz6j4JhdxOp0FTStPTGTDdQD9RyhUmzT4jZ2In4zL" TargetMode="External" Id="rId292" /><Relationship Type="http://schemas.openxmlformats.org/officeDocument/2006/relationships/hyperlink" Target="https://contrataciondelestado.es/wps/poc?uri=deeplink:detalle_licitacion&amp;idEvl=9kxbkBrlFsFVq4S9zvaQpQ%3D%3D" TargetMode="External" Id="rId293" /><Relationship Type="http://schemas.openxmlformats.org/officeDocument/2006/relationships/table" Target="/xl/tables/table1.xml" Id="rId294" /></Relationships>
</file>

<file path=xl/worksheets/_rels/sheet3.xml.rels><Relationships xmlns="http://schemas.openxmlformats.org/package/2006/relationships"><Relationship Type="http://schemas.openxmlformats.org/officeDocument/2006/relationships/hyperlink" Target="https://contrataciondelestado.es/wps/poc?uri=deeplink:detalle_licitacion&amp;idEvl=63ldDiROobF70UvEyYJSGw%3D%3D" TargetMode="External" Id="rId1" /><Relationship Type="http://schemas.openxmlformats.org/officeDocument/2006/relationships/hyperlink" Target="https://contrataciondelestado.es/wps/poc?uri=deeplink:detalle_licitacion&amp;idEvl=MgSULOZxrQbzAq95uGTrDQ%3D%3D" TargetMode="External" Id="rId2" /><Relationship Type="http://schemas.openxmlformats.org/officeDocument/2006/relationships/hyperlink" Target="https://contrataciondelestado.es/FileSystem/servlet/GetDocumentByIdServlet?cifrado=QUC1GjXXSiLkydRHJBmbpw%3D%3D&amp;DocumentIdParam=z5KVM%2B9qtFXa9yYBt/%2BRP2WUblQR1XqiHUrQefjHbyTp%2BnR09xV665q%2B9uyElANl32PTAhwmwaak9S%2Bw6sIBtMi4k4GwOr/UJimvYCOcnMF45ClyWkoJ44mKM70IFcOu" TargetMode="External" Id="rId3" /><Relationship Type="http://schemas.openxmlformats.org/officeDocument/2006/relationships/hyperlink" Target="https://contrataciondelestado.es/wps/poc?uri=deeplink:detalle_licitacion&amp;idEvl=o9ZUWuv%2BU5EzjChw4z%2FXvw%3D%3D" TargetMode="External" Id="rId4" /><Relationship Type="http://schemas.openxmlformats.org/officeDocument/2006/relationships/hyperlink" Target="https://contrataciondelestado.es/FileSystem/servlet/GetDocumentByIdServlet?cifrado=QUC1GjXXSiLkydRHJBmbpw%3D%3D&amp;DocumentIdParam=Z5vv4YzyFjNHHEWJL6Dls2PzsBvNIfzrWXaQ5OhME/Qfr9phOoU86z9KG0nl9roBzWN1latmaperd6ygObXTNmlFvi09zT3m47GuphYiD0V7QB3HKyQaFUExmUVQCerk" TargetMode="External" Id="rId5" /><Relationship Type="http://schemas.openxmlformats.org/officeDocument/2006/relationships/hyperlink" Target="https://contrataciondelestado.es/wps/poc?uri=deeplink:detalle_licitacion&amp;idEvl=hpHsZldvukceC9GJQOEBkQ%3D%3D" TargetMode="External" Id="rId6" /><Relationship Type="http://schemas.openxmlformats.org/officeDocument/2006/relationships/hyperlink" Target="https://contrataciondelestado.es/FileSystem/servlet/GetDocumentByIdServlet?cifrado=QUC1GjXXSiLkydRHJBmbpw%3D%3D&amp;DocumentIdParam=ybnMFwD01eelb6o42x%2BnJeAMEDaLd5khOvPO4ArxEumBGd8T4226IybEN4MMmE6ZE3PmkKDoQ1hAuPjm9O%2BqfQEqqG8bXDjr9iPS3tWh17eCx2e6p7hqtlp2aFupgHMr" TargetMode="External" Id="rId7" /><Relationship Type="http://schemas.openxmlformats.org/officeDocument/2006/relationships/hyperlink" Target="https://contrataciondelestado.es/wps/poc?uri=deeplink:detalle_licitacion&amp;idEvl=sd0CnL1EpulrhBlEHQFSKA%3D%3D" TargetMode="External" Id="rId8" /><Relationship Type="http://schemas.openxmlformats.org/officeDocument/2006/relationships/hyperlink" Target="https://contrataciondelestado.es/FileSystem/servlet/GetDocumentByIdServlet?cifrado=QUC1GjXXSiLkydRHJBmbpw%3D%3D&amp;DocumentIdParam=mMBcN6SxjIIvIf0x8kqUZoLOPG2SR9WYB5gSQ6Sk1hrSwXqb1stps3M7a0hlsw%2B3jr%2Bq0mg3f0I40Gstm4YDAHcJzoByTKoWHJO%2BJQJtd8N7QB3HKyQaFUExmUVQCerk" TargetMode="External" Id="rId9" /><Relationship Type="http://schemas.openxmlformats.org/officeDocument/2006/relationships/hyperlink" Target="https://contrataciondelestado.es/wps/poc?uri=deeplink:detalle_licitacion&amp;idEvl=BlGmGMDrig4aF6cS8TCh%2FA%3D%3D" TargetMode="External" Id="rId10" /><Relationship Type="http://schemas.openxmlformats.org/officeDocument/2006/relationships/hyperlink" Target="https://contrataciondelestado.es/FileSystem/servlet/GetDocumentByIdServlet?cifrado=QUC1GjXXSiLkydRHJBmbpw%3D%3D&amp;DocumentIdParam=9oRzIphzYTf6mVr0kamnZFLvwmf/vBDocGQRliHlGbB/Z1AjqFobiwfnNhVWKZVQW0r8Wy3RvCC20gRBmodplWbrLoEVTWjtXqptg0up59vfdyQgZAdTm3EfcUAC7CJ6" TargetMode="External" Id="rId11" /><Relationship Type="http://schemas.openxmlformats.org/officeDocument/2006/relationships/hyperlink" Target="https://contrataciondelestado.es/wps/poc?uri=deeplink:detalle_licitacion&amp;idEvl=Mfnbwr2HvNweC9GJQOEBkQ%3D%3D" TargetMode="External" Id="rId12" /><Relationship Type="http://schemas.openxmlformats.org/officeDocument/2006/relationships/hyperlink" Target="https://contrataciondelestado.es/wps/poc?uri=deeplink:detalle_licitacion&amp;idEvl=eQk2oQKtvIxrhBlEHQFSKA%3D%3D" TargetMode="External" Id="rId13" /><Relationship Type="http://schemas.openxmlformats.org/officeDocument/2006/relationships/hyperlink" Target="https://contrataciondelestado.es/FileSystem/servlet/GetDocumentByIdServlet?cifrado=QUC1GjXXSiLkydRHJBmbpw%3D%3D&amp;DocumentIdParam=9raUWbJpE2CkzWM8NcrNZ1Il/8DSmj4LSVYZn2v2HCzS3byj3/aCDApy7QLvQiEfTuLoIV8pcR9HsmjTIghvYAXvE8fRU36Q2PIuJ3M152PDdQD9RyhUmzT4jZ2In4zL" TargetMode="External" Id="rId14" /><Relationship Type="http://schemas.openxmlformats.org/officeDocument/2006/relationships/hyperlink" Target="https://contrataciondelestado.es/wps/poc?uri=deeplink:detalle_licitacion&amp;idEvl=hyOhdJXH0SB9Zh%2FyRJgM8w%3D%3D" TargetMode="External" Id="rId15" /><Relationship Type="http://schemas.openxmlformats.org/officeDocument/2006/relationships/hyperlink" Target="https://contrataciondelestado.es/FileSystem/servlet/GetDocumentByIdServlet?cifrado=QUC1GjXXSiLkydRHJBmbpw%3D%3D&amp;DocumentIdParam=LkJ9iJrmaKUwnEjomr2REiWD2fMGVdQA4MgZKn7ADa1nZRoJru3ro5ETs2l1eRRPfVg5g2R5/O3oHCCmQGoGX0a1H6fZA6oXcn2oWAsC4Ox7QB3HKyQaFUExmUVQCerk" TargetMode="External" Id="rId16" /><Relationship Type="http://schemas.openxmlformats.org/officeDocument/2006/relationships/hyperlink" Target="https://contrataciondelestado.es/wps/poc?uri=deeplink:detalle_licitacion&amp;idEvl=12YM4WyyagJrhBlEHQFSKA%3D%3D" TargetMode="External" Id="rId17" /><Relationship Type="http://schemas.openxmlformats.org/officeDocument/2006/relationships/hyperlink" Target="https://contrataciondelestado.es/FileSystem/servlet/GetDocumentByIdServlet?cifrado=QUC1GjXXSiLkydRHJBmbpw%3D%3D&amp;DocumentIdParam=ejZBt6mmetV%2B8yPiJICF%2BG4ClY91QMEeStmSFJS1hl7wcLCpnBzm/GWWm0QEBngPg%2BW2hGzqLZMohTfJNmQNipt1BbeGAm85Dq5MT4ShVwZJOVDbGCDM%2BMigrvuVS7Rv" TargetMode="External" Id="rId18" /><Relationship Type="http://schemas.openxmlformats.org/officeDocument/2006/relationships/hyperlink" Target="https://contrataciondelestado.es/wps/poc?uri=deeplink:detalle_licitacion&amp;idEvl=m3kRQyjsvG65HQrHoP3G5A%3D%3D" TargetMode="External" Id="rId19" /><Relationship Type="http://schemas.openxmlformats.org/officeDocument/2006/relationships/hyperlink" Target="https://contrataciondelestado.es/FileSystem/servlet/GetDocumentByIdServlet?cifrado=QUC1GjXXSiLkydRHJBmbpw%3D%3D&amp;DocumentIdParam=YyWdjUpYZX6YXQGm2OZiA7/eW%2B67Or01cOUrBlXTzZ0iYLe5ueWQuoqA/SHh6YjgfKR39NvXCDXtbpO8sr2wkRI46j0jPYCpdPTN/20UqSxt/o8fNevwsujgRzaBbugn" TargetMode="External" Id="rId20" /><Relationship Type="http://schemas.openxmlformats.org/officeDocument/2006/relationships/hyperlink" Target="https://contrataciondelestado.es/wps/poc?uri=deeplink:detalle_licitacion&amp;idEvl=MMKqjb8SfPCdkQsA7ROvsg%3D%3D" TargetMode="External" Id="rId21" /><Relationship Type="http://schemas.openxmlformats.org/officeDocument/2006/relationships/hyperlink" Target="https://contrataciondelestado.es/FileSystem/servlet/GetDocumentByIdServlet?cifrado=QUC1GjXXSiLkydRHJBmbpw%3D%3D&amp;DocumentIdParam=bz/2vT6Lcop8sf9ND8G6UPn8BlivuhPrFyTQSNaF5fhXvyOT8Tfn5cZJ55V6umY0NX51A41Gd1N5aGMd1u2WYvrLIvcKI/yhhwC8cdkw/2bVTD3T98KC0nSgQFM0q%2B5s" TargetMode="External" Id="rId22" /><Relationship Type="http://schemas.openxmlformats.org/officeDocument/2006/relationships/hyperlink" Target="https://contrataciondelestado.es/wps/poc?uri=deeplink:detalle_licitacion&amp;idEvl=Wd2OYqTGr5Nt5r0ngvMetA%3D%3D" TargetMode="External" Id="rId23" /><Relationship Type="http://schemas.openxmlformats.org/officeDocument/2006/relationships/hyperlink" Target="https://contrataciondelestado.es/FileSystem/servlet/GetDocumentByIdServlet?cifrado=QUC1GjXXSiLkydRHJBmbpw%3D%3D&amp;DocumentIdParam=6PcF%2BMj9F30Lg9vxiRjxsBAO/n67N2W31VwjUUu4%2BXuuBJAy70YcDDYVzd8//MVoPsQAOrwOZDW1TeoPW/5YzUC/cTMhkCR1XTyD%2B7oBlDht/o8fNevwsujgRzaBbugn" TargetMode="External" Id="rId24" /><Relationship Type="http://schemas.openxmlformats.org/officeDocument/2006/relationships/hyperlink" Target="https://contrataciondelestado.es/wps/poc?uri=deeplink:detalle_licitacion&amp;idEvl=7IZZFQuozzIQyBAnWzHfCg%3D%3D" TargetMode="External" Id="rId25" /><Relationship Type="http://schemas.openxmlformats.org/officeDocument/2006/relationships/hyperlink" Target="https://contrataciondelestado.es/FileSystem/servlet/GetDocumentByIdServlet?cifrado=QUC1GjXXSiLkydRHJBmbpw%3D%3D&amp;DocumentIdParam=3wjHLsD7PnACNmRDn6nFif1wLORdInSZrePdFa3UVLD9ceQEvDiyG%2BuDxdN%2Bra53BdwPjKbgMJ/rFmO%2Bv88K23UhxoBB%2BITcTvfdtjss5Z0//q7NB2iMZvNyf0xrJmjt" TargetMode="External" Id="rId26" /><Relationship Type="http://schemas.openxmlformats.org/officeDocument/2006/relationships/hyperlink" Target="https://contrataciondelestado.es/wps/poc?uri=deeplink:detalle_licitacion&amp;idEvl=fDUya87P3%2BEXhk1FZxEyvw%3D%3D" TargetMode="External" Id="rId27" /><Relationship Type="http://schemas.openxmlformats.org/officeDocument/2006/relationships/hyperlink" Target="https://contrataciondelestado.es/FileSystem/servlet/GetDocumentByIdServlet?cifrado=QUC1GjXXSiLkydRHJBmbpw%3D%3D&amp;DocumentIdParam=mKv2iM4TweAmD18pLUZImpitypG5ZJ2qdUTSISQ6mpruz972MHxR6ynZ0uTtH1m7L4VhWUV6%2BSapFR04sIgDzcOQ6uhdbmjVt50LcqPjq6h7QB3HKyQaFUExmUVQCerk" TargetMode="External" Id="rId28" /><Relationship Type="http://schemas.openxmlformats.org/officeDocument/2006/relationships/hyperlink" Target="https://contrataciondelestado.es/wps/poc?uri=deeplink:detalle_licitacion&amp;idEvl=fmefpzM4aWmP66GS%2BONYvQ%3D%3D" TargetMode="External" Id="rId29" /><Relationship Type="http://schemas.openxmlformats.org/officeDocument/2006/relationships/hyperlink" Target="https://contrataciondelestado.es/FileSystem/servlet/GetDocumentByIdServlet?cifrado=QUC1GjXXSiLkydRHJBmbpw%3D%3D&amp;DocumentIdParam=if0lA/MWhKrhEJPC6rRHfAXK9haVSUuCOul77TKREqHn7KAx9XNLATrmIItoun/GeF2Gim4NoIUrkXX/YTGT1lbzviMzrDBfyU8aYihGUEe1aXEvq3KHa/AEHgtDrQw0" TargetMode="External" Id="rId30" /><Relationship Type="http://schemas.openxmlformats.org/officeDocument/2006/relationships/hyperlink" Target="https://contrataciondelestado.es/wps/poc?uri=deeplink:detalle_licitacion&amp;idEvl=JRfwJjPzVTKExvMJXBMHHQ%3D%3D" TargetMode="External" Id="rId31" /><Relationship Type="http://schemas.openxmlformats.org/officeDocument/2006/relationships/hyperlink" Target="https://contrataciondelestado.es/FileSystem/servlet/GetDocumentByIdServlet?cifrado=QUC1GjXXSiLkydRHJBmbpw%3D%3D&amp;DocumentIdParam=YqZris3D/R7aBqB1qloVLvoT58PPAcH4zauHBsvx1sQVNQwIXsS617iCWGwfmXPbyraRBnPWuSD0oQ9UeZ%2B8DCS4uOD5eduFoBaPKJXxn8r3GVhXrFFqN7yFncy7YfRK" TargetMode="External" Id="rId32" /><Relationship Type="http://schemas.openxmlformats.org/officeDocument/2006/relationships/hyperlink" Target="https://contrataciondelestado.es/wps/poc?uri=deeplink:detalle_licitacion&amp;idEvl=BKWXp%2BVyXAF%2BF6L2uCfUWg%3D%3D" TargetMode="External" Id="rId33" /><Relationship Type="http://schemas.openxmlformats.org/officeDocument/2006/relationships/hyperlink" Target="https://contrataciondelestado.es/FileSystem/servlet/GetDocumentByIdServlet?cifrado=QUC1GjXXSiLkydRHJBmbpw%3D%3D&amp;DocumentIdParam=8WSKjbekU1j3%2BPFRjaj/WK8leLytY19xBbA%2BaxGsV0R0jGsgHgp0x/rZapUK5h8NTwEGu4gmbA/inlW1fMNe93IdbXnxqN/H/6P6iT1c6R%2B1aXEvq3KHa/AEHgtDrQw0" TargetMode="External" Id="rId34" /><Relationship Type="http://schemas.openxmlformats.org/officeDocument/2006/relationships/hyperlink" Target="https://contrataciondelestado.es/wps/poc?uri=deeplink:detalle_licitacion&amp;idEvl=pvSu3bNfNSG9Hd5zqvq9cg%3D%3D" TargetMode="External" Id="rId35" /><Relationship Type="http://schemas.openxmlformats.org/officeDocument/2006/relationships/hyperlink" Target="https://contrataciondelestado.es/FileSystem/servlet/GetDocumentByIdServlet?cifrado=QUC1GjXXSiLkydRHJBmbpw%3D%3D&amp;DocumentIdParam=lIWKop0FieoGcEADg0tdLRb21OWWJDYHjdz3V7hSgUpaaKYh9EmAQWW3PdetO4TX3tWsHDxza8li9qj63RTBosqgdPygaSgkZjY6UoedWc4//q7NB2iMZvNyf0xrJmjt" TargetMode="External" Id="rId36" /><Relationship Type="http://schemas.openxmlformats.org/officeDocument/2006/relationships/hyperlink" Target="https://contrataciondelestado.es/wps/poc?uri=deeplink:detalle_licitacion&amp;idEvl=5Quytfup4QmGCFcHcNGIlQ%3D%3D" TargetMode="External" Id="rId37" /><Relationship Type="http://schemas.openxmlformats.org/officeDocument/2006/relationships/hyperlink" Target="https://contrataciondelestado.es/FileSystem/servlet/GetDocumentByIdServlet?cifrado=QUC1GjXXSiLkydRHJBmbpw%3D%3D&amp;DocumentIdParam=S8M92rZFwDzrcnI5Lth73zXlGNeD8IHOipJ2iZlwDsBeMaerPfadcCr/k7%2B2cDVST3DIlblRK%2BJDAW4KyrbnD0oktH7%2Bs/Iv0TT2B2aVDL57QB3HKyQaFUExmUVQCerk" TargetMode="External" Id="rId38" /><Relationship Type="http://schemas.openxmlformats.org/officeDocument/2006/relationships/hyperlink" Target="https://contrataciondelestado.es/wps/poc?uri=deeplink:detalle_licitacion&amp;idEvl=ElQ2%2BJIFo4gkJPJS%2BPS9vg%3D%3D" TargetMode="External" Id="rId39" /><Relationship Type="http://schemas.openxmlformats.org/officeDocument/2006/relationships/hyperlink" Target="https://contrataciondelestado.es/FileSystem/servlet/GetDocumentByIdServlet?cifrado=QUC1GjXXSiLkydRHJBmbpw%3D%3D&amp;DocumentIdParam=KAKnz38JPPMfXqAYlbFQJDgAXhwy2ILCRahUpmoRlpHhWmV2ByUrUcaHTRfz6RuGdy4%2BFZOp/YHWNFJWCr%2BGgEB4/BjWPEVTgHgZ5Woc5QL6CYyL7SIrUOBFfNf52ZqA" TargetMode="External" Id="rId40" /><Relationship Type="http://schemas.openxmlformats.org/officeDocument/2006/relationships/hyperlink" Target="https://contrataciondelestado.es/wps/poc?uri=deeplink:detalle_licitacion&amp;idEvl=V9rzE3p089BVkTabT%2FRM8A%3D%3D" TargetMode="External" Id="rId41" /><Relationship Type="http://schemas.openxmlformats.org/officeDocument/2006/relationships/hyperlink" Target="https://contrataciondelestado.es/FileSystem/servlet/GetDocumentByIdServlet?cifrado=QUC1GjXXSiLkydRHJBmbpw%3D%3D&amp;DocumentIdParam=Y%2BHSAaYSexO9pM4HsiZ/U5ybw8eWBxb19AlK1V6yXqtxaIdUJboDC6wFWebYeNeKWbgZ6AOaRsqOdtibeFzrGIW62ciL%2Be7oaqMZy69kn%2Bb6CYyL7SIrUOBFfNf52ZqA" TargetMode="External" Id="rId42" /><Relationship Type="http://schemas.openxmlformats.org/officeDocument/2006/relationships/hyperlink" Target="https://contrataciondelestado.es/wps/poc?uri=deeplink:detalle_licitacion&amp;idEvl=tRG3VKEthTkzjChw4z%2FXvw%3D%3D" TargetMode="External" Id="rId43" /><Relationship Type="http://schemas.openxmlformats.org/officeDocument/2006/relationships/hyperlink" Target="https://contrataciondelestado.es/FileSystem/servlet/GetDocumentByIdServlet?cifrado=QUC1GjXXSiLkydRHJBmbpw%3D%3D&amp;DocumentIdParam=6nzaIAmu1NS8fV26d6XnFWzjDgzxZk%2Bzl2WiNfGy4EVRqyDLdLQIYTR3DwBpZw/s91mQsl31xGNCSsIkClXoieXFV3dwVKKA7rHza5SGhtuHAj0WEJrB5sP7amrh2jBD" TargetMode="External" Id="rId44" /><Relationship Type="http://schemas.openxmlformats.org/officeDocument/2006/relationships/hyperlink" Target="https://contrataciondelestado.es/wps/poc?uri=deeplink:detalle_licitacion&amp;idEvl=%2F2g5qhAjk0ReKgd8LfVV9g%3D%3D" TargetMode="External" Id="rId45" /><Relationship Type="http://schemas.openxmlformats.org/officeDocument/2006/relationships/hyperlink" Target="https://contrataciondelestado.es/FileSystem/servlet/GetDocumentByIdServlet?cifrado=QUC1GjXXSiLkydRHJBmbpw%3D%3D&amp;DocumentIdParam=4evTGkTXH4O6ZeT9odNBGLnrCzJjbvDlhK/kvLsRR5EE6Ek2SrnpPvifKW6Z7o0zEpcNN26pTQ5db1LHntGvoRiYUZCiHB9bS2q3nWovOmKCx2e6p7hqtlp2aFupgHMr" TargetMode="External" Id="rId46" /><Relationship Type="http://schemas.openxmlformats.org/officeDocument/2006/relationships/hyperlink" Target="https://contrataciondelestado.es/wps/poc?uri=deeplink:detalle_licitacion&amp;idEvl=XWQSZIaG9%2B4eC9GJQOEBkQ%3D%3D" TargetMode="External" Id="rId47" /><Relationship Type="http://schemas.openxmlformats.org/officeDocument/2006/relationships/hyperlink" Target="https://contrataciondelestado.es/FileSystem/servlet/GetDocumentByIdServlet?cifrado=QUC1GjXXSiLkydRHJBmbpw%3D%3D&amp;DocumentIdParam=iOGSnOy1sDHX4MwFt9Mzn7E7NjWd6uZjqG%2BJUa1QFdZAzKk0rE44nUxKywljbIi8YQhzzEDtmrD2RbML2YznhPl3KtlZbOSv2YE0YdeR5Ku1aXEvq3KHa/AEHgtDrQw0" TargetMode="External" Id="rId48" /><Relationship Type="http://schemas.openxmlformats.org/officeDocument/2006/relationships/hyperlink" Target="https://contrataciondelestado.es/wps/poc?uri=deeplink:detalle_licitacion&amp;idEvl=%2F%2BuOmFsRWctQFSeKCRun4Q%3D%3D" TargetMode="External" Id="rId49" /><Relationship Type="http://schemas.openxmlformats.org/officeDocument/2006/relationships/hyperlink" Target="https://contrataciondelestado.es/FileSystem/servlet/GetDocumentByIdServlet?cifrado=QUC1GjXXSiLkydRHJBmbpw%3D%3D&amp;DocumentIdParam=TEcuYdvmxxRggYwRJFp0CbtfZcUZvMtZvM0/GYFDS/VG3hDnnXQ57WvwblxW0JaMUcPIOvy%2BxGuGlsGbc5Mbqg3dbb5Smw9pmSQ2D4yRIFi1aXEvq3KHa/AEHgtDrQw0" TargetMode="External" Id="rId50" /><Relationship Type="http://schemas.openxmlformats.org/officeDocument/2006/relationships/hyperlink" Target="https://contrataciondelestado.es/wps/poc?uri=deeplink:detalle_licitacion&amp;idEvl=M%2FCIPj1vl9fkY6rls5tG9A%3D%3D" TargetMode="External" Id="rId51" /><Relationship Type="http://schemas.openxmlformats.org/officeDocument/2006/relationships/hyperlink" Target="https://contrataciondelestado.es/FileSystem/servlet/GetDocumentByIdServlet?cifrado=QUC1GjXXSiLkydRHJBmbpw%3D%3D&amp;DocumentIdParam=YI/nEF4h8/Y5gh6bun6EID%2BI%2BQMX66m0meAD4fXhNhIujEdipImFDOfq3I3D%2B3WDZSZxW0ZFScYgbZWWs0oqE03L2OyhIJmUbUW0ftRxaiR45ClyWkoJ44mKM70IFcOu" TargetMode="External" Id="rId52" /><Relationship Type="http://schemas.openxmlformats.org/officeDocument/2006/relationships/hyperlink" Target="https://contrataciondelestado.es/wps/poc?uri=deeplink:detalle_licitacion&amp;idEvl=TxexcZQ5Iry2gkLQ8TeYKA%3D%3D" TargetMode="External" Id="rId53" /><Relationship Type="http://schemas.openxmlformats.org/officeDocument/2006/relationships/hyperlink" Target="https://contrataciondelestado.es/FileSystem/servlet/GetDocumentByIdServlet?cifrado=QUC1GjXXSiLkydRHJBmbpw%3D%3D&amp;DocumentIdParam=7FxzaqbYxqLuFh9CnXtUvWzAQvu39JJpeyLXapTJEhMkUdLZhJ44RzNd1pJoOu0WaWRpkW0kIkRCQAwFgBsrB4cpSxU6j2BuE3OskISeGkOCx2e6p7hqtlp2aFupgHMr" TargetMode="External" Id="rId54" /><Relationship Type="http://schemas.openxmlformats.org/officeDocument/2006/relationships/hyperlink" Target="https://contrataciondelestado.es/wps/poc?uri=deeplink:detalle_licitacion&amp;idEvl=VilAL39ltx7LIx6q1oPaMg%3D%3D" TargetMode="External" Id="rId55" /><Relationship Type="http://schemas.openxmlformats.org/officeDocument/2006/relationships/hyperlink" Target="https://contrataciondelestado.es/FileSystem/servlet/GetDocumentByIdServlet?cifrado=QUC1GjXXSiLkydRHJBmbpw%3D%3D&amp;DocumentIdParam=xwa58zc0rLD7vaMtr9OO6I4RlnhlvJ0GkU00c74HkO/zkNMsDEi7gmrlPD2JjdH/QOmIhUYorK88g9oeo3WWAOtgj6TROF3fSxdCWZhCsO3fdyQgZAdTm3EfcUAC7CJ6" TargetMode="External" Id="rId56" /><Relationship Type="http://schemas.openxmlformats.org/officeDocument/2006/relationships/hyperlink" Target="https://contrataciondelestado.es/wps/poc?uri=deeplink:detalle_licitacion&amp;idEvl=oYEW4SHo%2FO07%2B9FIQYNjeQ%3D%3D" TargetMode="External" Id="rId57" /><Relationship Type="http://schemas.openxmlformats.org/officeDocument/2006/relationships/hyperlink" Target="https://contrataciondelestado.es/FileSystem/servlet/GetDocumentByIdServlet?cifrado=QUC1GjXXSiLkydRHJBmbpw%3D%3D&amp;DocumentIdParam=3RNkPENTQmkZQLQ8AkGStyIqJDJIFLV5gV8laPVaqCvEQ7uACY0XxsJb/ev1QMTvHV3FoaQSKJgpN7rxZxdR6nI2j5esJw3Qb9wUgoZIzXrVTD3T98KC0nSgQFM0q%2B5s" TargetMode="External" Id="rId58" /><Relationship Type="http://schemas.openxmlformats.org/officeDocument/2006/relationships/hyperlink" Target="https://contrataciondelestado.es/wps/poc?uri=deeplink:detalle_licitacion&amp;idEvl=piH1aslIFtnL1rX3q%2FMAPA%3D%3D" TargetMode="External" Id="rId59" /><Relationship Type="http://schemas.openxmlformats.org/officeDocument/2006/relationships/hyperlink" Target="https://contrataciondelestado.es/FileSystem/servlet/GetDocumentByIdServlet?cifrado=QUC1GjXXSiLkydRHJBmbpw%3D%3D&amp;DocumentIdParam=yaUP2K1LeMYjlZgwJKGg7INcZcAMJxaWc67DpZhiRmVpHxTb%2B1Xe2Mb6oOkAFBf2XOgf1Mrsm7/0j%2BIGIO1jYdi0I2DnMViAtM6JWieRJ/sZyAJWGsSt0OzTSTyw9JAs" TargetMode="External" Id="rId60" /><Relationship Type="http://schemas.openxmlformats.org/officeDocument/2006/relationships/hyperlink" Target="https://contrataciondelestado.es/wps/poc?uri=deeplink:detalle_licitacion&amp;idEvl=GvzEy5nneD82wEhQbcAqug%3D%3D" TargetMode="External" Id="rId61" /><Relationship Type="http://schemas.openxmlformats.org/officeDocument/2006/relationships/hyperlink" Target="https://contrataciondelestado.es/FileSystem/servlet/GetDocumentByIdServlet?cifrado=QUC1GjXXSiLkydRHJBmbpw%3D%3D&amp;DocumentIdParam=hHdOOfufp09903vGIJ68hsodKLanE8uxpZj4C/IECQOmcyvwb6VnpQLkbglC2oYvFGHZWyem/O12Xv7ITiO3llufvZ38e81d9fN2eEJj1Z61aXEvq3KHa/AEHgtDrQw0" TargetMode="External" Id="rId62" /><Relationship Type="http://schemas.openxmlformats.org/officeDocument/2006/relationships/hyperlink" Target="https://contrataciondelestado.es/wps/poc?uri=deeplink:detalle_licitacion&amp;idEvl=nCX9CwizfND5Rey58Yagpg%3D%3D" TargetMode="External" Id="rId63" /><Relationship Type="http://schemas.openxmlformats.org/officeDocument/2006/relationships/hyperlink" Target="https://contrataciondelestado.es/FileSystem/servlet/GetDocumentByIdServlet?cifrado=QUC1GjXXSiLkydRHJBmbpw%3D%3D&amp;DocumentIdParam=Y/et3YlJj%2B0zYrYXfG2Wmi6NtDgpdwsiv0vhjfk2UWX6oeOgv1vzw1TFsHbHhkT7QMT%2BljteiLLy9CrAssEig5lzo2ai%2B8LyaFQKh4u2lrPVTD3T98KC0nSgQFM0q%2B5s" TargetMode="External" Id="rId64" /><Relationship Type="http://schemas.openxmlformats.org/officeDocument/2006/relationships/hyperlink" Target="https://contrataciondelestado.es/wps/poc?uri=deeplink:detalle_licitacion&amp;idEvl=%2BWk1RMr2ivaiEJrVRqloyA%3D%3D" TargetMode="External" Id="rId65" /><Relationship Type="http://schemas.openxmlformats.org/officeDocument/2006/relationships/hyperlink" Target="https://contrataciondelestado.es/wps/wcm/connect/PLACE_es/Site/area/docAccCmpnt?srv=cmpnt&amp;cmpntname=GetDocumentsById&amp;source=library&amp;DocumentIdParam=81b9852d-6c9b-4e98-86e2-50b696d65a7f" TargetMode="External" Id="rId66" /><Relationship Type="http://schemas.openxmlformats.org/officeDocument/2006/relationships/hyperlink" Target="https://contrataciondelestado.es/wps/poc?uri=deeplink:detalle_licitacion&amp;idEvl=3yratp9f4xI%2Bk2oCbDosIw%3D%3D" TargetMode="External" Id="rId67" /><Relationship Type="http://schemas.openxmlformats.org/officeDocument/2006/relationships/hyperlink" Target="https://contrataciondelestado.es/FileSystem/servlet/GetDocumentByIdServlet?cifrado=QUC1GjXXSiLkydRHJBmbpw%3D%3D&amp;DocumentIdParam=AWsmtDKHDuGYRFlWy9kYxFwhzOa4oI6OV5IOKu03WJqutetfKF0agHlwOZi4YHRRvMQkhdcPLaX486i9mSj8yyYi8HIcNbQJnyzXvctsWHMC1/zDIE0Kw/PWNnLS0Z0z" TargetMode="External" Id="rId68" /><Relationship Type="http://schemas.openxmlformats.org/officeDocument/2006/relationships/hyperlink" Target="https://contrataciondelestado.es/wps/poc?uri=deeplink:detalle_licitacion&amp;idEvl=fYhoyc7VlGA7u6%2B%2FR7DUoA%3D%3D" TargetMode="External" Id="rId69" /><Relationship Type="http://schemas.openxmlformats.org/officeDocument/2006/relationships/hyperlink" Target="https://contrataciondelestado.es/FileSystem/servlet/GetDocumentByIdServlet?cifrado=QUC1GjXXSiLkydRHJBmbpw%3D%3D&amp;DocumentIdParam=9rFQcKbhJSsYzPUb7xOWPun7JfEu77RX0pqyekD2adD%2BUYhTJc6ylpf5GiCM4pJfKSAlpfnUtT/9pg3vZPKTiEaUe8wKVaMC/M%2BLzT1YMqOB0nvVKRzfe4rpHcnlPhSZ" TargetMode="External" Id="rId70" /><Relationship Type="http://schemas.openxmlformats.org/officeDocument/2006/relationships/hyperlink" Target="https://contrataciondelestado.es/wps/poc?uri=deeplink:detalle_licitacion&amp;idEvl=sKArSUUmY%2Bc%2B1TMyIiZmzw%3D%3D" TargetMode="External" Id="rId71" /><Relationship Type="http://schemas.openxmlformats.org/officeDocument/2006/relationships/hyperlink" Target="https://contrataciondelestado.es/FileSystem/servlet/GetDocumentByIdServlet?cifrado=QUC1GjXXSiLkydRHJBmbpw%3D%3D&amp;DocumentIdParam=87ty6TlFhIjGJE7H0/WY4pBExU2OADhSnDfRsTmGiIKxUpnyyCBBIni8BpN/NstCI/700BWlwO2Mczula463bXk%2B2XrgOT11lAf7tSrP2ngC1/zDIE0Kw/PWNnLS0Z0z" TargetMode="External" Id="rId72" /><Relationship Type="http://schemas.openxmlformats.org/officeDocument/2006/relationships/hyperlink" Target="https://contrataciondelestado.es/wps/poc?uri=deeplink:detalle_licitacion&amp;idEvl=J2lPHcc%2BqYYtm4eBPtV6eQ%3D%3D" TargetMode="External" Id="rId73" /><Relationship Type="http://schemas.openxmlformats.org/officeDocument/2006/relationships/hyperlink" Target="https://contrataciondelestado.es/FileSystem/servlet/GetDocumentByIdServlet?cifrado=QUC1GjXXSiLkydRHJBmbpw%3D%3D&amp;DocumentIdParam=reBvho4ePtpSRDtfwJKLmvB24YtM7EU5JNIBHhKTOW7RWZg8HzVItCHNgPeOOE2JPy%2BuPiAUDd10Ottin6o15k2EW3cd1BDQH5y9/cxMak9JOVDbGCDM%2BMigrvuVS7Rv" TargetMode="External" Id="rId74" /><Relationship Type="http://schemas.openxmlformats.org/officeDocument/2006/relationships/hyperlink" Target="https://contrataciondelestado.es/wps/poc?uri=deeplink:detalle_licitacion&amp;idEvl=iT7J%2FbvgaxekU02jNGj1Fw%3D%3D" TargetMode="External" Id="rId75" /><Relationship Type="http://schemas.openxmlformats.org/officeDocument/2006/relationships/hyperlink" Target="https://contrataciondelestado.es/FileSystem/servlet/GetDocumentByIdServlet?cifrado=QUC1GjXXSiLkydRHJBmbpw%3D%3D&amp;DocumentIdParam=KyaWfF6%2BQBOyyBa9ZVeQ0Pj8s14CKmpT8ykOenoewlYedspNm4%2BN67SbhLx2%2Br0ecevNrueUwoIbMa%2BK9XJ/oCdJQZbf3oNiAxuPjEKvZnE//q7NB2iMZvNyf0xrJmjt" TargetMode="External" Id="rId76" /><Relationship Type="http://schemas.openxmlformats.org/officeDocument/2006/relationships/hyperlink" Target="https://contrataciondelestado.es/wps/poc?uri=deeplink:detalle_licitacion&amp;idEvl=XR1eHO5O51JJ8Trn0ZPzLw%3D%3D" TargetMode="External" Id="rId77" /><Relationship Type="http://schemas.openxmlformats.org/officeDocument/2006/relationships/hyperlink" Target="https://contrataciondelestado.es/FileSystem/servlet/GetDocumentByIdServlet?cifrado=QUC1GjXXSiLkydRHJBmbpw%3D%3D&amp;DocumentIdParam=UXG2L/597Fg8OlmAoKefQqJ0GLg%2Bz42wzMSqAdS6E9uApiP3on3FSFXhRdrmyS9JhEXZ5DiNxJh1vKjrwlDm/Tcp1myiq196MKjWehUD8TaHAj0WEJrB5sP7amrh2jBD" TargetMode="External" Id="rId78" /><Relationship Type="http://schemas.openxmlformats.org/officeDocument/2006/relationships/hyperlink" Target="https://contrataciondelestado.es/wps/poc?uri=deeplink:detalle_licitacion&amp;idEvl=BbaUi1kE7Yc7u6%2B%2FR7DUoA%3D%3D" TargetMode="External" Id="rId79" /><Relationship Type="http://schemas.openxmlformats.org/officeDocument/2006/relationships/hyperlink" Target="https://contrataciondelestado.es/FileSystem/servlet/GetDocumentByIdServlet?cifrado=QUC1GjXXSiLkydRHJBmbpw%3D%3D&amp;DocumentIdParam=SgOqk45u3X7gbC/3bA9JyLXVqhOIY/YZUwPKSmw/bHtMfrNZrtg6nJvSurpGee55w52XMVK8l4KvAIuvgNJWpGBXU0ae4ee2ZEoaCCqZmRdJOVDbGCDM%2BMigrvuVS7Rv" TargetMode="External" Id="rId80" /><Relationship Type="http://schemas.openxmlformats.org/officeDocument/2006/relationships/hyperlink" Target="https://contrataciondelestado.es/wps/poc?uri=deeplink:detalle_licitacion&amp;idEvl=sqrBRzTVXT2zz8fXU2i3eQ%3D%3D" TargetMode="External" Id="rId81" /><Relationship Type="http://schemas.openxmlformats.org/officeDocument/2006/relationships/hyperlink" Target="https://contrataciondelestado.es/FileSystem/servlet/GetDocumentByIdServlet?cifrado=QUC1GjXXSiLkydRHJBmbpw%3D%3D&amp;DocumentIdParam=/%2BQ/74YfnyeSh0g3cs2%2Bis4CKcQdeEXtwNqiWWeF/7r8zimrhQprjhYMuFegORXJ6dgD7wR2vuJtcM4fbFw5rDv9mv8/viMM90AE9TvgEnWHAj0WEJrB5sP7amrh2jBD" TargetMode="External" Id="rId82" /><Relationship Type="http://schemas.openxmlformats.org/officeDocument/2006/relationships/hyperlink" Target="https://contrataciondelestado.es/wps/poc?uri=deeplink:detalle_licitacion&amp;idEvl=FTm6mBksHvfpxJFXpLZ%2B2A%3D%3D" TargetMode="External" Id="rId83" /><Relationship Type="http://schemas.openxmlformats.org/officeDocument/2006/relationships/hyperlink" Target="https://contrataciondelestado.es/FileSystem/servlet/GetDocumentByIdServlet?cifrado=QUC1GjXXSiLkydRHJBmbpw%3D%3D&amp;DocumentIdParam=aTy/Zex6HKDtvsoyV%2BPCKn038%2BKzAuft0RB6AN8Eawm5ZYySKYC60LFxwf5Tx0l6FRQEqy9JUWq4lRwhkcF3TnOxae9F1UYrW6xqjC1F%2BtZJOVDbGCDM%2BMigrvuVS7Rv" TargetMode="External" Id="rId84" /><Relationship Type="http://schemas.openxmlformats.org/officeDocument/2006/relationships/hyperlink" Target="https://contrataciondelestado.es/wps/poc?uri=deeplink:detalle_licitacion&amp;idEvl=wcOqz%2BKmKzsZDGvgaZEVxQ%3D%3D" TargetMode="External" Id="rId85" /><Relationship Type="http://schemas.openxmlformats.org/officeDocument/2006/relationships/hyperlink" Target="https://contrataciondelestado.es/FileSystem/servlet/GetDocumentByIdServlet?cifrado=QUC1GjXXSiLkydRHJBmbpw%3D%3D&amp;DocumentIdParam=h4V4ii1plQVn7mFMnZMuLhrv/sIZ%2Bn/Gu/Z3y84hLleQ9T5Y8hmog31QXa/TfUjLbtX4z6VGD79o1EidsVdLBVfeL1yUuBhHpM4TREI/2yIZyAJWGsSt0OzTSTyw9JAs" TargetMode="External" Id="rId86" /><Relationship Type="http://schemas.openxmlformats.org/officeDocument/2006/relationships/hyperlink" Target="https://contrataciondelestado.es/wps/poc?uri=deeplink:detalle_licitacion&amp;idEvl=QMOesHGaBlDpxJFXpLZ%2B2A%3D%3D" TargetMode="External" Id="rId87" /><Relationship Type="http://schemas.openxmlformats.org/officeDocument/2006/relationships/hyperlink" Target="https://contrataciondelestado.es/wps/poc?uri=deeplink:detalle_licitacion&amp;idEvl=e6ZsAVEiXwD5Rey58Yagpg%3D%3D" TargetMode="External" Id="rId88" /><Relationship Type="http://schemas.openxmlformats.org/officeDocument/2006/relationships/hyperlink" Target="https://contrataciondelestado.es/FileSystem/servlet/GetDocumentByIdServlet?cifrado=QUC1GjXXSiLkydRHJBmbpw%3D%3D&amp;DocumentIdParam=oqp5pbPtTFp8OcIp5v/PJASSWWXjAZ7hyT2n4m9Tf9/SDn8u0iq/3xDvYpTQ7zwEi%2BwIRcA0DlW2pStKa9dvViJOHXlcwPYA9VYg41%2BUdoDDdQD9RyhUmzT4jZ2In4zL" TargetMode="External" Id="rId89" /><Relationship Type="http://schemas.openxmlformats.org/officeDocument/2006/relationships/hyperlink" Target="https://contrataciondelestado.es/wps/poc?uri=deeplink:detalle_licitacion&amp;idEvl=YWfr%2BP6HsYlrSd8H4b2soA%3D%3D" TargetMode="External" Id="rId90" /><Relationship Type="http://schemas.openxmlformats.org/officeDocument/2006/relationships/hyperlink" Target="https://contrataciondelestado.es/FileSystem/servlet/GetDocumentByIdServlet?cifrado=QUC1GjXXSiLkydRHJBmbpw%3D%3D&amp;DocumentIdParam=E7umBj3OtZwo/Tjc1gz5P5U4OGn3LsO9%2BOidO3pTM7JzNWNNpAV7VtGC7hWjaEUFcDrouB%2B2s7Jxoyi5OxDz7eJGnh6KnvC3ehtiWIZITHfDdQD9RyhUmzT4jZ2In4zL" TargetMode="External" Id="rId91" /><Relationship Type="http://schemas.openxmlformats.org/officeDocument/2006/relationships/hyperlink" Target="https://contrataciondelestado.es/wps/poc?uri=deeplink:detalle_licitacion&amp;idEvl=R1ax1zfM%2B6p9PLkba5eRog%3D%3D" TargetMode="External" Id="rId92" /><Relationship Type="http://schemas.openxmlformats.org/officeDocument/2006/relationships/hyperlink" Target="https://contrataciondelestado.es/FileSystem/servlet/GetDocumentByIdServlet?cifrado=QUC1GjXXSiLkydRHJBmbpw%3D%3D&amp;DocumentIdParam=hoo/dCASG2srYlLKmUZT9ugYdxseRwqzOpzOad4LUu8XFtvzbYZR8DIOuGk4i2n/Dqt7jtsc/1XJV0iSUjspY7%2B%2B3ybOUaekiB9OuMIkPyU//q7NB2iMZvNyf0xrJmjt" TargetMode="External" Id="rId93" /><Relationship Type="http://schemas.openxmlformats.org/officeDocument/2006/relationships/hyperlink" Target="https://contrataciondelestado.es/wps/poc?uri=deeplink:detalle_licitacion&amp;idEvl=BiRxmiw966g2wEhQbcAqug%3D%3D" TargetMode="External" Id="rId94" /><Relationship Type="http://schemas.openxmlformats.org/officeDocument/2006/relationships/hyperlink" Target="https://contrataciondelestado.es/FileSystem/servlet/GetDocumentByIdServlet?cifrado=QUC1GjXXSiLkydRHJBmbpw%3D%3D&amp;DocumentIdParam=iQuH6NISHBD2ZNfjgG3z7c%2BgYfPpu/OL46H3aN4YLuAC3qJ8%2BmqOR9tGzuSQ18bc9LNfFpxcklRE9eVTD1meQgYGhYBzQNQ/jpf1jL3O1Kv6CYyL7SIrUOBFfNf52ZqA" TargetMode="External" Id="rId95" /><Relationship Type="http://schemas.openxmlformats.org/officeDocument/2006/relationships/hyperlink" Target="https://contrataciondelestado.es/wps/poc?uri=deeplink:detalle_licitacion&amp;idEvl=qbUmbSnuxEKFlFRHfEzEaw%3D%3D" TargetMode="External" Id="rId96" /><Relationship Type="http://schemas.openxmlformats.org/officeDocument/2006/relationships/hyperlink" Target="https://contrataciondelestado.es/FileSystem/servlet/GetDocumentByIdServlet?cifrado=QUC1GjXXSiLkydRHJBmbpw%3D%3D&amp;DocumentIdParam=AFodAmJCYBd1h6rE9Sh2FYri7UhNO9f88ml20D31D1s7zbvwEyhgKYVX5qoNxkIadNaeytWWvGoD5z5RSCoUBiHtZX6TbcvXC7GaIaVRTJOCx2e6p7hqtlp2aFupgHMr" TargetMode="External" Id="rId97" /><Relationship Type="http://schemas.openxmlformats.org/officeDocument/2006/relationships/hyperlink" Target="https://contrataciondelestado.es/wps/poc?uri=deeplink:detalle_licitacion&amp;idEvl=OeoP0%2Fp2UvwmMOlAXxDEjw%3D%3D" TargetMode="External" Id="rId98" /><Relationship Type="http://schemas.openxmlformats.org/officeDocument/2006/relationships/hyperlink" Target="https://contrataciondelestado.es/wps/poc?uri=deeplink:detalle_licitacion&amp;idEvl=VkeovDR6xAOLAncw3qdZkA%3D%3D" TargetMode="External" Id="rId99" /><Relationship Type="http://schemas.openxmlformats.org/officeDocument/2006/relationships/hyperlink" Target="https://contrataciondelestado.es/FileSystem/servlet/GetDocumentByIdServlet?cifrado=QUC1GjXXSiLkydRHJBmbpw%3D%3D&amp;DocumentIdParam=%2BMV1uZeQtUFIbySWr6eEiZWQQwr6ulYTz1Ly%2BwOvhkamSGenaWrAuk5wx/CYpYKUvvuQQbsUgqFnkxZerm9PtCf16fruj7uynhkczo9Q2y6Cx2e6p7hqtlp2aFupgHMr" TargetMode="External" Id="rId100" /><Relationship Type="http://schemas.openxmlformats.org/officeDocument/2006/relationships/hyperlink" Target="https://contrataciondelestado.es/wps/poc?uri=deeplink:detalle_licitacion&amp;idEvl=0cp57gIWTWryoM4us5k4vw%3D%3D" TargetMode="External" Id="rId101" /><Relationship Type="http://schemas.openxmlformats.org/officeDocument/2006/relationships/hyperlink" Target="https://contrataciondelestado.es/FileSystem/servlet/GetDocumentByIdServlet?cifrado=QUC1GjXXSiLkydRHJBmbpw%3D%3D&amp;DocumentIdParam=DWBmJWpKScgOW4ctdH/SKMIjg9IDlAVXY6uOyEXm5Gm64XJ4AB1l6w9afbBk%2Bm692uKJ6lyzryXpQTnGN/2d%2B3YziIJX3yrgwO2%2BAqLYsaWB0nvVKRzfe4rpHcnlPhSZ" TargetMode="External" Id="rId102" /><Relationship Type="http://schemas.openxmlformats.org/officeDocument/2006/relationships/hyperlink" Target="https://contrataciondelestado.es/wps/poc?uri=deeplink:detalle_licitacion&amp;idEvl=gH%2BlPGWd82TLIx6q1oPaMg%3D%3D" TargetMode="External" Id="rId103" /><Relationship Type="http://schemas.openxmlformats.org/officeDocument/2006/relationships/hyperlink" Target="https://contrataciondelestado.es/wps/poc?uri=deeplink:detalle_licitacion&amp;idEvl=dbZTwVAjBOPLIx6q1oPaMg%3D%3D" TargetMode="External" Id="rId104" /><Relationship Type="http://schemas.openxmlformats.org/officeDocument/2006/relationships/hyperlink" Target="https://contrataciondelestado.es/FileSystem/servlet/GetDocumentByIdServlet?cifrado=QUC1GjXXSiLkydRHJBmbpw%3D%3D&amp;DocumentIdParam=ai0daZl1GIO669JKq/vVEVQNeNdlkc9DIEFWf3DlH/NyiKnNVcdqYqY5pj0FDQpOLqNevCktFvMrAoc2RK3e3s0f8poUUJSERukpcs/1Axp45ClyWkoJ44mKM70IFcOu" TargetMode="External" Id="rId105" /><Relationship Type="http://schemas.openxmlformats.org/officeDocument/2006/relationships/hyperlink" Target="https://contrataciondelestado.es/wps/poc?uri=deeplink:detalle_licitacion&amp;idEvl=0YAXe%2B1gU5acCF8sV%2BqtYA%3D%3D" TargetMode="External" Id="rId106" /><Relationship Type="http://schemas.openxmlformats.org/officeDocument/2006/relationships/hyperlink" Target="https://contrataciondelestado.es/FileSystem/servlet/GetDocumentByIdServlet?cifrado=QUC1GjXXSiLkydRHJBmbpw%3D%3D&amp;DocumentIdParam=rjfl9pcVcWMcjgwTAicxuOGL4FSVUQmkVsLgwi4C2ErfKVaVBLC%2BFYtD%2Bx1LMFc1aUJENH7MhOlFEWqPKrR6h32uEqTJUk6%2Bw12ZS6btXMnDdQD9RyhUmzT4jZ2In4zL" TargetMode="External" Id="rId107" /><Relationship Type="http://schemas.openxmlformats.org/officeDocument/2006/relationships/hyperlink" Target="https://contrataciondelestado.es/wps/poc?uri=deeplink:detalle_licitacion&amp;idEvl=AYiXWG%2B4KzCzz8fXU2i3eQ%3D%3D" TargetMode="External" Id="rId108" /><Relationship Type="http://schemas.openxmlformats.org/officeDocument/2006/relationships/hyperlink" Target="https://contrataciondelestado.es/FileSystem/servlet/GetDocumentByIdServlet?cifrado=QUC1GjXXSiLkydRHJBmbpw%3D%3D&amp;DocumentIdParam=LiB6Ni/EcrH8o8NyIzdnQktjgfXEkWEAYEDIb22JBZEabNLzujkdXzsuO/skwDxOBHleA4YkXPeFgpiGMiLMit/YYbceCiBB%2ByTtixILr1y1aXEvq3KHa/AEHgtDrQw0" TargetMode="External" Id="rId109" /><Relationship Type="http://schemas.openxmlformats.org/officeDocument/2006/relationships/hyperlink" Target="https://contrataciondelestado.es/wps/poc?uri=deeplink:detalle_licitacion&amp;idEvl=S3Blmbr2MSRrSd8H4b2soA%3D%3D" TargetMode="External" Id="rId110" /><Relationship Type="http://schemas.openxmlformats.org/officeDocument/2006/relationships/hyperlink" Target="https://contrataciondelestado.es/FileSystem/servlet/GetDocumentByIdServlet?cifrado=QUC1GjXXSiLkydRHJBmbpw%3D%3D&amp;DocumentIdParam=4uA%2BTi5tgElNZE1Us2mjFXiBSU1VFP15fEWtqSp%2B6WtfrB1mBNy6fRa1FwlnTDufvXMGhmqMds1O5IAN6vfeogWpjIHAIqqKXICKZrgkNltJOVDbGCDM%2BMigrvuVS7Rv" TargetMode="External" Id="rId111" /><Relationship Type="http://schemas.openxmlformats.org/officeDocument/2006/relationships/hyperlink" Target="https://contrataciondelestado.es/wps/poc?uri=deeplink:detalle_licitacion&amp;idEvl=xnzgPzRJmvC7JOCXkOhcDg%3D%3D" TargetMode="External" Id="rId112" /><Relationship Type="http://schemas.openxmlformats.org/officeDocument/2006/relationships/hyperlink" Target="https://contrataciondelestado.es/FileSystem/servlet/GetDocumentByIdServlet?cifrado=QUC1GjXXSiLkydRHJBmbpw%3D%3D&amp;DocumentIdParam=KVJrbK/kWcXilh88xkjyEZN5Te/0HdF6bm0UiQMgqY9CWYpVRw0p/lcT/mUzOT8BtHrE28IGbP4BnGP7UZYu5WFO9SLhId7/1u2Cty9Z%2B6Vt/o8fNevwsujgRzaBbugn" TargetMode="External" Id="rId113" /><Relationship Type="http://schemas.openxmlformats.org/officeDocument/2006/relationships/hyperlink" Target="https://contrataciondelestado.es/wps/poc?uri=deeplink:detalle_licitacion&amp;idEvl=SMEOXLYMzSaIzo3LHNPGcQ%3D%3D" TargetMode="External" Id="rId114" /><Relationship Type="http://schemas.openxmlformats.org/officeDocument/2006/relationships/hyperlink" Target="https://contrataciondelestado.es/FileSystem/servlet/GetDocumentByIdServlet?cifrado=QUC1GjXXSiLkydRHJBmbpw%3D%3D&amp;DocumentIdParam=LcqjUzY3ofka958CGQIz6XBb/TfUTwfTJ0PF26WJPzBSTmuRzfzgl0bxLxlSpY%2BCx%2B/IQ4waQ27oSXQPjAVikAvjAvfc3fvrRuMbVSIyMuK1aXEvq3KHa/AEHgtDrQw0" TargetMode="External" Id="rId115" /><Relationship Type="http://schemas.openxmlformats.org/officeDocument/2006/relationships/hyperlink" Target="https://contrataciondelestado.es/wps/poc?uri=deeplink:detalle_licitacion&amp;idEvl=XrqMbC0JxVO2gkLQ8TeYKA%3D%3D" TargetMode="External" Id="rId116" /><Relationship Type="http://schemas.openxmlformats.org/officeDocument/2006/relationships/hyperlink" Target="https://contrataciondelestado.es/FileSystem/servlet/GetDocumentByIdServlet?cifrado=QUC1GjXXSiLkydRHJBmbpw%3D%3D&amp;DocumentIdParam=2syhqp2JMIRMflW4qc62CMTK5ZoB9uPRHB2XkDuPlEvMd%2Bd84fsfWg71cX7iki8BKRYSU/gz2ozzo5YgIxM7mDUmRyrAIAgEoi2e02TIh9rDdQD9RyhUmzT4jZ2In4zL" TargetMode="External" Id="rId117" /><Relationship Type="http://schemas.openxmlformats.org/officeDocument/2006/relationships/hyperlink" Target="https://contrataciondelestado.es/wps/poc?uri=deeplink:detalle_licitacion&amp;idEvl=Z2TGsAO4%2BrCS81gZFETWmA%3D%3D" TargetMode="External" Id="rId118" /><Relationship Type="http://schemas.openxmlformats.org/officeDocument/2006/relationships/hyperlink" Target="https://contrataciondelestado.es/FileSystem/servlet/GetDocumentByIdServlet?cifrado=QUC1GjXXSiLkydRHJBmbpw%3D%3D&amp;DocumentIdParam=SFhKfZGueWjOMW3aOc2VJAO4CrH5yjysrSBbsehQkyvsDvngmbmC2xu/iCw56yMtqXMv5zsz/m/OYXjMAZX7mrg0wEI50nnUK2s/HsL6ZGs//q7NB2iMZvNyf0xrJmjt" TargetMode="External" Id="rId119" /><Relationship Type="http://schemas.openxmlformats.org/officeDocument/2006/relationships/hyperlink" Target="https://contrataciondelestado.es/wps/poc?uri=deeplink:detalle_licitacion&amp;idEvl=W5Xfl0CJgx3ECtSnloz%2BZQ%3D%3D" TargetMode="External" Id="rId120" /><Relationship Type="http://schemas.openxmlformats.org/officeDocument/2006/relationships/hyperlink" Target="https://contrataciondelestado.es/FileSystem/servlet/GetDocumentByIdServlet?cifrado=QUC1GjXXSiLkydRHJBmbpw%3D%3D&amp;DocumentIdParam=fl5Xm%2Bwq5dBAIUDTGD51dq8Eda30aiEe/VerE0wFYaCEVcsZ7/FbOlEDnPwlrE/S8Hp1Up4jU9LP5/nczKJdVsZgieOrfD7ELw7QZNE9yzYC1/zDIE0Kw/PWNnLS0Z0z" TargetMode="External" Id="rId121" /><Relationship Type="http://schemas.openxmlformats.org/officeDocument/2006/relationships/hyperlink" Target="https://contrataciondelestado.es/wps/poc?uri=deeplink:detalle_licitacion&amp;idEvl=F%2F0ZnwEm8E6FlFRHfEzEaw%3D%3D" TargetMode="External" Id="rId122" /><Relationship Type="http://schemas.openxmlformats.org/officeDocument/2006/relationships/hyperlink" Target="https://contrataciondelestado.es/FileSystem/servlet/GetDocumentByIdServlet?cifrado=QUC1GjXXSiLkydRHJBmbpw%3D%3D&amp;DocumentIdParam=kw/v9caLvDyL2aQmfCzO7Jkn3k7puKoi8vFemJOcxPfJUK0k/9KSXKqvKnSqpE3IkTQm9wUl1rUvMrfnMeukYtu8bkyXKVH6wGCcBxLP7sF7QB3HKyQaFUExmUVQCerk" TargetMode="External" Id="rId123" /><Relationship Type="http://schemas.openxmlformats.org/officeDocument/2006/relationships/hyperlink" Target="https://contrataciondelestado.es/wps/poc?uri=deeplink:detalle_licitacion&amp;idEvl=aD4%2BLXuhiCiFlFRHfEzEaw%3D%3D" TargetMode="External" Id="rId124" /><Relationship Type="http://schemas.openxmlformats.org/officeDocument/2006/relationships/hyperlink" Target="https://contrataciondelestado.es/FileSystem/servlet/GetDocumentByIdServlet?cifrado=QUC1GjXXSiLkydRHJBmbpw%3D%3D&amp;DocumentIdParam=EMWTGotLWzOVrn/ySlVcm5uoi0%2Bpi9nBufge6nCleyfaeZWOpAk13OyIDR8Nc5fLnak8EfXxNTeYGgNa%2BToeq%2BydrS1BJHV3RWTcgO8Vy3Ft/o8fNevwsujgRzaBbugn" TargetMode="External" Id="rId125" /><Relationship Type="http://schemas.openxmlformats.org/officeDocument/2006/relationships/hyperlink" Target="https://contrataciondelestado.es/wps/poc?uri=deeplink:detalle_licitacion&amp;idEvl=M70yzfqdTmiP66GS%2BONYvQ%3D%3D" TargetMode="External" Id="rId126" /><Relationship Type="http://schemas.openxmlformats.org/officeDocument/2006/relationships/hyperlink" Target="https://contrataciondelestado.es/FileSystem/servlet/GetDocumentByIdServlet?cifrado=QUC1GjXXSiLkydRHJBmbpw%3D%3D&amp;DocumentIdParam=fUlHJXolTeReXFQpwLWH7%2BlL7EA4sOckz1LwBiTbzp8UPu0x0lom1Ret1w/bvMB/%2BQKWMCtyPLKpsrvGDQ9jNgrXnIZ6YM0cXtA3UwJA9Fl7QB3HKyQaFUExmUVQCerk" TargetMode="External" Id="rId127" /><Relationship Type="http://schemas.openxmlformats.org/officeDocument/2006/relationships/hyperlink" Target="https://contrataciondelestado.es/wps/poc?uri=deeplink:detalle_licitacion&amp;idEvl=6j50zibdQzt%2BF6L2uCfUWg%3D%3D" TargetMode="External" Id="rId128" /><Relationship Type="http://schemas.openxmlformats.org/officeDocument/2006/relationships/hyperlink" Target="https://contrataciondelestado.es/FileSystem/servlet/GetDocumentByIdServlet?cifrado=QUC1GjXXSiLkydRHJBmbpw%3D%3D&amp;DocumentIdParam=A8R1Un2bE8%2BtIBP9DEd9Z/E3ktrL4PQcAqR2PdL4jjKUrjIRXMmNpbNYHUctfHjtagzrFiZtpTqBRA6WHZfVI1ksAX4Bj3h%2BzjEMF9Sx5qqHAj0WEJrB5sP7amrh2jBD" TargetMode="External" Id="rId129" /><Relationship Type="http://schemas.openxmlformats.org/officeDocument/2006/relationships/hyperlink" Target="https://contrataciondelestado.es/wps/poc?uri=deeplink:detalle_licitacion&amp;idEvl=%2BJr54v3oPwCFQ%2FlhRK79lA%3D%3D" TargetMode="External" Id="rId130" /><Relationship Type="http://schemas.openxmlformats.org/officeDocument/2006/relationships/hyperlink" Target="https://contrataciondelestado.es/FileSystem/servlet/GetDocumentByIdServlet?cifrado=QUC1GjXXSiLkydRHJBmbpw%3D%3D&amp;DocumentIdParam=UrbM4AEFOeSNS1uEy8OsYnp65GWQk4fiaFkdJt3flw5kj6%2B2WDo8hJL9Ma0340Eod41jNf/u1sbxQpAn2Swy6a/ixmjWkkrJtGnkDUoDVHP3GVhXrFFqN7yFncy7YfRK" TargetMode="External" Id="rId131" /><Relationship Type="http://schemas.openxmlformats.org/officeDocument/2006/relationships/hyperlink" Target="https://contrataciondelestado.es/wps/poc?uri=deeplink:detalle_licitacion&amp;idEvl=%2FoDpoPCaVOtq1DdmE7eaXg%3D%3D" TargetMode="External" Id="rId132" /><Relationship Type="http://schemas.openxmlformats.org/officeDocument/2006/relationships/hyperlink" Target="https://contrataciondelestado.es/FileSystem/servlet/GetDocumentByIdServlet?cifrado=QUC1GjXXSiLkydRHJBmbpw%3D%3D&amp;DocumentIdParam=Vmk2waGCw3AnQbLeIwfzL5XHBPArFF0kuH7ZRtjdRMGab0dqtAxj8FeL2pO3N0SxcMGiOF9m4MmrUazDeJogM0sl1vMyGLJb6/aLNGyjDNz3GVhXrFFqN7yFncy7YfRK" TargetMode="External" Id="rId133" /><Relationship Type="http://schemas.openxmlformats.org/officeDocument/2006/relationships/hyperlink" Target="https://contrataciondelestado.es/wps/poc?uri=deeplink:detalle_licitacion&amp;idEvl=xuMyRAI78uUmMOlAXxDEjw%3D%3D" TargetMode="External" Id="rId134" /><Relationship Type="http://schemas.openxmlformats.org/officeDocument/2006/relationships/hyperlink" Target="https://contrataciondelestado.es/FileSystem/servlet/GetDocumentByIdServlet?cifrado=QUC1GjXXSiLkydRHJBmbpw%3D%3D&amp;DocumentIdParam=ShTHsllbsRT8JWlMc9zCJykH1iJK1LSrpw1d1qoO5bzh2UFyH0XwAnyZh05wyp/UreIzEEJ1ZQMVYE5xcGqC9mpGh5zxLKRjpKHi%2B8vsXh3fdyQgZAdTm3EfcUAC7CJ6" TargetMode="External" Id="rId135" /><Relationship Type="http://schemas.openxmlformats.org/officeDocument/2006/relationships/hyperlink" Target="https://contrataciondelestado.es/wps/poc?uri=deeplink:detalle_licitacion&amp;idEvl=krSaKyMorRKOUi78BmzhOQ%3D%3D" TargetMode="External" Id="rId136" /><Relationship Type="http://schemas.openxmlformats.org/officeDocument/2006/relationships/hyperlink" Target="https://contrataciondelestado.es/FileSystem/servlet/GetDocumentByIdServlet?cifrado=QUC1GjXXSiLkydRHJBmbpw%3D%3D&amp;DocumentIdParam=3NAdFgXpGJrc1Vrp7FeCcVgIAzPiix0UKuDkHrggTPOFXnWTsNkendSCvIV95EG4MJ4dh6000d5dlzbwlX32oFhwX67kmm5/2K6GYHJ3LBp7QB3HKyQaFUExmUVQCerk" TargetMode="External" Id="rId137" /><Relationship Type="http://schemas.openxmlformats.org/officeDocument/2006/relationships/hyperlink" Target="https://contrataciondelestado.es/wps/poc?uri=deeplink:detalle_licitacion&amp;idEvl=1ccFm5ezM8SKeVWTb9Scog%3D%3D" TargetMode="External" Id="rId138" /><Relationship Type="http://schemas.openxmlformats.org/officeDocument/2006/relationships/hyperlink" Target="https://contrataciondelestado.es/FileSystem/servlet/GetDocumentByIdServlet?cifrado=QUC1GjXXSiLkydRHJBmbpw%3D%3D&amp;DocumentIdParam=fz16SdZtYh43KVnbAUgVs5mlcJkY0Qkh6wh2aoFLt9OcM7elVyJxajKbVt%2BhO4tPIxsrkapVLuDEh5Ne19W4lTimuZJCEcr4tC%2BmH3sIeo33GVhXrFFqN7yFncy7YfRK" TargetMode="External" Id="rId139" /><Relationship Type="http://schemas.openxmlformats.org/officeDocument/2006/relationships/hyperlink" Target="https://contrataciondelestado.es/wps/poc?uri=deeplink:detalle_licitacion&amp;idEvl=3QZQOZV%2FHj6dkQsA7ROvsg%3D%3D" TargetMode="External" Id="rId140" /><Relationship Type="http://schemas.openxmlformats.org/officeDocument/2006/relationships/hyperlink" Target="https://contrataciondelestado.es/FileSystem/servlet/GetDocumentByIdServlet?cifrado=QUC1GjXXSiLkydRHJBmbpw%3D%3D&amp;DocumentIdParam=cLUvA7JZDzryhAjWxRfB4wMpREIq%2BJps/cQqs7Tv5IJF3DWGyYQq6ayUcm5/BHCxUQVhBh9aZF9hrgVkbn55ZLIFanfLPq0zi%2BC2n%2BzAWGSB0nvVKRzfe4rpHcnlPhSZ" TargetMode="External" Id="rId141" /><Relationship Type="http://schemas.openxmlformats.org/officeDocument/2006/relationships/hyperlink" Target="https://contrataciondelestado.es/wps/poc?uri=deeplink:detalle_licitacion&amp;idEvl=8E8381QsdKM%2Bk2oCbDosIw%3D%3D" TargetMode="External" Id="rId142" /><Relationship Type="http://schemas.openxmlformats.org/officeDocument/2006/relationships/hyperlink" Target="https://contrataciondelestado.es/FileSystem/servlet/GetDocumentByIdServlet?cifrado=QUC1GjXXSiLkydRHJBmbpw%3D%3D&amp;DocumentIdParam=2XQ9MjSpjY%2ByYs/qku4gwO12TVp3GMF1S67W1%2BBnh5Ypwj%2BxX4mxn%2BMHZGnT2V9t%2BWW7w%2BWGOSd0i%2BtGbZPLv1JXuTIKB0OyVmr8X07gK5iB0nvVKRzfe4rpHcnlPhSZ" TargetMode="External" Id="rId143" /><Relationship Type="http://schemas.openxmlformats.org/officeDocument/2006/relationships/hyperlink" Target="https://contrataciondelestado.es/wps/poc?uri=deeplink:detalle_licitacion&amp;idEvl=XNUbzL3RjHAQyBAnWzHfCg%3D%3D" TargetMode="External" Id="rId144" /><Relationship Type="http://schemas.openxmlformats.org/officeDocument/2006/relationships/hyperlink" Target="https://contrataciondelestado.es/FileSystem/servlet/GetDocumentByIdServlet?cifrado=QUC1GjXXSiLkydRHJBmbpw%3D%3D&amp;DocumentIdParam=DFCYUgBjCWKG/EBkv65eMu%2BBcc%2BYI8TYzJOjn%2Bq8EG4L3GK/vPu/iH6YxFoht1ug9XWNbV3QNKSGnDZIgE8JMROT8fLGNOLYZdg1BuEWLiWB0nvVKRzfe4rpHcnlPhSZ" TargetMode="External" Id="rId145" /><Relationship Type="http://schemas.openxmlformats.org/officeDocument/2006/relationships/hyperlink" Target="https://contrataciondelestado.es/wps/poc?uri=deeplink:detalle_licitacion&amp;idEvl=QkGueFkUjcXpxJFXpLZ%2B2A%3D%3D" TargetMode="External" Id="rId146" /><Relationship Type="http://schemas.openxmlformats.org/officeDocument/2006/relationships/hyperlink" Target="https://contrataciondelestado.es/FileSystem/servlet/GetDocumentByIdServlet?cifrado=QUC1GjXXSiLkydRHJBmbpw%3D%3D&amp;DocumentIdParam=cG7B%2Bpa2VgJx6Zj2b4RZBbOV80uI87%2BtF2pAevoWZmysdXlerBXsuLvwMQ38iJiAMcNE4L9dUSgiAG6bPUNJfE8jvpc7E2d4TmEIeWsoxkBJOVDbGCDM%2BMigrvuVS7Rv" TargetMode="External" Id="rId147" /><Relationship Type="http://schemas.openxmlformats.org/officeDocument/2006/relationships/hyperlink" Target="https://contrataciondelestado.es/wps/poc?uri=deeplink:detalle_licitacion&amp;idEvl=ZaLs5NBm7z%2FN3k3tjedSGw%3D%3D" TargetMode="External" Id="rId148" /><Relationship Type="http://schemas.openxmlformats.org/officeDocument/2006/relationships/hyperlink" Target="https://contrataciondelestado.es/FileSystem/servlet/GetDocumentByIdServlet?cifrado=QUC1GjXXSiLkydRHJBmbpw%3D%3D&amp;DocumentIdParam=x/As8g8WeIHZq9Dc3GSzo1FBIbrYT06KowCz9pFsYJAVUFMPEgR7LAhqRqi7sf9b4Ka1QR9T9kEBC5NRbqEhYwqfArRTqdUd4PuyMIoVF4L3GVhXrFFqN7yFncy7YfRK" TargetMode="External" Id="rId149" /><Relationship Type="http://schemas.openxmlformats.org/officeDocument/2006/relationships/hyperlink" Target="https://contrataciondelestado.es/wps/poc?uri=deeplink:detalle_licitacion&amp;idEvl=mZ4wtIpjxifi0Kd8%2Brcp6w%3D%3D" TargetMode="External" Id="rId150" /><Relationship Type="http://schemas.openxmlformats.org/officeDocument/2006/relationships/hyperlink" Target="https://contrataciondelestado.es/FileSystem/servlet/GetDocumentByIdServlet?cifrado=QUC1GjXXSiLkydRHJBmbpw%3D%3D&amp;DocumentIdParam=P05xWnlGVjQ7G5QhSrBefCvqJMDGy4ER5aMB7F9dgGy52Bp0mvNctwaUN1kg%2BIxqwRNvOeJYJZTm/iBlWcHmsZG9mZH7bmrCjUEzwPrUKBI//q7NB2iMZvNyf0xrJmjt" TargetMode="External" Id="rId151" /><Relationship Type="http://schemas.openxmlformats.org/officeDocument/2006/relationships/hyperlink" Target="https://contrataciondelestado.es/wps/poc?uri=deeplink:detalle_licitacion&amp;idEvl=KbEdbYhpjHKS81gZFETWmA%3D%3D" TargetMode="External" Id="rId152" /><Relationship Type="http://schemas.openxmlformats.org/officeDocument/2006/relationships/hyperlink" Target="https://contrataciondelestado.es/FileSystem/servlet/GetDocumentByIdServlet?cifrado=QUC1GjXXSiLkydRHJBmbpw%3D%3D&amp;DocumentIdParam=LQWSnpD4VLziD93lPvjmj0j/AHdL5y3gjAgTQutECHQ31Jc88LNBbrnHoUB5HQQIxJjgGh44aPf%2Bs/1UmncUcUSOVJ3hKZLgvPXXDCTKH7X6CYyL7SIrUOBFfNf52ZqA" TargetMode="External" Id="rId153" /><Relationship Type="http://schemas.openxmlformats.org/officeDocument/2006/relationships/hyperlink" Target="https://contrataciondelestado.es/wps/poc?uri=deeplink:detalle_licitacion&amp;idEvl=LIlZvhuqLql70UvEyYJSGw%3D%3D" TargetMode="External" Id="rId154" /><Relationship Type="http://schemas.openxmlformats.org/officeDocument/2006/relationships/hyperlink" Target="https://contrataciondelestado.es/FileSystem/servlet/GetDocumentByIdServlet?cifrado=QUC1GjXXSiLkydRHJBmbpw%3D%3D&amp;DocumentIdParam=NF5G2AW4AUfb3S6pNCFrEo9gblnJMW0GFH3dhocyP72Nr/iUw/z8yaJKicx2qP2O0OOjzbP3KbTG/BHrz9MhrNhtq60jw47qiM2q%2BLkron36CYyL7SIrUOBFfNf52ZqA" TargetMode="External" Id="rId155" /><Relationship Type="http://schemas.openxmlformats.org/officeDocument/2006/relationships/hyperlink" Target="https://contrataciondelestado.es/wps/poc?uri=deeplink:detalle_licitacion&amp;idEvl=TfR6c%2FjMZez%2Fa9DgO%2BoYKQ%3D%3D" TargetMode="External" Id="rId156" /><Relationship Type="http://schemas.openxmlformats.org/officeDocument/2006/relationships/hyperlink" Target="https://contrataciondelestado.es/FileSystem/servlet/GetDocumentByIdServlet?cifrado=QUC1GjXXSiLkydRHJBmbpw%3D%3D&amp;DocumentIdParam=rhh2kcm4hupwRY960LbHlq3isnBuvJ0z8s/uiwKt3geznoUDyX5lHZwPeplyCSQKu1o41ImdzVfYaSlUs4fh30qiSj4aw2BVXsLUmUceQmR7QB3HKyQaFUExmUVQCerk" TargetMode="External" Id="rId157" /><Relationship Type="http://schemas.openxmlformats.org/officeDocument/2006/relationships/hyperlink" Target="https://contrataciondelestado.es/wps/poc?uri=deeplink:detalle_licitacion&amp;idEvl=lUyOZIBlWn3pxJFXpLZ%2B2A%3D%3D" TargetMode="External" Id="rId158" /><Relationship Type="http://schemas.openxmlformats.org/officeDocument/2006/relationships/hyperlink" Target="https://contrataciondelestado.es/FileSystem/servlet/GetDocumentByIdServlet?cifrado=QUC1GjXXSiLkydRHJBmbpw%3D%3D&amp;DocumentIdParam=/q1Cfn1%2BwMjPaE8MctEKNnGUUehEHQRSuKVFensDjKAri6tQgrfoOMO4wcO1KFNila9HaVsZQmo7AQBRjSMMPXpSRS7qv08pxt%2Bx%2B6s15pEC1/zDIE0Kw/PWNnLS0Z0z" TargetMode="External" Id="rId159" /><Relationship Type="http://schemas.openxmlformats.org/officeDocument/2006/relationships/hyperlink" Target="https://contrataciondelestado.es/wps/poc?uri=deeplink:detalle_licitacion&amp;idEvl=jZxjsRfKIak7u6%2B%2FR7DUoA%3D%3D" TargetMode="External" Id="rId160" /><Relationship Type="http://schemas.openxmlformats.org/officeDocument/2006/relationships/hyperlink" Target="https://contrataciondelestado.es/FileSystem/servlet/GetDocumentByIdServlet?cifrado=QUC1GjXXSiLkydRHJBmbpw%3D%3D&amp;DocumentIdParam=WmlvI0dNQKAHuasWDPiuE2u23aKVAkFoGKrUqE18FhhE9ZbAU6r0QcRbHEloyT1d9ckog/S3n/brtAmSYVpJ4myXiuXrKUL2m4Rovsznt4rDdQD9RyhUmzT4jZ2In4zL" TargetMode="External" Id="rId161" /><Relationship Type="http://schemas.openxmlformats.org/officeDocument/2006/relationships/hyperlink" Target="https://contrataciondelestado.es/wps/poc?uri=deeplink:detalle_licitacion&amp;idEvl=fGYfUeBT5bm7JOCXkOhcDg%3D%3D" TargetMode="External" Id="rId162" /><Relationship Type="http://schemas.openxmlformats.org/officeDocument/2006/relationships/hyperlink" Target="https://contrataciondelestado.es/FileSystem/servlet/GetDocumentByIdServlet?cifrado=QUC1GjXXSiLkydRHJBmbpw%3D%3D&amp;DocumentIdParam=qbzFgh%2B3o8Y8zXXeGFN5guPyE2TCbAI2rllXBgL4ROWnd%2Buhxao%2B2VGvRl/mXvRuX9jmIqKHSwctnHH0z6hc1UG78bDe80OgirOtjB%2B4LEfVTD3T98KC0nSgQFM0q%2B5s" TargetMode="External" Id="rId163" /><Relationship Type="http://schemas.openxmlformats.org/officeDocument/2006/relationships/hyperlink" Target="https://contrataciondelestado.es/wps/poc?uri=deeplink:detalle_licitacion&amp;idEvl=evD%2FUtKw81mIzo3LHNPGcQ%3D%3D" TargetMode="External" Id="rId164" /><Relationship Type="http://schemas.openxmlformats.org/officeDocument/2006/relationships/hyperlink" Target="https://contrataciondelestado.es/FileSystem/servlet/GetDocumentByIdServlet?cifrado=QUC1GjXXSiLkydRHJBmbpw%3D%3D&amp;DocumentIdParam=qerKtE3ixTnxcgbgBLKVjhNbg1UOJp4XTqfD9HAozNuuhDdh3hGNOymqZdE0QsawMOplpHMpIPE4p/%2BHhKgnFzs6%2BRB5HoK6dWkI3LmmyFS1aXEvq3KHa/AEHgtDrQw0" TargetMode="External" Id="rId165" /><Relationship Type="http://schemas.openxmlformats.org/officeDocument/2006/relationships/hyperlink" Target="https://contrataciondelestado.es/wps/poc?uri=deeplink:detalle_licitacion&amp;idEvl=Ccr9C2OVICs3vLk2DU2Ddg%3D%3D" TargetMode="External" Id="rId166" /><Relationship Type="http://schemas.openxmlformats.org/officeDocument/2006/relationships/hyperlink" Target="https://contrataciondelestado.es/FileSystem/servlet/GetDocumentByIdServlet?cifrado=QUC1GjXXSiLkydRHJBmbpw%3D%3D&amp;DocumentIdParam=ooWUWOLPg4UTyVcK81xmwGQE3A7bAuq7sdyDrzc9YPffGckXx3qQf04/avJjXp7fkLti9T3jsR%2BWDzBZsIbbNCtAB76Q2JaZabwjc1WPFojfdyQgZAdTm3EfcUAC7CJ6" TargetMode="External" Id="rId167" /><Relationship Type="http://schemas.openxmlformats.org/officeDocument/2006/relationships/hyperlink" Target="https://contrataciondelestado.es/wps/poc?uri=deeplink:detalle_licitacion&amp;idEvl=6NxuvY1CNlFrSd8H4b2soA%3D%3D" TargetMode="External" Id="rId168" /><Relationship Type="http://schemas.openxmlformats.org/officeDocument/2006/relationships/hyperlink" Target="https://contrataciondelestado.es/FileSystem/servlet/GetDocumentByIdServlet?cifrado=QUC1GjXXSiLkydRHJBmbpw%3D%3D&amp;DocumentIdParam=AC1eiwn02WnTZ5Yu963cbC%2B8j9E/4JCWQW7h3Uwi2qs0YVVO9%2BOcRq8hB4WEhg2UjnpNAuEkffhw85eTTiMDvVq2TRy9R4ATOzDntF8YCMb6CYyL7SIrUOBFfNf52ZqA" TargetMode="External" Id="rId169" /><Relationship Type="http://schemas.openxmlformats.org/officeDocument/2006/relationships/hyperlink" Target="https://contrataciondelestado.es/wps/poc?uri=deeplink:detalle_licitacion&amp;idEvl=wiQ7h4lbymJ9PLkba5eRog%3D%3D" TargetMode="External" Id="rId170" /><Relationship Type="http://schemas.openxmlformats.org/officeDocument/2006/relationships/hyperlink" Target="https://contrataciondelestado.es/FileSystem/servlet/GetDocumentByIdServlet?cifrado=QUC1GjXXSiLkydRHJBmbpw%3D%3D&amp;DocumentIdParam=AAILjA4C/jt%2BPjUkCvQ9ItEGht%2BmgXRqLfk9nATbTOzsCtXJUWf%2BgMjip2cQ8FrHfoL2X6C80UpDUzVvXJVTq958uNcWyjAuncoQBLmfyuz6CYyL7SIrUOBFfNf52ZqA" TargetMode="External" Id="rId171" /><Relationship Type="http://schemas.openxmlformats.org/officeDocument/2006/relationships/hyperlink" Target="https://contrataciondelestado.es/wps/poc?uri=deeplink:detalle_licitacion&amp;idEvl=BG3csO2YxjmFlFRHfEzEaw%3D%3D" TargetMode="External" Id="rId172" /><Relationship Type="http://schemas.openxmlformats.org/officeDocument/2006/relationships/hyperlink" Target="https://contrataciondelestado.es/FileSystem/servlet/GetDocumentByIdServlet?cifrado=QUC1GjXXSiLkydRHJBmbpw%3D%3D&amp;DocumentIdParam=moF1zauscMtPkpM9yiFqjBqQ2XtTRpIE3oXNi9R8theUtAVH7zAMs5ITFN65HJeFjl8TjLGJA%2BsEdkYtzjXgMmgo5kJMj7rcW4B4DvV1nqtJOVDbGCDM%2BMigrvuVS7Rv" TargetMode="External" Id="rId173" /><Relationship Type="http://schemas.openxmlformats.org/officeDocument/2006/relationships/hyperlink" Target="https://contrataciondelestado.es/wps/poc?uri=deeplink:detalle_licitacion&amp;idEvl=H0asFA4Psp8QyBAnWzHfCg%3D%3D" TargetMode="External" Id="rId174" /><Relationship Type="http://schemas.openxmlformats.org/officeDocument/2006/relationships/hyperlink" Target="https://contrataciondelestado.es/FileSystem/servlet/GetDocumentByIdServlet?cifrado=QUC1GjXXSiLkydRHJBmbpw%3D%3D&amp;DocumentIdParam=wP62GvtzBGCLxLK2KyoeGVN6%2Bi9YT4dAmpDqVbmwlcrO3JSKUzgYTAAxA7ascZr1fmwBGJaDDMvgUPWVv1dgmbyfu6mHM0QzGn26oisYZEP3GVhXrFFqN7yFncy7YfRK" TargetMode="External" Id="rId175" /><Relationship Type="http://schemas.openxmlformats.org/officeDocument/2006/relationships/hyperlink" Target="https://contrataciondelestado.es/wps/poc?uri=deeplink:detalle_licitacion&amp;idEvl=bfNnMcjti6WsNfRW6APEDw%3D%3D" TargetMode="External" Id="rId176" /><Relationship Type="http://schemas.openxmlformats.org/officeDocument/2006/relationships/hyperlink" Target="https://contrataciondelestado.es/FileSystem/servlet/GetDocumentByIdServlet?cifrado=QUC1GjXXSiLkydRHJBmbpw%3D%3D&amp;DocumentIdParam=BMffgcEhyIRPu8YiIjyUldHgiUUiKWwrNlcImgh5KQ5yWprftgHvrmMTjpYEc5uaRrFlCXWRGMPtMEFVnIiOppwtk0ZqcLAT9Vp43vuI3QNt/o8fNevwsujgRzaBbugn" TargetMode="External" Id="rId177" /><Relationship Type="http://schemas.openxmlformats.org/officeDocument/2006/relationships/hyperlink" Target="https://contrataciondelestado.es/wps/poc?uri=deeplink:detalle_licitacion&amp;idEvl=vock68ulYVYeIBJRHQiPkQ%3D%3D" TargetMode="External" Id="rId178" /><Relationship Type="http://schemas.openxmlformats.org/officeDocument/2006/relationships/hyperlink" Target="https://contrataciondelestado.es/FileSystem/servlet/GetDocumentByIdServlet?cifrado=QUC1GjXXSiLkydRHJBmbpw%3D%3D&amp;DocumentIdParam=kVTECiRAPv8gOngTQoJCX0qZOirFtZjHrU3mzPQgvzRQJog%2BKXkbfc5Mw%2B%2Btkn3mUdcZxwEuLXgwhPeD9X/QEzD8kKU0UKSze9CJUU/IQhHfdyQgZAdTm3EfcUAC7CJ6" TargetMode="External" Id="rId179" /><Relationship Type="http://schemas.openxmlformats.org/officeDocument/2006/relationships/hyperlink" Target="https://contrataciondelestado.es/wps/poc?uri=deeplink:detalle_licitacion&amp;idEvl=%2BUuizd%2FEbYc7%2B9FIQYNjeQ%3D%3D" TargetMode="External" Id="rId180" /><Relationship Type="http://schemas.openxmlformats.org/officeDocument/2006/relationships/hyperlink" Target="https://contrataciondelestado.es/FileSystem/servlet/GetDocumentByIdServlet?cifrado=QUC1GjXXSiLkydRHJBmbpw%3D%3D&amp;DocumentIdParam=9cU22ncgomrYAqohbNfr9ddk4j5zxaeHMEtLAlM6U1iSgV0ZnbKW4Vr0LKha1nVcvboQbW1thBueedIUKoX22S0e0zutoMsKv7QvarO0cX2HAj0WEJrB5sP7amrh2jBD" TargetMode="External" Id="rId181" /><Relationship Type="http://schemas.openxmlformats.org/officeDocument/2006/relationships/hyperlink" Target="https://contrataciondelestado.es/wps/poc?uri=deeplink:detalle_licitacion&amp;idEvl=Qh%2Bxzvnhjao%2FbjW6njtWLw%3D%3D" TargetMode="External" Id="rId182" /><Relationship Type="http://schemas.openxmlformats.org/officeDocument/2006/relationships/hyperlink" Target="https://contrataciondelestado.es/FileSystem/servlet/GetDocumentByIdServlet?cifrado=QUC1GjXXSiLkydRHJBmbpw%3D%3D&amp;DocumentIdParam=jc/xXNChH/HOXak4s4FyTPF6%2B5dzYhjLY3yxOZwOZgmMikA4%2BydGzmKNmC%2B4xF9bgqQXiHBFQKKX4EsT57V/ZIbu2kPE%2BBlCylG9O5ywpeh7QB3HKyQaFUExmUVQCerk" TargetMode="External" Id="rId183" /><Relationship Type="http://schemas.openxmlformats.org/officeDocument/2006/relationships/hyperlink" Target="https://contrataciondelestado.es/wps/poc?uri=deeplink:detalle_licitacion&amp;idEvl=Pff6OYhdOizua%2Fi14w%2FPLA%3D%3D" TargetMode="External" Id="rId184" /><Relationship Type="http://schemas.openxmlformats.org/officeDocument/2006/relationships/hyperlink" Target="https://contrataciondelestado.es/FileSystem/servlet/GetDocumentByIdServlet?cifrado=QUC1GjXXSiLkydRHJBmbpw%3D%3D&amp;DocumentIdParam=H5FCqKcdgc7ENIUvbcrz8jGHz0h7N9jvpWOgSMGwgcRZmAxCndl1ILEiE7oEQn%2BdagQ8NlciT/jsHkC%2B/VwwiTQApAURm1xEJhlBQ3UZeF57QB3HKyQaFUExmUVQCerk" TargetMode="External" Id="rId185" /><Relationship Type="http://schemas.openxmlformats.org/officeDocument/2006/relationships/hyperlink" Target="https://contrataciondelestado.es/wps/poc?uri=deeplink:detalle_licitacion&amp;idEvl=q60wjHm%2B9dkzjChw4z%2FXvw%3D%3D" TargetMode="External" Id="rId186" /><Relationship Type="http://schemas.openxmlformats.org/officeDocument/2006/relationships/hyperlink" Target="https://contrataciondelestado.es/FileSystem/servlet/GetDocumentByIdServlet?cifrado=QUC1GjXXSiLkydRHJBmbpw%3D%3D&amp;DocumentIdParam=x2mZtkHmWVwQ3Z5LHrFE6w4/390YBsDPQE1o8IRujqGhYl/yFk5MtjVUcajbbDngGI3aFgPvzKoG173/TokJ7BpN1OHbpqpiwKcuhMvxdDbVTD3T98KC0nSgQFM0q%2B5s" TargetMode="External" Id="rId187" /><Relationship Type="http://schemas.openxmlformats.org/officeDocument/2006/relationships/hyperlink" Target="https://contrataciondelestado.es/wps/poc?uri=deeplink:detalle_licitacion&amp;idEvl=HjD9ShhJ%2BWqKeVWTb9Scog%3D%3D" TargetMode="External" Id="rId188" /><Relationship Type="http://schemas.openxmlformats.org/officeDocument/2006/relationships/hyperlink" Target="https://contrataciondelestado.es/FileSystem/servlet/GetDocumentByIdServlet?cifrado=QUC1GjXXSiLkydRHJBmbpw%3D%3D&amp;DocumentIdParam=Y4/9/ZFRJrSPpCrCSAunVZgv0F0Zil0n24O0q6YflnCGjTHRH20fc9d1kboKGUFaqJNRjD8igHkdYQ0mPQj1XhyPuJAdVWE%2Bp8p5dZN/P7ht/o8fNevwsujgRzaBbugn" TargetMode="External" Id="rId189" /><Relationship Type="http://schemas.openxmlformats.org/officeDocument/2006/relationships/hyperlink" Target="https://contrataciondelestado.es/wps/poc?uri=deeplink:detalle_licitacion&amp;idEvl=m4jNpeXqSm4tm4eBPtV6eQ%3D%3D" TargetMode="External" Id="rId190" /><Relationship Type="http://schemas.openxmlformats.org/officeDocument/2006/relationships/hyperlink" Target="https://contrataciondelestado.es/FileSystem/servlet/GetDocumentByIdServlet?cifrado=QUC1GjXXSiLkydRHJBmbpw%3D%3D&amp;DocumentIdParam=Syu1OPjxFPdfPBzzCIbkQUi55lESPv%2Bh/iCD7kNWyi3M2uGp%2BC//M2qQMBujrU4UElkuxA%2B5U5LnHL87JVNlLJo8aQE7cYI1NrpsIod9QUNt/o8fNevwsujgRzaBbugn" TargetMode="External" Id="rId191" /><Relationship Type="http://schemas.openxmlformats.org/officeDocument/2006/relationships/hyperlink" Target="https://contrataciondelestado.es/wps/poc?uri=deeplink:detalle_licitacion&amp;idEvl=n6uKVXxDLpF9Zh%2FyRJgM8w%3D%3D" TargetMode="External" Id="rId192" /><Relationship Type="http://schemas.openxmlformats.org/officeDocument/2006/relationships/hyperlink" Target="https://contrataciondelestado.es/FileSystem/servlet/GetDocumentByIdServlet?cifrado=QUC1GjXXSiLkydRHJBmbpw%3D%3D&amp;DocumentIdParam=UG%2BRhCI4sDnd7/kZmfTpfwOlikVYcAIt3rDDPGr4wG0GfHzU/36cUXrrPIU8o6fVJClHJFPjTssVJqFuCLyTnk70DlmQG89%2B41e%2BnQ7HzNaHAj0WEJrB5sP7amrh2jBD" TargetMode="External" Id="rId193" /><Relationship Type="http://schemas.openxmlformats.org/officeDocument/2006/relationships/hyperlink" Target="https://contrataciondelestado.es/wps/poc?uri=deeplink:detalle_licitacion&amp;idEvl=2SELKf3jQYHpxJFXpLZ%2B2A%3D%3D" TargetMode="External" Id="rId194" /><Relationship Type="http://schemas.openxmlformats.org/officeDocument/2006/relationships/hyperlink" Target="https://contrataciondelestado.es/FileSystem/servlet/GetDocumentByIdServlet?cifrado=QUC1GjXXSiLkydRHJBmbpw%3D%3D&amp;DocumentIdParam=hDNm3%2BCXFb7z8j8TXcv0Ayd6QSpOjssfcRy7MEZLyR4j8lx0QIqy%2B6fIahBY677nC4jLQNo/WlVY06CeK8tQyoVCJVMwZQtoJiP9fJItsKS1aXEvq3KHa/AEHgtDrQw0" TargetMode="External" Id="rId195" /><Relationship Type="http://schemas.openxmlformats.org/officeDocument/2006/relationships/hyperlink" Target="https://contrataciondelestado.es/wps/poc?uri=deeplink:detalle_licitacion&amp;idEvl=Q1iUc6mGGQAXhk1FZxEyvw%3D%3D" TargetMode="External" Id="rId196" /><Relationship Type="http://schemas.openxmlformats.org/officeDocument/2006/relationships/hyperlink" Target="https://contrataciondelestado.es/FileSystem/servlet/GetDocumentByIdServlet?cifrado=QUC1GjXXSiLkydRHJBmbpw%3D%3D&amp;DocumentIdParam=Q6Jr7YT6rLPTnUk%2BZs4U6JYui69frRjZHh7Gjmt1K0Lev/GeKVj5p%2BCksDpTxWAZc83bUI2m6Bzjpix9xiqyEvfyZG1q5vLUxl0aENDhDvSHAj0WEJrB5sP7amrh2jBD" TargetMode="External" Id="rId197" /><Relationship Type="http://schemas.openxmlformats.org/officeDocument/2006/relationships/hyperlink" Target="https://contrataciondelestado.es/wps/poc?uri=deeplink:detalle_licitacion&amp;idEvl=7XDNVNqQJot%2FR5QFTlaM4A%3D%3D" TargetMode="External" Id="rId198" /><Relationship Type="http://schemas.openxmlformats.org/officeDocument/2006/relationships/hyperlink" Target="https://contrataciondelestado.es/FileSystem/servlet/GetDocumentByIdServlet?cifrado=QUC1GjXXSiLkydRHJBmbpw%3D%3D&amp;DocumentIdParam=X%2BkzxSvmrfvwOQBgPoMhQqmST7YQR1IAECLaGMv%2BTLqeBjB1UvwZ/z07du//Y3xvNzerhMyZGJ3BAprOlju/ddvzE%2BclKOqgTBjoSXg/CUx45ClyWkoJ44mKM70IFcOu" TargetMode="External" Id="rId199" /><Relationship Type="http://schemas.openxmlformats.org/officeDocument/2006/relationships/hyperlink" Target="https://contrataciondelestado.es/wps/poc?uri=deeplink:detalle_licitacion&amp;idEvl=q74ZIQyi616TylGzYmBF9Q%3D%3D" TargetMode="External" Id="rId200" /><Relationship Type="http://schemas.openxmlformats.org/officeDocument/2006/relationships/hyperlink" Target="https://contrataciondelestado.es/FileSystem/servlet/GetDocumentByIdServlet?cifrado=QUC1GjXXSiLkydRHJBmbpw%3D%3D&amp;DocumentIdParam=TweDv8RMQCj8Uht5GvKUgr%2BbeLRWZjEcRvyfQ9FpDVVBb7kspC%2BLNRI6epEiulghch0O8Sb8lPg8DMEJ1HglgwlqyKBJD7aSbOzq7Ytheu8//q7NB2iMZvNyf0xrJmjt" TargetMode="External" Id="rId201" /><Relationship Type="http://schemas.openxmlformats.org/officeDocument/2006/relationships/hyperlink" Target="https://contrataciondelestado.es/wps/poc?uri=deeplink:detalle_licitacion&amp;idEvl=8n%2BfaXpvKQYmMOlAXxDEjw%3D%3D" TargetMode="External" Id="rId202" /><Relationship Type="http://schemas.openxmlformats.org/officeDocument/2006/relationships/hyperlink" Target="https://contrataciondelestado.es/FileSystem/servlet/GetDocumentByIdServlet?cifrado=QUC1GjXXSiLkydRHJBmbpw%3D%3D&amp;DocumentIdParam=DL2prXYSyFWDOTwjyI%2B2nP9QcyTO/AXL368svYb4uczs23SLhY106miw5VQp8svsyO30uCkgz7iJ7Cc7WIxfcGBWkOwYa1hzTKUUL3qM9ScZyAJWGsSt0OzTSTyw9JAs" TargetMode="External" Id="rId203" /><Relationship Type="http://schemas.openxmlformats.org/officeDocument/2006/relationships/hyperlink" Target="https://contrataciondelestado.es/wps/poc?uri=deeplink:detalle_licitacion&amp;idEvl=YJYEzjNrp7lt5r0ngvMetA%3D%3D" TargetMode="External" Id="rId204" /><Relationship Type="http://schemas.openxmlformats.org/officeDocument/2006/relationships/hyperlink" Target="https://contrataciondelestado.es/FileSystem/servlet/GetDocumentByIdServlet?cifrado=QUC1GjXXSiLkydRHJBmbpw%3D%3D&amp;DocumentIdParam=3TtpgjirGTl8M7YRbFGJ4GSbRoA2epNLmM4UmTRl3q2o3J3EivgA892c7HZXtOdaYtI9T4iEgH2ATXbSQx3zGwgEtifD9uTOa6OTi1r/J%2B/6CYyL7SIrUOBFfNf52ZqA" TargetMode="External" Id="rId205" /><Relationship Type="http://schemas.openxmlformats.org/officeDocument/2006/relationships/hyperlink" Target="https://contrataciondelestado.es/wps/poc?uri=deeplink:detalle_licitacion&amp;idEvl=Y4RnJogpLXDkY6rls5tG9A%3D%3D" TargetMode="External" Id="rId206" /><Relationship Type="http://schemas.openxmlformats.org/officeDocument/2006/relationships/hyperlink" Target="https://contrataciondelestado.es/FileSystem/servlet/GetDocumentByIdServlet?cifrado=QUC1GjXXSiLkydRHJBmbpw%3D%3D&amp;DocumentIdParam=SA89viOXwanf%2BzT2YNjlP5DWqhW7rPhcOhpVt3/qsvMfI86FoAKUuI8jSPwnO4VHBwsiairtrD5/8FtUaneX1iSgNAH4jaCOO936x8Wr1pT3GVhXrFFqN7yFncy7YfRK" TargetMode="External" Id="rId207" /><Relationship Type="http://schemas.openxmlformats.org/officeDocument/2006/relationships/hyperlink" Target="https://contrataciondelestado.es/wps/poc?uri=deeplink:detalle_licitacion&amp;idEvl=2dg80Z43QXqcTfjQf3USOg%3D%3D" TargetMode="External" Id="rId208" /><Relationship Type="http://schemas.openxmlformats.org/officeDocument/2006/relationships/hyperlink" Target="https://contrataciondelestado.es/wps/poc?uri=deeplink:detalle_licitacion&amp;idEvl=URgiZOV0leeKeVWTb9Scog%3D%3D" TargetMode="External" Id="rId209" /><Relationship Type="http://schemas.openxmlformats.org/officeDocument/2006/relationships/hyperlink" Target="https://contrataciondelestado.es/FileSystem/servlet/GetDocumentByIdServlet?cifrado=QUC1GjXXSiLkydRHJBmbpw%3D%3D&amp;DocumentIdParam=UjVqPUfNsZc2K6IFIt0LE6VDnfqIFXM/OvpUrw2jbwGYX1%2BKe1144pS8BIVF1kKK4wXNBy3zyFHrBlehr5nkZOXHaZ3VFRiacIgoMHbgwNPVTD3T98KC0nSgQFM0q%2B5s" TargetMode="External" Id="rId210" /><Relationship Type="http://schemas.openxmlformats.org/officeDocument/2006/relationships/hyperlink" Target="https://contrataciondelestado.es/wps/poc?uri=deeplink:detalle_licitacion&amp;idEvl=3GYQZoC9g%2Fj5Rey58Yagpg%3D%3D" TargetMode="External" Id="rId211" /><Relationship Type="http://schemas.openxmlformats.org/officeDocument/2006/relationships/hyperlink" Target="https://contrataciondelestado.es/FileSystem/servlet/GetDocumentByIdServlet?cifrado=QUC1GjXXSiLkydRHJBmbpw%3D%3D&amp;DocumentIdParam=y6PUttHvBTKnu5EEuwIArfvpoW438SqWwoBhURFLjdV7WAjqDUzjxA%2BduSso4Zubrp6neTSjSTDhe8YjOt4d3UHJo597phcoGUgCnKqmXt6HAj0WEJrB5sP7amrh2jBD" TargetMode="External" Id="rId212" /><Relationship Type="http://schemas.openxmlformats.org/officeDocument/2006/relationships/hyperlink" Target="https://contrataciondelestado.es/wps/poc?uri=deeplink:detalle_licitacion&amp;idEvl=Y2zC7IelHm87u6%2B%2FR7DUoA%3D%3D" TargetMode="External" Id="rId213" /><Relationship Type="http://schemas.openxmlformats.org/officeDocument/2006/relationships/hyperlink" Target="https://contrataciondelestado.es/FileSystem/servlet/GetDocumentByIdServlet?cifrado=QUC1GjXXSiLkydRHJBmbpw%3D%3D&amp;DocumentIdParam=VArgmGloiQfi/A7vv7rr95rgXjQK/8hEBdZfX6HGjeKRKLJkPpbaXgXxPOkoorJW0z1yStTnmk2ELuC2PTEl3vT2%2BWxUNRDMwmInvqJ%2B/gxJOVDbGCDM%2BMigrvuVS7Rv" TargetMode="External" Id="rId214" /><Relationship Type="http://schemas.openxmlformats.org/officeDocument/2006/relationships/hyperlink" Target="https://contrataciondelestado.es/wps/poc?uri=deeplink:detalle_licitacion&amp;idEvl=%2BEY9WOdS4QOIzo3LHNPGcQ%3D%3D" TargetMode="External" Id="rId215" /><Relationship Type="http://schemas.openxmlformats.org/officeDocument/2006/relationships/hyperlink" Target="https://contrataciondelestado.es/FileSystem/servlet/GetDocumentByIdServlet?cifrado=QUC1GjXXSiLkydRHJBmbpw%3D%3D&amp;DocumentIdParam=g7rf7tAPG6DvL3YAjS%2BEOIxE%2B0L7IDcmGpAglJ1bhAUX9%2BMRSvdRfTnhlHB4DHiCZLEkQPg7JycOHM/Ca8iL43I62UNbX7vcxU65Ezxdoh%2BHAj0WEJrB5sP7amrh2jBD" TargetMode="External" Id="rId216" /><Relationship Type="http://schemas.openxmlformats.org/officeDocument/2006/relationships/hyperlink" Target="https://contrataciondelestado.es/wps/poc?uri=deeplink:detalle_licitacion&amp;idEvl=rKQRGswmPuV%2BF6L2uCfUWg%3D%3D" TargetMode="External" Id="rId217" /><Relationship Type="http://schemas.openxmlformats.org/officeDocument/2006/relationships/hyperlink" Target="https://contrataciondelestado.es/FileSystem/servlet/GetDocumentByIdServlet?cifrado=QUC1GjXXSiLkydRHJBmbpw%3D%3D&amp;DocumentIdParam=YsFAY0tN4W%2BXqLUdHEGBmJVtsZWxiWuX%2BEa5NUUyLU9cmJWOo6IYnsiSYTfs20Mwx2FhED1YrkFRsv7XKLL%2BAcW%2Bmyr75/YUXA7nw6x3du97QB3HKyQaFUExmUVQCerk" TargetMode="External" Id="rId218" /><Relationship Type="http://schemas.openxmlformats.org/officeDocument/2006/relationships/hyperlink" Target="https://contrataciondelestado.es/wps/poc?uri=deeplink:detalle_licitacion&amp;idEvl=Yi6gMcKDzuRWhbmkna2nXQ%3D%3D" TargetMode="External" Id="rId219" /><Relationship Type="http://schemas.openxmlformats.org/officeDocument/2006/relationships/hyperlink" Target="https://contrataciondelestado.es/FileSystem/servlet/GetDocumentByIdServlet?cifrado=QUC1GjXXSiLkydRHJBmbpw%3D%3D&amp;DocumentIdParam=S3V%2BCo5xX8ptnvMQanMR58rTu2IZG2b0hnDfOWhhx%2BBezBWW5tOxFmdhCLTEDhO4nOERx/C2wrqzq34Raa347n1f0FuB%2BpqGe5oHMWtH5fQZyAJWGsSt0OzTSTyw9JAs" TargetMode="External" Id="rId220" /><Relationship Type="http://schemas.openxmlformats.org/officeDocument/2006/relationships/hyperlink" Target="https://contrataciondelestado.es/wps/poc?uri=deeplink:detalle_licitacion&amp;idEvl=13nUHr%2BYAKA%2B1TMyIiZmzw%3D%3D" TargetMode="External" Id="rId221" /><Relationship Type="http://schemas.openxmlformats.org/officeDocument/2006/relationships/hyperlink" Target="https://contrataciondelestado.es/FileSystem/servlet/GetDocumentByIdServlet?cifrado=QUC1GjXXSiLkydRHJBmbpw%3D%3D&amp;DocumentIdParam=XkZoPPyFfMs0uki9oaI2ZySKHGHC0HtmnE6pX%2B0TL23PjJcu8WKW4dGofYpfR3O807isF7f5kdOuy5wpUeLMwfvQNxXVHyh9W35qDs3UqsrfdyQgZAdTm3EfcUAC7CJ6" TargetMode="External" Id="rId222" /><Relationship Type="http://schemas.openxmlformats.org/officeDocument/2006/relationships/hyperlink" Target="https://contrataciondelestado.es/wps/poc?uri=deeplink:detalle_licitacion&amp;idEvl=ughBGfPBNcjIGlsa0Wad%2Bw%3D%3D" TargetMode="External" Id="rId223" /><Relationship Type="http://schemas.openxmlformats.org/officeDocument/2006/relationships/hyperlink" Target="https://contrataciondelestado.es/FileSystem/servlet/GetDocumentByIdServlet?cifrado=QUC1GjXXSiLkydRHJBmbpw%3D%3D&amp;DocumentIdParam=/q1Cfn1%2BwMjPaE8MctEKNosiO8qrKLNEpmw/FOy3uTIZb%2BtuXnSDkx3L/2mVdLV%2BDyuV5klxXB2XZHSqc/69ojasbfqG9zoUaen/eu2AG3yCx2e6p7hqtlp2aFupgHMr" TargetMode="External" Id="rId224" /><Relationship Type="http://schemas.openxmlformats.org/officeDocument/2006/relationships/hyperlink" Target="https://contrataciondelestado.es/wps/poc?uri=deeplink:detalle_licitacion&amp;idEvl=%2FueOpfZ51uKcTfjQf3USOg%3D%3D" TargetMode="External" Id="rId225" /><Relationship Type="http://schemas.openxmlformats.org/officeDocument/2006/relationships/hyperlink" Target="https://contrataciondelestado.es/FileSystem/servlet/GetDocumentByIdServlet?cifrado=QUC1GjXXSiLkydRHJBmbpw%3D%3D&amp;DocumentIdParam=J4VYxvIYvy/5WqFVzElKGGvLQiBQ%2BEGajN6ZWufdZiNKEkVMM0Yl6qbA2hrB/uwrz6ElIS7QWUqUhEl2tEN%2B6VKZcEJ1HsOPNdvRyJXyuRp45ClyWkoJ44mKM70IFcOu" TargetMode="External" Id="rId226" /><Relationship Type="http://schemas.openxmlformats.org/officeDocument/2006/relationships/hyperlink" Target="https://contrataciondelestado.es/wps/poc?uri=deeplink:detalle_licitacion&amp;idEvl=qjXdyFzdpX%2BFQ%2FlhRK79lA%3D%3D" TargetMode="External" Id="rId227" /><Relationship Type="http://schemas.openxmlformats.org/officeDocument/2006/relationships/hyperlink" Target="https://contrataciondelestado.es/FileSystem/servlet/GetDocumentByIdServlet?cifrado=QUC1GjXXSiLkydRHJBmbpw%3D%3D&amp;DocumentIdParam=k4QW8lqBZqPhd7igVBLTMxt/qgyRcUbJqYKYdWjYry/gPE53WLU6VotOPMjsdDu9AqyItTapTwQlyvm0V04faa4vbxQnv4hfffELlYxxrHZ7QB3HKyQaFUExmUVQCerk" TargetMode="External" Id="rId228" /><Relationship Type="http://schemas.openxmlformats.org/officeDocument/2006/relationships/hyperlink" Target="https://contrataciondelestado.es/wps/poc?uri=deeplink:detalle_licitacion&amp;idEvl=AVd1tMt0zxGqb7rCcv76BA%3D%3D" TargetMode="External" Id="rId229" /><Relationship Type="http://schemas.openxmlformats.org/officeDocument/2006/relationships/hyperlink" Target="https://contrataciondelestado.es/FileSystem/servlet/GetDocumentByIdServlet?cifrado=QUC1GjXXSiLkydRHJBmbpw%3D%3D&amp;DocumentIdParam=9BSaF9CmxV3eeGeSZEuRiOltgUGyq2ZlpUAmzejhQeinv0LuSf3K3y1aL0fnhWcYskJ78bzDfmkka0CQD9tqcG4BsZ7KXfjzvBzs9mkv9rZ7QB3HKyQaFUExmUVQCerk" TargetMode="External" Id="rId230" /><Relationship Type="http://schemas.openxmlformats.org/officeDocument/2006/relationships/hyperlink" Target="https://contrataciondelestado.es/wps/poc?uri=deeplink:detalle_licitacion&amp;idEvl=CiAZxjCxeLfLIx6q1oPaMg%3D%3D" TargetMode="External" Id="rId231" /><Relationship Type="http://schemas.openxmlformats.org/officeDocument/2006/relationships/hyperlink" Target="https://contrataciondelestado.es/FileSystem/servlet/GetDocumentByIdServlet?cifrado=QUC1GjXXSiLkydRHJBmbpw%3D%3D&amp;DocumentIdParam=foXrR6qPVymRhLPDNuS5k8Y4wLB%2BGi1oNFSxkqfUj82kYrvBgTSgPyUvPAC3F7Kv/lDA%2BNSat0O1PkFf9rhKbmjjrq%2BKTN5ilHoPWEaPTZmHAj0WEJrB5sP7amrh2jBD" TargetMode="External" Id="rId232" /><Relationship Type="http://schemas.openxmlformats.org/officeDocument/2006/relationships/hyperlink" Target="https://contrataciondelestado.es/wps/poc?uri=deeplink:detalle_licitacion&amp;idEvl=0jeuIpwipJ3VGIpKDxgsAQ%3D%3D" TargetMode="External" Id="rId233" /><Relationship Type="http://schemas.openxmlformats.org/officeDocument/2006/relationships/hyperlink" Target="https://contrataciondelestado.es/FileSystem/servlet/GetDocumentByIdServlet?cifrado=QUC1GjXXSiLkydRHJBmbpw%3D%3D&amp;DocumentIdParam=YI/nEF4h8/Y5gh6bun6EIFHY7FqjhgSuL1CRRyi8SV8eN73CL3zRmDEMC3x6AAvBmfm5Le8ym5j9PD4y0Lag4kIRug01wOlUU0BIFeGomlKB0nvVKRzfe4rpHcnlPhSZ" TargetMode="External" Id="rId234" /><Relationship Type="http://schemas.openxmlformats.org/officeDocument/2006/relationships/hyperlink" Target="https://contrataciondelestado.es/wps/poc?uri=deeplink:detalle_licitacion&amp;idEvl=9cJe3OZRGU8wYTJJ03sHog%3D%3D" TargetMode="External" Id="rId235" /><Relationship Type="http://schemas.openxmlformats.org/officeDocument/2006/relationships/hyperlink" Target="https://contrataciondelestado.es/FileSystem/servlet/GetDocumentByIdServlet?cifrado=QUC1GjXXSiLkydRHJBmbpw%3D%3D&amp;DocumentIdParam=N1tHXN9fMsDHZ/GwGhkmTENVibKkl/AYX/KezQFg1q6bmpofulnNB3pbg3yY%2BCKwjaH3son4wnIExZk94YgK%2BdoJtG2fHwq2nqpb/zO%2B8V%2BB0nvVKRzfe4rpHcnlPhSZ" TargetMode="External" Id="rId236" /><Relationship Type="http://schemas.openxmlformats.org/officeDocument/2006/relationships/hyperlink" Target="https://contrataciondelestado.es/wps/poc?uri=deeplink:detalle_licitacion&amp;idEvl=CqNwVeF4OsbyoM4us5k4vw%3D%3D" TargetMode="External" Id="rId237" /><Relationship Type="http://schemas.openxmlformats.org/officeDocument/2006/relationships/hyperlink" Target="https://contrataciondelestado.es/FileSystem/servlet/GetDocumentByIdServlet?cifrado=QUC1GjXXSiLkydRHJBmbpw%3D%3D&amp;DocumentIdParam=lOZ1XmqNiq3/OhdGFmAMYBqhR9hq1yS7L2Rb8JXvRtkl6z9%2BJDtE4M7T5zYQsADB/KpbEp3GIW2AJFlosF9UAPm0yIHCjl1IxeG8ZaZP3/bfdyQgZAdTm3EfcUAC7CJ6" TargetMode="External" Id="rId238" /><Relationship Type="http://schemas.openxmlformats.org/officeDocument/2006/relationships/hyperlink" Target="https://contrataciondelestado.es/wps/poc?uri=deeplink:detalle_licitacion&amp;idEvl=Fp1hnbY6ZXadkQsA7ROvsg%3D%3D" TargetMode="External" Id="rId239" /><Relationship Type="http://schemas.openxmlformats.org/officeDocument/2006/relationships/hyperlink" Target="https://contrataciondelestado.es/FileSystem/servlet/GetDocumentByIdServlet?cifrado=QUC1GjXXSiLkydRHJBmbpw%3D%3D&amp;DocumentIdParam=ZAKM0UalOT/eIY8sUFXSGHvuTBQRB6ZwB4Q2Heo3Fmfvv1uhE2VqjouNPTaBqNYVQ/CrEUhmLI5axiLKlI7LZLOLLKlf6bDsutd1A8Z2JY7fdyQgZAdTm3EfcUAC7CJ6" TargetMode="External" Id="rId240" /><Relationship Type="http://schemas.openxmlformats.org/officeDocument/2006/relationships/hyperlink" Target="https://contrataciondelestado.es/wps/poc?uri=deeplink:detalle_licitacion&amp;idEvl=ZQbk0jDSogMl5NjlNci%2BtA%3D%3D" TargetMode="External" Id="rId241" /><Relationship Type="http://schemas.openxmlformats.org/officeDocument/2006/relationships/hyperlink" Target="https://contrataciondelestado.es/FileSystem/servlet/GetDocumentByIdServlet?cifrado=QUC1GjXXSiLkydRHJBmbpw%3D%3D&amp;DocumentIdParam=Ve/0d4Yn42iKnrp6xuJtWRk8RPzpacr/gw5Sh2MxHoZIuesY%2Bnc5JsV0BLnvADtUxJZkO3AIHg%2BGjp5WmWzYCS3uKeE%2BVz9cJBb7YPWVyKAZyAJWGsSt0OzTSTyw9JAs" TargetMode="External" Id="rId242" /><Relationship Type="http://schemas.openxmlformats.org/officeDocument/2006/relationships/hyperlink" Target="https://contrataciondelestado.es/wps/poc?uri=deeplink:detalle_licitacion&amp;idEvl=9C8fJ0NRSbOOUi78BmzhOQ%3D%3D" TargetMode="External" Id="rId243" /><Relationship Type="http://schemas.openxmlformats.org/officeDocument/2006/relationships/hyperlink" Target="https://contrataciondelestado.es/wps/poc?uri=deeplink:detalle_licitacion&amp;idEvl=KTpH5mbtJciOUi78BmzhOQ%3D%3D" TargetMode="External" Id="rId244" /><Relationship Type="http://schemas.openxmlformats.org/officeDocument/2006/relationships/hyperlink" Target="https://contrataciondelestado.es/FileSystem/servlet/GetDocumentByIdServlet?cifrado=QUC1GjXXSiLkydRHJBmbpw%3D%3D&amp;DocumentIdParam=lRFm5BlgxXBAHht5IfMyaUj%2Bbnawlo%2B85p%2BEuoTECIqfL6j404Om2TySM9wcJDXlfHtzyvD1fqhh3AKU1yt2l47dEhFsSi6v6gqFDTmuxALVTD3T98KC0nSgQFM0q%2B5s" TargetMode="External" Id="rId245" /><Relationship Type="http://schemas.openxmlformats.org/officeDocument/2006/relationships/hyperlink" Target="https://contrataciondelestado.es/wps/poc?uri=deeplink:detalle_licitacion&amp;idEvl=ATf5Zlofu0ycCF8sV%2BqtYA%3D%3D" TargetMode="External" Id="rId246" /><Relationship Type="http://schemas.openxmlformats.org/officeDocument/2006/relationships/hyperlink" Target="https://contrataciondelestado.es/FileSystem/servlet/GetDocumentByIdServlet?DocumentIdParam=Oo0uZ/jTI6wr1eYjbzg7NHgXuLxHcJlQvrRmsNf7yPAzSpwo4eBsiNgvAm%2BtKf0Z7CZuqde9I%2B4lsnnSnpRmkpxrJOlOUz/XtcWI/uBnV0/VTD3T98KC0nSgQFM0q%2B5s&amp;cifrado=QUC1GjXXSiLkydRHJBmbpw%3D%3D" TargetMode="External" Id="rId247" /><Relationship Type="http://schemas.openxmlformats.org/officeDocument/2006/relationships/hyperlink" Target="https://contrataciondelestado.es/wps/poc?uri=deeplink:detalle_licitacion&amp;idEvl=Wpd9DEL4a6Ql5NjlNci%2BtA%3D%3D" TargetMode="External" Id="rId248" /><Relationship Type="http://schemas.openxmlformats.org/officeDocument/2006/relationships/hyperlink" Target="https://contrataciondelestado.es/FileSystem/servlet/GetDocumentByIdServlet?cifrado=QUC1GjXXSiLkydRHJBmbpw%3D%3D&amp;DocumentIdParam=AWDdNd08BmsZhaaOkJE1n2pesUPBWlml8IOWNdpG/z2D0Zj2dhTxhHAhV1EVmhavBAimgnjaHw7mMONbo9JYevVOdiRXIEmGq5Gbktd1J/D3GVhXrFFqN7yFncy7YfRK" TargetMode="External" Id="rId249" /><Relationship Type="http://schemas.openxmlformats.org/officeDocument/2006/relationships/hyperlink" Target="https://contrataciondelestado.es/wps/poc?uri=deeplink:detalle_licitacion&amp;idEvl=Mx%2FCWxNEyM22gkLQ8TeYKA%3D%3D" TargetMode="External" Id="rId250" /><Relationship Type="http://schemas.openxmlformats.org/officeDocument/2006/relationships/hyperlink" Target="https://contrataciondelestado.es/FileSystem/servlet/GetDocumentByIdServlet?cifrado=QUC1GjXXSiLkydRHJBmbpw%3D%3D&amp;DocumentIdParam=e1HpMrJ%2BCx5uWtQgZ7/FlH9vec%2BvgmL2RYz73u8xe/6cJeHv39ZxiRFrlOgA8j8gvO1Nced9e%2B7QQykJ8NMCswyOySrgzYwbuCW4AgCTxom1aXEvq3KHa/AEHgtDrQw0" TargetMode="External" Id="rId251" /><Relationship Type="http://schemas.openxmlformats.org/officeDocument/2006/relationships/hyperlink" Target="https://contrataciondelestado.es/wps/poc?uri=deeplink:detalle_licitacion&amp;idEvl=wmWWmJ9XzAc36J9Lctlsuw%3D%3D" TargetMode="External" Id="rId252" /><Relationship Type="http://schemas.openxmlformats.org/officeDocument/2006/relationships/hyperlink" Target="https://contrataciondelestado.es/FileSystem/servlet/GetDocumentByIdServlet?cifrado=QUC1GjXXSiLkydRHJBmbpw%3D%3D&amp;DocumentIdParam=szL2Jkd7Nh91ukB9OHJTwcfF6yJoOSAItae8t9KWTXOEzONkuhNA%2BEjTbBMoohJWDbywtvBULDpecT8Ngo5Hv0p7RI5JbX1jF6hbhzSd3uOCx2e6p7hqtlp2aFupgHMr" TargetMode="External" Id="rId253" /><Relationship Type="http://schemas.openxmlformats.org/officeDocument/2006/relationships/hyperlink" Target="https://contrataciondelestado.es/wps/poc?uri=deeplink:detalle_licitacion&amp;idEvl=rXZqTZZzV3eP66GS%2BONYvQ%3D%3D" TargetMode="External" Id="rId254" /><Relationship Type="http://schemas.openxmlformats.org/officeDocument/2006/relationships/hyperlink" Target="https://contrataciondelestado.es/FileSystem/servlet/GetDocumentByIdServlet?DocumentIdParam=pmBmkMJRp5sYTOU%2BkxoaORF30roLeLATYlUqcBbjsx8Q7a9rkY/8oejXjGLzjKC7wcizVxkb5i3Bmqd1sEGjv0tbAvAaeJUxBAnHQWM/EkAZyAJWGsSt0OzTSTyw9JAs&amp;cifrado=QUC1GjXXSiLkydRHJBmbpw%3D%3D" TargetMode="External" Id="rId255" /><Relationship Type="http://schemas.openxmlformats.org/officeDocument/2006/relationships/hyperlink" Target="https://contrataciondelestado.es/wps/poc?uri=deeplink:detalle_licitacion&amp;idEvl=4bXIpwQg%2B92HCIsjvJ3rhQ%3D%3D" TargetMode="External" Id="rId256" /><Relationship Type="http://schemas.openxmlformats.org/officeDocument/2006/relationships/hyperlink" Target="https://contrataciondelestado.es/FileSystem/servlet/GetDocumentByIdServlet?cifrado=QUC1GjXXSiLkydRHJBmbpw%3D%3D&amp;DocumentIdParam=KwixiVkKqCW0QtFoSNXDMD5TWxdpuxotUUoPz7uOS8SBBE0TDgAZ31JgYcdlvwIQptdEfmeAL0XY341HP5uSHftfxzc3BYykHvcuQPf0xdt7QB3HKyQaFUExmUVQCerk" TargetMode="External" Id="rId257" /><Relationship Type="http://schemas.openxmlformats.org/officeDocument/2006/relationships/hyperlink" Target="https://contrataciondelestado.es/wps/poc?uri=deeplink:detalle_licitacion&amp;idEvl=aq%2BRxoJqp1ykU02jNGj1Fw%3D%3D" TargetMode="External" Id="rId258" /><Relationship Type="http://schemas.openxmlformats.org/officeDocument/2006/relationships/hyperlink" Target="https://contrataciondelestado.es/FileSystem/servlet/GetDocumentByIdServlet?DocumentIdParam=m7ugFvr4m/qCtfomse4kP9bEQc4a6HT9JSabf82T6TfEWO3x4bhVY3FODrEvF0ufwazsGWV%2Ba1M9ouh2pVtua65Zdno6KQupO5F49s7judEC1/zDIE0Kw/PWNnLS0Z0z&amp;cifrado=QUC1GjXXSiLkydRHJBmbpw%3D%3D" TargetMode="External" Id="rId259" /><Relationship Type="http://schemas.openxmlformats.org/officeDocument/2006/relationships/hyperlink" Target="https://contrataciondelestado.es/wps/poc?uri=deeplink:detalle_licitacion&amp;idEvl=hKfMTQ2rdOl%2BF6L2uCfUWg%3D%3D" TargetMode="External" Id="rId260" /><Relationship Type="http://schemas.openxmlformats.org/officeDocument/2006/relationships/hyperlink" Target="https://contrataciondelestado.es/FileSystem/servlet/GetDocumentByIdServlet?cifrado=QUC1GjXXSiLkydRHJBmbpw%3D%3D&amp;DocumentIdParam=37pUTsqzhJPtfLo4WOjc/vfTq1a7hGuCrXrxQXiPQfQnKfte%2BuYW6zsC7pW3AnFBkkV/TaM95NuqblNOs%2BYVPX5L0xmfN1JbB6UGD2FRnee1aXEvq3KHa/AEHgtDrQw0" TargetMode="External" Id="rId261" /><Relationship Type="http://schemas.openxmlformats.org/officeDocument/2006/relationships/hyperlink" Target="https://contrataciondelestado.es/wps/poc?uri=deeplink:detalle_licitacion&amp;idEvl=lyl%2FalNB7WN9Zh%2FyRJgM8w%3D%3D" TargetMode="External" Id="rId262" /><Relationship Type="http://schemas.openxmlformats.org/officeDocument/2006/relationships/hyperlink" Target="https://contrataciondelestado.es/FileSystem/servlet/GetDocumentByIdServlet?cifrado=QUC1GjXXSiLkydRHJBmbpw%3D%3D&amp;DocumentIdParam=lf3vZsiuv5l/opzFRdzyEkE3Q2b7A42UGe98H4GEdcAXKPiqJmjZk6BOQyhbFosfYe/%2Bo/YmW/G9HgV/9kWgeDtz8G5LFTQKNxmPxdR0bgLVTD3T98KC0nSgQFM0q%2B5s" TargetMode="External" Id="rId263" /><Relationship Type="http://schemas.openxmlformats.org/officeDocument/2006/relationships/hyperlink" Target="https://contrataciondelestado.es/wps/poc?uri=deeplink:detalle_licitacion&amp;idEvl=l4zVC1kfvwqKeVWTb9Scog%3D%3D" TargetMode="External" Id="rId264" /><Relationship Type="http://schemas.openxmlformats.org/officeDocument/2006/relationships/hyperlink" Target="https://contrataciondelestado.es/FileSystem/servlet/GetDocumentByIdServlet?cifrado=QUC1GjXXSiLkydRHJBmbpw%3D%3D&amp;DocumentIdParam=t7g399WyLhNsEH0ChRd7O5VIVpOcGwjDNGz/lFGPf5AtNTkOdpb%2BpQ8i4jI0ktCKcKhEgyFrJhk52WNVaefk6RJasxbrsXIIBzgfk9tynCd7QB3HKyQaFUExmUVQCerk" TargetMode="External" Id="rId265" /><Relationship Type="http://schemas.openxmlformats.org/officeDocument/2006/relationships/hyperlink" Target="https://contrataciondelestado.es/wps/poc?uri=deeplink:detalle_licitacion&amp;idEvl=i%2FRwT2CxhCbgL1BHd3qjQA%3D%3D" TargetMode="External" Id="rId266" /><Relationship Type="http://schemas.openxmlformats.org/officeDocument/2006/relationships/hyperlink" Target="https://contrataciondelestado.es/FileSystem/servlet/GetDocumentByIdServlet?cifrado=QUC1GjXXSiLkydRHJBmbpw%3D%3D&amp;DocumentIdParam=edKMeEfxi49LM3rUWtY7FjUTwMvu8SvAMl9URjrDzQymdpdYn93g7dJwriyTQUH3bkRWmui8SRw/MHdV/L85Wsj2cRYGvjgV9%2B%2BTIQL1tVHVTD3T98KC0nSgQFM0q%2B5s" TargetMode="External" Id="rId267" /><Relationship Type="http://schemas.openxmlformats.org/officeDocument/2006/relationships/hyperlink" Target="https://contrataciondelestado.es/wps/poc?uri=deeplink:detalle_licitacion&amp;idEvl=5qMK1msWVvO7JOCXkOhcDg%3D%3D" TargetMode="External" Id="rId268" /><Relationship Type="http://schemas.openxmlformats.org/officeDocument/2006/relationships/hyperlink" Target="https://contrataciondelestado.es/wps/poc?uri=deeplink:detalle_licitacion&amp;idEvl=Rfw8%2Ffi49wYwYTJJ03sHog%3D%3D" TargetMode="External" Id="rId269" /><Relationship Type="http://schemas.openxmlformats.org/officeDocument/2006/relationships/hyperlink" Target="https://contrataciondelestado.es/FileSystem/servlet/GetDocumentByIdServlet?cifrado=QUC1GjXXSiLkydRHJBmbpw%3D%3D&amp;DocumentIdParam=S14nX20NFePV8quO9dFY%2BCw2s6/LTPXP%2Bxx%2B7Z3jb5/ETCnPEuio6P1azwIiJNzBrlNKZY%2BNi%2B%2BpQ5LttcayjuJxiHdlU/QT58n1S6fNRIJ7QB3HKyQaFUExmUVQCerk" TargetMode="External" Id="rId270" /><Relationship Type="http://schemas.openxmlformats.org/officeDocument/2006/relationships/hyperlink" Target="https://contrataciondelestado.es/wps/poc?uri=deeplink:detalle_licitacion&amp;idEvl=GmXw9VhLX%2F2KeVWTb9Scog%3D%3D" TargetMode="External" Id="rId271" /><Relationship Type="http://schemas.openxmlformats.org/officeDocument/2006/relationships/hyperlink" Target="https://contrataciondelestado.es/FileSystem/servlet/GetDocumentByIdServlet?cifrado=QUC1GjXXSiLkydRHJBmbpw%3D%3D&amp;DocumentIdParam=frQkjlNZciTuevbfmUKTeh/%2BSsPbCceyqKSLv5Up5aOrBKfiUIqKG1ZGwtmnwPi5sqp5A4jvRs6jgYc3kqzCBdkP8/qUB6zcIKdz0sAtwcN7QB3HKyQaFUExmUVQCerk" TargetMode="External" Id="rId272" /><Relationship Type="http://schemas.openxmlformats.org/officeDocument/2006/relationships/hyperlink" Target="https://contrataciondelestado.es/wps/poc?uri=deeplink:detalle_licitacion&amp;idEvl=4x1V%2BBZdT1FWhbmkna2nXQ%3D%3D" TargetMode="External" Id="rId273" /><Relationship Type="http://schemas.openxmlformats.org/officeDocument/2006/relationships/hyperlink" Target="https://contrataciondelestado.es/FileSystem/servlet/GetDocumentByIdServlet?cifrado=QUC1GjXXSiLkydRHJBmbpw%3D%3D&amp;DocumentIdParam=LiB6Ni/EcrH8o8NyIzdnQpNhR85pp8h1Gq033jMlBag7PSv5cr4lP%2BSuNw2BmgmAKO2PD44/0/ju85CfgB9AH%2Be%2B4XAL4eBRLM6C7lT7qXJ45ClyWkoJ44mKM70IFcOu" TargetMode="External" Id="rId274" /><Relationship Type="http://schemas.openxmlformats.org/officeDocument/2006/relationships/hyperlink" Target="https://contrataciondelestado.es/wps/poc?uri=deeplink:detalle_licitacion&amp;idEvl=swtye%2FT0sBdrhBlEHQFSKA%3D%3D" TargetMode="External" Id="rId275" /><Relationship Type="http://schemas.openxmlformats.org/officeDocument/2006/relationships/hyperlink" Target="https://contrataciondelestado.es/wps/poc?uri=deeplink:detalle_licitacion&amp;idEvl=IxSZcrf9ZO3yoM4us5k4vw%3D%3D" TargetMode="External" Id="rId276" /><Relationship Type="http://schemas.openxmlformats.org/officeDocument/2006/relationships/hyperlink" Target="https://contrataciondelestado.es/FileSystem/servlet/GetDocumentByIdServlet?cifrado=QUC1GjXXSiLkydRHJBmbpw%3D%3D&amp;DocumentIdParam=gxaksYVNpprTBmgNoNwagKLgUIpW6kEvuDGXRKrDpR7a6O5lFxtp23Zv7TNDVw2E8e%2Bzy5kVmOedCYQCapIgKC8/ORx8ccqTR9P64TxszVr3GVhXrFFqN7yFncy7YfRK" TargetMode="External" Id="rId277" /><Relationship Type="http://schemas.openxmlformats.org/officeDocument/2006/relationships/hyperlink" Target="https://contrataciondelestado.es/wps/poc?uri=deeplink:detalle_licitacion&amp;idEvl=XfrvUCNLeZJPpzdqOdhuWg%3D%3D" TargetMode="External" Id="rId278" /><Relationship Type="http://schemas.openxmlformats.org/officeDocument/2006/relationships/hyperlink" Target="https://contrataciondelestado.es/wps/poc?uri=deeplink:detalle_licitacion&amp;idEvl=IgzUj%2F70CkxxseVhcqrkhw%3D%3D" TargetMode="External" Id="rId279" /><Relationship Type="http://schemas.openxmlformats.org/officeDocument/2006/relationships/hyperlink" Target="https://contrataciondelestado.es/FileSystem/servlet/GetDocumentByIdServlet?cifrado=QUC1GjXXSiLkydRHJBmbpw%3D%3D&amp;DocumentIdParam=j4bGbUpRPLkiW2UD8JX6DSTu/Hj4CAdvKC69uKuo7rkSrK3W%2BwDDg0JvldD61PovJovL//%2Bl56rh4WD039%2BtLmidDccfs2dg6ygUpFdjRVJ45ClyWkoJ44mKM70IFcOu" TargetMode="External" Id="rId280" /><Relationship Type="http://schemas.openxmlformats.org/officeDocument/2006/relationships/hyperlink" Target="https://contrataciondelestado.es/wps/poc?uri=deeplink:detalle_licitacion&amp;idEvl=j3PNTKW%2Bs27pxJFXpLZ%2B2A%3D%3D" TargetMode="External" Id="rId281" /><Relationship Type="http://schemas.openxmlformats.org/officeDocument/2006/relationships/hyperlink" Target="https://contrataciondelestado.es/FileSystem/servlet/GetDocumentByIdServlet?cifrado=QUC1GjXXSiLkydRHJBmbpw%3D%3D&amp;DocumentIdParam=UOzM1/JCF/9fwq3I60NDEfm8GF/QDVyvwQRy9dyhuuYJognZQ8iORm/mFGYRYbS0HlAfwyhSSFyZb926kHnMt8qk/S/KVj/vMMnDoRNITi9JOVDbGCDM%2BMigrvuVS7Rv" TargetMode="External" Id="rId282" /><Relationship Type="http://schemas.openxmlformats.org/officeDocument/2006/relationships/hyperlink" Target="https://contrataciondelestado.es/wps/poc?uri=deeplink:detalle_licitacion&amp;idEvl=KK0MYmxHA45q1DdmE7eaXg%3D%3D" TargetMode="External" Id="rId283" /><Relationship Type="http://schemas.openxmlformats.org/officeDocument/2006/relationships/hyperlink" Target="https://contrataciondelestado.es/FileSystem/servlet/GetDocumentByIdServlet?cifrado=QUC1GjXXSiLkydRHJBmbpw%3D%3D&amp;DocumentIdParam=P58Z26Ns4HsL8qFLSC2g8ZMJRApCeCu4M/ERqDSVwAx%2B4/Jh7ViKy5xnHkDjZs/HCnsIfXHRdurcRpKQs%2BDsc44SW6Bjr8HnMehsw7GcNtTDdQD9RyhUmzT4jZ2In4zL" TargetMode="External" Id="rId284" /><Relationship Type="http://schemas.openxmlformats.org/officeDocument/2006/relationships/hyperlink" Target="https://contrataciondelestado.es/wps/poc?uri=deeplink:detalle_licitacion&amp;idEvl=s978obsrmhc3vLk2DU2Ddg%3D%3D" TargetMode="External" Id="rId285" /><Relationship Type="http://schemas.openxmlformats.org/officeDocument/2006/relationships/hyperlink" Target="https://contrataciondelestado.es/FileSystem/servlet/GetDocumentByIdServlet?cifrado=QUC1GjXXSiLkydRHJBmbpw%3D%3D&amp;DocumentIdParam=LJ13Ga5khgjYvowFQJ6MksjQCVKgb3S4TPl0pi%2BpKLgiqQyAV6lJcuFSq1pIc4WyGNt3lnPO1H3EFnos3i/BoiFsFJXc8cfNBbu52fqWECZJOVDbGCDM%2BMigrvuVS7Rv" TargetMode="External" Id="rId286" /><Relationship Type="http://schemas.openxmlformats.org/officeDocument/2006/relationships/hyperlink" Target="https://contrataciondelestado.es/wps/poc?uri=deeplink:detalle_licitacion&amp;idEvl=01od6Zp6%2B6H9pbnDwlaUlg%3D%3D" TargetMode="External" Id="rId287" /><Relationship Type="http://schemas.openxmlformats.org/officeDocument/2006/relationships/hyperlink" Target="https://contrataciondelestado.es/FileSystem/servlet/GetDocumentByIdServlet?cifrado=QUC1GjXXSiLkydRHJBmbpw%3D%3D&amp;DocumentIdParam=3bJIwdBq7PkaELRYiFflsghgEB4OF513cr/YFMLg/xerkSlu4K4ZdziokY9IQy5bF8lKsD%2BhUATVKyzqpFvZxA82hXBKgyyVFM/DMyOXxg145ClyWkoJ44mKM70IFcOu" TargetMode="External" Id="rId288" /><Relationship Type="http://schemas.openxmlformats.org/officeDocument/2006/relationships/hyperlink" Target="https://contrataciondelestado.es/wps/poc?uri=deeplink:detalle_licitacion&amp;idEvl=UUG541%2BpbYrECtSnloz%2BZQ%3D%3D" TargetMode="External" Id="rId289" /><Relationship Type="http://schemas.openxmlformats.org/officeDocument/2006/relationships/hyperlink" Target="https://contrataciondelestado.es/FileSystem/servlet/GetDocumentByIdServlet?cifrado=QUC1GjXXSiLkydRHJBmbpw%3D%3D&amp;DocumentIdParam=FkxiaNO9eiEd8qymV4mc0t53%2B5hY/Oq6btlmA1dvUwlX8GrroAWi0wu4nDf%2BZyowsiqp%2BxkRTU0WiAswOi6mJPOUWiHaBUY2jtZ30TxmQoYC1/zDIE0Kw/PWNnLS0Z0z" TargetMode="External" Id="rId290" /><Relationship Type="http://schemas.openxmlformats.org/officeDocument/2006/relationships/hyperlink" Target="https://contrataciondelestado.es/wps/poc?uri=deeplink:detalle_licitacion&amp;idEvl=RcMfamf4zkAeIBJRHQiPkQ%3D%3D" TargetMode="External" Id="rId291" /><Relationship Type="http://schemas.openxmlformats.org/officeDocument/2006/relationships/hyperlink" Target="https://contrataciondelestado.es/FileSystem/servlet/GetDocumentByIdServlet?cifrado=QUC1GjXXSiLkydRHJBmbpw%3D%3D&amp;DocumentIdParam=hXokwArjgnLJBZ0sRhk2AzneKh2mR84NT/AHlmRGgLmRU2fuMcKPF3/Ct/xcArcrEwz8wTVANMnf96lMeWnFcysPQ1YNngtXKLsmxx60Ur4C1/zDIE0Kw/PWNnLS0Z0z" TargetMode="External" Id="rId292" /><Relationship Type="http://schemas.openxmlformats.org/officeDocument/2006/relationships/hyperlink" Target="https://contrataciondelestado.es/wps/poc?uri=deeplink:detalle_licitacion&amp;idEvl=m9DVFI6T0vJ9PLkba5eRog%3D%3D" TargetMode="External" Id="rId293" /><Relationship Type="http://schemas.openxmlformats.org/officeDocument/2006/relationships/hyperlink" Target="https://contrataciondelestado.es/FileSystem/servlet/GetDocumentByIdServlet?cifrado=QUC1GjXXSiLkydRHJBmbpw%3D%3D&amp;DocumentIdParam=5x/Imp/QmanxRGIL7T1Y33r/pW9aUNfV7%2B0vNftC7TZgba1BVKgCPqImXtDrcGv4jpyJgfFpvOibYYBoqLBP1XIuOBE%2BR7bjQjo1XraKpddJOVDbGCDM%2BMigrvuVS7Rv" TargetMode="External" Id="rId294" /><Relationship Type="http://schemas.openxmlformats.org/officeDocument/2006/relationships/hyperlink" Target="https://contrataciondelestado.es/wps/poc?uri=deeplink:detalle_licitacion&amp;idEvl=nFqfS1eOUcbLIx6q1oPaMg%3D%3D" TargetMode="External" Id="rId295" /><Relationship Type="http://schemas.openxmlformats.org/officeDocument/2006/relationships/hyperlink" Target="https://contrataciondelestado.es/FileSystem/servlet/GetDocumentByIdServlet?cifrado=QUC1GjXXSiLkydRHJBmbpw%3D%3D&amp;DocumentIdParam=iXwBZkqQ0/9CU2afUiMBppF/xax4hjYSCEuwNXaj4yy3wDbAgOre/HjWJqfkOBwkysmpbryLFjnOIiiaYnh0iBTqZxI0s%2BECpGkAQbn759fVTD3T98KC0nSgQFM0q%2B5s" TargetMode="External" Id="rId296" /><Relationship Type="http://schemas.openxmlformats.org/officeDocument/2006/relationships/hyperlink" Target="https://contrataciondelestado.es/wps/poc?uri=deeplink:detalle_licitacion&amp;idEvl=cwi3SLkHEu6FQ%2FlhRK79lA%3D%3D" TargetMode="External" Id="rId297" /><Relationship Type="http://schemas.openxmlformats.org/officeDocument/2006/relationships/hyperlink" Target="https://contrataciondelestado.es/FileSystem/servlet/GetDocumentByIdServlet?cifrado=QUC1GjXXSiLkydRHJBmbpw%3D%3D&amp;DocumentIdParam=4NOq0sGdPZyckAU0h2girwjvlBrCtd4nVU9rRMVmF75NHyd24ldLjFaOPOjeGgGpVSSClbeaYjPFI39MEsO0lquOahZ4y0tul/ox7k5TTkq1aXEvq3KHa/AEHgtDrQw0" TargetMode="External" Id="rId298" /><Relationship Type="http://schemas.openxmlformats.org/officeDocument/2006/relationships/hyperlink" Target="https://contrataciondelestado.es/wps/poc?uri=deeplink:detalle_licitacion&amp;idEvl=cuF0LwtVWF3zAq95uGTrDQ%3D%3D" TargetMode="External" Id="rId299" /><Relationship Type="http://schemas.openxmlformats.org/officeDocument/2006/relationships/hyperlink" Target="https://contrataciondelestado.es/FileSystem/servlet/GetDocumentByIdServlet?cifrado=QUC1GjXXSiLkydRHJBmbpw%3D%3D&amp;DocumentIdParam=w3EuJEraeVvSkxz7a6RPditAqRQYxp%2Bb5AzA1FM8Obey4fA8L0f3Te7jdmhb0SUFrJlSE3HsEbnxhYQ6xnfCMDArpmARO22XPh5%2Be017oGSHAj0WEJrB5sP7amrh2jBD" TargetMode="External" Id="rId300" /><Relationship Type="http://schemas.openxmlformats.org/officeDocument/2006/relationships/hyperlink" Target="https://contrataciondelestado.es/wps/poc?uri=deeplink:detalle_licitacion&amp;idEvl=6K67B2U2%2BXqsNfRW6APEDw%3D%3D" TargetMode="External" Id="rId301" /><Relationship Type="http://schemas.openxmlformats.org/officeDocument/2006/relationships/hyperlink" Target="https://contrataciondelestado.es/FileSystem/servlet/GetDocumentByIdServlet?cifrado=QUC1GjXXSiLkydRHJBmbpw%3D%3D&amp;DocumentIdParam=LRPUEjS41G/%2BkkMFM7IGQvMK6jL7kj%2BepwZDkPIN3E6ZtuAa0pGbKx9lPo9%2BAydcDfNvh7hwAA9YhcEiE0uBIW4ZdXK4KqLWxff7vgp/jZOCx2e6p7hqtlp2aFupgHMr" TargetMode="External" Id="rId302" /><Relationship Type="http://schemas.openxmlformats.org/officeDocument/2006/relationships/hyperlink" Target="https://contrataciondelestado.es/wps/poc?uri=deeplink:detalle_licitacion&amp;idEvl=3fyh6MOLIx6cTfjQf3USOg%3D%3D" TargetMode="External" Id="rId303" /><Relationship Type="http://schemas.openxmlformats.org/officeDocument/2006/relationships/hyperlink" Target="https://contrataciondelestado.es/FileSystem/servlet/GetDocumentByIdServlet?cifrado=QUC1GjXXSiLkydRHJBmbpw%3D%3D&amp;DocumentIdParam=KaIJNEgumcejCtH0lP1flNT8W8owNG5kdGjXs7P7t5pSveuUziA0mf%2BgVL722drBrAk2geeUSPVDg79lAnfsnvbfwzoHwLMwFFtcpKah1nZ7QB3HKyQaFUExmUVQCerk" TargetMode="External" Id="rId304" /><Relationship Type="http://schemas.openxmlformats.org/officeDocument/2006/relationships/hyperlink" Target="https://contrataciondelestado.es/wps/poc?uri=deeplink:detalle_licitacion&amp;idEvl=59lJFIybtLr5Rey58Yagpg%3D%3D" TargetMode="External" Id="rId305" /><Relationship Type="http://schemas.openxmlformats.org/officeDocument/2006/relationships/hyperlink" Target="https://contrataciondelestado.es/FileSystem/servlet/GetDocumentByIdServlet?cifrado=QUC1GjXXSiLkydRHJBmbpw%3D%3D&amp;DocumentIdParam=nUpHVssbD6Hh16AYwA2p/gozEGKdTgWcy9etPZDx0arJh1/YEmf0XSIZNJYSYdCRLeaYUZVPAxUF29y%2Bpm/tEtOjXm0NOKLuTRfx3r0NTktJOVDbGCDM%2BMigrvuVS7Rv" TargetMode="External" Id="rId306" /><Relationship Type="http://schemas.openxmlformats.org/officeDocument/2006/relationships/hyperlink" Target="https://contrataciondelestado.es/wps/poc?uri=deeplink:detalle_licitacion&amp;idEvl=HryIjpPFlkl9Zh%2FyRJgM8w%3D%3D" TargetMode="External" Id="rId307" /><Relationship Type="http://schemas.openxmlformats.org/officeDocument/2006/relationships/hyperlink" Target="https://contrataciondelestado.es/FileSystem/servlet/GetDocumentByIdServlet?cifrado=QUC1GjXXSiLkydRHJBmbpw%3D%3D&amp;DocumentIdParam=uHXCa1vI6qpshPEh32H7lzD1sx96qBD4T8OXxI89hClv6SiA2mC511V08WQz8VfNE2SmfnlBmzFA/71SYKQaheRj9cw7lwA4kEmBFjFW00/6CYyL7SIrUOBFfNf52ZqA" TargetMode="External" Id="rId308" /><Relationship Type="http://schemas.openxmlformats.org/officeDocument/2006/relationships/hyperlink" Target="https://contrataciondelestado.es/wps/poc?uri=deeplink:detalle_licitacion&amp;idEvl=MuiGfr0PkSKopEMYCmrbmw%3D%3D" TargetMode="External" Id="rId309" /><Relationship Type="http://schemas.openxmlformats.org/officeDocument/2006/relationships/hyperlink" Target="https://contrataciondelestado.es/FileSystem/servlet/GetDocumentByIdServlet?cifrado=QUC1GjXXSiLkydRHJBmbpw%3D%3D&amp;DocumentIdParam=U62S0TNuUVM9k3WfO8u37vP7iAidqDTxV8bMzKsDNHz8proxQZ/0kF0vjgi9q2mDZF6S7UpPhIkSeFac6e3cx1HZLfnFIQU0KcfnevZKJjiB0nvVKRzfe4rpHcnlPhSZ" TargetMode="External" Id="rId310" /><Relationship Type="http://schemas.openxmlformats.org/officeDocument/2006/relationships/hyperlink" Target="https://contrataciondelestado.es/wps/poc?uri=deeplink:detalle_licitacion&amp;idEvl=a5EWHuSHtQN%2FR5QFTlaM4A%3D%3D" TargetMode="External" Id="rId311" /><Relationship Type="http://schemas.openxmlformats.org/officeDocument/2006/relationships/hyperlink" Target="https://contrataciondelestado.es/wps/wcm/connect/PLACE_es/Site/area/docAccCmpnt?srv=cmpnt&amp;cmpntname=GetDocumentsById&amp;source=library&amp;DocumentIdParam=6dafda29-dab9-450a-bf79-34fbb6bc084c" TargetMode="External" Id="rId312" /><Relationship Type="http://schemas.openxmlformats.org/officeDocument/2006/relationships/hyperlink" Target="https://contrataciondelestado.es/wps/poc?uri=deeplink:detalle_licitacion&amp;idEvl=B6t%2F%2FrlHQPQmMOlAXxDEjw%3D%3D" TargetMode="External" Id="rId313" /><Relationship Type="http://schemas.openxmlformats.org/officeDocument/2006/relationships/hyperlink" Target="https://contrataciondelestado.es/FileSystem/servlet/GetDocumentByIdServlet?cifrado=QUC1GjXXSiLkydRHJBmbpw%3D%3D&amp;DocumentIdParam=KauJUBG//0pzj0m4rYgV6/L7XOaT80pZpLqdq8xod1%2B5wp7%2BlT7Yys8zOwLTBtyrjBAg6i0zTSxRjdzE7SmYonktVNfmQYUpoRc%2BAMbKYb%2BB0nvVKRzfe4rpHcnlPhSZ" TargetMode="External" Id="rId314" /><Relationship Type="http://schemas.openxmlformats.org/officeDocument/2006/relationships/hyperlink" Target="https://contrataciondelestado.es/wps/poc?uri=deeplink:detalle_licitacion&amp;idEvl=CVlnp7VtYzc%2Bk2oCbDosIw%3D%3D" TargetMode="External" Id="rId315" /><Relationship Type="http://schemas.openxmlformats.org/officeDocument/2006/relationships/hyperlink" Target="https://contrataciondelestado.es/FileSystem/servlet/GetDocumentByIdServlet?cifrado=QUC1GjXXSiLkydRHJBmbpw%3D%3D&amp;DocumentIdParam=CZ9sQrBnEDc83v2kq80bV7D%2ByMjC3q23DAe4sTt3DDjaZr2dd2uAw7Pb1GWm0zSC2EvtrigJNFjCBRF/tGw%2BPo6Pp4lZbfz/TdEjMBJgY3145ClyWkoJ44mKM70IFcOu" TargetMode="External" Id="rId316" /><Relationship Type="http://schemas.openxmlformats.org/officeDocument/2006/relationships/hyperlink" Target="https://contrataciondelestado.es/wps/poc?uri=deeplink:detalle_licitacion&amp;idEvl=Us3FCCWFPM6AAM7L03kM8A%3D%3D" TargetMode="External" Id="rId317" /><Relationship Type="http://schemas.openxmlformats.org/officeDocument/2006/relationships/hyperlink" Target="https://contrataciondelestado.es/FileSystem/servlet/GetDocumentByIdServlet?cifrado=QUC1GjXXSiLkydRHJBmbpw%3D%3D&amp;DocumentIdParam=nKpEWVDmLGEs9S6gbHMrZGWrb5Slm%2BhdYAa%2BIEDsjw8Q8vTXxTzb7g8veuAoCzkwtnQDndrz1KR0%2BENN2GzRB82aJSq4HGAJcnLgyTHJFe36CYyL7SIrUOBFfNf52ZqA" TargetMode="External" Id="rId318" /><Relationship Type="http://schemas.openxmlformats.org/officeDocument/2006/relationships/hyperlink" Target="https://contrataciondelestado.es/wps/poc?uri=deeplink:detalle_licitacion&amp;idEvl=V80zv08EWQjzAq95uGTrDQ%3D%3D" TargetMode="External" Id="rId319" /><Relationship Type="http://schemas.openxmlformats.org/officeDocument/2006/relationships/hyperlink" Target="https://contrataciondelestado.es/FileSystem/servlet/GetDocumentByIdServlet?cifrado=QUC1GjXXSiLkydRHJBmbpw%3D%3D&amp;DocumentIdParam=87Egb0QjuMjAd3LRQWH1n%2BZFkvQkdo0ri3DdSUUZUlh%2BixArDmBwtlOok7n1Y1dndpTw3ThcGh1472dP65sRAURC2N4uCbjq4yusQeruUMQZyAJWGsSt0OzTSTyw9JAs" TargetMode="External" Id="rId320" /><Relationship Type="http://schemas.openxmlformats.org/officeDocument/2006/relationships/hyperlink" Target="https://contrataciondelestado.es/wps/poc?uri=deeplink:detalle_licitacion&amp;idEvl=%2Fj%2Btq1dEySwXhk1FZxEyvw%3D%3D" TargetMode="External" Id="rId321" /><Relationship Type="http://schemas.openxmlformats.org/officeDocument/2006/relationships/hyperlink" Target="https://contrataciondelestado.es/FileSystem/servlet/GetDocumentByIdServlet?cifrado=QUC1GjXXSiLkydRHJBmbpw%3D%3D&amp;DocumentIdParam=qe2DTUAXyOWg1I5na6sHgQDlpItUrPmr7Ts5QIODRl9YnZObDPdtXPPfPwCuD8PV3K7odBPb/H0tk0PHUfEKwD%2Bf1v382ayGc3AHU7h%2BPiw//q7NB2iMZvNyf0xrJmjt" TargetMode="External" Id="rId322" /><Relationship Type="http://schemas.openxmlformats.org/officeDocument/2006/relationships/hyperlink" Target="https://contrataciondelestado.es/wps/poc?uri=deeplink:detalle_licitacion&amp;idEvl=jplMQ9NIHYkwYTJJ03sHog%3D%3D" TargetMode="External" Id="rId323" /><Relationship Type="http://schemas.openxmlformats.org/officeDocument/2006/relationships/hyperlink" Target="https://contrataciondelestado.es/FileSystem/servlet/GetDocumentByIdServlet?cifrado=QUC1GjXXSiLkydRHJBmbpw%3D%3D&amp;DocumentIdParam=KZLnRwEIKA9qCaFNDvJEVY1LgiXqUWKeY2UO32G3Sdd%2BUE6rZl4Avq9Qlxlj7PtHoYM7eu7wkxOdBpZyaYLKxDC2S9NvvKmMuExuhM/tOpyHAj0WEJrB5sP7amrh2jBD" TargetMode="External" Id="rId324" /><Relationship Type="http://schemas.openxmlformats.org/officeDocument/2006/relationships/hyperlink" Target="https://contrataciondelestado.es/wps/poc?uri=deeplink:detalle_licitacion&amp;idEvl=eMMmVynWf2ydkQsA7ROvsg%3D%3D" TargetMode="External" Id="rId325" /><Relationship Type="http://schemas.openxmlformats.org/officeDocument/2006/relationships/hyperlink" Target="https://contrataciondelestado.es/FileSystem/servlet/GetDocumentByIdServlet?cifrado=QUC1GjXXSiLkydRHJBmbpw%3D%3D&amp;DocumentIdParam=aB18pFXB4IgNXISXNepwDue5DVXFVE0A9btZ4bgqTLHQpi1CClspqY53CiA8zv9REywahQMr0mqrSXQQAXCQvu/uoo//YuhMspK7wp9nWe145ClyWkoJ44mKM70IFcOu" TargetMode="External" Id="rId326" /><Relationship Type="http://schemas.openxmlformats.org/officeDocument/2006/relationships/hyperlink" Target="https://contrataciondelestado.es/wps/poc?uri=deeplink:detalle_licitacion&amp;idEvl=aDIiO4grF1pVYjgxA4nMUw%3D%3D" TargetMode="External" Id="rId327" /><Relationship Type="http://schemas.openxmlformats.org/officeDocument/2006/relationships/hyperlink" Target="https://contrataciondelestado.es/FileSystem/servlet/GetDocumentByIdServlet?cifrado=QUC1GjXXSiLkydRHJBmbpw%3D%3D&amp;DocumentIdParam=Bm1bESbxpxhGe7BPVUg1/IudNFWy0fNp6eU7TqBSkuEB3NaT%2BMqcNLLHkYBQRecNG%2BjP3vM7JPWPp0KGbc%2ByDzkglb1furAA5MUeVvvF%2Bn61aXEvq3KHa/AEHgtDrQw0" TargetMode="External" Id="rId328" /><Relationship Type="http://schemas.openxmlformats.org/officeDocument/2006/relationships/hyperlink" Target="https://contrataciondelestado.es/wps/poc?uri=deeplink:detalle_licitacion&amp;idEvl=kx1d%2FIsnP8v5Rey58Yagpg%3D%3D" TargetMode="External" Id="rId329" /><Relationship Type="http://schemas.openxmlformats.org/officeDocument/2006/relationships/hyperlink" Target="https://contrataciondelestado.es/FileSystem/servlet/GetDocumentByIdServlet?cifrado=QUC1GjXXSiLkydRHJBmbpw%3D%3D&amp;DocumentIdParam=sk6A5Ic5chM8XOdBlSj9yhiazCXkd9FJCHDklPFUxbrTM9a%2B3gFeuGOh2SwxDohOk7rR/CwhxviAqE3PN/xDqh91yktfGWCJGXCHgYEdIv9JOVDbGCDM%2BMigrvuVS7Rv" TargetMode="External" Id="rId330" /><Relationship Type="http://schemas.openxmlformats.org/officeDocument/2006/relationships/hyperlink" Target="https://contrataciondelestado.es/wps/poc?uri=deeplink:detalle_licitacion&amp;idEvl=I9L%2FPpoa9at4zIRvjBVCSw%3D%3D" TargetMode="External" Id="rId331" /><Relationship Type="http://schemas.openxmlformats.org/officeDocument/2006/relationships/hyperlink" Target="https://contrataciondelestado.es/FileSystem/servlet/GetDocumentByIdServlet?cifrado=QUC1GjXXSiLkydRHJBmbpw%3D%3D&amp;DocumentIdParam=gZLIRagTBsSd%2B9QIjDzlp0p0mrTqHJbqS6y9u0KT1I9DIKucawR8PwZNf9ImUPHTPpP%2BSTc3nVKrzhuQMu5LU5nqLZ62D8S1aeUrDH24objDdQD9RyhUmzT4jZ2In4zL" TargetMode="External" Id="rId332" /><Relationship Type="http://schemas.openxmlformats.org/officeDocument/2006/relationships/hyperlink" Target="https://contrataciondelestado.es/wps/poc?uri=deeplink:detalle_licitacion&amp;idEvl=T0cCRaYHDdr%2Fa9DgO%2BoYKQ%3D%3D" TargetMode="External" Id="rId333" /><Relationship Type="http://schemas.openxmlformats.org/officeDocument/2006/relationships/hyperlink" Target="https://contrataciondelestado.es/FileSystem/servlet/GetDocumentByIdServlet?cifrado=QUC1GjXXSiLkydRHJBmbpw%3D%3D&amp;DocumentIdParam=oHWyx2ut6vzZXEy2vIzBaMYTkJh7yR92i3fxJepcJPttSdivUCdrTJaaeS/4Tjx9rjAuHiuc2XSoGRGnr2xqw4xxAjgirqy8YN7E9x8ofn8ZyAJWGsSt0OzTSTyw9JAs" TargetMode="External" Id="rId334" /><Relationship Type="http://schemas.openxmlformats.org/officeDocument/2006/relationships/hyperlink" Target="https://contrataciondelestado.es/wps/poc?uri=deeplink:detalle_licitacion&amp;idEvl=UDmOA6kVFZSkU02jNGj1Fw%3D%3D" TargetMode="External" Id="rId335" /><Relationship Type="http://schemas.openxmlformats.org/officeDocument/2006/relationships/hyperlink" Target="https://contrataciondelestado.es/FileSystem/servlet/GetDocumentByIdServlet?cifrado=QUC1GjXXSiLkydRHJBmbpw%3D%3D&amp;DocumentIdParam=M8q1PrJPgtDTgx/mH6jaqxiiDZ3pJEI/VLXlp32Mjc/8OaSfCXXt%2BAbhlRfoWyW0LFF4EZmAFRCc8AVECar2YglyyDdWN/QvgB6wh3AhGo8C1/zDIE0Kw/PWNnLS0Z0z" TargetMode="External" Id="rId336" /><Relationship Type="http://schemas.openxmlformats.org/officeDocument/2006/relationships/hyperlink" Target="https://contrataciondelestado.es/wps/poc?uri=deeplink:detalle_licitacion&amp;idEvl=cH%2BOZlpbz1n%2B3JAijKO%2Bkg%3D%3D" TargetMode="External" Id="rId337" /><Relationship Type="http://schemas.openxmlformats.org/officeDocument/2006/relationships/hyperlink" Target="https://contrataciondelestado.es/FileSystem/servlet/GetDocumentByIdServlet?cifrado=QUC1GjXXSiLkydRHJBmbpw%3D%3D&amp;DocumentIdParam=Xdpg5vNa1N/IMlIMTH0VWqr7rZ7g1SrTAHgC8w30nvk%2BqoHzFYFizEf14vymyk351YyA/GmEerI56jP2kK/HaO9bbJsyVDaS3cCYQY2Vz0OHAj0WEJrB5sP7amrh2jBD" TargetMode="External" Id="rId338" /><Relationship Type="http://schemas.openxmlformats.org/officeDocument/2006/relationships/hyperlink" Target="https://contrataciondelestado.es/wps/poc?uri=deeplink:detalle_licitacion&amp;idEvl=5QTLF8VFRpGExvMJXBMHHQ%3D%3D" TargetMode="External" Id="rId339" /><Relationship Type="http://schemas.openxmlformats.org/officeDocument/2006/relationships/hyperlink" Target="https://contrataciondelestado.es/FileSystem/servlet/GetDocumentByIdServlet?cifrado=QUC1GjXXSiLkydRHJBmbpw%3D%3D&amp;DocumentIdParam=TA2AilHejXMghwnJQIcA01SmUY79Vog3OVcsuc1LLbGsMBRAfkUQ5Xljf61fDffSDBzGodi8SxcHzDwK/GQ9iJneccVkGzCddvBPtGbJb0vfdyQgZAdTm3EfcUAC7CJ6" TargetMode="External" Id="rId340" /><Relationship Type="http://schemas.openxmlformats.org/officeDocument/2006/relationships/hyperlink" Target="https://contrataciondelestado.es/wps/poc?uri=deeplink:detalle_licitacion&amp;idEvl=HU3OXTdR%2F9o2wEhQbcAqug%3D%3D" TargetMode="External" Id="rId341" /><Relationship Type="http://schemas.openxmlformats.org/officeDocument/2006/relationships/hyperlink" Target="https://contrataciondelestado.es/FileSystem/servlet/GetDocumentByIdServlet?cifrado=QUC1GjXXSiLkydRHJBmbpw%3D%3D&amp;DocumentIdParam=VuO4lVLNm%2BdWG31sTsPmv/ZaM12lLkOTHkgWCZQ3a7fQatN9cLRTm5oaESBmki75HRBVdNsomZ94dT0UAm7t66LlwfQoFy1Y8O2PL4FASZP3GVhXrFFqN7yFncy7YfRK" TargetMode="External" Id="rId342" /><Relationship Type="http://schemas.openxmlformats.org/officeDocument/2006/relationships/hyperlink" Target="https://contrataciondelestado.es/wps/poc?uri=deeplink:detalle_licitacion&amp;idEvl=b9F4Bpc6ioht5r0ngvMetA%3D%3D" TargetMode="External" Id="rId343" /><Relationship Type="http://schemas.openxmlformats.org/officeDocument/2006/relationships/hyperlink" Target="https://contrataciondelestado.es/FileSystem/servlet/GetDocumentByIdServlet?cifrado=QUC1GjXXSiLkydRHJBmbpw%3D%3D&amp;DocumentIdParam=a1NwsmOJt77tBVSTLw6ROCWWCk87gMKPrmobfRsWNnz0MVHFN8QLgD54DxGeemc7tPGxUYDp0Y6RlmmVV36HrdBEYHDBHNFJxr46rcxfE/mB0nvVKRzfe4rpHcnlPhSZ" TargetMode="External" Id="rId344" /><Relationship Type="http://schemas.openxmlformats.org/officeDocument/2006/relationships/hyperlink" Target="https://contrataciondelestado.es/wps/poc?uri=deeplink:detalle_licitacion&amp;idEvl=1hIALmlZvK%2BS81gZFETWmA%3D%3D" TargetMode="External" Id="rId345" /><Relationship Type="http://schemas.openxmlformats.org/officeDocument/2006/relationships/hyperlink" Target="https://contrataciondelestado.es/FileSystem/servlet/GetDocumentByIdServlet?cifrado=QUC1GjXXSiLkydRHJBmbpw%3D%3D&amp;DocumentIdParam=L/8lYKqp8sUMyNYrbQeQnsftHoTMTghQoOoeR1ONIIHJffF7ySnIePYzE92Sn%2BzLTnNbaK6v0DitJlX5fhtKWi38N1lNU9W%2BSAX/7qTodSSCx2e6p7hqtlp2aFupgHMr" TargetMode="External" Id="rId346" /><Relationship Type="http://schemas.openxmlformats.org/officeDocument/2006/relationships/hyperlink" Target="https://contrataciondelestado.es/wps/poc?uri=deeplink:detalle_licitacion&amp;idEvl=QUBy0%2FwQjLUadbH3CysQuQ%3D%3D" TargetMode="External" Id="rId347" /><Relationship Type="http://schemas.openxmlformats.org/officeDocument/2006/relationships/hyperlink" Target="https://contrataciondelestado.es/FileSystem/servlet/GetDocumentByIdServlet?cifrado=QUC1GjXXSiLkydRHJBmbpw%3D%3D&amp;DocumentIdParam=FizOu4Kg%2BW6hJU3PYt9%2BTWha0tG4wB2EKqTtRwclnWNzAJ0MgB4X//n6luhx90V1o6nWasQgVE5Q24tUpLPCkzO0xi1AchtZjc4ayZVYdvbDdQD9RyhUmzT4jZ2In4zL" TargetMode="External" Id="rId348" /><Relationship Type="http://schemas.openxmlformats.org/officeDocument/2006/relationships/hyperlink" Target="https://contrataciondelestado.es/wps/poc?uri=deeplink:detalle_licitacion&amp;idEvl=2yXCdpseY5ceIBJRHQiPkQ%3D%3D" TargetMode="External" Id="rId349" /><Relationship Type="http://schemas.openxmlformats.org/officeDocument/2006/relationships/hyperlink" Target="https://contrataciondelestado.es/FileSystem/servlet/GetDocumentByIdServlet?cifrado=QUC1GjXXSiLkydRHJBmbpw%3D%3D&amp;DocumentIdParam=dctCS6c85QUAHgoKiAIVN/j8sM8OhULw91Ls6/IE7pGb83Kodvxk/TAcRogJXKMPEBUfxhzr5ZkQfPrTRI/icat99T7wAGEUnyVTuM/rjjSB0nvVKRzfe4rpHcnlPhSZ" TargetMode="External" Id="rId350" /><Relationship Type="http://schemas.openxmlformats.org/officeDocument/2006/relationships/hyperlink" Target="https://contrataciondelestado.es/wps/poc?uri=deeplink:detalle_licitacion&amp;idEvl=9kACiXdrNPNQFSeKCRun4Q%3D%3D" TargetMode="External" Id="rId351" /><Relationship Type="http://schemas.openxmlformats.org/officeDocument/2006/relationships/hyperlink" Target="https://contrataciondelestado.es/FileSystem/servlet/GetDocumentByIdServlet?cifrado=QUC1GjXXSiLkydRHJBmbpw%3D%3D&amp;DocumentIdParam=OPv1JDIoq/SlFMU1QN%2B/%2BuOrCUaidxxKM4RJGk//oabOs9DSLy0WFfETzM%2Bzd1h6W9csd10SHxtpFtyJPfJ2xDSsjM3rnH58QpqqcID4hL6Cx2e6p7hqtlp2aFupgHMr" TargetMode="External" Id="rId352" /><Relationship Type="http://schemas.openxmlformats.org/officeDocument/2006/relationships/hyperlink" Target="https://contrataciondelestado.es/wps/poc?uri=deeplink:detalle_licitacion&amp;idEvl=zwRzOZ4Wx4GP%2Bo96UAV7cQ%3D%3D" TargetMode="External" Id="rId353" /><Relationship Type="http://schemas.openxmlformats.org/officeDocument/2006/relationships/hyperlink" Target="https://contrataciondelestado.es/FileSystem/servlet/GetDocumentByIdServlet?cifrado=QUC1GjXXSiLkydRHJBmbpw%3D%3D&amp;DocumentIdParam=SzmoDhNmuwktbMW9MT9myFWt3Fc7uUQz3TOnjquBgbrkIX2YaENybeVnEU1uQptBGOeDta4tg7Pof%2BrS9KgXJfNbAauMAO2vc16MfYes/b/3GVhXrFFqN7yFncy7YfRK" TargetMode="External" Id="rId354" /><Relationship Type="http://schemas.openxmlformats.org/officeDocument/2006/relationships/hyperlink" Target="https://contrataciondelestado.es/wps/poc?uri=deeplink:detalle_licitacion&amp;idEvl=rr9sX%2Fm%2B6hSOUi78BmzhOQ%3D%3D" TargetMode="External" Id="rId355" /><Relationship Type="http://schemas.openxmlformats.org/officeDocument/2006/relationships/hyperlink" Target="https://contrataciondelestado.es/FileSystem/servlet/GetDocumentByIdServlet?cifrado=QUC1GjXXSiLkydRHJBmbpw%3D%3D&amp;DocumentIdParam=3N/msgZbCtXj2GZxuPcOIfJiRzVEIy6wJKtgNjkotOtbZZe48zg/Q29JiQA9KFb0bYdG4q9ViLFuVtHuI5MP08TsZFJiB0qzMc3Rt74CziS1aXEvq3KHa/AEHgtDrQw0" TargetMode="External" Id="rId356" /><Relationship Type="http://schemas.openxmlformats.org/officeDocument/2006/relationships/hyperlink" Target="https://contrataciondelestado.es/wps/poc?uri=deeplink:detalle_licitacion&amp;idEvl=bkt9Ze7zc8US7pcxhTeWOg%3D%3D" TargetMode="External" Id="rId357" /><Relationship Type="http://schemas.openxmlformats.org/officeDocument/2006/relationships/hyperlink" Target="https://contrataciondelestado.es/FileSystem/servlet/GetDocumentByIdServlet?cifrado=QUC1GjXXSiLkydRHJBmbpw%3D%3D&amp;DocumentIdParam=%2BiTNOd4VVMEK3n1rjMH9yqkWdQQOegY/%2B7qivuF0UDSzibHq1JlGPRiE1ZZd6oQK/PNm8sBA8r29lysxt0/Z45GBL6i7zDYTTfqJ%2BWLOc7uHAj0WEJrB5sP7amrh2jBD" TargetMode="External" Id="rId358" /><Relationship Type="http://schemas.openxmlformats.org/officeDocument/2006/relationships/hyperlink" Target="https://contrataciondelestado.es/wps/poc?uri=deeplink:detalle_licitacion&amp;idEvl=Kvi%2FkBMm32%2BcCF8sV%2BqtYA%3D%3D" TargetMode="External" Id="rId359" /><Relationship Type="http://schemas.openxmlformats.org/officeDocument/2006/relationships/hyperlink" Target="https://contrataciondelestado.es/FileSystem/servlet/GetDocumentByIdServlet?cifrado=QUC1GjXXSiLkydRHJBmbpw%3D%3D&amp;DocumentIdParam=YT6JPBSl4vzEdmckXX0fDM3g1AYBoSu8wvIZyywd4ETL8XgpOB6y0WonaJ1EgzuQPSGdOPVfL2JrtoX76bVbv3MB0f%2BsEPPMHXXoe6UPsL36CYyL7SIrUOBFfNf52ZqA" TargetMode="External" Id="rId360" /><Relationship Type="http://schemas.openxmlformats.org/officeDocument/2006/relationships/hyperlink" Target="https://contrataciondelestado.es/wps/poc?uri=deeplink:detalle_licitacion&amp;idEvl=oCjY4l4eX8pSYrkJkLlFdw%3D%3D" TargetMode="External" Id="rId361" /><Relationship Type="http://schemas.openxmlformats.org/officeDocument/2006/relationships/hyperlink" Target="https://contrataciondelestado.es/FileSystem/servlet/GetDocumentByIdServlet?cifrado=QUC1GjXXSiLkydRHJBmbpw%3D%3D&amp;DocumentIdParam=LJ13Ga5khgjYvowFQJ6MkpeXpYf4iLWaiFLEAxM0304DBk%2BiuGwJZHtKPC04DPWNxgyxQ%2BXyVQtGPha260GC4E/5MDIYUHRr9FV2HSqZb6xt/o8fNevwsujgRzaBbugn" TargetMode="External" Id="rId362" /><Relationship Type="http://schemas.openxmlformats.org/officeDocument/2006/relationships/hyperlink" Target="https://contrataciondelestado.es/wps/poc?uri=deeplink:detalle_licitacion&amp;idEvl=EG%2BzfVpK%2FyaHCIsjvJ3rhQ%3D%3D" TargetMode="External" Id="rId363" /><Relationship Type="http://schemas.openxmlformats.org/officeDocument/2006/relationships/hyperlink" Target="https://contrataciondelestado.es/FileSystem/servlet/GetDocumentByIdServlet?cifrado=QUC1GjXXSiLkydRHJBmbpw%3D%3D&amp;DocumentIdParam=H/0OhLwqB8Yj8P1TC9VOeZsI/4kNd8OkgTOx4RnhtufO4BOmpJtjewYYz4OO/yKEVOFc6wyLjQqEcPtoCpR8VWXlNoSkdfAZ7gfXCMjIjTcZyAJWGsSt0OzTSTyw9JAs" TargetMode="External" Id="rId364" /><Relationship Type="http://schemas.openxmlformats.org/officeDocument/2006/relationships/hyperlink" Target="https://contrataciondelestado.es/wps/poc?uri=deeplink:detalle_licitacion&amp;idEvl=Ym4Ny35hlJk3vLk2DU2Ddg%3D%3D" TargetMode="External" Id="rId365" /><Relationship Type="http://schemas.openxmlformats.org/officeDocument/2006/relationships/hyperlink" Target="https://contrataciondelestado.es/FileSystem/servlet/GetDocumentByIdServlet?cifrado=QUC1GjXXSiLkydRHJBmbpw%3D%3D&amp;DocumentIdParam=w3BvdXw/E7ybK5xx867N7Dich91X1XnpCsXJ91ma3Hl/waSxZ2lOSI0friCmD/lqj6MU2bKbui9VIN5oMxdEMHeYd%2Bhkx1ZP%2BLi3auYuQiQ//q7NB2iMZvNyf0xrJmjt" TargetMode="External" Id="rId366" /><Relationship Type="http://schemas.openxmlformats.org/officeDocument/2006/relationships/hyperlink" Target="https://contrataciondelestado.es/wps/poc?uri=deeplink:detalle_licitacion&amp;idEvl=tZjJedjeGcEaF6cS8TCh%2FA%3D%3D" TargetMode="External" Id="rId367" /><Relationship Type="http://schemas.openxmlformats.org/officeDocument/2006/relationships/hyperlink" Target="https://contrataciondelestado.es/FileSystem/servlet/GetDocumentByIdServlet?cifrado=QUC1GjXXSiLkydRHJBmbpw%3D%3D&amp;DocumentIdParam=xKwC7jgAElz10pqzEi6xKPfA3ls/JQ9VqH7OOlBFF2M96KCFEUsjk40EsZGLLOPRhWYfX6ERnMaaMAHxyle4JkxuqLhi6qWORHe5cwTP6mN7QB3HKyQaFUExmUVQCerk" TargetMode="External" Id="rId368" /><Relationship Type="http://schemas.openxmlformats.org/officeDocument/2006/relationships/hyperlink" Target="https://contrataciondelestado.es/wps/poc?uri=deeplink:detalle_licitacion&amp;idEvl=2TCWn5fTIu87u6%2B%2FR7DUoA%3D%3D" TargetMode="External" Id="rId369" /><Relationship Type="http://schemas.openxmlformats.org/officeDocument/2006/relationships/hyperlink" Target="https://contrataciondelestado.es/FileSystem/servlet/GetDocumentByIdServlet?cifrado=QUC1GjXXSiLkydRHJBmbpw%3D%3D&amp;DocumentIdParam=/7MIDU/htOuJjTJr/weagrKsRMcomnZH4qP9chcvPP8823HcjREmGDLQPRQQZmafifiF2YtxF0ug0DeV3mKhthXHU3EkZGCMcBdO236uIRb3GVhXrFFqN7yFncy7YfRK" TargetMode="External" Id="rId370" /><Relationship Type="http://schemas.openxmlformats.org/officeDocument/2006/relationships/hyperlink" Target="https://contrataciondelestado.es/wps/poc?uri=deeplink:detalle_licitacion&amp;idEvl=nQjFTgc2iw2LAncw3qdZkA%3D%3D" TargetMode="External" Id="rId371" /><Relationship Type="http://schemas.openxmlformats.org/officeDocument/2006/relationships/hyperlink" Target="https://contrataciondelestado.es/FileSystem/servlet/GetDocumentByIdServlet?cifrado=QUC1GjXXSiLkydRHJBmbpw%3D%3D&amp;DocumentIdParam=gyvuoCakY%2B6/bZc61aISO5Wmqa0qWOXDxExptm0Y8SibxBHiLO6E5pWn1eaxRxK3UPSk0YkkTv8NR1ZyZlZiflmRuHlN7FtUUIZd9n/m6U/DdQD9RyhUmzT4jZ2In4zL" TargetMode="External" Id="rId372" /><Relationship Type="http://schemas.openxmlformats.org/officeDocument/2006/relationships/hyperlink" Target="https://contrataciondelestado.es/wps/poc?uri=deeplink:detalle_licitacion&amp;idEvl=93vE308pW1WOUi78BmzhOQ%3D%3D" TargetMode="External" Id="rId373" /><Relationship Type="http://schemas.openxmlformats.org/officeDocument/2006/relationships/hyperlink" Target="https://contrataciondelestado.es/FileSystem/servlet/GetDocumentByIdServlet?cifrado=QUC1GjXXSiLkydRHJBmbpw%3D%3D&amp;DocumentIdParam=MyA0dRlfiD8hCODS1EzEP%2B70f291GrgMnN/6TNPpwVFjyqbwIy1%2BmsQ1uZd5LfB%2BP/cqHyCMOoGxie4MtC0x3vRPB9MB2Dq0sQpFmOH79nx7QB3HKyQaFUExmUVQCerk" TargetMode="External" Id="rId374" /><Relationship Type="http://schemas.openxmlformats.org/officeDocument/2006/relationships/hyperlink" Target="https://contrataciondelestado.es/wps/poc?uri=deeplink:detalle_licitacion&amp;idEvl=NdbesGdv%2Bs2S81gZFETWmA%3D%3D" TargetMode="External" Id="rId375" /><Relationship Type="http://schemas.openxmlformats.org/officeDocument/2006/relationships/hyperlink" Target="https://contrataciondelestado.es/FileSystem/servlet/GetDocumentByIdServlet?cifrado=QUC1GjXXSiLkydRHJBmbpw%3D%3D&amp;DocumentIdParam=UR4k/CIhvDBfNUQ5HFSOR564auXKvW2fVigQiCXsaQJNmtis%2BSWyh7GR/cUU07fkQOMHC%2BxjWzBStooDIvlyWHMdxClnlZSpGf7mL7ggnxeB0nvVKRzfe4rpHcnlPhSZ" TargetMode="External" Id="rId376" /><Relationship Type="http://schemas.openxmlformats.org/officeDocument/2006/relationships/hyperlink" Target="https://contrataciondelestado.es/wps/poc?uri=deeplink:detalle_licitacion&amp;idEvl=yJxjIVLcIbNQFSeKCRun4Q%3D%3D" TargetMode="External" Id="rId377" /><Relationship Type="http://schemas.openxmlformats.org/officeDocument/2006/relationships/hyperlink" Target="https://contrataciondelestado.es/FileSystem/servlet/GetDocumentByIdServlet?cifrado=QUC1GjXXSiLkydRHJBmbpw%3D%3D&amp;DocumentIdParam=6lqe4OIZJ2Ao46bJM/qVQ4OGQL8HtMhq90nP3Q1Wsnh%2B1HImgb/8Iyynt9dZnWKCa55jM2VpQeK6Nh2ii1VDeGl4K4aKC2dNi1HM7SqrTBeCx2e6p7hqtlp2aFupgHMr" TargetMode="External" Id="rId378" /><Relationship Type="http://schemas.openxmlformats.org/officeDocument/2006/relationships/hyperlink" Target="https://contrataciondelestado.es/wps/poc?uri=deeplink:detalle_licitacion&amp;idEvl=Dh2D9o1t2uk%2FbjW6njtWLw%3D%3D" TargetMode="External" Id="rId379" /><Relationship Type="http://schemas.openxmlformats.org/officeDocument/2006/relationships/hyperlink" Target="https://contrataciondelestado.es/FileSystem/servlet/GetDocumentByIdServlet?cifrado=QUC1GjXXSiLkydRHJBmbpw%3D%3D&amp;DocumentIdParam=hXH1%2BgiWA6m3dW1PH/C7n%2BmtU1xSKa9jAglFR8Rs/MWRjxld7ElDhu2GkvMztPxWjt18d%2BB4q2tw7I0KMEc9Mg1RsU70pAih7cwOMqglbgv6CYyL7SIrUOBFfNf52ZqA" TargetMode="External" Id="rId380" /><Relationship Type="http://schemas.openxmlformats.org/officeDocument/2006/relationships/hyperlink" Target="https://contrataciondelestado.es/wps/poc?uri=deeplink:detalle_licitacion&amp;idEvl=N1pHBwwtQIadkQsA7ROvsg%3D%3D" TargetMode="External" Id="rId381" /><Relationship Type="http://schemas.openxmlformats.org/officeDocument/2006/relationships/hyperlink" Target="https://contrataciondelestado.es/FileSystem/servlet/GetDocumentByIdServlet?cifrado=QUC1GjXXSiLkydRHJBmbpw%3D%3D&amp;DocumentIdParam=onzoy8RPPNgSxe%2BFUjdkt4alTlD2hujVt5GQ8QSsoZHLuw1CPnUNiloizJj7CaVs4rtgTwK5FoXacV/bis9sOFPRDmzAvHkX6eQwDMxRUEvfdyQgZAdTm3EfcUAC7CJ6" TargetMode="External" Id="rId382" /><Relationship Type="http://schemas.openxmlformats.org/officeDocument/2006/relationships/hyperlink" Target="https://contrataciondelestado.es/wps/poc?uri=deeplink:detalle_licitacion&amp;idEvl=1MNFmaXQTD2dkQsA7ROvsg%3D%3D" TargetMode="External" Id="rId383" /><Relationship Type="http://schemas.openxmlformats.org/officeDocument/2006/relationships/hyperlink" Target="https://contrataciondelestado.es/FileSystem/servlet/GetDocumentByIdServlet?cifrado=QUC1GjXXSiLkydRHJBmbpw%3D%3D&amp;DocumentIdParam=JOdRJ1/C5y5x0485nlpZnVVzx5PvhD%2BbpWXYWr6uRWpGcmW%2BgIIFdntByWLcPNfOZJTOwTSUxQX5Xiifl8a0GNXuJ87rzrLoPPY0gYyBTSXVTD3T98KC0nSgQFM0q%2B5s" TargetMode="External" Id="rId384" /><Relationship Type="http://schemas.openxmlformats.org/officeDocument/2006/relationships/hyperlink" Target="https://contrataciondelestado.es/wps/poc?uri=deeplink:detalle_licitacion&amp;idEvl=S%2FOWxmU59LqGCFcHcNGIlQ%3D%3D" TargetMode="External" Id="rId385" /><Relationship Type="http://schemas.openxmlformats.org/officeDocument/2006/relationships/hyperlink" Target="https://contrataciondelestado.es/FileSystem/servlet/GetDocumentByIdServlet?cifrado=QUC1GjXXSiLkydRHJBmbpw%3D%3D&amp;DocumentIdParam=PCJFlpt0AaICR/HkYqbqu1bPrvsft/nWR42xTI0TmdieFW2vJ05k4EJuUcdmL1hPsUz3i/ouQdol3GuSBYVbWNEsqoF3Dd5aC8OeYnKnGDcZyAJWGsSt0OzTSTyw9JAs" TargetMode="External" Id="rId386" /><Relationship Type="http://schemas.openxmlformats.org/officeDocument/2006/relationships/hyperlink" Target="https://contrataciondelestado.es/wps/poc?uri=deeplink:detalle_licitacion&amp;idEvl=zAXpYiFYfW%2BTylGzYmBF9Q%3D%3D" TargetMode="External" Id="rId387" /><Relationship Type="http://schemas.openxmlformats.org/officeDocument/2006/relationships/hyperlink" Target="https://contrataciondelestado.es/FileSystem/servlet/GetDocumentByIdServlet?cifrado=QUC1GjXXSiLkydRHJBmbpw%3D%3D&amp;DocumentIdParam=E3mdZ6OemB6tJ8oZYs4JQxMRsQpW6IwW0V9/HpeNrCfJYb6LfqPrhrrVjdRQ3uw5bvWMyHta3gmrZRGKxGevHUJOOXlVCKxo48ZkSReE6AWB0nvVKRzfe4rpHcnlPhSZ" TargetMode="External" Id="rId388" /><Relationship Type="http://schemas.openxmlformats.org/officeDocument/2006/relationships/hyperlink" Target="https://contrataciondelestado.es/wps/poc?uri=deeplink:detalle_licitacion&amp;idEvl=sFkzQqi8nMT10HRJw8TEnQ%3D%3D" TargetMode="External" Id="rId389" /><Relationship Type="http://schemas.openxmlformats.org/officeDocument/2006/relationships/hyperlink" Target="https://contrataciondelestado.es/FileSystem/servlet/GetDocumentByIdServlet?cifrado=QUC1GjXXSiLkydRHJBmbpw%3D%3D&amp;DocumentIdParam=QfLUTTJ1LF%2BUAVdDLPgyTVnaMQIfLQehVE1dpVZxvVj%2BYiz72BpEc548bbRkgzM8gHD7xBdHMGh4AFaR5ny5HeLoD1pTcqfJ3/qQD3Q%2BU1nfdyQgZAdTm3EfcUAC7CJ6" TargetMode="External" Id="rId390" /><Relationship Type="http://schemas.openxmlformats.org/officeDocument/2006/relationships/hyperlink" Target="https://contrataciondelestado.es/wps/poc?uri=deeplink:detalle_licitacion&amp;idEvl=qTvc%2B2x9Ie6opEMYCmrbmw%3D%3D" TargetMode="External" Id="rId391" /><Relationship Type="http://schemas.openxmlformats.org/officeDocument/2006/relationships/hyperlink" Target="https://contrataciondelestado.es/FileSystem/servlet/GetDocumentByIdServlet?cifrado=QUC1GjXXSiLkydRHJBmbpw%3D%3D&amp;DocumentIdParam=Y/X3L1qjz6TZIVIfqq4uhnbbhcJaRCXDRThK%2BU2ehID6J9ZYh5V3JEKk8Uh4iUphq%2BjSr//AJQ3lOkTJE6B5vCZml93SYT0HTyTyN0GrwXEZyAJWGsSt0OzTSTyw9JAs" TargetMode="External" Id="rId392" /><Relationship Type="http://schemas.openxmlformats.org/officeDocument/2006/relationships/hyperlink" Target="https://contrataciondelestado.es/wps/poc?uri=deeplink:detalle_licitacion&amp;idEvl=ayDPxFgjkIk3vLk2DU2Ddg%3D%3D" TargetMode="External" Id="rId393" /><Relationship Type="http://schemas.openxmlformats.org/officeDocument/2006/relationships/hyperlink" Target="https://contrataciondelestado.es/FileSystem/servlet/GetDocumentByIdServlet?cifrado=QUC1GjXXSiLkydRHJBmbpw%3D%3D&amp;DocumentIdParam=wP62GvtzBGCLxLK2KyoeGbyJ5USiulRXtV%2BEGEGL2vmVQgDGD0bO98mxBm%2BR6V8PmvDQgLnB1HlBsAF5OJR099gyZjSva0TInNE3KbMNOsWB0nvVKRzfe4rpHcnlPhSZ" TargetMode="External" Id="rId394" /><Relationship Type="http://schemas.openxmlformats.org/officeDocument/2006/relationships/hyperlink" Target="https://contrataciondelestado.es/wps/poc?uri=deeplink:detalle_licitacion&amp;idEvl=vff2%2BpnCxuqopEMYCmrbmw%3D%3D" TargetMode="External" Id="rId395" /><Relationship Type="http://schemas.openxmlformats.org/officeDocument/2006/relationships/hyperlink" Target="https://contrataciondelestado.es/FileSystem/servlet/GetDocumentByIdServlet?cifrado=QUC1GjXXSiLkydRHJBmbpw%3D%3D&amp;DocumentIdParam=mwEwjpzAqO/wkHc%2BB/eTCySwzicd6xpNX0dj1JMJQiAzBVDhwDnTobH%2BjB9oNCgeEsLTnUJoxrhto0cyqzqiEqBQUa2B4kQPIHw7nOA5c4z3GVhXrFFqN7yFncy7YfRK" TargetMode="External" Id="rId396" /><Relationship Type="http://schemas.openxmlformats.org/officeDocument/2006/relationships/hyperlink" Target="https://contrataciondelestado.es/wps/poc?uri=deeplink:detalle_licitacion&amp;idEvl=LoDAPDg99ew2wEhQbcAqug%3D%3D" TargetMode="External" Id="rId397" /><Relationship Type="http://schemas.openxmlformats.org/officeDocument/2006/relationships/hyperlink" Target="https://contrataciondelestado.es/FileSystem/servlet/GetDocumentByIdServlet?cifrado=QUC1GjXXSiLkydRHJBmbpw%3D%3D&amp;DocumentIdParam=/BpvTyl/lOZLWSmbtMaWIyJyH%2Bd7pXD9LUsaO7Q0761uNWdgBGvVpLA9NwIQuoMQOo54T8UZBEN0hVwBNTT8vqH7v%2BsCwSnT/ywYLPfZG%2BiHAj0WEJrB5sP7amrh2jBD" TargetMode="External" Id="rId398" /><Relationship Type="http://schemas.openxmlformats.org/officeDocument/2006/relationships/hyperlink" Target="https://contrataciondelestado.es/wps/poc?uri=deeplink:detalle_licitacion&amp;idEvl=i2napjsxTibE6P%2FuLemXRw%3D%3D" TargetMode="External" Id="rId399" /><Relationship Type="http://schemas.openxmlformats.org/officeDocument/2006/relationships/hyperlink" Target="https://contrataciondelestado.es/FileSystem/servlet/GetDocumentByIdServlet?cifrado=QUC1GjXXSiLkydRHJBmbpw%3D%3D&amp;DocumentIdParam=ow6vHOr8HdNv1pnYaigJw64OUqT6nK1qiNIMKJS%2BtoeLBEf1P7X3de4V/za4dBzuPjj1PP3%2BPtn1%2BCfpOtGN9mRzSWK/z7MzZhwUjRxb84/VTD3T98KC0nSgQFM0q%2B5s" TargetMode="External" Id="rId400" /><Relationship Type="http://schemas.openxmlformats.org/officeDocument/2006/relationships/hyperlink" Target="https://contrataciondelestado.es/wps/poc?uri=deeplink:detalle_licitacion&amp;idEvl=14tnDwsQBmn5Rey58Yagpg%3D%3D" TargetMode="External" Id="rId401" /><Relationship Type="http://schemas.openxmlformats.org/officeDocument/2006/relationships/hyperlink" Target="https://contrataciondelestado.es/FileSystem/servlet/GetDocumentByIdServlet?cifrado=QUC1GjXXSiLkydRHJBmbpw%3D%3D&amp;DocumentIdParam=79vMjxttSp4kGZRrm8rw3L0uhclolLB6g5AX0Ow2bTgceiv7a6faDlkaqxm5hGZIJjxdqqjhzaAJXmnaA8k/tySYf6dtkKvySeqfm9ZP8aht/o8fNevwsujgRzaBbugn" TargetMode="External" Id="rId402" /><Relationship Type="http://schemas.openxmlformats.org/officeDocument/2006/relationships/hyperlink" Target="https://contrataciondelestado.es/wps/poc?uri=deeplink:detalle_licitacion&amp;idEvl=284IE%2BmruCe7JOCXkOhcDg%3D%3D" TargetMode="External" Id="rId403" /><Relationship Type="http://schemas.openxmlformats.org/officeDocument/2006/relationships/hyperlink" Target="https://contrataciondelestado.es/FileSystem/servlet/GetDocumentByIdServlet?cifrado=QUC1GjXXSiLkydRHJBmbpw%3D%3D&amp;DocumentIdParam=BsLS0yfdmPKqqj3jwuJVMbEei%2B0%2Buf6n0URalU1tvTgJBLFK2fP7fqZwuiHTfifMaYjEzbCZXZX2tnY9nLQBwecasqdGfZR1JTZ%2BaIio8GyCx2e6p7hqtlp2aFupgHMr" TargetMode="External" Id="rId404" /><Relationship Type="http://schemas.openxmlformats.org/officeDocument/2006/relationships/hyperlink" Target="https://contrataciondelestado.es/wps/poc?uri=deeplink:detalle_licitacion&amp;idEvl=7f3dvyBHu%2Bmqb7rCcv76BA%3D%3D" TargetMode="External" Id="rId405" /><Relationship Type="http://schemas.openxmlformats.org/officeDocument/2006/relationships/hyperlink" Target="https://contrataciondelestado.es/FileSystem/servlet/GetDocumentByIdServlet?cifrado=QUC1GjXXSiLkydRHJBmbpw%3D%3D&amp;DocumentIdParam=J9u/yd16g4mGNDJAX43x0MbIG%2Bk4Fy8O9GEcXlkfMYqqfoHeq0/HhjFDBil4wmGWf2CzlmJe4cj2EXyasovn%2BuWRAyhBcFDAIyp14ef6mQw//q7NB2iMZvNyf0xrJmjt" TargetMode="External" Id="rId406" /><Relationship Type="http://schemas.openxmlformats.org/officeDocument/2006/relationships/hyperlink" Target="https://contrataciondelestado.es/wps/poc?uri=deeplink:detalle_licitacion&amp;idEvl=vq7m%2FeEpKmlq1DdmE7eaXg%3D%3D" TargetMode="External" Id="rId407" /><Relationship Type="http://schemas.openxmlformats.org/officeDocument/2006/relationships/hyperlink" Target="https://contrataciondelestado.es/FileSystem/servlet/GetDocumentByIdServlet?cifrado=QUC1GjXXSiLkydRHJBmbpw%3D%3D&amp;DocumentIdParam=swyK/co06cTythpyqdhFzIwfKRKR62fn73A4oUc03Cl3sUa2%2B4uRwPpEdhPINv3RNgEhI7kaqhLVUjVzL5yQBIbu85iydM2OpFuvC9U%2BIMIC1/zDIE0Kw/PWNnLS0Z0z" TargetMode="External" Id="rId408" /><Relationship Type="http://schemas.openxmlformats.org/officeDocument/2006/relationships/hyperlink" Target="https://contrataciondelestado.es/wps/poc?uri=deeplink:detalle_licitacion&amp;idEvl=P7czqjHsseh70UvEyYJSGw%3D%3D" TargetMode="External" Id="rId409" /><Relationship Type="http://schemas.openxmlformats.org/officeDocument/2006/relationships/hyperlink" Target="https://contrataciondelestado.es/FileSystem/servlet/GetDocumentByIdServlet?cifrado=QUC1GjXXSiLkydRHJBmbpw%3D%3D&amp;DocumentIdParam=qzYFDYFoyQtX4NRWLCGBgchF5j4ubans8alX0Idf0Xyyx/W/8PnpON/wRuruDnRlZ6bi/gZ101m6bFOgILr1hDlvVwhhvFPvG0/YEfRy92WHAj0WEJrB5sP7amrh2jBD" TargetMode="External" Id="rId410" /><Relationship Type="http://schemas.openxmlformats.org/officeDocument/2006/relationships/hyperlink" Target="https://contrataciondelestado.es/wps/poc?uri=deeplink:detalle_licitacion&amp;idEvl=urCqKXpPMfl70UvEyYJSGw%3D%3D" TargetMode="External" Id="rId411" /><Relationship Type="http://schemas.openxmlformats.org/officeDocument/2006/relationships/hyperlink" Target="https://contrataciondelestado.es/FileSystem/servlet/GetDocumentByIdServlet?cifrado=QUC1GjXXSiLkydRHJBmbpw%3D%3D&amp;DocumentIdParam=dMumhkgDBGkTkpShTU0GK8VFocCbVl13OXdX8GDjzYDAJAJK2BqxyVfjTyXxeqKcC/g9kvey3Ff4WTzgh%2BpuqDON9u/347YGdBIe3BsfYDD6CYyL7SIrUOBFfNf52ZqA" TargetMode="External" Id="rId412" /><Relationship Type="http://schemas.openxmlformats.org/officeDocument/2006/relationships/hyperlink" Target="https://contrataciondelestado.es/wps/poc?uri=deeplink:detalle_licitacion&amp;idEvl=Qs3bfEOT6vN9Zh%2FyRJgM8w%3D%3D" TargetMode="External" Id="rId413" /><Relationship Type="http://schemas.openxmlformats.org/officeDocument/2006/relationships/hyperlink" Target="https://contrataciondelestado.es/FileSystem/servlet/GetDocumentByIdServlet?cifrado=QUC1GjXXSiLkydRHJBmbpw%3D%3D&amp;DocumentIdParam=8%2BNy/zDb/c/n7TsJ/CfYuyTvMOT/LB0M8jDx%2BH5T1PZFoOXTMCCXV8mC9itOAicipK965dqFR8igrbEkK8nHyxmBq9uylVyvRt7R/weCDZoZyAJWGsSt0OzTSTyw9JAs" TargetMode="External" Id="rId414" /><Relationship Type="http://schemas.openxmlformats.org/officeDocument/2006/relationships/hyperlink" Target="https://contrataciondelestado.es/wps/poc?uri=deeplink:detalle_licitacion&amp;idEvl=OItI7%2Fjf7KmS81gZFETWmA%3D%3D" TargetMode="External" Id="rId415" /><Relationship Type="http://schemas.openxmlformats.org/officeDocument/2006/relationships/hyperlink" Target="https://contrataciondelestado.es/FileSystem/servlet/GetDocumentByIdServlet?cifrado=QUC1GjXXSiLkydRHJBmbpw%3D%3D&amp;DocumentIdParam=ybjCKs4004jNQ01mm76RW%2BD/557eNNUN%2B8vO%2BxyztmjKab9uXUFE2OyrtyeVrgmA920u/Ur11CYh6uvh7l0Ot2BzFlw5QWx9tHgRQUJQ%2BXLDdQD9RyhUmzT4jZ2In4zL" TargetMode="External" Id="rId416" /><Relationship Type="http://schemas.openxmlformats.org/officeDocument/2006/relationships/hyperlink" Target="https://contrataciondelestado.es/wps/poc?uri=deeplink:detalle_licitacion&amp;idEvl=dnYuaFwk%2BgecCF8sV%2BqtYA%3D%3D" TargetMode="External" Id="rId417" /><Relationship Type="http://schemas.openxmlformats.org/officeDocument/2006/relationships/hyperlink" Target="https://contrataciondelestado.es/FileSystem/servlet/GetDocumentByIdServlet?cifrado=QUC1GjXXSiLkydRHJBmbpw%3D%3D&amp;DocumentIdParam=GneVU/zz0Z%2B51%2B3rmaea1R05LxK8vEFth/OXCIzj4q%2BMo/vqez0qZ8uTYGWMQH84LA2%2BKVFB6hvYCv4%2BczBvS1mqt3dLwTgTG/hEqSM%2BWfl7QB3HKyQaFUExmUVQCerk" TargetMode="External" Id="rId418" /><Relationship Type="http://schemas.openxmlformats.org/officeDocument/2006/relationships/hyperlink" Target="https://contrataciondelestado.es/wps/poc?uri=deeplink:detalle_licitacion&amp;idEvl=F3Ph8WshBHfL1rX3q%2FMAPA%3D%3D" TargetMode="External" Id="rId419" /><Relationship Type="http://schemas.openxmlformats.org/officeDocument/2006/relationships/hyperlink" Target="https://contrataciondelestado.es/FileSystem/servlet/GetDocumentByIdServlet?cifrado=QUC1GjXXSiLkydRHJBmbpw%3D%3D&amp;DocumentIdParam=VZfixEqvGZiO7eeYt3rZ1BHyLv4W4rmdGgkqQsbkitDP4%2Bz87ftP9%2BohTM4Nzcp1rSkgnoVwXjQxLrUPyf1C3j%2BIzaRxZ%2BXs5VtImTaUCEJt/o8fNevwsujgRzaBbugn" TargetMode="External" Id="rId420" /><Relationship Type="http://schemas.openxmlformats.org/officeDocument/2006/relationships/hyperlink" Target="https://contrataciondelestado.es/wps/poc?uri=deeplink:detalle_licitacion&amp;idEvl=Gxh%2Fu9b%2F8T7IGlsa0Wad%2Bw%3D%3D" TargetMode="External" Id="rId421" /><Relationship Type="http://schemas.openxmlformats.org/officeDocument/2006/relationships/hyperlink" Target="https://contrataciondelestado.es/FileSystem/servlet/GetDocumentByIdServlet?cifrado=QUC1GjXXSiLkydRHJBmbpw%3D%3D&amp;DocumentIdParam=ZyVuE7kMAJj/g9ittEPi68ktQGpqemaqQrLt/58F6CifcuPgJE8ubTO9xLu%2BG32njQux8P1MZgyOQ3t2mlAl0DwkCrRqp5eEWJPCOJbDo6bDdQD9RyhUmzT4jZ2In4zL" TargetMode="External" Id="rId422" /><Relationship Type="http://schemas.openxmlformats.org/officeDocument/2006/relationships/hyperlink" Target="https://contrataciondelestado.es/wps/poc?uri=deeplink:detalle_licitacion&amp;idEvl=jWWAoS5HeZLXOjazN1Dw9Q%3D%3D" TargetMode="External" Id="rId423" /><Relationship Type="http://schemas.openxmlformats.org/officeDocument/2006/relationships/hyperlink" Target="https://contrataciondelestado.es/FileSystem/servlet/GetDocumentByIdServlet?cifrado=QUC1GjXXSiLkydRHJBmbpw%3D%3D&amp;DocumentIdParam=wjCDoocgJyIn%2Bw/MlXt0NjUFd4rUJA1jEj3wU6yFudCAaudytzYZRjtbhu8e0nsgOO/a/uG858OLOCZL5VxMEONkOl7B41CQNmQPpzrqvmHDdQD9RyhUmzT4jZ2In4zL" TargetMode="External" Id="rId424" /><Relationship Type="http://schemas.openxmlformats.org/officeDocument/2006/relationships/hyperlink" Target="https://contrataciondelestado.es/wps/poc?uri=deeplink:detalle_licitacion&amp;idEvl=bR%2F7iTUxy2jE6P%2FuLemXRw%3D%3D" TargetMode="External" Id="rId425" /><Relationship Type="http://schemas.openxmlformats.org/officeDocument/2006/relationships/hyperlink" Target="https://contrataciondelestado.es/FileSystem/servlet/GetDocumentByIdServlet?cifrado=QUC1GjXXSiLkydRHJBmbpw%3D%3D&amp;DocumentIdParam=M2pPcULggUqQOiFiXeyNHQRKTQK7JdHkMswbvnMCXXAS68iJcSLDIjVxlkv22ksW8A4X8%2BZxUhHPwPnW9Oxy59/M96Uxjh/9AHk/Xg14EN2Cx2e6p7hqtlp2aFupgHMr" TargetMode="External" Id="rId426" /><Relationship Type="http://schemas.openxmlformats.org/officeDocument/2006/relationships/hyperlink" Target="https://contrataciondelestado.es/wps/poc?uri=deeplink:detalle_licitacion&amp;idEvl=%2FwGdz3Y30%2Bs%2FbjW6njtWLw%3D%3D" TargetMode="External" Id="rId427" /><Relationship Type="http://schemas.openxmlformats.org/officeDocument/2006/relationships/hyperlink" Target="https://contrataciondelestado.es/FileSystem/servlet/GetDocumentByIdServlet?cifrado=QUC1GjXXSiLkydRHJBmbpw%3D%3D&amp;DocumentIdParam=aEzlPwvcDgGlCYMpyqxNdH1dT7U9r3O8ETwIon2kzuU1kMx/DvV2Lnax08xVJ9Ic9SBDIeU4L37p5LhIDU9x389uNc9rL47DKCHnYsSWW1PDdQD9RyhUmzT4jZ2In4zL" TargetMode="External" Id="rId428" /><Relationship Type="http://schemas.openxmlformats.org/officeDocument/2006/relationships/hyperlink" Target="https://contrataciondelestado.es/wps/poc?uri=deeplink:detalle_licitacion&amp;idEvl=%2FyAtQAvRMswl5NjlNci%2BtA%3D%3D" TargetMode="External" Id="rId429" /><Relationship Type="http://schemas.openxmlformats.org/officeDocument/2006/relationships/hyperlink" Target="https://contrataciondelestado.es/FileSystem/servlet/GetDocumentByIdServlet?cifrado=QUC1GjXXSiLkydRHJBmbpw%3D%3D&amp;DocumentIdParam=M%2BwAgRprBMpnbfAFwgplT%2BvzFJyXxcDDuG3GKJL/pyHz%2BibnOB6duRwxYBOywNO3bqNJqS5wEKJ4Kgu3qyrowX5aSxuOhNcsR7K8rtUJVN6B0nvVKRzfe4rpHcnlPhSZ" TargetMode="External" Id="rId430" /><Relationship Type="http://schemas.openxmlformats.org/officeDocument/2006/relationships/hyperlink" Target="https://contrataciondelestado.es/wps/poc?uri=deeplink:detalle_licitacion&amp;idEvl=fWHe2SqlITTI8aL3PRS10Q%3D%3D" TargetMode="External" Id="rId431" /><Relationship Type="http://schemas.openxmlformats.org/officeDocument/2006/relationships/hyperlink" Target="https://contrataciondelestado.es/FileSystem/servlet/GetDocumentByIdServlet?cifrado=QUC1GjXXSiLkydRHJBmbpw%3D%3D&amp;DocumentIdParam=zb179kB1cbghIoCbN%2BMX8cvmkMLO16dqno%2B3sxsNF2eEkQlCB0kaxYuv8V1y8tibUtn2D2u1xQYjFklfqsoel6vMRvPAdfiJjViQlJfl3Hg//q7NB2iMZvNyf0xrJmjt" TargetMode="External" Id="rId432" /><Relationship Type="http://schemas.openxmlformats.org/officeDocument/2006/relationships/hyperlink" Target="https://contrataciondelestado.es/wps/poc?uri=deeplink:detalle_licitacion&amp;idEvl=R9Q3lQpBs75VYjgxA4nMUw%3D%3D" TargetMode="External" Id="rId433" /><Relationship Type="http://schemas.openxmlformats.org/officeDocument/2006/relationships/hyperlink" Target="https://contrataciondelestado.es/FileSystem/servlet/GetDocumentByIdServlet?cifrado=QUC1GjXXSiLkydRHJBmbpw%3D%3D&amp;DocumentIdParam=6NGfnYs9X5dCyElpLojcJ3vTqAi88lxJgGlPkebrgkm9wm3CUdkg7%2BI0kKls0Z0ueucjGDcve8lf2q4qvKkdvyhbrNEVQ0d9X0m0UXMx5ITVTD3T98KC0nSgQFM0q%2B5s" TargetMode="External" Id="rId434" /><Relationship Type="http://schemas.openxmlformats.org/officeDocument/2006/relationships/hyperlink" Target="https://contrataciondelestado.es/wps/poc?uri=deeplink:detalle_licitacion&amp;idEvl=AvI78bucC7lxseVhcqrkhw%3D%3D" TargetMode="External" Id="rId435" /><Relationship Type="http://schemas.openxmlformats.org/officeDocument/2006/relationships/hyperlink" Target="https://contrataciondelestado.es/FileSystem/servlet/GetDocumentByIdServlet?cifrado=QUC1GjXXSiLkydRHJBmbpw%3D%3D&amp;DocumentIdParam=6tvyDzB4UurWQEw1VhhAJfag6krPjQQXtDZqWBG3%2B0pMTn6HjNqXeqRIigr1JilnW4KOcS21HsRBX70sA7eR0L0D%2BGGQl2on324KS7SUzR1t/o8fNevwsujgRzaBbugn" TargetMode="External" Id="rId436" /><Relationship Type="http://schemas.openxmlformats.org/officeDocument/2006/relationships/hyperlink" Target="https://contrataciondelestado.es/wps/poc?uri=deeplink:detalle_licitacion&amp;idEvl=otLaHi8X9U7mnwcj%2BxbdTg%3D%3D" TargetMode="External" Id="rId437" /><Relationship Type="http://schemas.openxmlformats.org/officeDocument/2006/relationships/hyperlink" Target="https://contrataciondelestado.es/FileSystem/servlet/GetDocumentByIdServlet?cifrado=QUC1GjXXSiLkydRHJBmbpw%3D%3D&amp;DocumentIdParam=QcN1vl%2B3JtmYsu7w2k3YIj%2BcaQVOw01yGSc%2Bwt7RAELFVJxqwGjy61/S6YyyDBwBxUsV/0jOL8hHc1GBSIN6c7CxUXvxjpsK90fVIDJJCyTDdQD9RyhUmzT4jZ2In4zL" TargetMode="External" Id="rId438" /><Relationship Type="http://schemas.openxmlformats.org/officeDocument/2006/relationships/hyperlink" Target="https://contrataciondelestado.es/wps/poc?uri=deeplink:detalle_licitacion&amp;idEvl=Tq4VNlz32MX9pbnDwlaUlg%3D%3D" TargetMode="External" Id="rId439" /><Relationship Type="http://schemas.openxmlformats.org/officeDocument/2006/relationships/hyperlink" Target="https://contrataciondelestado.es/FileSystem/servlet/GetDocumentByIdServlet?cifrado=QUC1GjXXSiLkydRHJBmbpw%3D%3D&amp;DocumentIdParam=ffCUWh/BB05kqCcJ63fhpSc7Lg7lshup50tnUF8OOQmOJgRRfzDBNF%2Bhn0tcx4zs3/VOhKE2JLryEVoeS2ojcwvel6BiU682O4gqwNpMq5mB0nvVKRzfe4rpHcnlPhSZ" TargetMode="External" Id="rId440" /><Relationship Type="http://schemas.openxmlformats.org/officeDocument/2006/relationships/hyperlink" Target="https://contrataciondelestado.es/wps/poc?uri=deeplink:detalle_licitacion&amp;idEvl=hSvJJYQHGWWKeVWTb9Scog%3D%3D" TargetMode="External" Id="rId441" /><Relationship Type="http://schemas.openxmlformats.org/officeDocument/2006/relationships/hyperlink" Target="https://contrataciondelestado.es/FileSystem/servlet/GetDocumentByIdServlet?cifrado=QUC1GjXXSiLkydRHJBmbpw%3D%3D&amp;DocumentIdParam=yj4JrzViehMRsLGRWWTcTcwxHBFVlLjgaSev/AAzVrpbWdSEyeHDhwJpj7vDZD771v5r1djYiG3LYdlPJkLJmz6LG/MyUsyeC98lW4eQeu3VTD3T98KC0nSgQFM0q%2B5s" TargetMode="External" Id="rId442" /><Relationship Type="http://schemas.openxmlformats.org/officeDocument/2006/relationships/hyperlink" Target="https://contrataciondelestado.es/wps/poc?uri=deeplink:detalle_licitacion&amp;idEvl=26dhjfUNQl7VGIpKDxgsAQ%3D%3D" TargetMode="External" Id="rId443" /><Relationship Type="http://schemas.openxmlformats.org/officeDocument/2006/relationships/hyperlink" Target="https://contrataciondelestado.es/FileSystem/servlet/GetDocumentByIdServlet?cifrado=QUC1GjXXSiLkydRHJBmbpw%3D%3D&amp;DocumentIdParam=xjvABiDbHKqNT4smo4BGkAsDshRmjHGTdpObh9mfunDoifZVPYI4V7U2LHW8e9xFk0XUxQULvw/%2BJZSH8TtnDDc6I48FhcioMujikUeNRdwC1/zDIE0Kw/PWNnLS0Z0z" TargetMode="External" Id="rId444" /><Relationship Type="http://schemas.openxmlformats.org/officeDocument/2006/relationships/hyperlink" Target="https://contrataciondelestado.es/wps/poc?uri=deeplink:detalle_licitacion&amp;idEvl=yPL2gxWRPEp%2FR5QFTlaM4A%3D%3D" TargetMode="External" Id="rId445" /><Relationship Type="http://schemas.openxmlformats.org/officeDocument/2006/relationships/hyperlink" Target="https://contrataciondelestado.es/FileSystem/servlet/GetDocumentByIdServlet?cifrado=QUC1GjXXSiLkydRHJBmbpw%3D%3D&amp;DocumentIdParam=CX4gnTl%2BNREoRtJiBF6DUwjLEdFh1iQwBv4M02hJNgjCRfi0JPatfR72YqeVrXuTozp/BqmD3sJLTBpADEseqJb4o97iHO2Pezlj6wMMldvfdyQgZAdTm3EfcUAC7CJ6" TargetMode="External" Id="rId446" /><Relationship Type="http://schemas.openxmlformats.org/officeDocument/2006/relationships/hyperlink" Target="https://contrataciondelestado.es/wps/poc?uri=deeplink:detalle_licitacion&amp;idEvl=ALveh7CaMd%2B7JOCXkOhcDg%3D%3D" TargetMode="External" Id="rId447" /><Relationship Type="http://schemas.openxmlformats.org/officeDocument/2006/relationships/hyperlink" Target="https://contrataciondelestado.es/FileSystem/servlet/GetDocumentByIdServlet?cifrado=QUC1GjXXSiLkydRHJBmbpw%3D%3D&amp;DocumentIdParam=9w%2BAI1Qo1BzXCIA8v2CaMehA6D4BxZ2Z5z%2BRMGGBwvpqZ7i1pdUuunmcHxHIq9eKyU1LOCikPB77%2BbeqobwLO195utyMkpVymXTm1VzwtuW1aXEvq3KHa/AEHgtDrQw0" TargetMode="External" Id="rId448" /><Relationship Type="http://schemas.openxmlformats.org/officeDocument/2006/relationships/hyperlink" Target="https://contrataciondelestado.es/wps/poc?uri=deeplink:detalle_licitacion&amp;idEvl=D8P%2BFvfVIYoeC9GJQOEBkQ%3D%3D" TargetMode="External" Id="rId449" /><Relationship Type="http://schemas.openxmlformats.org/officeDocument/2006/relationships/hyperlink" Target="https://contrataciondelestado.es/FileSystem/servlet/GetDocumentByIdServlet?cifrado=QUC1GjXXSiLkydRHJBmbpw%3D%3D&amp;DocumentIdParam=jultzgE9mi3Ogi/8i6eHCEM8oBOq6Tk1yuMalHuwUvIpr/OWIOCFe8Y%2BIWcOpJND3YV5XIjfiYjJTl/nSrfHLv4/NZK0Epzn57m5r1b33xmCx2e6p7hqtlp2aFupgHMr" TargetMode="External" Id="rId450" /><Relationship Type="http://schemas.openxmlformats.org/officeDocument/2006/relationships/hyperlink" Target="https://contrataciondelestado.es/wps/poc?uri=deeplink:detalle_licitacion&amp;idEvl=zfQhOxqx1YjE6P%2FuLemXRw%3D%3D" TargetMode="External" Id="rId451" /><Relationship Type="http://schemas.openxmlformats.org/officeDocument/2006/relationships/hyperlink" Target="https://contrataciondelestado.es/FileSystem/servlet/GetDocumentByIdServlet?cifrado=QUC1GjXXSiLkydRHJBmbpw%3D%3D&amp;DocumentIdParam=oFv%2B9U0jWvN4X4%2BaJK0VV566YKm85M8dHN8VVqj7/WEsGKBK%2BxFWL6g4UPmoE97nMDQSQyNBlAX6xdf3oN37MJ9QusMYuj5rpSYvpKnCKv73GVhXrFFqN7yFncy7YfRK" TargetMode="External" Id="rId452" /><Relationship Type="http://schemas.openxmlformats.org/officeDocument/2006/relationships/hyperlink" Target="https://contrataciondelestado.es/wps/poc?uri=deeplink:detalle_licitacion&amp;idEvl=B5ehtnshdu22gkLQ8TeYKA%3D%3D" TargetMode="External" Id="rId453" /><Relationship Type="http://schemas.openxmlformats.org/officeDocument/2006/relationships/hyperlink" Target="https://contrataciondelestado.es/FileSystem/servlet/GetDocumentByIdServlet?cifrado=QUC1GjXXSiLkydRHJBmbpw%3D%3D&amp;DocumentIdParam=autbZxxet%2BFNidPtF99YllRzmzTB%2BvJTrFjsks/bn6Aj8BNDKGjZ7JJERRMwmo17tXWk3tnNMXM7Kn2snUyiCwD0rzIkPM9iLIMWnvVmry5JOVDbGCDM%2BMigrvuVS7Rv" TargetMode="External" Id="rId454" /><Relationship Type="http://schemas.openxmlformats.org/officeDocument/2006/relationships/hyperlink" Target="https://contrataciondelestado.es/wps/poc?uri=deeplink:detalle_licitacion&amp;idEvl=lxzASPReqNIaF6cS8TCh%2FA%3D%3D" TargetMode="External" Id="rId455" /><Relationship Type="http://schemas.openxmlformats.org/officeDocument/2006/relationships/hyperlink" Target="https://contrataciondelestado.es/FileSystem/servlet/GetDocumentByIdServlet?DocumentIdParam=v2ykiAzq%2BtLXmzPjPlTxpz7d1v8MLPBqoyrJDOm2uuwOvSVc5kawkWJ%2B2wGiyiyTDdefwwb8nFxO0GLIt6YlEkKFTfZFm5AXeSdQVwWS9GF7QB3HKyQaFUExmUVQCerk&amp;cifrado=QUC1GjXXSiLkydRHJBmbpw%3D%3D" TargetMode="External" Id="rId456" /><Relationship Type="http://schemas.openxmlformats.org/officeDocument/2006/relationships/hyperlink" Target="https://contrataciondelestado.es/wps/poc?uri=deeplink:detalle_licitacion&amp;idEvl=dLy1sTBc6tc3vLk2DU2Ddg%3D%3D" TargetMode="External" Id="rId457" /><Relationship Type="http://schemas.openxmlformats.org/officeDocument/2006/relationships/hyperlink" Target="https://contrataciondelestado.es/FileSystem/servlet/GetDocumentByIdServlet?cifrado=QUC1GjXXSiLkydRHJBmbpw%3D%3D&amp;DocumentIdParam=2KHL1WcIq5UU6K9mxTBh2gX6L3ph76EeZZgigbVlGvEM/vQJ5Zk%2BrvoXOY1mxf81MGbOMsgmVGVUy6SGH3%2BiCAX9Hpj1SOP5Z1C75PGZ6xHDdQD9RyhUmzT4jZ2In4zL" TargetMode="External" Id="rId458" /><Relationship Type="http://schemas.openxmlformats.org/officeDocument/2006/relationships/hyperlink" Target="https://contrataciondelestado.es/wps/poc?uri=deeplink:detalle_licitacion&amp;idEvl=r45WNjvLHJAeC9GJQOEBkQ%3D%3D" TargetMode="External" Id="rId459" /><Relationship Type="http://schemas.openxmlformats.org/officeDocument/2006/relationships/hyperlink" Target="https://contrataciondelestado.es/FileSystem/servlet/GetDocumentByIdServlet?cifrado=QUC1GjXXSiLkydRHJBmbpw%3D%3D&amp;DocumentIdParam=orNh1flC2p9SqpZ5W545znkHa42uEyxK1D7lSDGRBdjMmjSI5OGDIcUfmBjIpUlkMABgMllrX4vpIfuch7iRijQAEeVF0bjNoWtkfId7lQT3GVhXrFFqN7yFncy7YfRK" TargetMode="External" Id="rId460" /><Relationship Type="http://schemas.openxmlformats.org/officeDocument/2006/relationships/hyperlink" Target="https://contrataciondelestado.es/wps/poc?uri=deeplink:detalle_licitacion&amp;idEvl=jlKe22rdsDiExvMJXBMHHQ%3D%3D" TargetMode="External" Id="rId461" /><Relationship Type="http://schemas.openxmlformats.org/officeDocument/2006/relationships/hyperlink" Target="https://contrataciondelestado.es/FileSystem/servlet/GetDocumentByIdServlet?cifrado=QUC1GjXXSiLkydRHJBmbpw%3D%3D&amp;DocumentIdParam=upDPj6F00qzlUU/LlhoXxSuNWfK4bPJh%2B2hR9x43t6JD7RbA0rpl4yfSXOze9qJj5iLOdgRTTQlcg%2BD1uVLSVeg9g1lijj1jEuuyW5glrPNJOVDbGCDM%2BMigrvuVS7Rv" TargetMode="External" Id="rId462" /><Relationship Type="http://schemas.openxmlformats.org/officeDocument/2006/relationships/hyperlink" Target="https://contrataciondelestado.es/wps/poc?uri=deeplink:detalle_licitacion&amp;idEvl=hnYV5i8%2BqH5q1DdmE7eaXg%3D%3D" TargetMode="External" Id="rId463" /><Relationship Type="http://schemas.openxmlformats.org/officeDocument/2006/relationships/hyperlink" Target="https://contrataciondelestado.es/FileSystem/servlet/GetDocumentByIdServlet?cifrado=QUC1GjXXSiLkydRHJBmbpw%3D%3D&amp;DocumentIdParam=Gpw3WeFZxNL7R218zeu5/ys4d8E0%2BrLqdinPIDfnpgiS1cUqtkBCG2Lu/iT%2Ba/UjXiWTZwIYMCA9xBSMBNxiQF/3zA24y1RbQdrP95qqpDvVTD3T98KC0nSgQFM0q%2B5s" TargetMode="External" Id="rId464" /><Relationship Type="http://schemas.openxmlformats.org/officeDocument/2006/relationships/hyperlink" Target="https://contrataciondelestado.es/wps/poc?uri=deeplink:detalle_licitacion&amp;idEvl=dzfB0MLdUHk36J9Lctlsuw%3D%3D" TargetMode="External" Id="rId465" /><Relationship Type="http://schemas.openxmlformats.org/officeDocument/2006/relationships/hyperlink" Target="https://contrataciondelestado.es/FileSystem/servlet/GetDocumentByIdServlet?cifrado=QUC1GjXXSiLkydRHJBmbpw%3D%3D&amp;DocumentIdParam=mnEZGLOrahjyX02af6FrQa21/Sb5FHF6d1svm%2B62M9/xtBwOXeMV81A9VN%2Bj/UruVuGpLWRiwNDrJmds/%2BLHPVRE0kVsnFV0/dC8FNCOdSI//q7NB2iMZvNyf0xrJmjt" TargetMode="External" Id="rId466" /><Relationship Type="http://schemas.openxmlformats.org/officeDocument/2006/relationships/hyperlink" Target="https://contrataciondelestado.es/wps/poc?uri=deeplink:detalle_licitacion&amp;idEvl=emZxXk9PJwTXOjazN1Dw9Q%3D%3D" TargetMode="External" Id="rId467" /><Relationship Type="http://schemas.openxmlformats.org/officeDocument/2006/relationships/hyperlink" Target="https://contrataciondelestado.es/FileSystem/servlet/GetDocumentByIdServlet?cifrado=QUC1GjXXSiLkydRHJBmbpw%3D%3D&amp;DocumentIdParam=Hk7/q/PJKgOagV71dR8Q2l6JZmbqzovA/PJISuqdNjbw/meBBwT8agppjQy25MP3MvzabfWqd%2Bu/TVI7ZOWuw/3Mt%2BzigPlGFz2RP3VtIhy1aXEvq3KHa/AEHgtDrQw0" TargetMode="External" Id="rId468" /><Relationship Type="http://schemas.openxmlformats.org/officeDocument/2006/relationships/hyperlink" Target="https://contrataciondelestado.es/wps/poc?uri=deeplink:detalle_licitacion&amp;idEvl=btxl5SA3sV9%2FR5QFTlaM4A%3D%3D" TargetMode="External" Id="rId469" /><Relationship Type="http://schemas.openxmlformats.org/officeDocument/2006/relationships/hyperlink" Target="https://contrataciondelestado.es/FileSystem/servlet/GetDocumentByIdServlet?cifrado=QUC1GjXXSiLkydRHJBmbpw%3D%3D&amp;DocumentIdParam=u52eBlG0idrIsZpLne0sJXxq7XjzQ17AcC4DxCEotQo%2B1%2BWe%2BANHj%2B6%2B4Itd/wBCsbyiHXwohZn8MzZ0mAsAoWt7AMYblxSjzxOvCrPZARsC1/zDIE0Kw/PWNnLS0Z0z" TargetMode="External" Id="rId470" /><Relationship Type="http://schemas.openxmlformats.org/officeDocument/2006/relationships/hyperlink" Target="https://contrataciondelestado.es/wps/poc?uri=deeplink:detalle_licitacion&amp;idEvl=i8kwFP0P8itrhBlEHQFSKA%3D%3D" TargetMode="External" Id="rId471" /><Relationship Type="http://schemas.openxmlformats.org/officeDocument/2006/relationships/hyperlink" Target="https://contrataciondelestado.es/FileSystem/servlet/GetDocumentByIdServlet?cifrado=QUC1GjXXSiLkydRHJBmbpw%3D%3D&amp;DocumentIdParam=omdxRB9FC2MwpQcypY5WQi0xmL19srvvoF03T2MRrj8JOX1rBwVQo4ZAvMFZt1ZHp7/tgUZv6kUTh6Wc2rHRLjc0qR5zs%2Bbanvre1EXjno9JOVDbGCDM%2BMigrvuVS7Rv" TargetMode="External" Id="rId472" /><Relationship Type="http://schemas.openxmlformats.org/officeDocument/2006/relationships/hyperlink" Target="https://contrataciondelestado.es/wps/poc?uri=deeplink:detalle_licitacion&amp;idEvl=yH1SrhX59b5VkTabT%2FRM8A%3D%3D" TargetMode="External" Id="rId473" /><Relationship Type="http://schemas.openxmlformats.org/officeDocument/2006/relationships/hyperlink" Target="https://contrataciondelestado.es/FileSystem/servlet/GetDocumentByIdServlet?cifrado=QUC1GjXXSiLkydRHJBmbpw%3D%3D&amp;DocumentIdParam=G7wNxEiLl8Tdvwi1XKZmpb313fv5cFjkGXdXTcQajmTVKvxF8%2B2QDkV2MpoS%2Br2wGHlJGpZHPZbkaSU2U5fUDmv1tTt1ACTs1LjIxhUg/4SB0nvVKRzfe4rpHcnlPhSZ" TargetMode="External" Id="rId474" /><Relationship Type="http://schemas.openxmlformats.org/officeDocument/2006/relationships/hyperlink" Target="https://contrataciondelestado.es/wps/poc?uri=deeplink:detalle_licitacion&amp;idEvl=JI%2BDMcVZhNMtm4eBPtV6eQ%3D%3D" TargetMode="External" Id="rId475" /><Relationship Type="http://schemas.openxmlformats.org/officeDocument/2006/relationships/hyperlink" Target="https://contrataciondelestado.es/FileSystem/servlet/GetDocumentByIdServlet?cifrado=QUC1GjXXSiLkydRHJBmbpw%3D%3D&amp;DocumentIdParam=ItTKX4qAWZ7tXbGsd4jRDr7GwgO2aGLqbRytJxx5uuOhLZJblRZ0PvVSC1YudCOtdEiX2joTBIl3z2%2Bzp9Bw53dtzA9a8y7iURw0OfXo6YbfdyQgZAdTm3EfcUAC7CJ6" TargetMode="External" Id="rId476" /><Relationship Type="http://schemas.openxmlformats.org/officeDocument/2006/relationships/hyperlink" Target="https://contrataciondelestado.es/wps/poc?uri=deeplink:detalle_licitacion&amp;idEvl=wEohuWoEBKhWhbmkna2nXQ%3D%3D" TargetMode="External" Id="rId477" /><Relationship Type="http://schemas.openxmlformats.org/officeDocument/2006/relationships/hyperlink" Target="https://contrataciondelestado.es/FileSystem/servlet/GetDocumentByIdServlet?cifrado=QUC1GjXXSiLkydRHJBmbpw%3D%3D&amp;DocumentIdParam=pWO3M7bTlEDic1iC0VNXJOJQ0PGrZ0Ek9Z0zbdzIkfN1KPOy6LhWsFQ0iOidMNrWMnpix%2Be4PfQxeCIhuPL8Fx0KOOiFY8EDyR1ODyJGdnPDdQD9RyhUmzT4jZ2In4zL" TargetMode="External" Id="rId478" /><Relationship Type="http://schemas.openxmlformats.org/officeDocument/2006/relationships/hyperlink" Target="https://contrataciondelestado.es/wps/poc?uri=deeplink:detalle_licitacion&amp;idEvl=0g03eFHsseyOUi78BmzhOQ%3D%3D" TargetMode="External" Id="rId479" /><Relationship Type="http://schemas.openxmlformats.org/officeDocument/2006/relationships/hyperlink" Target="https://contrataciondelestado.es/FileSystem/servlet/GetDocumentByIdServlet?cifrado=QUC1GjXXSiLkydRHJBmbpw%3D%3D&amp;DocumentIdParam=GfYQqCo9pQo0CIacKaCNsjL4s/HQ0mwxy1%2B7tCx4CwAg91vRWfQWaHbKPNgEe9Ur4gB0%2BWXpvNCfvDK4QjJqh2amp4ci3aRHZtTlkaEM2OmB0nvVKRzfe4rpHcnlPhSZ" TargetMode="External" Id="rId480" /><Relationship Type="http://schemas.openxmlformats.org/officeDocument/2006/relationships/hyperlink" Target="https://contrataciondelestado.es/wps/poc?uri=deeplink:detalle_licitacion&amp;idEvl=f2Jv%2FgGwFPdrSd8H4b2soA%3D%3D" TargetMode="External" Id="rId481" /><Relationship Type="http://schemas.openxmlformats.org/officeDocument/2006/relationships/hyperlink" Target="https://contrataciondelestado.es/FileSystem/servlet/GetDocumentByIdServlet?cifrado=QUC1GjXXSiLkydRHJBmbpw%3D%3D&amp;DocumentIdParam=3o2b3hXSNQvtC6BIU6sFRf1p5TiBE%2BixvL/KmDtDTg4aVAORTvuLt3/Rn0FJdy/x8eJX5GeID6sWw0KV0TERTUZZixHpEX0oppXAXYJ1lvc//q7NB2iMZvNyf0xrJmjt" TargetMode="External" Id="rId482" /><Relationship Type="http://schemas.openxmlformats.org/officeDocument/2006/relationships/hyperlink" Target="https://contrataciondelestado.es/wps/poc?uri=deeplink:detalle_licitacion&amp;idEvl=Op0z6bUdcGTpxJFXpLZ%2B2A%3D%3D" TargetMode="External" Id="rId483" /><Relationship Type="http://schemas.openxmlformats.org/officeDocument/2006/relationships/hyperlink" Target="https://contrataciondelestado.es/FileSystem/servlet/GetDocumentByIdServlet?cifrado=QUC1GjXXSiLkydRHJBmbpw%3D%3D&amp;DocumentIdParam=2yn3TO/lyB4x0chYvGB2%2B1NxKbAeN2NS/SdYzkL8So6aZPA%2B%2BxX0Xj4202rcsmv1hkuxM67XkzFAVcdR9xE9ySDiluqnfTk/%2BDIeI2f3hra1aXEvq3KHa/AEHgtDrQw0" TargetMode="External" Id="rId484" /><Relationship Type="http://schemas.openxmlformats.org/officeDocument/2006/relationships/hyperlink" Target="https://contrataciondelestado.es/wps/poc?uri=deeplink:detalle_licitacion&amp;idEvl=aj82WZUxkm7jHF5qKI4aaw%3D%3D" TargetMode="External" Id="rId485" /><Relationship Type="http://schemas.openxmlformats.org/officeDocument/2006/relationships/hyperlink" Target="https://contrataciondelestado.es/FileSystem/servlet/GetDocumentByIdServlet?cifrado=QUC1GjXXSiLkydRHJBmbpw%3D%3D&amp;DocumentIdParam=yip7%2BuBHHAO7CNE8Q13ArQyreRC9BAYHCrNzASBTMWfqCXN3UtBzg1yUoU3ICLpru/XDL5HLc6TegfqxE8FmgO%2B1N8yPiWRMebLfvu0/Al0C1/zDIE0Kw/PWNnLS0Z0z" TargetMode="External" Id="rId486" /><Relationship Type="http://schemas.openxmlformats.org/officeDocument/2006/relationships/hyperlink" Target="https://contrataciondelestado.es/wps/poc?uri=deeplink:detalle_licitacion&amp;idEvl=yaav8xbO00zI8aL3PRS10Q%3D%3D" TargetMode="External" Id="rId487" /><Relationship Type="http://schemas.openxmlformats.org/officeDocument/2006/relationships/hyperlink" Target="https://contrataciondelestado.es/wps/wcm/connect/PLACE_es/Site/area/docAccCmpnt?srv=cmpnt&amp;cmpntname=GetDocumentsById&amp;source=library&amp;DocumentIdParam=9b7828f6-e1c7-4401-aea2-5a156c5e068a" TargetMode="External" Id="rId488" /><Relationship Type="http://schemas.openxmlformats.org/officeDocument/2006/relationships/hyperlink" Target="https://contrataciondelestado.es/wps/poc?uri=deeplink:detalle_licitacion&amp;idEvl=o07wqaTjnJWIzo3LHNPGcQ%3D%3D" TargetMode="External" Id="rId489" /><Relationship Type="http://schemas.openxmlformats.org/officeDocument/2006/relationships/hyperlink" Target="https://contrataciondelestado.es/FileSystem/servlet/GetDocumentByIdServlet?cifrado=QUC1GjXXSiLkydRHJBmbpw%3D%3D&amp;DocumentIdParam=QTEUoK48TM9Gf9wWIp5Z/ARAnJ8wKmOJeWgiRF%2B8xgD01%2Bzixtsu%2BL2e%2Bg2WWofzrTMsDFtv8frLPJUMxxfgRbd7dBGUEsZvUWt5s7p/c1G1aXEvq3KHa/AEHgtDrQw0" TargetMode="External" Id="rId490" /><Relationship Type="http://schemas.openxmlformats.org/officeDocument/2006/relationships/hyperlink" Target="https://contrataciondelestado.es/wps/poc?uri=deeplink:detalle_licitacion&amp;idEvl=Rqm5AOmIyAh%2FP7lJ7Fu0SA%3D%3D" TargetMode="External" Id="rId491" /><Relationship Type="http://schemas.openxmlformats.org/officeDocument/2006/relationships/hyperlink" Target="https://contrataciondelestado.es/FileSystem/servlet/GetDocumentByIdServlet?cifrado=QUC1GjXXSiLkydRHJBmbpw%3D%3D&amp;DocumentIdParam=kX5zsXbE3h3fO4ENTJIj30x2p5bRp1%2BwqBMbIalBWYwXyqxWqBAydlHbA54BHN2JRMwzzMud%2BBnUI/IqF6ibXzYksJTKoB52JlSuEI8HS3qCx2e6p7hqtlp2aFupgHMr" TargetMode="External" Id="rId492" /><Relationship Type="http://schemas.openxmlformats.org/officeDocument/2006/relationships/hyperlink" Target="https://contrataciondelestado.es/wps/poc?uri=deeplink:detalle_licitacion&amp;idEvl=jmfWovKgk6C2gkLQ8TeYKA%3D%3D" TargetMode="External" Id="rId493" /><Relationship Type="http://schemas.openxmlformats.org/officeDocument/2006/relationships/hyperlink" Target="https://contrataciondelestado.es/FileSystem/servlet/GetDocumentByIdServlet?cifrado=QUC1GjXXSiLkydRHJBmbpw%3D%3D&amp;DocumentIdParam=XiSbF7w1BGN4Lh8nfw/ApavN6P4ljdcwQHTYzb8Cf5RO9cKRT3C7muwQlqb12iiVeXknpHz0dU4uQJalwFPf7Al5iBsKdVkzv8LnNvCuAEHDdQD9RyhUmzT4jZ2In4zL" TargetMode="External" Id="rId494" /><Relationship Type="http://schemas.openxmlformats.org/officeDocument/2006/relationships/hyperlink" Target="https://contrataciondelestado.es/wps/poc?uri=deeplink:detalle_licitacion&amp;idEvl=EkkYjHhmzYnIGlsa0Wad%2Bw%3D%3D" TargetMode="External" Id="rId495" /><Relationship Type="http://schemas.openxmlformats.org/officeDocument/2006/relationships/hyperlink" Target="https://contrataciondelestado.es/FileSystem/servlet/GetDocumentByIdServlet?cifrado=QUC1GjXXSiLkydRHJBmbpw%3D%3D&amp;DocumentIdParam=cOhTpNai%2BCJH7foM1GeLTX5HtPGTyRgHYKJT0XFORmXcs5GvJMAVdOfnphtWVbrV3o0k6jZ%2B7ILVdyo/CM7vESYW7ynCZuvvuRAA16eqguv6CYyL7SIrUOBFfNf52ZqA" TargetMode="External" Id="rId496" /><Relationship Type="http://schemas.openxmlformats.org/officeDocument/2006/relationships/hyperlink" Target="https://contrataciondelestado.es/wps/poc?uri=deeplink:detalle_licitacion&amp;idEvl=QACaGzYLgAjIGlsa0Wad%2Bw%3D%3D" TargetMode="External" Id="rId497" /><Relationship Type="http://schemas.openxmlformats.org/officeDocument/2006/relationships/hyperlink" Target="https://contrataciondelestado.es/FileSystem/servlet/GetDocumentByIdServlet?cifrado=QUC1GjXXSiLkydRHJBmbpw%3D%3D&amp;DocumentIdParam=YT2mbosatI/EOSLgDPEo0MGt3zZSLR1bhY8O/C2KiCZJzppLi5tdP4nrgl0lUyTpxAWn4IE0bX5WaWEEzYIH7gDcYl2tYw%2BevCCP6rVn62Bt/o8fNevwsujgRzaBbugn" TargetMode="External" Id="rId498" /><Relationship Type="http://schemas.openxmlformats.org/officeDocument/2006/relationships/hyperlink" Target="https://contrataciondelestado.es/wps/poc?uri=deeplink:detalle_licitacion&amp;idEvl=px8hieD9ZUrmnwcj%2BxbdTg%3D%3D" TargetMode="External" Id="rId499" /><Relationship Type="http://schemas.openxmlformats.org/officeDocument/2006/relationships/hyperlink" Target="https://contrataciondelestado.es/FileSystem/servlet/GetDocumentByIdServlet?cifrado=QUC1GjXXSiLkydRHJBmbpw%3D%3D&amp;DocumentIdParam=e4ca3WBdXHqZsqp7HWdeWAuUgP10D2Gf4Vn5jo4Pg%2BHkJFRc5YHnkpyDWlCKpHwp0lM94nxF0Buir0bEiYV/gITl0e99mMw1EhjEbj6hTX21aXEvq3KHa/AEHgtDrQw0" TargetMode="External" Id="rId500" /><Relationship Type="http://schemas.openxmlformats.org/officeDocument/2006/relationships/hyperlink" Target="https://contrataciondelestado.es/wps/poc?uri=deeplink:detalle_licitacion&amp;idEvl=B9SFnzrWbjwmMOlAXxDEjw%3D%3D" TargetMode="External" Id="rId501" /><Relationship Type="http://schemas.openxmlformats.org/officeDocument/2006/relationships/hyperlink" Target="https://contrataciondelestado.es/FileSystem/servlet/GetDocumentByIdServlet?cifrado=QUC1GjXXSiLkydRHJBmbpw%3D%3D&amp;DocumentIdParam=0VmIPjV2AbOZvsKU9tfzzw/PMrK3f2pFnMW7A/uDQcm3U3VFy5ECNyDivbvdBhS7OcsZnN5xhTMDt%2Bz3ESlB%2B0c8QJvXNy3sJoHac941RuTDdQD9RyhUmzT4jZ2In4zL" TargetMode="External" Id="rId502" /><Relationship Type="http://schemas.openxmlformats.org/officeDocument/2006/relationships/hyperlink" Target="https://contrataciondelestado.es/wps/poc?uri=deeplink:detalle_licitacion&amp;idEvl=GZ6Y9WaZSUBVYjgxA4nMUw%3D%3D" TargetMode="External" Id="rId503" /><Relationship Type="http://schemas.openxmlformats.org/officeDocument/2006/relationships/hyperlink" Target="https://contrataciondelestado.es/FileSystem/servlet/GetDocumentByIdServlet?cifrado=QUC1GjXXSiLkydRHJBmbpw%3D%3D&amp;DocumentIdParam=SjFqutA60hGWMQcsNei7UD0OZ8zxSfBzuxgdcz5vi16zt2VY2FB%2B1UgT5Rd10xFBEVMW21L8w8McWST23Bf0EIg7JAuGtyk6FiBFaCXsRtYC1/zDIE0Kw/PWNnLS0Z0z" TargetMode="External" Id="rId504" /><Relationship Type="http://schemas.openxmlformats.org/officeDocument/2006/relationships/hyperlink" Target="https://contrataciondelestado.es/wps/poc?uri=deeplink:detalle_licitacion&amp;idEvl=7T1zxXisYdnLIx6q1oPaMg%3D%3D" TargetMode="External" Id="rId505" /><Relationship Type="http://schemas.openxmlformats.org/officeDocument/2006/relationships/hyperlink" Target="https://contrataciondelestado.es/FileSystem/servlet/GetDocumentByIdServlet?cifrado=QUC1GjXXSiLkydRHJBmbpw%3D%3D&amp;DocumentIdParam=9ebvb88Vs9DxvHh9Zz/N%2B4DBZAf0gnZSwKas3M3VDz1hDWodizsVw83TRK6NNBZDhK82BZt7CVMpm1%2BabzhAH2tlaHTJoIzdFZmZ/Q32VhBt/o8fNevwsujgRzaBbugn" TargetMode="External" Id="rId506" /><Relationship Type="http://schemas.openxmlformats.org/officeDocument/2006/relationships/hyperlink" Target="https://contrataciondelestado.es/wps/poc?uri=deeplink:detalle_licitacion&amp;idEvl=HglShHuvyH%2BTylGzYmBF9Q%3D%3D" TargetMode="External" Id="rId507" /><Relationship Type="http://schemas.openxmlformats.org/officeDocument/2006/relationships/hyperlink" Target="https://contrataciondelestado.es/FileSystem/servlet/GetDocumentByIdServlet?cifrado=QUC1GjXXSiLkydRHJBmbpw%3D%3D&amp;DocumentIdParam=nYFdUg8dim%2Bkr9zUAfsXbiI4Ju2P9ztDEiqC8Cd/sMUX3BZDah8vunTbReJ6GYtcO477mdiv31qBNUdM4OfHg8rk87B5auO%2BuF298CImFSM//q7NB2iMZvNyf0xrJmjt" TargetMode="External" Id="rId508" /><Relationship Type="http://schemas.openxmlformats.org/officeDocument/2006/relationships/hyperlink" Target="https://contrataciondelestado.es/wps/poc?uri=deeplink:detalle_licitacion&amp;idEvl=owUVFoCoggE7u6%2B%2FR7DUoA%3D%3D" TargetMode="External" Id="rId509" /><Relationship Type="http://schemas.openxmlformats.org/officeDocument/2006/relationships/hyperlink" Target="https://contrataciondelestado.es/FileSystem/servlet/GetDocumentByIdServlet?cifrado=QUC1GjXXSiLkydRHJBmbpw%3D%3D&amp;DocumentIdParam=3Ftuv01pcldJrGa33jojk7u/xZsrkilZ%2B%2BktV1MjqVxjssXl9qMZ8uZKNwr8eZtcvdrcRLgOtCdvbOOmO%2Bzf3l4Ax0V02O1jMO9Oovew%2BOfVTD3T98KC0nSgQFM0q%2B5s" TargetMode="External" Id="rId510" /><Relationship Type="http://schemas.openxmlformats.org/officeDocument/2006/relationships/hyperlink" Target="https://contrataciondelestado.es/wps/poc?uri=deeplink:detalle_licitacion&amp;idEvl=uFfh63lSTlxLAIVZdUs8KA%3D%3D" TargetMode="External" Id="rId511" /><Relationship Type="http://schemas.openxmlformats.org/officeDocument/2006/relationships/hyperlink" Target="https://contrataciondelestado.es/FileSystem/servlet/GetDocumentByIdServlet?cifrado=QUC1GjXXSiLkydRHJBmbpw%3D%3D&amp;DocumentIdParam=1hWs%2BwqxoawBHwxBS2O3Z6g7gVYUmgcUWM2rUPX69O0zWF69ijQnD9C4bVj0bJDVIbfmOfOglRssXgmFzbjCtgU1Kru2o1rqAiGlbebFCu/DdQD9RyhUmzT4jZ2In4zL" TargetMode="External" Id="rId512" /><Relationship Type="http://schemas.openxmlformats.org/officeDocument/2006/relationships/hyperlink" Target="https://contrataciondelestado.es/wps/poc?uri=deeplink:detalle_licitacion&amp;idEvl=M%2BP1AKIIWr0%2Bk2oCbDosIw%3D%3D" TargetMode="External" Id="rId513" /><Relationship Type="http://schemas.openxmlformats.org/officeDocument/2006/relationships/hyperlink" Target="https://contrataciondelestado.es/FileSystem/servlet/GetDocumentByIdServlet?cifrado=QUC1GjXXSiLkydRHJBmbpw%3D%3D&amp;DocumentIdParam=wmM2qPx8/n2dhM5045uvclqwTOy6czmxkOaRwNegN47iInBRAAqYV%2Bl/UzakU5R0lUbUoAnA4QjpfqdOAPc3Qck6uf3KXdy9zIv%2BFLG9EoR7QB3HKyQaFUExmUVQCerk" TargetMode="External" Id="rId514" /><Relationship Type="http://schemas.openxmlformats.org/officeDocument/2006/relationships/hyperlink" Target="https://contrataciondelestado.es/wps/poc?uri=deeplink:detalle_licitacion&amp;idEvl=l5iPpcCyPKAeC9GJQOEBkQ%3D%3D" TargetMode="External" Id="rId515" /><Relationship Type="http://schemas.openxmlformats.org/officeDocument/2006/relationships/hyperlink" Target="https://contrataciondelestado.es/FileSystem/servlet/GetDocumentByIdServlet?cifrado=QUC1GjXXSiLkydRHJBmbpw%3D%3D&amp;DocumentIdParam=1k/dGOENdyAjFI%2BLW7XQG4pMa7YZfhedd7POrz8uYUL78tCWIzUzUtwtJNu8rxv7Oyz17ypCjoILy/Pl/J5UnyRf3rsjd4Uic5nkgYC80eoZyAJWGsSt0OzTSTyw9JAs" TargetMode="External" Id="rId516" /><Relationship Type="http://schemas.openxmlformats.org/officeDocument/2006/relationships/hyperlink" Target="https://contrataciondelestado.es/wps/poc?uri=deeplink:detalle_licitacion&amp;idEvl=BsOkx26tTx%2BsNfRW6APEDw%3D%3D" TargetMode="External" Id="rId517" /><Relationship Type="http://schemas.openxmlformats.org/officeDocument/2006/relationships/hyperlink" Target="https://contrataciondelestado.es/FileSystem/servlet/GetDocumentByIdServlet?cifrado=QUC1GjXXSiLkydRHJBmbpw%3D%3D&amp;DocumentIdParam=UTnFxV6J997Tez8Szt9tdvtscZoKmS2oFGGctDYmScgT62rWBZ8OwNWXj90BlWmsbeQsbnlpXS8xH8fPcQlaXYZRk0AslL4SF1UM7YHkNbN45ClyWkoJ44mKM70IFcOu" TargetMode="External" Id="rId518" /><Relationship Type="http://schemas.openxmlformats.org/officeDocument/2006/relationships/hyperlink" Target="https://contrataciondelestado.es/wps/poc?uri=deeplink:detalle_licitacion&amp;idEvl=Khz2%2FpfD94F6nTs9LZ9RhQ%3D%3D" TargetMode="External" Id="rId519" /><Relationship Type="http://schemas.openxmlformats.org/officeDocument/2006/relationships/hyperlink" Target="https://contrataciondelestado.es/FileSystem/servlet/GetDocumentByIdServlet?cifrado=QUC1GjXXSiLkydRHJBmbpw%3D%3D&amp;DocumentIdParam=0e2/ud6ZPWQuX7sk4TfLYozS1WGY53Q8mEZ%2BbJwougfy7mH54Bv6XXOU7yXEOxlnQhzXOZH0QzcMJV4ZXAhUA8ycrtiOSk617KnlcsR79NffdyQgZAdTm3EfcUAC7CJ6" TargetMode="External" Id="rId520" /><Relationship Type="http://schemas.openxmlformats.org/officeDocument/2006/relationships/hyperlink" Target="https://contrataciondelestado.es/wps/poc?uri=deeplink:detalle_licitacion&amp;idEvl=CyoHFl0L7ZpVq4S9zvaQpQ%3D%3D" TargetMode="External" Id="rId521" /><Relationship Type="http://schemas.openxmlformats.org/officeDocument/2006/relationships/hyperlink" Target="https://contrataciondelestado.es/FileSystem/servlet/GetDocumentByIdServlet?cifrado=QUC1GjXXSiLkydRHJBmbpw%3D%3D&amp;DocumentIdParam=RR3l8PqZ3868FEoVrlBs9inC276Lb%2Bmokdzf6asCJpGkSk15zic4qYkBh4Wo0cRkCSGJImcgKJ5oHcO/rZvXt8yGPpkmxVhWFOol/o8xvd9t/o8fNevwsujgRzaBbugn" TargetMode="External" Id="rId522" /><Relationship Type="http://schemas.openxmlformats.org/officeDocument/2006/relationships/hyperlink" Target="https://contrataciondelestado.es/wps/poc?uri=deeplink:detalle_licitacion&amp;idEvl=O07recMFy%2BkaF6cS8TCh%2FA%3D%3D" TargetMode="External" Id="rId523" /><Relationship Type="http://schemas.openxmlformats.org/officeDocument/2006/relationships/hyperlink" Target="https://contrataciondelestado.es/FileSystem/servlet/GetDocumentByIdServlet?cifrado=QUC1GjXXSiLkydRHJBmbpw%3D%3D&amp;DocumentIdParam=z9//z/LgE86TyTz/3gH9zrqJs1ia6AkogKYE4USQTctjjha/Ux0rhbe4HR6kcSTNNT0KkSZVgWKpf3eNQJ8nytMSFedG0mBhvCKv/diM3BE//q7NB2iMZvNyf0xrJmjt" TargetMode="External" Id="rId524" /><Relationship Type="http://schemas.openxmlformats.org/officeDocument/2006/relationships/hyperlink" Target="https://contrataciondelestado.es/wps/poc?uri=deeplink:detalle_licitacion&amp;idEvl=2mL2pfF71Mh%2FP7lJ7Fu0SA%3D%3D" TargetMode="External" Id="rId525" /><Relationship Type="http://schemas.openxmlformats.org/officeDocument/2006/relationships/hyperlink" Target="https://contrataciondelestado.es/wps/poc?uri=deeplink:detalle_licitacion&amp;idEvl=ssJ4qOIfs7ES7pcxhTeWOg%3D%3D" TargetMode="External" Id="rId526" /><Relationship Type="http://schemas.openxmlformats.org/officeDocument/2006/relationships/hyperlink" Target="https://contrataciondelestado.es/FileSystem/servlet/GetDocumentByIdServlet?DocumentIdParam=IMoL%2BJmq6PlGotApWZhqcfcFS9ay5pOMwnLe4ukHaCPK2eUsWXP83Ta4Sx2dNqLAMWMlrQT58EGSyUoLSMmFGYdkAeh5zesTdFf67%2BFT3pXVTD3T98KC0nSgQFM0q%2B5s&amp;cifrado=QUC1GjXXSiLkydRHJBmbpw%3D%3D" TargetMode="External" Id="rId527" /><Relationship Type="http://schemas.openxmlformats.org/officeDocument/2006/relationships/hyperlink" Target="https://contrataciondelestado.es/wps/poc?uri=deeplink:detalle_licitacion&amp;idEvl=jOUXAP4H3%2FfI8aL3PRS10Q%3D%3D" TargetMode="External" Id="rId528" /><Relationship Type="http://schemas.openxmlformats.org/officeDocument/2006/relationships/hyperlink" Target="https://contrataciondelestado.es/FileSystem/servlet/GetDocumentByIdServlet?cifrado=QUC1GjXXSiLkydRHJBmbpw%3D%3D&amp;DocumentIdParam=nxtaa/pqHWrWwhTIggFFGp8ZEmhlzKnIE2v1/ZigPMLzBpvB6wcci6/4PW6RIIdVbsSV3cwyXKN5yFNhQGM7otL34q/vcy1R/M20fM4IBN%2BB0nvVKRzfe4rpHcnlPhSZ" TargetMode="External" Id="rId529" /><Relationship Type="http://schemas.openxmlformats.org/officeDocument/2006/relationships/hyperlink" Target="https://contrataciondelestado.es/wps/poc?uri=deeplink:detalle_licitacion&amp;idEvl=2jaUThAwLKrL1rX3q%2FMAPA%3D%3D" TargetMode="External" Id="rId530" /><Relationship Type="http://schemas.openxmlformats.org/officeDocument/2006/relationships/hyperlink" Target="https://contrataciondelestado.es/FileSystem/servlet/GetDocumentByIdServlet?cifrado=QUC1GjXXSiLkydRHJBmbpw%3D%3D&amp;DocumentIdParam=0iXTfXQj/TqSnpBHmPtiytGGic83tWyu9bR2ZL/LFD%2BtxWrwB1rLnClfnID%2Bm1dn2o0YSrhCWrgme2OgOdT/8i0TJxBE9SSVwaH5zRb0F2pt/o8fNevwsujgRzaBbugn" TargetMode="External" Id="rId531" /><Relationship Type="http://schemas.openxmlformats.org/officeDocument/2006/relationships/hyperlink" Target="https://contrataciondelestado.es/wps/poc?uri=deeplink:detalle_licitacion&amp;idEvl=Be%2FSow2xetri0Kd8%2Brcp6w%3D%3D" TargetMode="External" Id="rId532" /><Relationship Type="http://schemas.openxmlformats.org/officeDocument/2006/relationships/hyperlink" Target="https://contrataciondelestado.es/FileSystem/servlet/GetDocumentByIdServlet?cifrado=QUC1GjXXSiLkydRHJBmbpw%3D%3D&amp;DocumentIdParam=GzdQXtRnJALBlykpuYOMhp8AXfgzYfjLdc7bXzS1xIOJjUEbxIvCPt1CdHTNv2KdZPlQVi1lzyoOxm6ie/1SnYi6JBh35oP9ZsLTzbm70D945ClyWkoJ44mKM70IFcOu" TargetMode="External" Id="rId533" /><Relationship Type="http://schemas.openxmlformats.org/officeDocument/2006/relationships/hyperlink" Target="https://contrataciondelestado.es/wps/poc?uri=deeplink:detalle_licitacion&amp;idEvl=kjMqNmaSSOOzz8fXU2i3eQ%3D%3D" TargetMode="External" Id="rId534" /><Relationship Type="http://schemas.openxmlformats.org/officeDocument/2006/relationships/hyperlink" Target="https://contrataciondelestado.es/FileSystem/servlet/GetDocumentByIdServlet?cifrado=QUC1GjXXSiLkydRHJBmbpw%3D%3D&amp;DocumentIdParam=lIfXzN8n/pUR2xBGlTfJ/r9PUZaj6x6vAWz8PAemw4JqqEWq6o/2AI23y19K3GRcL9PFXYfjupcb0O5DLocyaKan5Qfd3JHAzWAwpSwn1gH6CYyL7SIrUOBFfNf52ZqA" TargetMode="External" Id="rId535" /><Relationship Type="http://schemas.openxmlformats.org/officeDocument/2006/relationships/hyperlink" Target="https://contrataciondelestado.es/wps/poc?uri=deeplink:detalle_licitacion&amp;idEvl=XR%2Ff4tDBJI%2FN3k3tjedSGw%3D%3D" TargetMode="External" Id="rId536" /><Relationship Type="http://schemas.openxmlformats.org/officeDocument/2006/relationships/hyperlink" Target="https://contrataciondelestado.es/FileSystem/servlet/GetDocumentByIdServlet?cifrado=QUC1GjXXSiLkydRHJBmbpw%3D%3D&amp;DocumentIdParam=tDUJKLt5v88YYGr8iMGXErzwOt2phutPSotrekyCf3nNNuKaXFLkzQJLR4vEuNYJDNmmUETIRzItKSBma7cBkIyq2ZYOk3Np4vB5AIxpTKk//q7NB2iMZvNyf0xrJmjt" TargetMode="External" Id="rId537" /><Relationship Type="http://schemas.openxmlformats.org/officeDocument/2006/relationships/hyperlink" Target="https://contrataciondelestado.es/wps/poc?uri=deeplink:detalle_licitacion&amp;idEvl=m%2Bzt6Fa6e94%2FbjW6njtWLw%3D%3D" TargetMode="External" Id="rId538" /><Relationship Type="http://schemas.openxmlformats.org/officeDocument/2006/relationships/hyperlink" Target="https://contrataciondelestado.es/FileSystem/servlet/GetDocumentByIdServlet?cifrado=QUC1GjXXSiLkydRHJBmbpw%3D%3D&amp;DocumentIdParam=43omxTJZTpZ9yyqTWRS8sW/5PjasGV7nxAeRxdNLbRBL6ocHgp3RWr8Yml4AwkpqdHD4MaXP04Zu4jSAJwlUdnN%2B4OvvHuP34C2gE3YtpG36CYyL7SIrUOBFfNf52ZqA" TargetMode="External" Id="rId539" /><Relationship Type="http://schemas.openxmlformats.org/officeDocument/2006/relationships/hyperlink" Target="https://contrataciondelestado.es/wps/poc?uri=deeplink:detalle_licitacion&amp;idEvl=a%2FsgtfkOGkAUqXM96WStVA%3D%3D" TargetMode="External" Id="rId540" /><Relationship Type="http://schemas.openxmlformats.org/officeDocument/2006/relationships/hyperlink" Target="https://contrataciondelestado.es/FileSystem/servlet/GetDocumentByIdServlet?cifrado=QUC1GjXXSiLkydRHJBmbpw%3D%3D&amp;DocumentIdParam=r0Bo1jwLmmJLf0zLG09%2BdtwiXyCuh%2BrNr0rvHjsHMqnXLw4G5CQ64pC7Bqq7ZOXfav13Qr8XfsL%2Br1YnuEF9mStaaAHrhL%2BeqGVUJYTrv9545ClyWkoJ44mKM70IFcOu" TargetMode="External" Id="rId541" /><Relationship Type="http://schemas.openxmlformats.org/officeDocument/2006/relationships/hyperlink" Target="https://contrataciondelestado.es/wps/poc?uri=deeplink:detalle_licitacion&amp;idEvl=dkycU%2Fy1WzMUqXM96WStVA%3D%3D" TargetMode="External" Id="rId542" /><Relationship Type="http://schemas.openxmlformats.org/officeDocument/2006/relationships/hyperlink" Target="https://contrataciondelestado.es/FileSystem/servlet/GetDocumentByIdServlet?cifrado=QUC1GjXXSiLkydRHJBmbpw%3D%3D&amp;DocumentIdParam=HLWaDOnSof0uqVPxFsxzFosGcfI%2BSqH2kiLQV8otAuy2Ix6LpWO4jDtp%2B8wuFJlnqgb53TOzCh%2BmZYgh9AAEZ0tBJ9Dayq2rCqu03XMrSck//q7NB2iMZvNyf0xrJmjt" TargetMode="External" Id="rId543" /><Relationship Type="http://schemas.openxmlformats.org/officeDocument/2006/relationships/hyperlink" Target="https://contrataciondelestado.es/wps/poc?uri=deeplink:detalle_licitacion&amp;idEvl=nMXx4wEid4AeC9GJQOEBkQ%3D%3D" TargetMode="External" Id="rId544" /><Relationship Type="http://schemas.openxmlformats.org/officeDocument/2006/relationships/hyperlink" Target="https://contrataciondelestado.es/FileSystem/servlet/GetDocumentByIdServlet?cifrado=QUC1GjXXSiLkydRHJBmbpw%3D%3D&amp;DocumentIdParam=83oVTpRmxiO/2TL2JyZDXsR5sUUdaBs8NBkk53kdUH8rU2O9j5NIrnx%2BUN1%2BySHrbCWz5aIUXWe1CaPP1Cyhal8/WZ4gZTUfPxGFckFYIRY//q7NB2iMZvNyf0xrJmjt" TargetMode="External" Id="rId545" /><Relationship Type="http://schemas.openxmlformats.org/officeDocument/2006/relationships/hyperlink" Target="https://contrataciondelestado.es/wps/poc?uri=deeplink:detalle_licitacion&amp;idEvl=ZI2J4aHV9bN70UvEyYJSGw%3D%3D" TargetMode="External" Id="rId546" /><Relationship Type="http://schemas.openxmlformats.org/officeDocument/2006/relationships/hyperlink" Target="https://contrataciondelestado.es/FileSystem/servlet/GetDocumentByIdServlet?cifrado=QUC1GjXXSiLkydRHJBmbpw%3D%3D&amp;DocumentIdParam=kKjknW%2BmbNzX98%2BTOy%2Bk6fZfnqu0oEM%2BW6qrpYk7kU2CjM/K9lLkZzXjy3w116IztuubNf/qJbiPLjGt21QkReHPILIZv1Gn9KO3EoJJmokC1/zDIE0Kw/PWNnLS0Z0z" TargetMode="External" Id="rId547" /><Relationship Type="http://schemas.openxmlformats.org/officeDocument/2006/relationships/hyperlink" Target="https://contrataciondelestado.es/wps/poc?uri=deeplink:detalle_licitacion&amp;idEvl=m531RvESeXzLIx6q1oPaMg%3D%3D" TargetMode="External" Id="rId548" /><Relationship Type="http://schemas.openxmlformats.org/officeDocument/2006/relationships/hyperlink" Target="https://contrataciondelestado.es/FileSystem/servlet/GetDocumentByIdServlet?cifrado=QUC1GjXXSiLkydRHJBmbpw%3D%3D&amp;DocumentIdParam=%2BFDx1SbKtLQiyfzGAZuLl/PN3AgpWtozaq%2B3TTox3hTDd4Xtu9fsGFrqjIueqAvaEH4A2Jgxw5Rr5tIGMNkPGGVP7/9FVEteUfmyildUHZJt/o8fNevwsujgRzaBbugn" TargetMode="External" Id="rId549" /><Relationship Type="http://schemas.openxmlformats.org/officeDocument/2006/relationships/hyperlink" Target="https://contrataciondelestado.es/wps/poc?uri=deeplink:detalle_licitacion&amp;idEvl=iWEKKg0URCotm4eBPtV6eQ%3D%3D" TargetMode="External" Id="rId550" /><Relationship Type="http://schemas.openxmlformats.org/officeDocument/2006/relationships/hyperlink" Target="https://contrataciondelestado.es/FileSystem/servlet/GetDocumentByIdServlet?cifrado=QUC1GjXXSiLkydRHJBmbpw%3D%3D&amp;DocumentIdParam=SFTMrwsxyNxtiYVHy60xT6CtJbH9TWD96BLb4M30EsxaTq1hVcZnaWTxXawX7kbU/U2iqfLP3r5LgoUiUqwpEVDnX5lwmn%2BVG9ln77xJD4Vt/o8fNevwsujgRzaBbugn" TargetMode="External" Id="rId551" /><Relationship Type="http://schemas.openxmlformats.org/officeDocument/2006/relationships/hyperlink" Target="https://contrataciondelestado.es/wps/poc?uri=deeplink:detalle_licitacion&amp;idEvl=2I%2FQ16mSrx3IGlsa0Wad%2Bw%3D%3D" TargetMode="External" Id="rId552" /><Relationship Type="http://schemas.openxmlformats.org/officeDocument/2006/relationships/hyperlink" Target="https://contrataciondelestado.es/FileSystem/servlet/GetDocumentByIdServlet?cifrado=QUC1GjXXSiLkydRHJBmbpw%3D%3D&amp;DocumentIdParam=0jxcYpyRf/JKgRcNB7xOikY%2BLBA1lw6RrLFeY35q5WpUHFfzf9%2BTLJ9ys9PSvH8hab2MLD7bBVYRx6KyH50OnYd3jixQQk5wT7RkpvSH9XN7QB3HKyQaFUExmUVQCerk" TargetMode="External" Id="rId553" /><Relationship Type="http://schemas.openxmlformats.org/officeDocument/2006/relationships/hyperlink" Target="https://contrataciondelestado.es/wps/poc?uri=deeplink:detalle_licitacion&amp;idEvl=GADmwfO5rNuqb7rCcv76BA%3D%3D" TargetMode="External" Id="rId554" /><Relationship Type="http://schemas.openxmlformats.org/officeDocument/2006/relationships/hyperlink" Target="https://contrataciondelestado.es/FileSystem/servlet/GetDocumentByIdServlet?cifrado=QUC1GjXXSiLkydRHJBmbpw%3D%3D&amp;DocumentIdParam=x1qn43vfn8u89effZ9k3U6swARu7CB%2BGm3B5Hf3hfVPwoselliTDKOaC7/LJlnDhKy/x6HsRb5g2DXl1LbJH8KPfdfCtFE8C4jwarTlOm8%2BHAj0WEJrB5sP7amrh2jBD" TargetMode="External" Id="rId555" /><Relationship Type="http://schemas.openxmlformats.org/officeDocument/2006/relationships/hyperlink" Target="https://contrataciondelestado.es/wps/poc?uri=deeplink:detalle_licitacion&amp;idEvl=zScWEvqwJiG8ebB%2FXTwy0A%3D%3D" TargetMode="External" Id="rId556" /><Relationship Type="http://schemas.openxmlformats.org/officeDocument/2006/relationships/hyperlink" Target="https://contrataciondelestado.es/FileSystem/servlet/GetDocumentByIdServlet?cifrado=QUC1GjXXSiLkydRHJBmbpw%3D%3D&amp;DocumentIdParam=veRubTMpnQvXy5MwFWcKpxZuRg5puovufVMnoQMhlBz7ySBXfeJhHg%2BSuoYo1nzw0pmva96hRJgHGDozAHSkKuflXa3%2BwP%2B8wghzu0ePZ25JOVDbGCDM%2BMigrvuVS7Rv" TargetMode="External" Id="rId557" /><Relationship Type="http://schemas.openxmlformats.org/officeDocument/2006/relationships/hyperlink" Target="https://contrataciondelestado.es/wps/poc?uri=deeplink:detalle_licitacion&amp;idEvl=45AMlaZ6q5U%2Bk2oCbDosIw%3D%3D" TargetMode="External" Id="rId558" /><Relationship Type="http://schemas.openxmlformats.org/officeDocument/2006/relationships/hyperlink" Target="https://contrataciondelestado.es/FileSystem/servlet/GetDocumentByIdServlet?cifrado=QUC1GjXXSiLkydRHJBmbpw%3D%3D&amp;DocumentIdParam=XOjSQjv/mNDnWVUZ%2BNky46pUWKTPiGLm3mw%2B4eKI1KTXvWsIxWC7hFw6/JuBe70KDQxlukW7FTtGZZYhcayKTQBJbs3t0O%2BO/ckGZIPkVXI//q7NB2iMZvNyf0xrJmjt" TargetMode="External" Id="rId559" /><Relationship Type="http://schemas.openxmlformats.org/officeDocument/2006/relationships/hyperlink" Target="https://contrataciondelestado.es/wps/poc?uri=deeplink:detalle_licitacion&amp;idEvl=%2F05EPAERVNW9Hd5zqvq9cg%3D%3D" TargetMode="External" Id="rId560" /><Relationship Type="http://schemas.openxmlformats.org/officeDocument/2006/relationships/hyperlink" Target="https://contrataciondelestado.es/FileSystem/servlet/GetDocumentByIdServlet?cifrado=QUC1GjXXSiLkydRHJBmbpw%3D%3D&amp;DocumentIdParam=zqhodZsqaiP%2Bknkwz9h5JrMw2wSl0QbUXc6iRQiEUvLGH5owL/Pzlf0lBFaTFoeH4c1a0HphsZ/LhN4/cx/Op2vQozae3UufPO7P/C2/6cdJOVDbGCDM%2BMigrvuVS7Rv" TargetMode="External" Id="rId561" /><Relationship Type="http://schemas.openxmlformats.org/officeDocument/2006/relationships/hyperlink" Target="https://contrataciondelestado.es/wps/poc?uri=deeplink:detalle_licitacion&amp;idEvl=9rFYmZgBJ6f%2Fa9DgO%2BoYKQ%3D%3D" TargetMode="External" Id="rId562" /><Relationship Type="http://schemas.openxmlformats.org/officeDocument/2006/relationships/hyperlink" Target="https://contrataciondelestado.es/FileSystem/servlet/GetDocumentByIdServlet?cifrado=QUC1GjXXSiLkydRHJBmbpw%3D%3D&amp;DocumentIdParam=IbmwLlFhPFWOFr9p5SCUDy%2BnIyazKZz51yNJN0/BuXMa4tTWDnuqsEk51l2QhSjUZ/WWBJbSUVcGnNjr8WT6AMg8uruQpUn9kD7Tjv/ItTM//q7NB2iMZvNyf0xrJmjt" TargetMode="External" Id="rId563" /><Relationship Type="http://schemas.openxmlformats.org/officeDocument/2006/relationships/hyperlink" Target="https://contrataciondelestado.es/wps/poc?uri=deeplink:detalle_licitacion&amp;idEvl=iHx5nncmO%2F84NavIWzMcHA%3D%3D" TargetMode="External" Id="rId564" /><Relationship Type="http://schemas.openxmlformats.org/officeDocument/2006/relationships/hyperlink" Target="https://contrataciondelestado.es/FileSystem/servlet/GetDocumentByIdServlet?cifrado=QUC1GjXXSiLkydRHJBmbpw%3D%3D&amp;DocumentIdParam=V5RDuHZmrmPVq//9brQnmIdYxGJShFBXIKfm9hLIHdcqgSe1bUH1RvSYR2IwRAceJc9RXyF7/WPuMtAFaLv4n4nGRJgS72UeacxoOoyEWmBt/o8fNevwsujgRzaBbugn" TargetMode="External" Id="rId565" /><Relationship Type="http://schemas.openxmlformats.org/officeDocument/2006/relationships/hyperlink" Target="https://contrataciondelestado.es/wps/poc?uri=deeplink:detalle_licitacion&amp;idEvl=pQHBa7sALoXs%2BnLj3vAg5A%3D%3D" TargetMode="External" Id="rId566" /><Relationship Type="http://schemas.openxmlformats.org/officeDocument/2006/relationships/hyperlink" Target="https://contrataciondelestado.es/FileSystem/servlet/GetDocumentByIdServlet?cifrado=QUC1GjXXSiLkydRHJBmbpw%3D%3D&amp;DocumentIdParam=tbJjOW/ByNphNYvJ6AqlfWIrQ7oNX3YrqCzMpPpQj7RNoOyxHbibRXoQxof3hO0mYfE3z7GsbOeQ0Gz7jww59t0/SLhGLZb5H4nUoT%2BETvht/o8fNevwsujgRzaBbugn" TargetMode="External" Id="rId567" /><Relationship Type="http://schemas.openxmlformats.org/officeDocument/2006/relationships/hyperlink" Target="https://contrataciondelestado.es/wps/poc?uri=deeplink:detalle_licitacion&amp;idEvl=LdaHeFUK9DHI8aL3PRS10Q%3D%3D" TargetMode="External" Id="rId568" /><Relationship Type="http://schemas.openxmlformats.org/officeDocument/2006/relationships/hyperlink" Target="https://contrataciondelestado.es/FileSystem/servlet/GetDocumentByIdServlet?cifrado=QUC1GjXXSiLkydRHJBmbpw%3D%3D&amp;DocumentIdParam=%2BASpn/LC4mBc8ci13ew6sB/0QH3kCgyYjpIelHZJmA9EyNLm36GBIcTinAdvsImQr3Lwb5iMIrASqkI/ZRqHKOV625v3rVTzCffaGg1wuNrVTD3T98KC0nSgQFM0q%2B5s" TargetMode="External" Id="rId569" /><Relationship Type="http://schemas.openxmlformats.org/officeDocument/2006/relationships/hyperlink" Target="https://contrataciondelestado.es/wps/poc?uri=deeplink:detalle_licitacion&amp;idEvl=q%2BQgw3BsMBTmnwcj%2BxbdTg%3D%3D" TargetMode="External" Id="rId570" /><Relationship Type="http://schemas.openxmlformats.org/officeDocument/2006/relationships/hyperlink" Target="https://contrataciondelestado.es/FileSystem/servlet/GetDocumentByIdServlet?cifrado=QUC1GjXXSiLkydRHJBmbpw%3D%3D&amp;DocumentIdParam=KZLnRwEIKA9qCaFNDvJEVULk7CEOykNIvNgN36H1rxUI3d0MAuvr/P9YcbD1N%2BOu2UwUqXfHRxIJucWiVopX9zswxZW1vuz8RWUUVearA3f6CYyL7SIrUOBFfNf52ZqA" TargetMode="External" Id="rId571" /><Relationship Type="http://schemas.openxmlformats.org/officeDocument/2006/relationships/hyperlink" Target="https://contrataciondelestado.es/wps/poc?uri=deeplink:detalle_licitacion&amp;idEvl=jF8H4YMnN3pt5r0ngvMetA%3D%3D" TargetMode="External" Id="rId572" /><Relationship Type="http://schemas.openxmlformats.org/officeDocument/2006/relationships/hyperlink" Target="https://contrataciondelestado.es/FileSystem/servlet/GetDocumentByIdServlet?cifrado=QUC1GjXXSiLkydRHJBmbpw%3D%3D&amp;DocumentIdParam=bgmEka5OVDYpLrbo8W/NVQp7DU%2BYxaUXkSbf7q%2BQHkFbWDGjdN0u7gI6cDvWVA9tJyil410sxn1zKNgpGAim7OEg971GBlZ/v2LLRn2s3UkZyAJWGsSt0OzTSTyw9JAs" TargetMode="External" Id="rId573" /><Relationship Type="http://schemas.openxmlformats.org/officeDocument/2006/relationships/hyperlink" Target="https://contrataciondelestado.es/wps/poc?uri=deeplink:detalle_licitacion&amp;idEvl=nDuDUWix%2BiXyoM4us5k4vw%3D%3D" TargetMode="External" Id="rId574" /><Relationship Type="http://schemas.openxmlformats.org/officeDocument/2006/relationships/hyperlink" Target="https://contrataciondelestado.es/FileSystem/servlet/GetDocumentByIdServlet?cifrado=QUC1GjXXSiLkydRHJBmbpw%3D%3D&amp;DocumentIdParam=fLOKwnns2Zot0Mvx9ffJDbz%2BE5RU4Q25z4LqRzsdOM2TNP5X4ncrEWMCng0RAN/v8uAzEolWOKwy9B2SMOoRnxfrNsZfkqsZyo8u6/T/a1zDdQD9RyhUmzT4jZ2In4zL" TargetMode="External" Id="rId575" /><Relationship Type="http://schemas.openxmlformats.org/officeDocument/2006/relationships/hyperlink" Target="https://contrataciondelestado.es/wps/poc?uri=deeplink:detalle_licitacion&amp;idEvl=%2B0aZtpH0g5RJ8Trn0ZPzLw%3D%3D" TargetMode="External" Id="rId576" /><Relationship Type="http://schemas.openxmlformats.org/officeDocument/2006/relationships/hyperlink" Target="https://contrataciondelestado.es/FileSystem/servlet/GetDocumentByIdServlet?cifrado=QUC1GjXXSiLkydRHJBmbpw%3D%3D&amp;DocumentIdParam=nJqViA7w%2Bwd/CBGBB36y1eJfgo83v5cBuzGvm9mmw%2BGjmqfG3uArqPPjfnrP%2BKSOu3gR36b1Nu4l4NbI1dFZ/0xqiOX%2BAQHZzoL68SdIeey1aXEvq3KHa/AEHgtDrQw0" TargetMode="External" Id="rId577" /><Relationship Type="http://schemas.openxmlformats.org/officeDocument/2006/relationships/hyperlink" Target="https://contrataciondelestado.es/wps/poc?uri=deeplink:detalle_licitacion&amp;idEvl=bGzn1DrAfMnVGIpKDxgsAQ%3D%3D" TargetMode="External" Id="rId578" /><Relationship Type="http://schemas.openxmlformats.org/officeDocument/2006/relationships/hyperlink" Target="https://contrataciondelestado.es/FileSystem/servlet/GetDocumentByIdServlet?DocumentIdParam=L66twaJ4iVOlvKoCerDP6JqqKkE%2ByaPO8kAgC2N85HS1NXzm9UKyyyZag20BmFm/rZjwmLJ57oqpnw/KcXEH2uSOJYOU9h2af4tHr1zjaSrVTD3T98KC0nSgQFM0q%2B5s&amp;cifrado=QUC1GjXXSiLkydRHJBmbpw%3D%3D" TargetMode="External" Id="rId579" /><Relationship Type="http://schemas.openxmlformats.org/officeDocument/2006/relationships/hyperlink" Target="https://contrataciondelestado.es/wps/poc?uri=deeplink:detalle_licitacion&amp;idEvl=5ZAamrmTphOHCIsjvJ3rhQ%3D%3D" TargetMode="External" Id="rId580" /><Relationship Type="http://schemas.openxmlformats.org/officeDocument/2006/relationships/hyperlink" Target="https://contrataciondelestado.es/FileSystem/servlet/GetDocumentByIdServlet?cifrado=QUC1GjXXSiLkydRHJBmbpw%3D%3D&amp;DocumentIdParam=L426wQGABFiCiobiAO5tm29H5wSrallH2LZwNXg04L%2BD3Hh3gs0GSUK2usPyeQed1kcs99AuOVIqsR46iEQHePgik%2BjrKiZHLIBUPzML68wZyAJWGsSt0OzTSTyw9JAs" TargetMode="External" Id="rId581" /><Relationship Type="http://schemas.openxmlformats.org/officeDocument/2006/relationships/hyperlink" Target="https://contrataciondelestado.es/wps/poc?uri=deeplink:detalle_licitacion&amp;idEvl=A0hdTJx%2BD6ecCF8sV%2BqtYA%3D%3D" TargetMode="External" Id="rId582" /><Relationship Type="http://schemas.openxmlformats.org/officeDocument/2006/relationships/hyperlink" Target="https://contrataciondelestado.es/FileSystem/servlet/GetDocumentByIdServlet?cifrado=QUC1GjXXSiLkydRHJBmbpw%3D%3D&amp;DocumentIdParam=E%2B2PqfSm98lilsICUGV2Q9ZoWxBOxyv8Y0BUs75/ZspEQh87WONlgD%2BPPfHeEOctaNkQk5duDrZndZXnEpktYG4CXkSvAbqEY2FuqsJxVNwZyAJWGsSt0OzTSTyw9JAs" TargetMode="External" Id="rId583" /><Relationship Type="http://schemas.openxmlformats.org/officeDocument/2006/relationships/hyperlink" Target="https://contrataciondelestado.es/wps/poc?uri=deeplink:detalle_licitacion&amp;idEvl=1tXYVC1wrvRVYjgxA4nMUw%3D%3D" TargetMode="External" Id="rId584" /><Relationship Type="http://schemas.openxmlformats.org/officeDocument/2006/relationships/hyperlink" Target="https://contrataciondelestado.es/FileSystem/servlet/GetDocumentByIdServlet?cifrado=QUC1GjXXSiLkydRHJBmbpw%3D%3D&amp;DocumentIdParam=nYFdUg8dim%2Bkr9zUAfsXbgeKx2zwZuKmFp9zMsZacPuizJxK6uzaepySlU6tc7ZBSkIl/43L7Wh6qFXh82tmvdPODs%2BCMes%2BzNTmUtbZrj1JOVDbGCDM%2BMigrvuVS7Rv" TargetMode="External" Id="rId585" /><Relationship Type="http://schemas.openxmlformats.org/officeDocument/2006/relationships/hyperlink" Target="https://contrataciondelestado.es/wps/poc?uri=deeplink:detalle_licitacion&amp;idEvl=saKOamrRJNHi0Kd8%2Brcp6w%3D%3D" TargetMode="External" Id="rId586" /><Relationship Type="http://schemas.openxmlformats.org/officeDocument/2006/relationships/hyperlink" Target="https://contrataciondelestado.es/FileSystem/servlet/GetDocumentByIdServlet?cifrado=QUC1GjXXSiLkydRHJBmbpw%3D%3D&amp;DocumentIdParam=j7JLZZPS4JmSxfbDcI2xKqDFlSTo7GE2lt2FgeSbrNVuSZmwpgFEh0gtUibsFOAd5pTBqUrvrDH28t8r7AXFLCB041vcJoYoUBFqevYNyv3fdyQgZAdTm3EfcUAC7CJ6" TargetMode="External" Id="rId587" /><Relationship Type="http://schemas.openxmlformats.org/officeDocument/2006/relationships/hyperlink" Target="https://contrataciondelestado.es/wps/poc?uri=deeplink:detalle_licitacion&amp;idEvl=ICFDk6B9moy5HQrHoP3G5A%3D%3D" TargetMode="External" Id="rId588" /><Relationship Type="http://schemas.openxmlformats.org/officeDocument/2006/relationships/hyperlink" Target="https://contrataciondelestado.es/FileSystem/servlet/GetDocumentByIdServlet?cifrado=QUC1GjXXSiLkydRHJBmbpw%3D%3D&amp;DocumentIdParam=kOIV9qgLmB8SY8Eg2xgAiM8yRSExgPoiw8QZ6Fofm2xez3uyv9gTo64oC3dJ9BnezNyY48VmUBT1Gwu5GHVMVAz5W4mWhLJ9iLLGPgoAGQAC1/zDIE0Kw/PWNnLS0Z0z" TargetMode="External" Id="rId589" /><Relationship Type="http://schemas.openxmlformats.org/officeDocument/2006/relationships/hyperlink" Target="https://contrataciondelestado.es/wps/poc?uri=deeplink:detalle_licitacion&amp;idEvl=Td2OOKFubwEeIBJRHQiPkQ%3D%3D" TargetMode="External" Id="rId590" /><Relationship Type="http://schemas.openxmlformats.org/officeDocument/2006/relationships/hyperlink" Target="https://contrataciondelestado.es/FileSystem/servlet/GetDocumentByIdServlet?cifrado=QUC1GjXXSiLkydRHJBmbpw%3D%3D&amp;DocumentIdParam=xDmAJYmCcDpH3z/8iUmSV0e3qqMr5HDKkQOSnjEup7KzuEfWDEx98lEQacw9i4I%2BBvNqOQnh2fsfQGA0Odm8JzwOifmgdR/NRA9ujQd/mwRJOVDbGCDM%2BMigrvuVS7Rv" TargetMode="External" Id="rId591" /><Relationship Type="http://schemas.openxmlformats.org/officeDocument/2006/relationships/hyperlink" Target="https://contrataciondelestado.es/wps/poc?uri=deeplink:detalle_licitacion&amp;idEvl=8zEJtqOT%2BRWHCIsjvJ3rhQ%3D%3D" TargetMode="External" Id="rId592" /><Relationship Type="http://schemas.openxmlformats.org/officeDocument/2006/relationships/hyperlink" Target="https://contrataciondelestado.es/FileSystem/servlet/GetDocumentByIdServlet?cifrado=QUC1GjXXSiLkydRHJBmbpw%3D%3D&amp;DocumentIdParam=61bQDv1xhJsnMZApKUX%2BMUy2PlCXhwJz8VQmTfu1OCKNEynRxllmL9RuZUCM%2BL9%2Bv1lVcUzOwruYoVhfcxmoEK9DbiKAnH3d6ydvIVhF/sPDdQD9RyhUmzT4jZ2In4zL" TargetMode="External" Id="rId593" /><Relationship Type="http://schemas.openxmlformats.org/officeDocument/2006/relationships/hyperlink" Target="https://contrataciondelestado.es/wps/poc?uri=deeplink:detalle_licitacion&amp;idEvl=ptekLwR3yDTIGlsa0Wad%2Bw%3D%3D" TargetMode="External" Id="rId594" /><Relationship Type="http://schemas.openxmlformats.org/officeDocument/2006/relationships/hyperlink" Target="https://contrataciondelestado.es/FileSystem/servlet/GetDocumentByIdServlet?cifrado=QUC1GjXXSiLkydRHJBmbpw%3D%3D&amp;DocumentIdParam=nHqrny%2BIG%2BIbbVmLMyFyzUTZyZ4ZJTVYFeIwnHUSg93GLF4N1qHmY6G4r880D/BhCFuIlfYPo81HU6oawlPOc9JN/ZcQjN4VlRnQ0RcctNG1aXEvq3KHa/AEHgtDrQw0" TargetMode="External" Id="rId595" /><Relationship Type="http://schemas.openxmlformats.org/officeDocument/2006/relationships/hyperlink" Target="https://contrataciondelestado.es/wps/poc?uri=deeplink:detalle_licitacion&amp;idEvl=04mR97hr32wzjChw4z%2FXvw%3D%3D" TargetMode="External" Id="rId596" /><Relationship Type="http://schemas.openxmlformats.org/officeDocument/2006/relationships/hyperlink" Target="https://contrataciondelestado.es/FileSystem/servlet/GetDocumentByIdServlet?cifrado=QUC1GjXXSiLkydRHJBmbpw%3D%3D&amp;DocumentIdParam=K3no4Qvo3bzoGtSBZ/QUkiYiAbO50OH7I3zz3CgGqG8P0xGH8orcQTfr/B2fBAXIHXh3ATa5jS/GvoL7M18GUlJznFtnKU%2BH%2B11/wSgEjtvDdQD9RyhUmzT4jZ2In4zL" TargetMode="External" Id="rId597" /><Relationship Type="http://schemas.openxmlformats.org/officeDocument/2006/relationships/hyperlink" Target="https://contrataciondelestado.es/wps/poc?uri=deeplink:detalle_licitacion&amp;idEvl=GxlSydvGnUQ36J9Lctlsuw%3D%3D" TargetMode="External" Id="rId598" /><Relationship Type="http://schemas.openxmlformats.org/officeDocument/2006/relationships/hyperlink" Target="https://contrataciondelestado.es/FileSystem/servlet/GetDocumentByIdServlet?cifrado=QUC1GjXXSiLkydRHJBmbpw%3D%3D&amp;DocumentIdParam=LX2brjUbU9a9d9ltNSJukozm09uMDwt%2BuPIddsihSah/HLgT5IIwEA5a0/0cWbukNEJhlUOkgP8h5YZYlZAdwsypCaJmIEIyy%2BJzCJm5Sl3DdQD9RyhUmzT4jZ2In4zL" TargetMode="External" Id="rId599" /><Relationship Type="http://schemas.openxmlformats.org/officeDocument/2006/relationships/hyperlink" Target="https://contrataciondelestado.es/wps/poc?uri=deeplink:detalle_licitacion&amp;idEvl=iMD4m2JzQzwBPRBxZ4nJ%2Fg%3D%3D" TargetMode="External" Id="rId600" /><Relationship Type="http://schemas.openxmlformats.org/officeDocument/2006/relationships/hyperlink" Target="https://contrataciondelestado.es/wps/wcm/connect/PLACE_es/Site/area/docAccCmpnt?srv=cmpnt&amp;cmpntname=GetDocumentsById&amp;source=library&amp;DocumentIdParam=2e2ee9f4-ad8a-46d3-bf82-34b56caf665e" TargetMode="External" Id="rId601" /><Relationship Type="http://schemas.openxmlformats.org/officeDocument/2006/relationships/hyperlink" Target="https://contrataciondelestado.es/wps/poc?uri=deeplink:detalle_licitacion&amp;idEvl=rJc49tn7knHL1rX3q%2FMAPA%3D%3D" TargetMode="External" Id="rId602" /><Relationship Type="http://schemas.openxmlformats.org/officeDocument/2006/relationships/hyperlink" Target="https://contrataciondelestado.es/FileSystem/servlet/GetDocumentByIdServlet?cifrado=QUC1GjXXSiLkydRHJBmbpw%3D%3D&amp;DocumentIdParam=OimoipVvmIu9tI7g2qVQoHZmw0/vfSVWH%2BjBKwEkzeyV1XUu98i70%2BqaXEg5NLqcWHrPvNmNbR0T%2BOMyT82igSD%2Bj%2B0IeGhhqz0TljYZqRWCx2e6p7hqtlp2aFupgHMr" TargetMode="External" Id="rId603" /><Relationship Type="http://schemas.openxmlformats.org/officeDocument/2006/relationships/hyperlink" Target="https://contrataciondelestado.es/wps/poc?uri=deeplink:detalle_licitacion&amp;idEvl=Yzq1eAgxXeA%2Bk2oCbDosIw%3D%3D" TargetMode="External" Id="rId604" /><Relationship Type="http://schemas.openxmlformats.org/officeDocument/2006/relationships/hyperlink" Target="https://contrataciondelestado.es/FileSystem/servlet/GetDocumentByIdServlet?cifrado=QUC1GjXXSiLkydRHJBmbpw%3D%3D&amp;DocumentIdParam=jo4iYcwIuB%2B/BkqwZ1oZvvs5Vwp6gNcz1aqdbe4p8ASJE/bY%2By0dQmjrV4zk4BxDUctxr46T0o6vrYuOAL4jKRFachQ8nVbddeKSpdoOAx145ClyWkoJ44mKM70IFcOu" TargetMode="External" Id="rId605" /><Relationship Type="http://schemas.openxmlformats.org/officeDocument/2006/relationships/hyperlink" Target="https://contrataciondelestado.es/wps/poc?uri=deeplink:detalle_licitacion&amp;idEvl=y3I%2BuvCIK1o36J9Lctlsuw%3D%3D" TargetMode="External" Id="rId606" /><Relationship Type="http://schemas.openxmlformats.org/officeDocument/2006/relationships/hyperlink" Target="https://contrataciondelestado.es/FileSystem/servlet/GetDocumentByIdServlet?cifrado=QUC1GjXXSiLkydRHJBmbpw%3D%3D&amp;DocumentIdParam=LGpBWBn3QPPOlHR7nQd2kAvR6B3x46HBOU2ekhHz1nXIKlxVr5O7ZYV0jfPsvqit2reYbm7%2B7CGReF5/JHG8zIhYlCEdPd1KJG4C%2BITt59z6CYyL7SIrUOBFfNf52ZqA" TargetMode="External" Id="rId607" /><Relationship Type="http://schemas.openxmlformats.org/officeDocument/2006/relationships/hyperlink" Target="https://contrataciondelestado.es/wps/poc?uri=deeplink:detalle_licitacion&amp;idEvl=cQbWxtnWm2Ts%2BnLj3vAg5A%3D%3D" TargetMode="External" Id="rId608" /><Relationship Type="http://schemas.openxmlformats.org/officeDocument/2006/relationships/hyperlink" Target="https://contrataciondelestado.es/FileSystem/servlet/GetDocumentByIdServlet?cifrado=QUC1GjXXSiLkydRHJBmbpw%3D%3D&amp;DocumentIdParam=4Olo7kYgFvEES5uZIJmlCaF47L0pi0cIdysP9rXxOT/IBbtNYzkykXtlyhnlJQF44tLHDOJ/UReADDyQAK0axUz29Ffs09SLlkITFmGl6q0C1/zDIE0Kw/PWNnLS0Z0z" TargetMode="External" Id="rId609" /><Relationship Type="http://schemas.openxmlformats.org/officeDocument/2006/relationships/hyperlink" Target="https://contrataciondelestado.es/wps/poc?uri=deeplink:detalle_licitacion&amp;idEvl=B8gfKoy0QRKTylGzYmBF9Q%3D%3D" TargetMode="External" Id="rId610" /><Relationship Type="http://schemas.openxmlformats.org/officeDocument/2006/relationships/hyperlink" Target="https://contrataciondelestado.es/FileSystem/servlet/GetDocumentByIdServlet?cifrado=QUC1GjXXSiLkydRHJBmbpw%3D%3D&amp;DocumentIdParam=uwgv0r4N7ti8h3jIHPa7IXYRf5arUzCAC%2B30FhwjGAr/HOtNtyXovZOnmE4yIFs%2BHXg/LxxjB67AiZSMfI6fC415Fu9vLoIOdse7PKeOYF/3GVhXrFFqN7yFncy7YfRK" TargetMode="External" Id="rId611" /><Relationship Type="http://schemas.openxmlformats.org/officeDocument/2006/relationships/hyperlink" Target="https://contrataciondelestado.es/wps/poc?uri=deeplink:detalle_licitacion&amp;idEvl=FjUIb1OJ56vECtSnloz%2BZQ%3D%3D" TargetMode="External" Id="rId612" /><Relationship Type="http://schemas.openxmlformats.org/officeDocument/2006/relationships/hyperlink" Target="https://contrataciondelestado.es/FileSystem/servlet/GetDocumentByIdServlet?cifrado=QUC1GjXXSiLkydRHJBmbpw%3D%3D&amp;DocumentIdParam=HSSiMN082WR7gpyrggN0LgvhL1LEkHfcPFmNN/BPEGY78H1c%2BncckwW5hAHyz6rpBZJMRpTrjCpPC0F9ifMizQYbk48Yw8ihLN3mvDTI5fX3GVhXrFFqN7yFncy7YfRK" TargetMode="External" Id="rId613" /><Relationship Type="http://schemas.openxmlformats.org/officeDocument/2006/relationships/hyperlink" Target="https://contrataciondelestado.es/wps/poc?uri=deeplink:detalle_licitacion&amp;idEvl=XMbLsDfbwLrN3k3tjedSGw%3D%3D" TargetMode="External" Id="rId614" /><Relationship Type="http://schemas.openxmlformats.org/officeDocument/2006/relationships/hyperlink" Target="https://contrataciondelestado.es/FileSystem/servlet/GetDocumentByIdServlet?cifrado=QUC1GjXXSiLkydRHJBmbpw%3D%3D&amp;DocumentIdParam=E7umBj3OtZwo/Tjc1gz5PxG5qopdX6U36Pl8epkLMsIMU7N2X0havHGlIIK0la4P/mu4cWU3Ddi9qNZEqIMstzWhozc55OqFrQs%2BV/szvVsC1/zDIE0Kw/PWNnLS0Z0z" TargetMode="External" Id="rId615" /><Relationship Type="http://schemas.openxmlformats.org/officeDocument/2006/relationships/hyperlink" Target="https://contrataciondelestado.es/wps/poc?uri=deeplink:detalle_licitacion&amp;idEvl=vZ%2FhsH%2B0w7lt5r0ngvMetA%3D%3D" TargetMode="External" Id="rId616" /><Relationship Type="http://schemas.openxmlformats.org/officeDocument/2006/relationships/hyperlink" Target="https://contrataciondelestado.es/FileSystem/servlet/GetDocumentByIdServlet?cifrado=QUC1GjXXSiLkydRHJBmbpw%3D%3D&amp;DocumentIdParam=A3lAb%2BkddSIDRFlGcAwB5UEsP6pI746ZSSVpilKMVsmA9%2BIQUpqHaPMn2Yqo1lfWn2KT5iH2y582dM9gplIPer9nG37iv5klkGeB5542J3aHAj0WEJrB5sP7amrh2jBD" TargetMode="External" Id="rId617" /><Relationship Type="http://schemas.openxmlformats.org/officeDocument/2006/relationships/hyperlink" Target="https://contrataciondelestado.es/wps/poc?uri=deeplink:detalle_licitacion&amp;idEvl=6P2t5FJBTMu7JOCXkOhcDg%3D%3D" TargetMode="External" Id="rId618" /><Relationship Type="http://schemas.openxmlformats.org/officeDocument/2006/relationships/hyperlink" Target="https://contrataciondelestado.es/wps/poc?uri=deeplink:detalle_licitacion&amp;idEvl=JS1nMK7OeSdSYrkJkLlFdw%3D%3D" TargetMode="External" Id="rId619" /><Relationship Type="http://schemas.openxmlformats.org/officeDocument/2006/relationships/hyperlink" Target="https://contrataciondelestado.es/FileSystem/servlet/GetDocumentByIdServlet?cifrado=QUC1GjXXSiLkydRHJBmbpw%3D%3D&amp;DocumentIdParam=pqo/4w54nB67UlP3swHDlkfn8GwwQje0lhEWpB5YGRKCqP5Z6DoEcwwh2fCHZMeP8TuS7%2Br4KeBT0jJEUfrAZrONA60XXPrGEim1qQl7%2BczfdyQgZAdTm3EfcUAC7CJ6" TargetMode="External" Id="rId620" /><Relationship Type="http://schemas.openxmlformats.org/officeDocument/2006/relationships/hyperlink" Target="https://contrataciondelestado.es/wps/poc?uri=deeplink:detalle_licitacion&amp;idEvl=G2p5Fy9Fgm3CfVQHDepjGQ%3D%3D" TargetMode="External" Id="rId621" /><Relationship Type="http://schemas.openxmlformats.org/officeDocument/2006/relationships/hyperlink" Target="https://contrataciondelestado.es/FileSystem/servlet/GetDocumentByIdServlet?cifrado=QUC1GjXXSiLkydRHJBmbpw%3D%3D&amp;DocumentIdParam=kchPjsLQdDfNt7vZdEC6tb6qg8xh5w0j7zdZ32k/H3bjddFBsFzP6%2B7RYW2hw4YB4bfQ/QHSIYaN/UMOGvnW%2B36YAIENpaRgAvOgmTwybcH6CYyL7SIrUOBFfNf52ZqA" TargetMode="External" Id="rId622" /><Relationship Type="http://schemas.openxmlformats.org/officeDocument/2006/relationships/hyperlink" Target="https://contrataciondelestado.es/wps/poc?uri=deeplink:detalle_licitacion&amp;idEvl=ENUKH%2BacOtXI8aL3PRS10Q%3D%3D" TargetMode="External" Id="rId623" /><Relationship Type="http://schemas.openxmlformats.org/officeDocument/2006/relationships/hyperlink" Target="https://contrataciondelestado.es/FileSystem/servlet/GetDocumentByIdServlet?cifrado=QUC1GjXXSiLkydRHJBmbpw%3D%3D&amp;DocumentIdParam=iphdtjlkdwO4Btb045ZzD8Lr%2BOv%2BxVZpR0/hp0UX4DKh7X5WXhZfxnGqiNFvHi3YIJZ77vHfBar68HIXuRyMeZpt7zOe0JynhbFLvWmD%2B%2Bb6CYyL7SIrUOBFfNf52ZqA" TargetMode="External" Id="rId624" /><Relationship Type="http://schemas.openxmlformats.org/officeDocument/2006/relationships/hyperlink" Target="https://contrataciondelestado.es/wps/poc?uri=deeplink:detalle_licitacion&amp;idEvl=0%2B808IRvVA4%2B1TMyIiZmzw%3D%3D" TargetMode="External" Id="rId625" /><Relationship Type="http://schemas.openxmlformats.org/officeDocument/2006/relationships/hyperlink" Target="https://contrataciondelestado.es/FileSystem/servlet/GetDocumentByIdServlet?cifrado=QUC1GjXXSiLkydRHJBmbpw%3D%3D&amp;DocumentIdParam=JyTAWjou01wDq350AN/G/GmZ5Esnpwx5Wb7GBna49MCY0NXwCC7%2BofasxhIs3X4AOqYOlFA7xghWfmtVVL0TgWFsC6/m/GnMCFH5puSpL2oZyAJWGsSt0OzTSTyw9JAs" TargetMode="External" Id="rId626" /><Relationship Type="http://schemas.openxmlformats.org/officeDocument/2006/relationships/hyperlink" Target="https://contrataciondelestado.es/wps/poc?uri=deeplink:detalle_licitacion&amp;idEvl=Fn54sRnvqVlVkTabT%2FRM8A%3D%3D" TargetMode="External" Id="rId627" /><Relationship Type="http://schemas.openxmlformats.org/officeDocument/2006/relationships/hyperlink" Target="https://contrataciondelestado.es/FileSystem/servlet/GetDocumentByIdServlet?cifrado=QUC1GjXXSiLkydRHJBmbpw%3D%3D&amp;DocumentIdParam=h0YZpn4sZVOzGVx7gKGe8Tp/DcHO1b7TXNShmWGovzsURUJn/UfOnHRy%2BwI6Y2M3giF9KncE%2BNRCCZnpLLYk/RuULJc%2BOCfg40pKc5C5/yz3GVhXrFFqN7yFncy7YfRK" TargetMode="External" Id="rId628" /><Relationship Type="http://schemas.openxmlformats.org/officeDocument/2006/relationships/hyperlink" Target="https://contrataciondelestado.es/wps/poc?uri=deeplink:detalle_licitacion&amp;idEvl=E1LUQ6TjDKlJ8Trn0ZPzLw%3D%3D" TargetMode="External" Id="rId629" /><Relationship Type="http://schemas.openxmlformats.org/officeDocument/2006/relationships/hyperlink" Target="https://contrataciondelestado.es/FileSystem/servlet/GetDocumentByIdServlet?cifrado=QUC1GjXXSiLkydRHJBmbpw%3D%3D&amp;DocumentIdParam=UA/pKd8cPL89ZoU7j25qfO6A7Y72ZayRcZ3o9DZRRyhX9czJv76Ll23k7RhYIRYa55b9hqZRayM6EZdZlHhBiUav2/ksYk2b/wGgu6uSm1IC1/zDIE0Kw/PWNnLS0Z0z" TargetMode="External" Id="rId630" /><Relationship Type="http://schemas.openxmlformats.org/officeDocument/2006/relationships/hyperlink" Target="https://contrataciondelestado.es/wps/poc?uri=deeplink:detalle_licitacion&amp;idEvl=UK8I3iHGhWK8ebB%2FXTwy0A%3D%3D" TargetMode="External" Id="rId631" /><Relationship Type="http://schemas.openxmlformats.org/officeDocument/2006/relationships/hyperlink" Target="https://contrataciondelestado.es/FileSystem/servlet/GetDocumentByIdServlet?cifrado=QUC1GjXXSiLkydRHJBmbpw%3D%3D&amp;DocumentIdParam=JkIiKsjyQhDvoN9IJ%2B1U/X%2BiopnFpdSMGjt8IuBB3oZEXYVyt4eOKnpE/pRcRZ5hJoYjPLQnRN%2BbvAdMQ%2B6g80Fz4hndkanEM8us/S2TQ2iHAj0WEJrB5sP7amrh2jBD" TargetMode="External" Id="rId632" /><Relationship Type="http://schemas.openxmlformats.org/officeDocument/2006/relationships/hyperlink" Target="https://contrataciondelestado.es/wps/poc?uri=deeplink:detalle_licitacion&amp;idEvl=ipYjrHly0tw2wEhQbcAqug%3D%3D" TargetMode="External" Id="rId633" /><Relationship Type="http://schemas.openxmlformats.org/officeDocument/2006/relationships/hyperlink" Target="https://contrataciondelestado.es/FileSystem/servlet/GetDocumentByIdServlet?cifrado=QUC1GjXXSiLkydRHJBmbpw%3D%3D&amp;DocumentIdParam=7dJfD0%2BGx2EB/VDdf8jeRVFap/dd%2BuZ9jOZupnl6VWHVgOfI8oZQ1ewKStbIcz%2BgY88frGhHtpny72ATN1OvIHvkUkP8RKvJQDWUAeSNlENt/o8fNevwsujgRzaBbugn" TargetMode="External" Id="rId634" /><Relationship Type="http://schemas.openxmlformats.org/officeDocument/2006/relationships/hyperlink" Target="https://contrataciondelestado.es/wps/poc?uri=deeplink:detalle_licitacion&amp;idEvl=rA38CxUedswtm4eBPtV6eQ%3D%3D" TargetMode="External" Id="rId635" /><Relationship Type="http://schemas.openxmlformats.org/officeDocument/2006/relationships/hyperlink" Target="https://contrataciondelestado.es/FileSystem/servlet/GetDocumentByIdServlet?cifrado=QUC1GjXXSiLkydRHJBmbpw%3D%3D&amp;DocumentIdParam=WdS1LuaQvIfP%2B4YXarLmby%2BZl6BeC4O4j3IEXxrDaR8q4SPEv/0mQFJhM5OqOJhNCWLpcTW5YLKxsDHG/t4AlflUfTRsnXNktVZUPSRlQ9TVTD3T98KC0nSgQFM0q%2B5s" TargetMode="External" Id="rId636" /><Relationship Type="http://schemas.openxmlformats.org/officeDocument/2006/relationships/hyperlink" Target="https://contrataciondelestado.es/wps/poc?uri=deeplink:detalle_licitacion&amp;idEvl=SMPZFNEVQ96GCFcHcNGIlQ%3D%3D" TargetMode="External" Id="rId637" /><Relationship Type="http://schemas.openxmlformats.org/officeDocument/2006/relationships/hyperlink" Target="https://contrataciondelestado.es/wps/poc?uri=deeplink:detalle_licitacion&amp;idEvl=C53ZMBfhVDc36J9Lctlsuw%3D%3D" TargetMode="External" Id="rId638" /><Relationship Type="http://schemas.openxmlformats.org/officeDocument/2006/relationships/hyperlink" Target="https://contrataciondelestado.es/FileSystem/servlet/GetDocumentByIdServlet?cifrado=QUC1GjXXSiLkydRHJBmbpw%3D%3D&amp;DocumentIdParam=LpPIgqBCrcI%2BCWPsDmG0ucBIuBTDF6gHbsHvOQyiLi5QWeBAFNlkOvXyAP%2BXrxkPYaCR8O0bIPN5js3nY/yHQWbJ5VWdWF6ktGOQuxPwT6Ft/o8fNevwsujgRzaBbugn" TargetMode="External" Id="rId639" /><Relationship Type="http://schemas.openxmlformats.org/officeDocument/2006/relationships/hyperlink" Target="https://contrataciondelestado.es/wps/poc?uri=deeplink:detalle_licitacion&amp;idEvl=qKjSf4xzbvVWhbmkna2nXQ%3D%3D" TargetMode="External" Id="rId640" /><Relationship Type="http://schemas.openxmlformats.org/officeDocument/2006/relationships/hyperlink" Target="https://contrataciondelestado.es/FileSystem/servlet/GetDocumentByIdServlet?cifrado=QUC1GjXXSiLkydRHJBmbpw%3D%3D&amp;DocumentIdParam=kQ2YBv8zMh/uLBj0I7zUEEfaYJrNNdaVP%2BLLkotg7jpmO/EMLg0Wj%2BRXQmV1FgWFITMIowIBEc5VylLFVNOHgHA/fyLD1a0OKzE5%2BsiCEiuCx2e6p7hqtlp2aFupgHMr" TargetMode="External" Id="rId641" /><Relationship Type="http://schemas.openxmlformats.org/officeDocument/2006/relationships/hyperlink" Target="https://contrataciondelestado.es/wps/poc?uri=deeplink:detalle_licitacion&amp;idEvl=tSXg9s%2BxJHoQyBAnWzHfCg%3D%3D" TargetMode="External" Id="rId642" /><Relationship Type="http://schemas.openxmlformats.org/officeDocument/2006/relationships/hyperlink" Target="https://contrataciondelestado.es/FileSystem/servlet/GetDocumentByIdServlet?cifrado=QUC1GjXXSiLkydRHJBmbpw%3D%3D&amp;DocumentIdParam=xVwpZ5uU6G4ID7maAL%2BXFmsUMNMED7zN9xnH2u7/K7cJouJGBUxA%2BK%2BX15nhijs33vk8djWaWtv41ovVb36yQzYC2nNILyIxJioK2WEMzd6B0nvVKRzfe4rpHcnlPhSZ" TargetMode="External" Id="rId643" /><Relationship Type="http://schemas.openxmlformats.org/officeDocument/2006/relationships/hyperlink" Target="https://contrataciondelestado.es/wps/poc?uri=deeplink:detalle_licitacion&amp;idEvl=rvb2cjTil928ebB%2FXTwy0A%3D%3D" TargetMode="External" Id="rId644" /><Relationship Type="http://schemas.openxmlformats.org/officeDocument/2006/relationships/hyperlink" Target="https://contrataciondelestado.es/FileSystem/servlet/GetDocumentByIdServlet?cifrado=QUC1GjXXSiLkydRHJBmbpw%3D%3D&amp;DocumentIdParam=JnMWEv0fez1euMHiDgpyTJcQBcQNe50Xv/wqSqJHZs92qBXXBtEeuISQg6mS8%2BM8IWaX2gPhoLrnSqeEs7IsOCYVhzV4cRwqPVh%2BMXMMN/6B0nvVKRzfe4rpHcnlPhSZ" TargetMode="External" Id="rId645" /><Relationship Type="http://schemas.openxmlformats.org/officeDocument/2006/relationships/hyperlink" Target="https://contrataciondelestado.es/wps/poc?uri=deeplink:detalle_licitacion&amp;idEvl=H%2BfoiMiWeQuS81gZFETWmA%3D%3D" TargetMode="External" Id="rId646" /><Relationship Type="http://schemas.openxmlformats.org/officeDocument/2006/relationships/hyperlink" Target="https://contrataciondelestado.es/FileSystem/servlet/GetDocumentByIdServlet?cifrado=QUC1GjXXSiLkydRHJBmbpw%3D%3D&amp;DocumentIdParam=EvNLXcH34YGE/AkgGXmdu%2B25m0r%2BPRyv2m9m78qv9cq2QUZFTiUKhAt7oB0aHZPEobFiwJhMOrrgukYkl%2BLpxS2vI6ouJpMBUGLDCyH1j4iB0nvVKRzfe4rpHcnlPhSZ" TargetMode="External" Id="rId647" /><Relationship Type="http://schemas.openxmlformats.org/officeDocument/2006/relationships/hyperlink" Target="https://contrataciondelestado.es/wps/poc?uri=deeplink:detalle_licitacion&amp;idEvl=TBVAfSQ3Ua6opEMYCmrbmw%3D%3D" TargetMode="External" Id="rId648" /><Relationship Type="http://schemas.openxmlformats.org/officeDocument/2006/relationships/hyperlink" Target="https://contrataciondelestado.es/FileSystem/servlet/GetDocumentByIdServlet?cifrado=QUC1GjXXSiLkydRHJBmbpw%3D%3D&amp;DocumentIdParam=BZ3OTIVJn%2Bj%2BT06%2BonnJYrDvM7KsK64zcXY/1qfbfyWD31RLFMP23l8WzihrlnDDagr7nQtt%2BoKXwenCaiIv13%2BvzuIWUFMUY5AVnN7piel7QB3HKyQaFUExmUVQCerk" TargetMode="External" Id="rId649" /><Relationship Type="http://schemas.openxmlformats.org/officeDocument/2006/relationships/hyperlink" Target="https://contrataciondelestado.es/wps/poc?uri=deeplink:detalle_licitacion&amp;idEvl=%2Fc%2Bm8RERtmmsNfRW6APEDw%3D%3D" TargetMode="External" Id="rId650" /><Relationship Type="http://schemas.openxmlformats.org/officeDocument/2006/relationships/hyperlink" Target="https://contrataciondelestado.es/FileSystem/servlet/GetDocumentByIdServlet?cifrado=QUC1GjXXSiLkydRHJBmbpw%3D%3D&amp;DocumentIdParam=32y7y2P88XRvYYXlTCX5EWhyo/Ha7%2BtgQlSYTY9VPhQjGiHLcbQaaNWb9BTvHLk50NKO2QwMjSiIuic3P4%2Bq5pFbwjdq2USi8jnFhCV5U97fdyQgZAdTm3EfcUAC7CJ6" TargetMode="External" Id="rId651" /><Relationship Type="http://schemas.openxmlformats.org/officeDocument/2006/relationships/hyperlink" Target="https://contrataciondelestado.es/wps/poc?uri=deeplink:detalle_licitacion&amp;idEvl=v1xB%2FUnSk1Qtm4eBPtV6eQ%3D%3D" TargetMode="External" Id="rId652" /><Relationship Type="http://schemas.openxmlformats.org/officeDocument/2006/relationships/hyperlink" Target="https://contrataciondelestado.es/FileSystem/servlet/GetDocumentByIdServlet?cifrado=QUC1GjXXSiLkydRHJBmbpw%3D%3D&amp;DocumentIdParam=UJ6zJL7GvryLqn5NMVF6hUpjG0XVgKNNc/IstfTLpW/mxy2a4s9U3Arpo6a2QBy4eXyA/zufOx%2BKjrLQw5wgOvOU0mNwDK9tLErzeWYO9UF45ClyWkoJ44mKM70IFcOu" TargetMode="External" Id="rId653" /><Relationship Type="http://schemas.openxmlformats.org/officeDocument/2006/relationships/hyperlink" Target="https://contrataciondelestado.es/wps/poc?uri=deeplink:detalle_licitacion&amp;idEvl=Onh%2Fl6FYRGhQFSeKCRun4Q%3D%3D" TargetMode="External" Id="rId654" /><Relationship Type="http://schemas.openxmlformats.org/officeDocument/2006/relationships/hyperlink" Target="https://contrataciondelestado.es/FileSystem/servlet/GetDocumentByIdServlet?cifrado=QUC1GjXXSiLkydRHJBmbpw%3D%3D&amp;DocumentIdParam=H4EHke4fkBFhs3FUVuKb9Cv2/p1UgJCWRIailOgPU4OhUrYasSAm2gNyIHBLL1NieXeSXJJYjYmxmdI%2B1ALcndt%2BtwtrAEkh5vkCNL4zVjV7QB3HKyQaFUExmUVQCerk" TargetMode="External" Id="rId655" /><Relationship Type="http://schemas.openxmlformats.org/officeDocument/2006/relationships/hyperlink" Target="https://contrataciondelestado.es/wps/poc?uri=deeplink:detalle_licitacion&amp;idEvl=Kj2XwvoU3IaHCIsjvJ3rhQ%3D%3D" TargetMode="External" Id="rId656" /><Relationship Type="http://schemas.openxmlformats.org/officeDocument/2006/relationships/hyperlink" Target="https://contrataciondelestado.es/FileSystem/servlet/GetDocumentByIdServlet?cifrado=QUC1GjXXSiLkydRHJBmbpw%3D%3D&amp;DocumentIdParam=788eBK2CtvseMHtdP1CXqRcq1UVbp0pr14C15UDsIfTMLyeN8Vk3XnU3r98yr3Pzn9uoadkyVf92HY%2B%2B9q86%2BeDNZKyUqnrwRnmHfMWO8lrDdQD9RyhUmzT4jZ2In4zL" TargetMode="External" Id="rId657" /><Relationship Type="http://schemas.openxmlformats.org/officeDocument/2006/relationships/hyperlink" Target="https://contrataciondelestado.es/wps/poc?uri=deeplink:detalle_licitacion&amp;idEvl=1cudDmqrVQCP%2Bo96UAV7cQ%3D%3D" TargetMode="External" Id="rId658" /><Relationship Type="http://schemas.openxmlformats.org/officeDocument/2006/relationships/hyperlink" Target="https://contrataciondelestado.es/FileSystem/servlet/GetDocumentByIdServlet?cifrado=QUC1GjXXSiLkydRHJBmbpw%3D%3D&amp;DocumentIdParam=JOG%2BiPsAr6NLrS7NaV1ORpGpHDPgkbE5xRHVmvPPFG6Cdm5mCudZsLN2zLxXDMlS%2BMkvTa3JztI/kvVRY9VBuoxk8aXWZ6Z2w7SVpwWOKweCx2e6p7hqtlp2aFupgHMr" TargetMode="External" Id="rId659" /><Relationship Type="http://schemas.openxmlformats.org/officeDocument/2006/relationships/hyperlink" Target="https://contrataciondelestado.es/wps/poc?uri=deeplink:detalle_licitacion&amp;idEvl=BJ4j1IN%2F7LEuf4aBO%2BvQlQ%3D%3D" TargetMode="External" Id="rId660" /><Relationship Type="http://schemas.openxmlformats.org/officeDocument/2006/relationships/hyperlink" Target="https://contrataciondelestado.es/wps/wcm/connect/PLACE_es/Site/area/docAccCmpnt?srv=cmpnt&amp;cmpntname=GetDocumentsById&amp;source=library&amp;DocumentIdParam=fb3fea8c-39d2-4f43-9eab-76c690167ddb" TargetMode="External" Id="rId661" /><Relationship Type="http://schemas.openxmlformats.org/officeDocument/2006/relationships/hyperlink" Target="https://contrataciondelestado.es/wps/poc?uri=deeplink:detalle_licitacion&amp;idEvl=CdnJ2%2FfJJzeS81gZFETWmA%3D%3D" TargetMode="External" Id="rId662" /><Relationship Type="http://schemas.openxmlformats.org/officeDocument/2006/relationships/hyperlink" Target="https://contrataciondelestado.es/FileSystem/servlet/GetDocumentByIdServlet?cifrado=QUC1GjXXSiLkydRHJBmbpw%3D%3D&amp;DocumentIdParam=1MK0QbExv3FQOwhh5H1JUkvwxpssC/Ycdv4/1f4G8qYqoL6o/zN7b5WJqJi1%2BOjUJtcxwxaTHR65atUSChtsuGvhNpZ1IrE7fp5YdCpdk7qCx2e6p7hqtlp2aFupgHMr" TargetMode="External" Id="rId663" /><Relationship Type="http://schemas.openxmlformats.org/officeDocument/2006/relationships/hyperlink" Target="https://contrataciondelestado.es/wps/poc?uri=deeplink:detalle_licitacion&amp;idEvl=20NJzMtzC%2FLnSoTX3z%2F7wA%3D%3D" TargetMode="External" Id="rId664" /><Relationship Type="http://schemas.openxmlformats.org/officeDocument/2006/relationships/hyperlink" Target="https://contrataciondelestado.es/wps/wcm/connect/PLACE_es/Site/area/docAccCmpnt?srv=cmpnt&amp;cmpntname=GetDocumentsById&amp;source=library&amp;DocumentIdParam=cdaf9f55-a636-4f00-8d66-0a6b7b74784f" TargetMode="External" Id="rId665" /><Relationship Type="http://schemas.openxmlformats.org/officeDocument/2006/relationships/hyperlink" Target="https://contrataciondelestado.es/wps/poc?uri=deeplink:detalle_licitacion&amp;idEvl=FIoPQHXBjIMtm4eBPtV6eQ%3D%3D" TargetMode="External" Id="rId666" /><Relationship Type="http://schemas.openxmlformats.org/officeDocument/2006/relationships/hyperlink" Target="https://contrataciondelestado.es/FileSystem/servlet/GetDocumentByIdServlet?cifrado=QUC1GjXXSiLkydRHJBmbpw%3D%3D&amp;DocumentIdParam=cDc1LRD4N0EDFIFlscSz3qcv83P/OFhwxmu8UfS9zlWsNIGYQVDlR6eQe5Fna4UxRx5382nQmGVJc1paTEAuMJnpfQ%2BwFpApMHkdU9AO36UZyAJWGsSt0OzTSTyw9JAs" TargetMode="External" Id="rId667" /><Relationship Type="http://schemas.openxmlformats.org/officeDocument/2006/relationships/hyperlink" Target="https://contrataciondelestado.es/wps/poc?uri=deeplink:detalle_licitacion&amp;idEvl=VXITiTNQZKcQyBAnWzHfCg%3D%3D" TargetMode="External" Id="rId668" /><Relationship Type="http://schemas.openxmlformats.org/officeDocument/2006/relationships/hyperlink" Target="https://contrataciondelestado.es/FileSystem/servlet/GetDocumentByIdServlet?cifrado=QUC1GjXXSiLkydRHJBmbpw%3D%3D&amp;DocumentIdParam=x2hBcXED16PWJstQKG1F3AwDA4Treo%2B1rnm7yoZRJ9ui29CUiCfk2dfSYc/OtY%2BxdQ3TlxturYtMJhhiNgMMVUUYmOFDgLnrt%2BD7ZiWB0Yl45ClyWkoJ44mKM70IFcOu" TargetMode="External" Id="rId669" /><Relationship Type="http://schemas.openxmlformats.org/officeDocument/2006/relationships/hyperlink" Target="https://contrataciondelestado.es/wps/poc?uri=deeplink:detalle_licitacion&amp;idEvl=nEMwizfo68ZVq4S9zvaQpQ%3D%3D" TargetMode="External" Id="rId670" /><Relationship Type="http://schemas.openxmlformats.org/officeDocument/2006/relationships/hyperlink" Target="https://contrataciondelestado.es/FileSystem/servlet/GetDocumentByIdServlet?cifrado=QUC1GjXXSiLkydRHJBmbpw%3D%3D&amp;DocumentIdParam=jikdtFpMYSjDG8WrYbchLeiuh4/OJHrQVCqVbqR%2BFh8CO%2BEW3K0r/xa1O7YjMwl0cHqKzoOU8EbtyQ/8lIFafcDj%2Bqq7T8kTxOn4qgjIlBT6CYyL7SIrUOBFfNf52ZqA" TargetMode="External" Id="rId671" /><Relationship Type="http://schemas.openxmlformats.org/officeDocument/2006/relationships/hyperlink" Target="https://contrataciondelestado.es/wps/poc?uri=deeplink:detalle_licitacion&amp;idEvl=KQA5aUxcsRBVq4S9zvaQpQ%3D%3D" TargetMode="External" Id="rId672" /><Relationship Type="http://schemas.openxmlformats.org/officeDocument/2006/relationships/hyperlink" Target="https://contrataciondelestado.es/FileSystem/servlet/GetDocumentByIdServlet?cifrado=QUC1GjXXSiLkydRHJBmbpw%3D%3D&amp;DocumentIdParam=%2BOzrx9rxKIHSecV2a7DnGEFMXZGy9FlBlEKShFfenEMkIV8tzlb8qcQ1OEq5MMBM7iJP%2BBQAp4yP88GKKO05HNYlAHKJHpP3bBTtNQ0%2BxHyB0nvVKRzfe4rpHcnlPhSZ" TargetMode="External" Id="rId673" /><Relationship Type="http://schemas.openxmlformats.org/officeDocument/2006/relationships/hyperlink" Target="https://contrataciondelestado.es/wps/poc?uri=deeplink:detalle_licitacion&amp;idEvl=RMBw1T2Mjta5HQrHoP3G5A%3D%3D" TargetMode="External" Id="rId674" /><Relationship Type="http://schemas.openxmlformats.org/officeDocument/2006/relationships/hyperlink" Target="https://contrataciondelestado.es/FileSystem/servlet/GetDocumentByIdServlet?cifrado=QUC1GjXXSiLkydRHJBmbpw%3D%3D&amp;DocumentIdParam=N/ksm9%2B5g/hA6Y4pgF9yeF%2BQVT/xoVvZPECD5FIU4joRyngEYW/fPZMCbwOwwtzM0efW4dGPzkVO1hkkzOWIcOeKidbcP5YqwfRUyblXNeL6CYyL7SIrUOBFfNf52ZqA" TargetMode="External" Id="rId675" /><Relationship Type="http://schemas.openxmlformats.org/officeDocument/2006/relationships/hyperlink" Target="https://contrataciondelestado.es/wps/poc?uri=deeplink:detalle_licitacion&amp;idEvl=ln6AJkEjlzAIYE3ZiZ%2BxmQ%3D%3D" TargetMode="External" Id="rId676" /><Relationship Type="http://schemas.openxmlformats.org/officeDocument/2006/relationships/hyperlink" Target="https://contrataciondelestado.es/FileSystem/servlet/GetDocumentByIdServlet?cifrado=QUC1GjXXSiLkydRHJBmbpw%3D%3D&amp;DocumentIdParam=4OcMvXVc0SACSsmsuyDgHMrKduuCUksmsluTeZG2nUP/nkJtpGeDaxvY8LoTfI3N/AhhUJdqGIovgTMn6UzMqil5d2rgM3zlDzDLiXwvYq6HAj0WEJrB5sP7amrh2jBD" TargetMode="External" Id="rId677" /><Relationship Type="http://schemas.openxmlformats.org/officeDocument/2006/relationships/hyperlink" Target="https://contrataciondelestado.es/wps/poc?uri=deeplink:detalle_licitacion&amp;idEvl=FB%2BlQK8s6kjI8aL3PRS10Q%3D%3D" TargetMode="External" Id="rId678" /><Relationship Type="http://schemas.openxmlformats.org/officeDocument/2006/relationships/hyperlink" Target="https://contrataciondelestado.es/FileSystem/servlet/GetDocumentByIdServlet?cifrado=QUC1GjXXSiLkydRHJBmbpw%3D%3D&amp;DocumentIdParam=yevM0ZFisVtpv/zlDlW01GUYroVglndcBU7KZ8G/0rHemk06qmm0NvdXnlU8kUGns1eYJuRMPLziEQjlzask0u62XqGlrjNwQGS6ALcwnO21aXEvq3KHa/AEHgtDrQw0" TargetMode="External" Id="rId679" /><Relationship Type="http://schemas.openxmlformats.org/officeDocument/2006/relationships/hyperlink" Target="https://contrataciondelestado.es/wps/poc?uri=deeplink:detalle_licitacion&amp;idEvl=sVtnuWC6Fk6FQ%2FlhRK79lA%3D%3D" TargetMode="External" Id="rId680" /><Relationship Type="http://schemas.openxmlformats.org/officeDocument/2006/relationships/hyperlink" Target="https://contrataciondelestado.es/FileSystem/servlet/GetDocumentByIdServlet?cifrado=QUC1GjXXSiLkydRHJBmbpw%3D%3D&amp;DocumentIdParam=eYVZZ5ltpk2zjJujBLFjGWN3lK9Zd3FvKXZ/j7d9lzvL%2BhtioLHFnDjSEZG10Me0QTwwL45X7w2GyqMjj2au44sNphaZdPz7nqfXVJ/fnhq1aXEvq3KHa/AEHgtDrQw0" TargetMode="External" Id="rId681" /><Relationship Type="http://schemas.openxmlformats.org/officeDocument/2006/relationships/hyperlink" Target="https://contrataciondelestado.es/wps/poc?uri=deeplink:detalle_licitacion&amp;idEvl=tQSDW6viA%2F1eKgd8LfVV9g%3D%3D" TargetMode="External" Id="rId682" /><Relationship Type="http://schemas.openxmlformats.org/officeDocument/2006/relationships/hyperlink" Target="https://contrataciondelestado.es/FileSystem/servlet/GetDocumentByIdServlet?cifrado=QUC1GjXXSiLkydRHJBmbpw%3D%3D&amp;DocumentIdParam=Amt9l5sbmudNpn7W%2BmdiX0axmggiuc/%2BZ5csr1srKOvXEsaZanv8wwbrDdT8XUZx8Q2KFvHFXGXAMCU4lBys5lGgkdkPSuxNmhHXTyaKFrU//q7NB2iMZvNyf0xrJmjt" TargetMode="External" Id="rId683" /><Relationship Type="http://schemas.openxmlformats.org/officeDocument/2006/relationships/hyperlink" Target="https://contrataciondelestado.es/wps/poc?uri=deeplink:detalle_licitacion&amp;idEvl=XTrhT9hhrzAeIBJRHQiPkQ%3D%3D" TargetMode="External" Id="rId684" /><Relationship Type="http://schemas.openxmlformats.org/officeDocument/2006/relationships/hyperlink" Target="https://contrataciondelestado.es/wps/poc?uri=deeplink:detalle_licitacion&amp;idEvl=HVOKaI%2F0D0f%2Fa9DgO%2BoYKQ%3D%3D" TargetMode="External" Id="rId685" /><Relationship Type="http://schemas.openxmlformats.org/officeDocument/2006/relationships/hyperlink" Target="https://contrataciondelestado.es/FileSystem/servlet/GetDocumentByIdServlet?cifrado=QUC1GjXXSiLkydRHJBmbpw%3D%3D&amp;DocumentIdParam=FAFUbvOPgPhfrK1bmyMq5RT00ME/DOVcOgDjqSG7ftdHCH3Tg11bA8Mkohc0p/hOmHh55PA%2Bb4oErMrpYirC%2BydgQtmkqTdr8Tq1TO/pf/yCx2e6p7hqtlp2aFupgHMr" TargetMode="External" Id="rId686" /><Relationship Type="http://schemas.openxmlformats.org/officeDocument/2006/relationships/hyperlink" Target="https://contrataciondelestado.es/wps/poc?uri=deeplink:detalle_licitacion&amp;idEvl=nPivqe76%2BwQIYE3ZiZ%2BxmQ%3D%3D" TargetMode="External" Id="rId687" /><Relationship Type="http://schemas.openxmlformats.org/officeDocument/2006/relationships/hyperlink" Target="https://contrataciondelestado.es/FileSystem/servlet/GetDocumentByIdServlet?cifrado=QUC1GjXXSiLkydRHJBmbpw%3D%3D&amp;DocumentIdParam=FrQy7n8uJAikXzMfvxDQzU2tbZ0xk5iIf284FFEsY9ae4i6mCD1fCpQ9nAm5Z7gGASq8ZjcdKktCceAR8PDJjewOLfZWfBjtSDa%2Bipv17yhJOVDbGCDM%2BMigrvuVS7Rv" TargetMode="External" Id="rId688" /><Relationship Type="http://schemas.openxmlformats.org/officeDocument/2006/relationships/hyperlink" Target="https://contrataciondelestado.es/wps/poc?uri=deeplink:detalle_licitacion&amp;idEvl=ppiYwEPoOSPpxJFXpLZ%2B2A%3D%3D" TargetMode="External" Id="rId689" /><Relationship Type="http://schemas.openxmlformats.org/officeDocument/2006/relationships/hyperlink" Target="https://contrataciondelestado.es/FileSystem/servlet/GetDocumentByIdServlet?cifrado=QUC1GjXXSiLkydRHJBmbpw%3D%3D&amp;DocumentIdParam=pqo/4w54nB67UlP3swHDlsthp2JjDewSGRq7yXy%2Bu4LiHZYOsOGklsgeS1J%2BM8sgjdFyGXaaNlpu3bxNLRmJ6tcDnzLyxkuPBznECNYvjDs//q7NB2iMZvNyf0xrJmjt" TargetMode="External" Id="rId690" /><Relationship Type="http://schemas.openxmlformats.org/officeDocument/2006/relationships/hyperlink" Target="https://contrataciondelestado.es/wps/poc?uri=deeplink:detalle_licitacion&amp;idEvl=j8W6jb%2FAskBVYjgxA4nMUw%3D%3D" TargetMode="External" Id="rId691" /><Relationship Type="http://schemas.openxmlformats.org/officeDocument/2006/relationships/hyperlink" Target="https://contrataciondelestado.es/FileSystem/servlet/GetDocumentByIdServlet?cifrado=QUC1GjXXSiLkydRHJBmbpw%3D%3D&amp;DocumentIdParam=RaPICmiMWqI90/g0I%2BlzWUw5%2BCKE2ozdYhUB9pUwPCyeF89uS30K/CHHwIIyMbab5DXuUOCw13askkfJoI0EfjB9i3Q6YxRW6DAIyTaH6glt/o8fNevwsujgRzaBbugn" TargetMode="External" Id="rId692" /><Relationship Type="http://schemas.openxmlformats.org/officeDocument/2006/relationships/hyperlink" Target="https://contrataciondelestado.es/wps/poc?uri=deeplink:detalle_licitacion&amp;idEvl=W3m6MyAbEemAAM7L03kM8A%3D%3D" TargetMode="External" Id="rId693" /><Relationship Type="http://schemas.openxmlformats.org/officeDocument/2006/relationships/hyperlink" Target="https://contrataciondelestado.es/FileSystem/servlet/GetDocumentByIdServlet?cifrado=QUC1GjXXSiLkydRHJBmbpw%3D%3D&amp;DocumentIdParam=YwnwdssqGZt9plo7X9v7IRJcQeqvuEXph910xcNHYYvarvJekNOe1zaDyKbwOJCctLrbjGreIzwHhffIDq%2BSrX0R3D%2B7eqT5Xsz0gLKiQcCCx2e6p7hqtlp2aFupgHMr" TargetMode="External" Id="rId694" /><Relationship Type="http://schemas.openxmlformats.org/officeDocument/2006/relationships/hyperlink" Target="https://contrataciondelestado.es/wps/poc?uri=deeplink:detalle_licitacion&amp;idEvl=kWHJRGi%2BCal4zIRvjBVCSw%3D%3D" TargetMode="External" Id="rId695" /><Relationship Type="http://schemas.openxmlformats.org/officeDocument/2006/relationships/hyperlink" Target="https://contrataciondelestado.es/FileSystem/servlet/GetDocumentByIdServlet?cifrado=QUC1GjXXSiLkydRHJBmbpw%3D%3D&amp;DocumentIdParam=ACRB/fyHyokjLTcVAu5prbHhzen%2BPIX4jgmRhKzEk5kZo1kBjSrMKzLcIZIMGbGb%2BMYhV5bK/oefHn33qbhszWyQRm/0zKCA5uPkubPokBzfdyQgZAdTm3EfcUAC7CJ6" TargetMode="External" Id="rId696" /><Relationship Type="http://schemas.openxmlformats.org/officeDocument/2006/relationships/hyperlink" Target="https://contrataciondelestado.es/wps/poc?uri=deeplink:detalle_licitacion&amp;idEvl=rIlnPaxupzZ4zIRvjBVCSw%3D%3D" TargetMode="External" Id="rId697" /><Relationship Type="http://schemas.openxmlformats.org/officeDocument/2006/relationships/hyperlink" Target="https://contrataciondelestado.es/FileSystem/servlet/GetDocumentByIdServlet?cifrado=QUC1GjXXSiLkydRHJBmbpw%3D%3D&amp;DocumentIdParam=5Mr5bcdflrsFYoYHPfcRyLXjtnL0RMRrXnhetHEt8KwmU0rd%2BR9bLihlM0Dy32GP2sTXitLTUjAyfJt9d2yWDHS5reofzOGDRWuIfIVOiEG1aXEvq3KHa/AEHgtDrQw0" TargetMode="External" Id="rId698" /><Relationship Type="http://schemas.openxmlformats.org/officeDocument/2006/relationships/hyperlink" Target="https://contrataciondelestado.es/wps/poc?uri=deeplink:detalle_licitacion&amp;idEvl=tc0UC5wM1js36J9Lctlsuw%3D%3D" TargetMode="External" Id="rId699" /><Relationship Type="http://schemas.openxmlformats.org/officeDocument/2006/relationships/hyperlink" Target="https://contrataciondelestado.es/FileSystem/servlet/GetDocumentByIdServlet?cifrado=QUC1GjXXSiLkydRHJBmbpw%3D%3D&amp;DocumentIdParam=yniJP/%2BTlkwLSuAj3vWySIHq9YfpjjGb2oGMkXvubFAI/IYzsL6iz6MvWAbU08KlB5hLKaD8BH1POz1w%2BY8ZgJ1xWi4p7ys5V4XgFwWjyxT6CYyL7SIrUOBFfNf52ZqA" TargetMode="External" Id="rId700" /><Relationship Type="http://schemas.openxmlformats.org/officeDocument/2006/relationships/hyperlink" Target="https://contrataciondelestado.es/wps/poc?uri=deeplink:detalle_licitacion&amp;idEvl=iO6PgydYHSteKgd8LfVV9g%3D%3D" TargetMode="External" Id="rId701" /><Relationship Type="http://schemas.openxmlformats.org/officeDocument/2006/relationships/hyperlink" Target="https://contrataciondelestado.es/FileSystem/servlet/GetDocumentByIdServlet?cifrado=QUC1GjXXSiLkydRHJBmbpw%3D%3D&amp;DocumentIdParam=y9If62FQ8FNXn06V/%2B2oS0coGxddM7Y4nbTxjwJSHoOyVFYDJAu/LkNQTdSUU8qqEQ9fNm733pL/8neT5fc1gSRocnzCi2D6tJtI96MK6b2B0nvVKRzfe4rpHcnlPhSZ" TargetMode="External" Id="rId702" /><Relationship Type="http://schemas.openxmlformats.org/officeDocument/2006/relationships/hyperlink" Target="https://contrataciondelestado.es/wps/poc?uri=deeplink:detalle_licitacion&amp;idEvl=DyqppeXjnZBxseVhcqrkhw%3D%3D" TargetMode="External" Id="rId703" /><Relationship Type="http://schemas.openxmlformats.org/officeDocument/2006/relationships/hyperlink" Target="https://contrataciondelestado.es/FileSystem/servlet/GetDocumentByIdServlet?cifrado=QUC1GjXXSiLkydRHJBmbpw%3D%3D&amp;DocumentIdParam=ReKM7Nh3RAmsQ%2Bi5s82GcfGkT559dmyEV7oKz33GFitLTtfs79M1GNd2XWh%2B9vX86J/IJZGuG%2BS1A6A%2BIyp5TVP3hv0VZxOf%2BK5/gp2CgT17QB3HKyQaFUExmUVQCerk" TargetMode="External" Id="rId704" /><Relationship Type="http://schemas.openxmlformats.org/officeDocument/2006/relationships/hyperlink" Target="https://contrataciondelestado.es/wps/poc?uri=deeplink:detalle_licitacion&amp;idEvl=mIT9x3VDKo%2Fi0Kd8%2Brcp6w%3D%3D" TargetMode="External" Id="rId705" /><Relationship Type="http://schemas.openxmlformats.org/officeDocument/2006/relationships/hyperlink" Target="https://contrataciondelestado.es/wps/poc?uri=deeplink:detalle_licitacion&amp;idEvl=FSdyYoC2y1QmMOlAXxDEjw%3D%3D" TargetMode="External" Id="rId706" /><Relationship Type="http://schemas.openxmlformats.org/officeDocument/2006/relationships/hyperlink" Target="https://contrataciondelestado.es/wps/poc?uri=deeplink:detalle_licitacion&amp;idEvl=XCZi1QyL6d7zAq95uGTrDQ%3D%3D" TargetMode="External" Id="rId707" /><Relationship Type="http://schemas.openxmlformats.org/officeDocument/2006/relationships/hyperlink" Target="https://contrataciondelestado.es/FileSystem/servlet/GetDocumentByIdServlet?cifrado=QUC1GjXXSiLkydRHJBmbpw%3D%3D&amp;DocumentIdParam=mEbvUnbT4h/3qWnaaPumV9SI5DJwY9rAK4KytHuCzebEgqWoK6Lb3Rx73xJnDmRy7rmudemAbFaiybWtH2CAN/wTGJmwiBiH/3le4L//GXzVTD3T98KC0nSgQFM0q%2B5s" TargetMode="External" Id="rId708" /><Relationship Type="http://schemas.openxmlformats.org/officeDocument/2006/relationships/hyperlink" Target="https://contrataciondelestado.es/wps/poc?uri=deeplink:detalle_licitacion&amp;idEvl=iYZ8Ocx0WswkJPJS%2BPS9vg%3D%3D" TargetMode="External" Id="rId709" /><Relationship Type="http://schemas.openxmlformats.org/officeDocument/2006/relationships/hyperlink" Target="https://contrataciondelestado.es/wps/poc?uri=deeplink:detalle_licitacion&amp;idEvl=77X3Aq2qemkaF6cS8TCh%2FA%3D%3D" TargetMode="External" Id="rId710" /><Relationship Type="http://schemas.openxmlformats.org/officeDocument/2006/relationships/hyperlink" Target="https://contrataciondelestado.es/FileSystem/servlet/GetDocumentByIdServlet?cifrado=QUC1GjXXSiLkydRHJBmbpw%3D%3D&amp;DocumentIdParam=2M5WrqwCF%2Bbj5o3uUthnz4kKS54OAmEyYQ0ZyhgtVovEHtdYllsnFcOayk/FAgHyICpzcnQNLOdJX8AePCwEv3HBJ5VBBxgyd2Sk65%2BEd6Zt/o8fNevwsujgRzaBbugn" TargetMode="External" Id="rId711" /><Relationship Type="http://schemas.openxmlformats.org/officeDocument/2006/relationships/hyperlink" Target="https://contrataciondelestado.es/wps/poc?uri=deeplink:detalle_licitacion&amp;idEvl=%2Fqr88krqgxCcCF8sV%2BqtYA%3D%3D" TargetMode="External" Id="rId712" /><Relationship Type="http://schemas.openxmlformats.org/officeDocument/2006/relationships/hyperlink" Target="https://contrataciondelestado.es/FileSystem/servlet/GetDocumentByIdServlet?DocumentIdParam=hXH2JXcfEuz/GLE73ETL%2Bx/n9LfjfM2OtcHdvfz4g9brODdfUaRjsZQKaJfFZIDU0uddGp4/yCNDHZ4VAtyu59yMA/78VR3BtzjAcY6T4WFJOVDbGCDM%2BMigrvuVS7Rv&amp;cifrado=QUC1GjXXSiLkydRHJBmbpw%3D%3D" TargetMode="External" Id="rId713" /><Relationship Type="http://schemas.openxmlformats.org/officeDocument/2006/relationships/hyperlink" Target="https://contrataciondelestado.es/wps/poc?uri=deeplink:detalle_licitacion&amp;idEvl=McS%2Ft7jYKbdeKgd8LfVV9g%3D%3D" TargetMode="External" Id="rId714" /><Relationship Type="http://schemas.openxmlformats.org/officeDocument/2006/relationships/hyperlink" Target="https://contrataciondelestado.es/wps/wcm/connect/PLACE_es/Site/area/docAccCmpnt?srv=cmpnt&amp;cmpntname=GetDocumentsById&amp;source=library&amp;DocumentIdParam=ac728799-02dc-4f29-a5a3-9f2ef33dd441" TargetMode="External" Id="rId715" /><Relationship Type="http://schemas.openxmlformats.org/officeDocument/2006/relationships/hyperlink" Target="https://contrataciondelestado.es/wps/poc?uri=deeplink:detalle_licitacion&amp;idEvl=V4dUfNxN%2BcR%2FR5QFTlaM4A%3D%3D" TargetMode="External" Id="rId716" /><Relationship Type="http://schemas.openxmlformats.org/officeDocument/2006/relationships/hyperlink" Target="https://contrataciondelestado.es/FileSystem/servlet/GetDocumentByIdServlet?cifrado=QUC1GjXXSiLkydRHJBmbpw%3D%3D&amp;DocumentIdParam=SgcKTAZPtM18WgsVIyZ2h7ivIe7g4sMG1ZkvuDQJpQn%2BejTwQKAYTtRG9HDVpVtwx47jz5sGaNbppm5MKrjNDl6NcJPgwrHtiLchTcoKumz6CYyL7SIrUOBFfNf52ZqA" TargetMode="External" Id="rId717" /><Relationship Type="http://schemas.openxmlformats.org/officeDocument/2006/relationships/hyperlink" Target="https://contrataciondelestado.es/wps/poc?uri=deeplink:detalle_licitacion&amp;idEvl=vsTYoCMiYTLua%2Fi14w%2FPLA%3D%3D" TargetMode="External" Id="rId718" /><Relationship Type="http://schemas.openxmlformats.org/officeDocument/2006/relationships/hyperlink" Target="https://contrataciondelestado.es/wps/poc?uri=deeplink:detalle_licitacion&amp;idEvl=t9VDA0m9zTNWhbmkna2nXQ%3D%3D" TargetMode="External" Id="rId719" /><Relationship Type="http://schemas.openxmlformats.org/officeDocument/2006/relationships/hyperlink" Target="https://contrataciondelestado.es/FileSystem/servlet/GetDocumentByIdServlet?cifrado=QUC1GjXXSiLkydRHJBmbpw%3D%3D&amp;DocumentIdParam=aQrwLl7fYwnUaQtREc0Y0scfq7HdO%2BRCa5Y5riW6ZZFIDqhwFxPtjnF%2BuSXIyA1G9LZ9OJkTk6XPsBZa4d1nKtV2kD8qkU4Rx%2BBu%2BCXmVKN7QB3HKyQaFUExmUVQCerk" TargetMode="External" Id="rId720" /><Relationship Type="http://schemas.openxmlformats.org/officeDocument/2006/relationships/hyperlink" Target="https://contrataciondelestado.es/wps/poc?uri=deeplink:detalle_licitacion&amp;idEvl=GTLQrU4dZhuTylGzYmBF9Q%3D%3D" TargetMode="External" Id="rId721" /><Relationship Type="http://schemas.openxmlformats.org/officeDocument/2006/relationships/hyperlink" Target="https://contrataciondelestado.es/FileSystem/servlet/GetDocumentByIdServlet?cifrado=QUC1GjXXSiLkydRHJBmbpw%3D%3D&amp;DocumentIdParam=aEzlPwvcDgGlCYMpyqxNdHqPINybJdzkmUwzQQTFHq0lzV6O/8JAEsnSB4rVNwAaVAgAm6WHbRtrdM0bsfx3FXE9GrHpbQ42RykHrQTx3ElJOVDbGCDM%2BMigrvuVS7Rv" TargetMode="External" Id="rId722" /><Relationship Type="http://schemas.openxmlformats.org/officeDocument/2006/relationships/hyperlink" Target="https://contrataciondelestado.es/wps/poc?uri=deeplink:detalle_licitacion&amp;idEvl=SsHHmHT6S2B%2FP7lJ7Fu0SA%3D%3D" TargetMode="External" Id="rId723" /><Relationship Type="http://schemas.openxmlformats.org/officeDocument/2006/relationships/hyperlink" Target="https://contrataciondelestado.es/FileSystem/servlet/GetDocumentByIdServlet?cifrado=QUC1GjXXSiLkydRHJBmbpw%3D%3D&amp;DocumentIdParam=Ha3qTsZfFMim3CNnKzBYy4MQolXtwPWLC%2BTPI37P73KSTE9SKmNEK6STo8eHvtnnBqXFoH8/S0THzwXNww1vxtm13ZvVsd2MkZT/8ry7Jd7VTD3T98KC0nSgQFM0q%2B5s" TargetMode="External" Id="rId724" /><Relationship Type="http://schemas.openxmlformats.org/officeDocument/2006/relationships/hyperlink" Target="https://contrataciondelestado.es/wps/poc?uri=deeplink:detalle_licitacion&amp;idEvl=RWfANxnJihn%2Fa9DgO%2BoYKQ%3D%3D" TargetMode="External" Id="rId725" /><Relationship Type="http://schemas.openxmlformats.org/officeDocument/2006/relationships/hyperlink" Target="https://contrataciondelestado.es/FileSystem/servlet/GetDocumentByIdServlet?cifrado=QUC1GjXXSiLkydRHJBmbpw%3D%3D&amp;DocumentIdParam=YT2mbosatI/EOSLgDPEo0BcwYd6O5C%2BH0k1aPtpg7cjOsznkV03b/Y2M5rgjKeuOGH3sBVfqVAdfI2EkVvSoTjDUDS6LhFih%2BDOqp21XIBIC1/zDIE0Kw/PWNnLS0Z0z" TargetMode="External" Id="rId726" /><Relationship Type="http://schemas.openxmlformats.org/officeDocument/2006/relationships/hyperlink" Target="https://contrataciondelestado.es/wps/poc?uri=deeplink:detalle_licitacion&amp;idEvl=CfjmXHgVWVYzjChw4z%2FXvw%3D%3D" TargetMode="External" Id="rId727" /><Relationship Type="http://schemas.openxmlformats.org/officeDocument/2006/relationships/hyperlink" Target="https://contrataciondelestado.es/FileSystem/servlet/GetDocumentByIdServlet?cifrado=QUC1GjXXSiLkydRHJBmbpw%3D%3D&amp;DocumentIdParam=rxcgB/CNiJNoHLVVkj6fz5IfC8CozXbcpIAfvbabtTSfPKHHzHv4N5p02cnAaKk1IsKX4q8JCaZ0gsVf59ThpMtj/IgrC06sv9UZULd4W7r6CYyL7SIrUOBFfNf52ZqA" TargetMode="External" Id="rId728" /><Relationship Type="http://schemas.openxmlformats.org/officeDocument/2006/relationships/hyperlink" Target="https://contrataciondelestado.es/wps/poc?uri=deeplink:detalle_licitacion&amp;idEvl=69IN8YHTyqtrSd8H4b2soA%3D%3D" TargetMode="External" Id="rId729" /><Relationship Type="http://schemas.openxmlformats.org/officeDocument/2006/relationships/hyperlink" Target="https://contrataciondelestado.es/FileSystem/servlet/GetDocumentByIdServlet?cifrado=QUC1GjXXSiLkydRHJBmbpw%3D%3D&amp;DocumentIdParam=bgmEka5OVDYpLrbo8W/NVe/nkifxp37E6poupbwMDYmB3Gx66XgZcYA3E5bxM4DWaZ0Cw%2BXIapAycHnIFoZGOeYXcQtoOAyujrjIjn0Xg2ht/o8fNevwsujgRzaBbugn" TargetMode="External" Id="rId730" /><Relationship Type="http://schemas.openxmlformats.org/officeDocument/2006/relationships/hyperlink" Target="https://contrataciondelestado.es/wps/poc?uri=deeplink:detalle_licitacion&amp;idEvl=8jLDg7c60EkUqXM96WStVA%3D%3D" TargetMode="External" Id="rId731" /><Relationship Type="http://schemas.openxmlformats.org/officeDocument/2006/relationships/hyperlink" Target="https://contrataciondelestado.es/FileSystem/servlet/GetDocumentByIdServlet?cifrado=QUC1GjXXSiLkydRHJBmbpw%3D%3D&amp;DocumentIdParam=RlQj7VO262M5gZwxCpCzVtPkC6gJN611sibYa/kwylL7tTpRsG7WpaD2OKyx%2BLv8GsNCMGW91qSxLsEDJXLGPlgtQYs%2BGlXfOIJmYMDUwR4C1/zDIE0Kw/PWNnLS0Z0z" TargetMode="External" Id="rId732" /><Relationship Type="http://schemas.openxmlformats.org/officeDocument/2006/relationships/hyperlink" Target="https://contrataciondelestado.es/wps/poc?uri=deeplink:detalle_licitacion&amp;idEvl=UaDYnBvi4TUzjChw4z%2FXvw%3D%3D" TargetMode="External" Id="rId733" /><Relationship Type="http://schemas.openxmlformats.org/officeDocument/2006/relationships/hyperlink" Target="https://contrataciondelestado.es/FileSystem/servlet/GetDocumentByIdServlet?cifrado=QUC1GjXXSiLkydRHJBmbpw%3D%3D&amp;DocumentIdParam=oKGFURjgYhHBVmipjtjEGJW30wCAFlsh187rWIw4hw2GoQn5T0FOqLCcaMf/p49R9fsB7GD8E9NSRuCAHtj8KMsKscALqknTfGKAdzvpOIOCx2e6p7hqtlp2aFupgHMr" TargetMode="External" Id="rId734" /><Relationship Type="http://schemas.openxmlformats.org/officeDocument/2006/relationships/hyperlink" Target="https://contrataciondelestado.es/wps/poc?uri=deeplink:detalle_licitacion&amp;idEvl=Fei3NXJw2cB%2FR5QFTlaM4A%3D%3D" TargetMode="External" Id="rId735" /><Relationship Type="http://schemas.openxmlformats.org/officeDocument/2006/relationships/hyperlink" Target="https://contrataciondelestado.es/FileSystem/servlet/GetDocumentByIdServlet?cifrado=QUC1GjXXSiLkydRHJBmbpw%3D%3D&amp;DocumentIdParam=YmN42k6YIoWP%2BWmIUrxwmdYWIsSSSUS/DxiaMwRuqARdogkNLZeeUFJpDpnmhRAn2P08XSvGwVAf47/rzRnrHrBsfF821bqo5Sj/Mix8S2145ClyWkoJ44mKM70IFcOu" TargetMode="External" Id="rId736" /><Relationship Type="http://schemas.openxmlformats.org/officeDocument/2006/relationships/hyperlink" Target="https://contrataciondelestado.es/wps/poc?uri=deeplink:detalle_licitacion&amp;idEvl=gF%2FN5kkyquJ%2FR5QFTlaM4A%3D%3D" TargetMode="External" Id="rId737" /><Relationship Type="http://schemas.openxmlformats.org/officeDocument/2006/relationships/hyperlink" Target="https://contrataciondelestado.es/FileSystem/servlet/GetDocumentByIdServlet?cifrado=QUC1GjXXSiLkydRHJBmbpw%3D%3D&amp;DocumentIdParam=f94W4RBcNnZwJr1ZOxmrdUjV1Ca5CVtP%2B5ckmVH2MoAvFJEhs6mTbngB5w9Oa6woaZWGH1fizigpzSfEPBPtGt5uVNs1gvvRRI4hbj7eNkW1aXEvq3KHa/AEHgtDrQw0" TargetMode="External" Id="rId738" /><Relationship Type="http://schemas.openxmlformats.org/officeDocument/2006/relationships/hyperlink" Target="https://contrataciondelestado.es/wps/poc?uri=deeplink:detalle_licitacion&amp;idEvl=lemc3WaDD2VPpzdqOdhuWg%3D%3D" TargetMode="External" Id="rId739" /><Relationship Type="http://schemas.openxmlformats.org/officeDocument/2006/relationships/hyperlink" Target="https://contrataciondelestado.es/FileSystem/servlet/GetDocumentByIdServlet?cifrado=QUC1GjXXSiLkydRHJBmbpw%3D%3D&amp;DocumentIdParam=MRI665h%2B19PWp%2BnmRjh51XEtpjf5%2BfOV7nd2Dl/l5wdKL9EQxEEt2lnNCI%2BXfTgh2ySWom7wFwVE0zFYcRz2iUougPzUksUsZNAD1863fTmCx2e6p7hqtlp2aFupgHMr" TargetMode="External" Id="rId740" /><Relationship Type="http://schemas.openxmlformats.org/officeDocument/2006/relationships/hyperlink" Target="https://contrataciondelestado.es/wps/poc?uri=deeplink:detalle_licitacion&amp;idEvl=dRROasM9RPLCfVQHDepjGQ%3D%3D" TargetMode="External" Id="rId741" /><Relationship Type="http://schemas.openxmlformats.org/officeDocument/2006/relationships/hyperlink" Target="https://contrataciondelestado.es/FileSystem/servlet/GetDocumentByIdServlet?cifrado=QUC1GjXXSiLkydRHJBmbpw%3D%3D&amp;DocumentIdParam=BMffgcEhyIRPu8YiIjyUlYtZTVjD9o/FnhCxT3/hUg2HUWCc5AOnJMS05gzFmwoEB7d77%2BLxjIUoaB6ihRBb/YCvgBoMh9EthbOtYMSBSGB45ClyWkoJ44mKM70IFcOu" TargetMode="External" Id="rId742" /><Relationship Type="http://schemas.openxmlformats.org/officeDocument/2006/relationships/hyperlink" Target="https://contrataciondelestado.es/wps/poc?uri=deeplink:detalle_licitacion&amp;idEvl=nNncRwsw%2BhA%2Bk2oCbDosIw%3D%3D" TargetMode="External" Id="rId743" /><Relationship Type="http://schemas.openxmlformats.org/officeDocument/2006/relationships/hyperlink" Target="https://contrataciondelestado.es/FileSystem/servlet/GetDocumentByIdServlet?cifrado=QUC1GjXXSiLkydRHJBmbpw%3D%3D&amp;DocumentIdParam=YleSUNoyPguoXw/wAdA3oNdBk3I2xD/fJ%2Bpyzi0mqNh7cxayZRhRNGqK8uqGx2vNWVO8fm1N3OZpzc5T%2BTPyaExlzC/JUMN6leNusYAimeOCx2e6p7hqtlp2aFupgHMr" TargetMode="External" Id="rId744" /><Relationship Type="http://schemas.openxmlformats.org/officeDocument/2006/relationships/hyperlink" Target="https://contrataciondelestado.es/wps/poc?uri=deeplink:detalle_licitacion&amp;idEvl=YxEFGy0JmcAXhk1FZxEyvw%3D%3D" TargetMode="External" Id="rId745" /><Relationship Type="http://schemas.openxmlformats.org/officeDocument/2006/relationships/hyperlink" Target="https://contrataciondelestado.es/FileSystem/servlet/GetDocumentByIdServlet?cifrado=QUC1GjXXSiLkydRHJBmbpw%3D%3D&amp;DocumentIdParam=jt0omExiQ0eC0YJRKCJDIBzdJh0EZo5QE/GXpC5zYcCsED9MwjxDPg8OoHCa8sGdOQnGEqBRuKjIEgX2Wz/B5eJqq/FIf423xVvui1UxBarDdQD9RyhUmzT4jZ2In4zL" TargetMode="External" Id="rId746" /><Relationship Type="http://schemas.openxmlformats.org/officeDocument/2006/relationships/hyperlink" Target="https://contrataciondelestado.es/wps/poc?uri=deeplink:detalle_licitacion&amp;idEvl=wKbKZn2fejjgL1BHd3qjQA%3D%3D" TargetMode="External" Id="rId747" /><Relationship Type="http://schemas.openxmlformats.org/officeDocument/2006/relationships/hyperlink" Target="https://contrataciondelestado.es/FileSystem/servlet/GetDocumentByIdServlet?cifrado=QUC1GjXXSiLkydRHJBmbpw%3D%3D&amp;DocumentIdParam=KYRsKDtCAkbzY3lE4nJ7smqhMB%2BFpFpM7YRIlrGtslmxV0uC5nSfnXEdO9plnA4/NzePp5wv6GG0LbRdww0OvW4yBcGWXOnDqSUfbhmlOACCx2e6p7hqtlp2aFupgHMr" TargetMode="External" Id="rId748" /><Relationship Type="http://schemas.openxmlformats.org/officeDocument/2006/relationships/hyperlink" Target="https://contrataciondelestado.es/wps/poc?uri=deeplink:detalle_licitacion&amp;idEvl=hMx6j3p6i0SOUi78BmzhOQ%3D%3D" TargetMode="External" Id="rId749" /><Relationship Type="http://schemas.openxmlformats.org/officeDocument/2006/relationships/hyperlink" Target="https://contrataciondelestado.es/FileSystem/servlet/GetDocumentByIdServlet?cifrado=QUC1GjXXSiLkydRHJBmbpw%3D%3D&amp;DocumentIdParam=CQnuc7AsmucwztGxVsNWXFoZHNOm%2BW5kJh8lnCfO0rRFHjilGWTH9OxGv3X1aTC1yZy3iT6VYI7MESCJQq7q9yjvmzg8zKhVCNt9za6MntwC1/zDIE0Kw/PWNnLS0Z0z" TargetMode="External" Id="rId750" /><Relationship Type="http://schemas.openxmlformats.org/officeDocument/2006/relationships/hyperlink" Target="https://contrataciondelestado.es/wps/poc?uri=deeplink:detalle_licitacion&amp;idEvl=q24qmWquxb2FlFRHfEzEaw%3D%3D" TargetMode="External" Id="rId751" /><Relationship Type="http://schemas.openxmlformats.org/officeDocument/2006/relationships/hyperlink" Target="https://contrataciondelestado.es/wps/poc?uri=deeplink:detalle_licitacion&amp;idEvl=uznhJEN69jOIzo3LHNPGcQ%3D%3D" TargetMode="External" Id="rId752" /><Relationship Type="http://schemas.openxmlformats.org/officeDocument/2006/relationships/hyperlink" Target="https://contrataciondelestado.es/FileSystem/servlet/GetDocumentByIdServlet?cifrado=QUC1GjXXSiLkydRHJBmbpw%3D%3D&amp;DocumentIdParam=psKtnRMixVHB4LOxzoJbyoSrDNtYoOjCE3w3cgrfyEGGGXyl03xoeVSzMnN0o2eU9Yd%2B9jUuFY4RkevUIC9Mx9GtXbYrXznMuWd6j1p6JQ8ZyAJWGsSt0OzTSTyw9JAs" TargetMode="External" Id="rId753" /><Relationship Type="http://schemas.openxmlformats.org/officeDocument/2006/relationships/hyperlink" Target="https://contrataciondelestado.es/wps/poc?uri=deeplink:detalle_licitacion&amp;idEvl=M4Lmyl0vhqprhBlEHQFSKA%3D%3D" TargetMode="External" Id="rId754" /><Relationship Type="http://schemas.openxmlformats.org/officeDocument/2006/relationships/hyperlink" Target="https://contrataciondelestado.es/FileSystem/servlet/GetDocumentByIdServlet?cifrado=QUC1GjXXSiLkydRHJBmbpw%3D%3D&amp;DocumentIdParam=1x0orK9/KZ/cLk80Nj4i3goi5SSqI%2BYbfPUdk58H/AE3CB8d/UgKPqborCYzj0eXBirSG5PG8HZk9E1wnXMjWi4tV0%2BxUO4z/Bh%2BOMjHzTGHAj0WEJrB5sP7amrh2jBD" TargetMode="External" Id="rId755" /><Relationship Type="http://schemas.openxmlformats.org/officeDocument/2006/relationships/hyperlink" Target="https://contrataciondelestado.es/wps/poc?uri=deeplink:detalle_licitacion&amp;idEvl=DoZFfelUT%2F1%2BF6L2uCfUWg%3D%3D" TargetMode="External" Id="rId756" /><Relationship Type="http://schemas.openxmlformats.org/officeDocument/2006/relationships/hyperlink" Target="https://contrataciondelestado.es/FileSystem/servlet/GetDocumentByIdServlet?cifrado=QUC1GjXXSiLkydRHJBmbpw%3D%3D&amp;DocumentIdParam=idlA0fBBB8tKVLDAe0Az5oVMqA6Pmm%2BBSNCA7cH1kK6zbhvj/VOlEyhlvW5UDNBc04qO6DOnYkeh2AY8LPfybhQn9SVMYK3WhjcCQaoAAP5JOVDbGCDM%2BMigrvuVS7Rv" TargetMode="External" Id="rId757" /><Relationship Type="http://schemas.openxmlformats.org/officeDocument/2006/relationships/hyperlink" Target="https://contrataciondelestado.es/wps/poc?uri=deeplink:detalle_licitacion&amp;idEvl=Radksz053ICFQ%2FlhRK79lA%3D%3D" TargetMode="External" Id="rId758" /><Relationship Type="http://schemas.openxmlformats.org/officeDocument/2006/relationships/hyperlink" Target="https://contrataciondelestado.es/FileSystem/servlet/GetDocumentByIdServlet?cifrado=QUC1GjXXSiLkydRHJBmbpw%3D%3D&amp;DocumentIdParam=LJyQKSDLTkvDVtBXVk4CtSwVhQT0WawDYkq3v75zUFWxyzhRifLGee7L%2BOqJch/NpDG9kGHteFt7tSX7Cjg3KqN0RNiZMizElBz4%2B3VebKP6CYyL7SIrUOBFfNf52ZqA" TargetMode="External" Id="rId759" /><Relationship Type="http://schemas.openxmlformats.org/officeDocument/2006/relationships/hyperlink" Target="https://contrataciondelestado.es/wps/poc?uri=deeplink:detalle_licitacion&amp;idEvl=dr5rTnSckMFQFSeKCRun4Q%3D%3D" TargetMode="External" Id="rId760" /><Relationship Type="http://schemas.openxmlformats.org/officeDocument/2006/relationships/hyperlink" Target="https://contrataciondelestado.es/FileSystem/servlet/GetDocumentByIdServlet?cifrado=QUC1GjXXSiLkydRHJBmbpw%3D%3D&amp;DocumentIdParam=xVwpZ5uU6G4ID7maAL%2BXFiywVwO0KBJ%2BQxEoA6prI5uYFy/5OhX1DKwQY7HdOTRTdQgYpaGorT6JE1WxDAGATL2FgpWRRpbft4hjUp1vLNlJOVDbGCDM%2BMigrvuVS7Rv" TargetMode="External" Id="rId761" /><Relationship Type="http://schemas.openxmlformats.org/officeDocument/2006/relationships/hyperlink" Target="https://contrataciondelestado.es/wps/poc?uri=deeplink:detalle_licitacion&amp;idEvl=FI0wUDP5ziJVYjgxA4nMUw%3D%3D" TargetMode="External" Id="rId762" /><Relationship Type="http://schemas.openxmlformats.org/officeDocument/2006/relationships/hyperlink" Target="https://contrataciondelestado.es/FileSystem/servlet/GetDocumentByIdServlet?cifrado=QUC1GjXXSiLkydRHJBmbpw%3D%3D&amp;DocumentIdParam=SKeigRcA1jQnUYrmN/id11t55XHrTweaTj9T1Pa0YGPEG9eH5a454qy7xHrn2aE7nSTeYTc8CiiHbsYcq3KzL1nVhcmqh/tq6YbpPT7pHCD6CYyL7SIrUOBFfNf52ZqA" TargetMode="External" Id="rId763" /><Relationship Type="http://schemas.openxmlformats.org/officeDocument/2006/relationships/hyperlink" Target="https://contrataciondelestado.es/wps/poc?uri=deeplink:detalle_licitacion&amp;idEvl=ebflckC2gSW5HQrHoP3G5A%3D%3D" TargetMode="External" Id="rId764" /><Relationship Type="http://schemas.openxmlformats.org/officeDocument/2006/relationships/hyperlink" Target="https://contrataciondelestado.es/FileSystem/servlet/GetDocumentByIdServlet?cifrado=QUC1GjXXSiLkydRHJBmbpw%3D%3D&amp;DocumentIdParam=m/oHx3pZ%2BCoObFWo/zvSgXQu3XtaRTcyTTauuExKto2zsMFVYGUgbhfB%2B/CeuZPX9OY1lrJ2y7YkBY2FBVL0Kb7rVMXvvnWBcELwSgQWxAN7QB3HKyQaFUExmUVQCerk" TargetMode="External" Id="rId765" /><Relationship Type="http://schemas.openxmlformats.org/officeDocument/2006/relationships/hyperlink" Target="https://contrataciondelestado.es/wps/poc?uri=deeplink:detalle_licitacion&amp;idEvl=hzg04%2BpplIEtm4eBPtV6eQ%3D%3D" TargetMode="External" Id="rId766" /><Relationship Type="http://schemas.openxmlformats.org/officeDocument/2006/relationships/hyperlink" Target="https://contrataciondelestado.es/FileSystem/servlet/GetDocumentByIdServlet?cifrado=QUC1GjXXSiLkydRHJBmbpw%3D%3D&amp;DocumentIdParam=lPC5hPSrU88j47FyZXXQvL3iIv9%2BQHbkCGMCpFNfsDZmIh8nvuCXOSo%2BsVNg4VDhbniy82OmT/a8oKYk603G%2BvGA6FwZ1CoQwrf5hV8tFhj6CYyL7SIrUOBFfNf52ZqA" TargetMode="External" Id="rId767" /><Relationship Type="http://schemas.openxmlformats.org/officeDocument/2006/relationships/hyperlink" Target="https://contrataciondelestado.es/wps/poc?uri=deeplink:detalle_licitacion&amp;idEvl=uZPutpXdERZVkTabT%2FRM8A%3D%3D" TargetMode="External" Id="rId768" /><Relationship Type="http://schemas.openxmlformats.org/officeDocument/2006/relationships/hyperlink" Target="https://contrataciondelestado.es/FileSystem/servlet/GetDocumentByIdServlet?cifrado=QUC1GjXXSiLkydRHJBmbpw%3D%3D&amp;DocumentIdParam=SQvZLjmuKDUbZdC16fA1GtvvmiY3AoqWz1wflXoVsMchkiCIDOldR7bQF5ivYWzfq/sxlNScyI2TRU6wreOXeiFc9pDeq7gyBQMJKTRmCxtJOVDbGCDM%2BMigrvuVS7Rv" TargetMode="External" Id="rId769" /><Relationship Type="http://schemas.openxmlformats.org/officeDocument/2006/relationships/hyperlink" Target="https://contrataciondelestado.es/wps/poc?uri=deeplink:detalle_licitacion&amp;idEvl=8xQwY5CItBTXOjazN1Dw9Q%3D%3D" TargetMode="External" Id="rId770" /><Relationship Type="http://schemas.openxmlformats.org/officeDocument/2006/relationships/hyperlink" Target="https://contrataciondelestado.es/FileSystem/servlet/GetDocumentByIdServlet?cifrado=QUC1GjXXSiLkydRHJBmbpw%3D%3D&amp;DocumentIdParam=VLBgntD2Dk2NNvabKSDEIX8ivRk2Cdm5DCes3ZrS5myJHX6/obrlu1wmG0IKvIRLlPLMDIm86TFvaW3vUw/CzyRbVmUuoIE3sBylyX7ZbjhJOVDbGCDM%2BMigrvuVS7Rv" TargetMode="External" Id="rId771" /><Relationship Type="http://schemas.openxmlformats.org/officeDocument/2006/relationships/hyperlink" Target="https://contrataciondelestado.es/wps/poc?uri=deeplink:detalle_licitacion&amp;idEvl=XQ%2FizWJBeVfECtSnloz%2BZQ%3D%3D" TargetMode="External" Id="rId772" /><Relationship Type="http://schemas.openxmlformats.org/officeDocument/2006/relationships/hyperlink" Target="https://contrataciondelestado.es/FileSystem/servlet/GetDocumentByIdServlet?cifrado=QUC1GjXXSiLkydRHJBmbpw%3D%3D&amp;DocumentIdParam=aIREc40yyv2KL4AL7yWUyq74ApyCdhIVSKe/379OhwRPe0KFebrvXQ1euyvk7iO1N%2BUfgt3DHJpftiDfA2oC3HiJUw7Ohf6RjJO7ukSScbJJOVDbGCDM%2BMigrvuVS7Rv" TargetMode="External" Id="rId773" /><Relationship Type="http://schemas.openxmlformats.org/officeDocument/2006/relationships/hyperlink" Target="https://contrataciondelestado.es/wps/poc?uri=deeplink:detalle_licitacion&amp;idEvl=GR5pMjtbNxheKgd8LfVV9g%3D%3D" TargetMode="External" Id="rId774" /><Relationship Type="http://schemas.openxmlformats.org/officeDocument/2006/relationships/hyperlink" Target="https://contrataciondelestado.es/FileSystem/servlet/GetDocumentByIdServlet?cifrado=QUC1GjXXSiLkydRHJBmbpw%3D%3D&amp;DocumentIdParam=ok2x2CGrUCr1XIdPKhd6ldExpQslwd7PTqFnegmbint5DXZPPLOFyThCJlPO/KKWpHbdDWx4f07qv2rQ8FPAY72tl%2B95YRt/V9a2omSnB/AC1/zDIE0Kw/PWNnLS0Z0z" TargetMode="External" Id="rId775" /><Relationship Type="http://schemas.openxmlformats.org/officeDocument/2006/relationships/hyperlink" Target="https://contrataciondelestado.es/wps/poc?uri=deeplink:detalle_licitacion&amp;idEvl=Fmbd%2FalHC6m8ebB%2FXTwy0A%3D%3D" TargetMode="External" Id="rId776" /><Relationship Type="http://schemas.openxmlformats.org/officeDocument/2006/relationships/hyperlink" Target="https://contrataciondelestado.es/FileSystem/servlet/GetDocumentByIdServlet?cifrado=QUC1GjXXSiLkydRHJBmbpw%3D%3D&amp;DocumentIdParam=t698HFBw4o7mp8YO2mjevE5joHRPkJnWItEVvttw94k/x3NjvYYFPF7fPktn55Lx5FyEHfQ9e4%2B6Em6DJOCcBwCtxS7eiy7v15PcLJa2mUDDdQD9RyhUmzT4jZ2In4zL" TargetMode="External" Id="rId777" /><Relationship Type="http://schemas.openxmlformats.org/officeDocument/2006/relationships/hyperlink" Target="https://contrataciondelestado.es/wps/poc?uri=deeplink:detalle_licitacion&amp;idEvl=KbPRjiekqoj%2Fa9DgO%2BoYKQ%3D%3D" TargetMode="External" Id="rId778" /><Relationship Type="http://schemas.openxmlformats.org/officeDocument/2006/relationships/hyperlink" Target="https://contrataciondelestado.es/FileSystem/servlet/GetDocumentByIdServlet?cifrado=QUC1GjXXSiLkydRHJBmbpw%3D%3D&amp;DocumentIdParam=xVwpZ5uU6G4ID7maAL%2BXFvYl1CAryrpXYDkcR1OtOvgj5ZY9BK6Y4DU%2BeRy575OFDIvHq%2Bx4DBrokuEM1nB2q2Zd0DRjlfdjC%2BwuYmbg9bm1aXEvq3KHa/AEHgtDrQw0" TargetMode="External" Id="rId779" /><Relationship Type="http://schemas.openxmlformats.org/officeDocument/2006/relationships/hyperlink" Target="https://contrataciondelestado.es/wps/poc?uri=deeplink:detalle_licitacion&amp;idEvl=BSfRoch9rmJVkTabT%2FRM8A%3D%3D" TargetMode="External" Id="rId780" /><Relationship Type="http://schemas.openxmlformats.org/officeDocument/2006/relationships/hyperlink" Target="https://contrataciondelestado.es/FileSystem/servlet/GetDocumentByIdServlet?cifrado=QUC1GjXXSiLkydRHJBmbpw%3D%3D&amp;DocumentIdParam=N/mIxDdANKWDCD9RdbCenkKmIC65gByxfJ2hx44M%2BHIJKfE/jFoWFbXKQSde5ujt1voWz2k5U6Ryv6uK7yV0tssrrzMP/uaUEqMB6JfitBJt/o8fNevwsujgRzaBbugn" TargetMode="External" Id="rId781" /><Relationship Type="http://schemas.openxmlformats.org/officeDocument/2006/relationships/hyperlink" Target="https://contrataciondelestado.es/wps/poc?uri=deeplink:detalle_licitacion&amp;idEvl=oqiWeiccbSjXOjazN1Dw9Q%3D%3D" TargetMode="External" Id="rId782" /><Relationship Type="http://schemas.openxmlformats.org/officeDocument/2006/relationships/hyperlink" Target="https://contrataciondelestado.es/FileSystem/servlet/GetDocumentByIdServlet?cifrado=QUC1GjXXSiLkydRHJBmbpw%3D%3D&amp;DocumentIdParam=vjpdFNGIVuc16ARkOWG6QzNdrFUjIcvMFL4VRS8k6h4ZwMZxREkzWcBxk1MfoH/eWsbYhist9hGEK5YeW67577LpgXJZl%2BoqOWkr1y4PaheHAj0WEJrB5sP7amrh2jBD" TargetMode="External" Id="rId783" /><Relationship Type="http://schemas.openxmlformats.org/officeDocument/2006/relationships/hyperlink" Target="https://contrataciondelestado.es/wps/poc?uri=deeplink:detalle_licitacion&amp;idEvl=fa7Q%2Fd70vWdq1DdmE7eaXg%3D%3D" TargetMode="External" Id="rId784" /><Relationship Type="http://schemas.openxmlformats.org/officeDocument/2006/relationships/hyperlink" Target="https://contrataciondelestado.es/FileSystem/servlet/GetDocumentByIdServlet?cifrado=QUC1GjXXSiLkydRHJBmbpw%3D%3D&amp;DocumentIdParam=1%2B%2Be3kWvSz10jgffvgY5i/VHkAg/v%2ByDt3XaobLPfvzDCOdDyI4MmlLRcDEtTx7aCzpP%2BzQPn6s2Sz9V8rGwWG1QmUEQobkHLWlsGcYBn2GCx2e6p7hqtlp2aFupgHMr" TargetMode="External" Id="rId785" /><Relationship Type="http://schemas.openxmlformats.org/officeDocument/2006/relationships/hyperlink" Target="https://contrataciondelestado.es/wps/poc?uri=deeplink:detalle_licitacion&amp;idEvl=tGiGad8oBdCFQ%2FlhRK79lA%3D%3D" TargetMode="External" Id="rId786" /><Relationship Type="http://schemas.openxmlformats.org/officeDocument/2006/relationships/hyperlink" Target="https://contrataciondelestado.es/FileSystem/servlet/GetDocumentByIdServlet?cifrado=QUC1GjXXSiLkydRHJBmbpw%3D%3D&amp;DocumentIdParam=48fM7/eG148VGpR1QNCvWCPgLhDyhJV0HF9WW18y9Kyi2XGLUue2xXSO25QqRBWpmOFtQ2Q9Wh44HY9pHlgfuOWiPWrW%2BvjkomSxQRUzA1q1aXEvq3KHa/AEHgtDrQw0" TargetMode="External" Id="rId787" /><Relationship Type="http://schemas.openxmlformats.org/officeDocument/2006/relationships/hyperlink" Target="https://contrataciondelestado.es/wps/poc?uri=deeplink:detalle_licitacion&amp;idEvl=nQI4PNWKLKt4zIRvjBVCSw%3D%3D" TargetMode="External" Id="rId788" /><Relationship Type="http://schemas.openxmlformats.org/officeDocument/2006/relationships/hyperlink" Target="https://contrataciondelestado.es/FileSystem/servlet/GetDocumentByIdServlet?cifrado=QUC1GjXXSiLkydRHJBmbpw%3D%3D&amp;DocumentIdParam=kDhqNqGSWZ6TLWGSTMsjhjQdBO5BkmMoSTe63nr0ujtUOWIrPQMdlgFkD9MIJUtPzu1OKn6HEoxYYwtWV96oZwLmkPbaiIyhResag2CJlqH6CYyL7SIrUOBFfNf52ZqA" TargetMode="External" Id="rId789" /><Relationship Type="http://schemas.openxmlformats.org/officeDocument/2006/relationships/hyperlink" Target="https://contrataciondelestado.es/wps/poc?uri=deeplink:detalle_licitacion&amp;idEvl=ZFl7ZYCNiqEadbH3CysQuQ%3D%3D" TargetMode="External" Id="rId790" /><Relationship Type="http://schemas.openxmlformats.org/officeDocument/2006/relationships/hyperlink" Target="https://contrataciondelestado.es/FileSystem/servlet/GetDocumentByIdServlet?cifrado=QUC1GjXXSiLkydRHJBmbpw%3D%3D&amp;DocumentIdParam=2YwsBpb6yZ%2BQSI07vbtp7VdyEwzShmS7QOiX7wOns653qYFJm6wALluj96TiOQKD6%2BKgza3Xl1rwdt%2BtUnOJf5kyeMVn/9p50jScv4OJQHLDdQD9RyhUmzT4jZ2In4zL" TargetMode="External" Id="rId791" /><Relationship Type="http://schemas.openxmlformats.org/officeDocument/2006/relationships/hyperlink" Target="https://contrataciondelestado.es/wps/poc?uri=deeplink:detalle_licitacion&amp;idEvl=YqSPCAMF7mEeC9GJQOEBkQ%3D%3D" TargetMode="External" Id="rId792" /><Relationship Type="http://schemas.openxmlformats.org/officeDocument/2006/relationships/hyperlink" Target="https://contrataciondelestado.es/FileSystem/servlet/GetDocumentByIdServlet?cifrado=QUC1GjXXSiLkydRHJBmbpw%3D%3D&amp;DocumentIdParam=dJ4XxopAHp3PmvdgWjL%2BEdkyxfP3wzOzkqAxlZeup7lEzNDPbQceWoFBjm991ZyizOHAenRHZUjWx9HrdB/zWcCl8IwrCoM8pFUuQJA1LMT3GVhXrFFqN7yFncy7YfRK" TargetMode="External" Id="rId793" /><Relationship Type="http://schemas.openxmlformats.org/officeDocument/2006/relationships/hyperlink" Target="https://contrataciondelestado.es/wps/poc?uri=deeplink:detalle_licitacion&amp;idEvl=UY9I%2BuFLCrYIYE3ZiZ%2BxmQ%3D%3D" TargetMode="External" Id="rId794" /><Relationship Type="http://schemas.openxmlformats.org/officeDocument/2006/relationships/hyperlink" Target="https://contrataciondelestado.es/FileSystem/servlet/GetDocumentByIdServlet?cifrado=QUC1GjXXSiLkydRHJBmbpw%3D%3D&amp;DocumentIdParam=ESiVzjftdHap2ED/UEIs7SMOjM453jxS5U4foWc2Dq0%2BwhSqO2EoEYn1r87jT56EbIPmA93xhc/r3jvA5WTcvrCd7xUW/5HGAMYApWhhXuA//q7NB2iMZvNyf0xrJmjt" TargetMode="External" Id="rId795" /><Relationship Type="http://schemas.openxmlformats.org/officeDocument/2006/relationships/hyperlink" Target="https://contrataciondelestado.es/wps/poc?uri=deeplink:detalle_licitacion&amp;idEvl=4fsCv2pxPg0wYTJJ03sHog%3D%3D" TargetMode="External" Id="rId796" /><Relationship Type="http://schemas.openxmlformats.org/officeDocument/2006/relationships/hyperlink" Target="https://contrataciondelestado.es/FileSystem/servlet/GetDocumentByIdServlet?cifrado=QUC1GjXXSiLkydRHJBmbpw%3D%3D&amp;DocumentIdParam=AJLw7QuR22eqzjSDszstoU1OV2UBs9ZRMNtbWTQJU640MnDe/YlITpIjGztzgS6KBkNYFkBWcdYw5h2mq2OEiPJMl9RFTocLv6nII7XY6g1t/o8fNevwsujgRzaBbugn" TargetMode="External" Id="rId797" /><Relationship Type="http://schemas.openxmlformats.org/officeDocument/2006/relationships/hyperlink" Target="https://contrataciondelestado.es/wps/poc?uri=deeplink:detalle_licitacion&amp;idEvl=shgTada4LoHyoM4us5k4vw%3D%3D" TargetMode="External" Id="rId798" /><Relationship Type="http://schemas.openxmlformats.org/officeDocument/2006/relationships/hyperlink" Target="https://contrataciondelestado.es/FileSystem/servlet/GetDocumentByIdServlet?cifrado=QUC1GjXXSiLkydRHJBmbpw%3D%3D&amp;DocumentIdParam=2cHgNV2KneHgtr0PQ7wfhwA2C96tgSOrVgyV5aqqhX45gWrPw4f3hZ2NRxuNQHl60TxnKiM3iNLqJyttvvB21ViCFuaWAmIOHvX0bqhodEnDdQD9RyhUmzT4jZ2In4zL" TargetMode="External" Id="rId799" /><Relationship Type="http://schemas.openxmlformats.org/officeDocument/2006/relationships/hyperlink" Target="https://contrataciondelestado.es/wps/poc?uri=deeplink:detalle_licitacion&amp;idEvl=2RDBFdb9p4GAAM7L03kM8A%3D%3D" TargetMode="External" Id="rId800" /><Relationship Type="http://schemas.openxmlformats.org/officeDocument/2006/relationships/hyperlink" Target="https://contrataciondelestado.es/FileSystem/servlet/GetDocumentByIdServlet?cifrado=QUC1GjXXSiLkydRHJBmbpw%3D%3D&amp;DocumentIdParam=a1NwsmOJt77tBVSTLw6ROLVQb2EJuLe7R4vK3WGZA6ygDBciCYLRZmWeAeDftisqFXXM1QzOu9SMUK9%2B2vs0wnbHXzvHKA3NmVPE3A34Cf76CYyL7SIrUOBFfNf52ZqA" TargetMode="External" Id="rId801" /><Relationship Type="http://schemas.openxmlformats.org/officeDocument/2006/relationships/hyperlink" Target="https://contrataciondelestado.es/wps/poc?uri=deeplink:detalle_licitacion&amp;idEvl=bnCkisxW1qbLIx6q1oPaMg%3D%3D" TargetMode="External" Id="rId802" /><Relationship Type="http://schemas.openxmlformats.org/officeDocument/2006/relationships/hyperlink" Target="https://contrataciondelestado.es/FileSystem/servlet/GetDocumentByIdServlet?cifrado=QUC1GjXXSiLkydRHJBmbpw%3D%3D&amp;DocumentIdParam=uusj21cmfVvLRKvyr8fFc77WXt5O4xjqTOFKgCLlBt/XVhuo%2BI8pkxyLMaCoeAI0Wv8E%2B9a2e4GyvsZfbQihKSr6oB3Q8Jasky1BzU4MQEKHAj0WEJrB5sP7amrh2jBD" TargetMode="External" Id="rId803" /><Relationship Type="http://schemas.openxmlformats.org/officeDocument/2006/relationships/hyperlink" Target="https://contrataciondelestado.es/wps/poc?uri=deeplink:detalle_licitacion&amp;idEvl=jvJ3ph4P%2FNDyoM4us5k4vw%3D%3D" TargetMode="External" Id="rId804" /><Relationship Type="http://schemas.openxmlformats.org/officeDocument/2006/relationships/hyperlink" Target="https://contrataciondelestado.es/FileSystem/servlet/GetDocumentByIdServlet?cifrado=QUC1GjXXSiLkydRHJBmbpw%3D%3D&amp;DocumentIdParam=TweDv8RMQCj8Uht5GvKUgvVxphhc46%2BwttoyPRY/907g3mSRpALbUG2J0Ya71tIYHRKp5zzU1ziepfyqrogB%2BMKgkmNPBKOUwuEphCyQe1145ClyWkoJ44mKM70IFcOu" TargetMode="External" Id="rId805" /><Relationship Type="http://schemas.openxmlformats.org/officeDocument/2006/relationships/hyperlink" Target="https://contrataciondelestado.es/wps/poc?uri=deeplink:detalle_licitacion&amp;idEvl=HD6JkYBbZnHjHF5qKI4aaw%3D%3D" TargetMode="External" Id="rId806" /><Relationship Type="http://schemas.openxmlformats.org/officeDocument/2006/relationships/hyperlink" Target="https://contrataciondelestado.es/FileSystem/servlet/GetDocumentByIdServlet?cifrado=QUC1GjXXSiLkydRHJBmbpw%3D%3D&amp;DocumentIdParam=rBt7dWmCyGUdiVy/n0DY/gSJVb%2BDQav5Nkar4W/RzxGvidMODElkcfQBYbLa788ezO%2BOa%2Bjaz69KSqaJ55%2B6SA5e14Q30UmTcP%2BLhQRFLHI//q7NB2iMZvNyf0xrJmjt" TargetMode="External" Id="rId807" /><Relationship Type="http://schemas.openxmlformats.org/officeDocument/2006/relationships/hyperlink" Target="https://contrataciondelestado.es/wps/poc?uri=deeplink:detalle_licitacion&amp;idEvl=awGNoST%2FzqR%2FR5QFTlaM4A%3D%3D" TargetMode="External" Id="rId808" /><Relationship Type="http://schemas.openxmlformats.org/officeDocument/2006/relationships/hyperlink" Target="https://contrataciondelestado.es/wps/wcm/connect/PLACE_es/Site/area/docAccCmpnt?srv=cmpnt&amp;cmpntname=GetDocumentsById&amp;source=library&amp;DocumentIdParam=d6426d8a-16d7-43a2-be37-d63b39e2cc94" TargetMode="External" Id="rId809" /><Relationship Type="http://schemas.openxmlformats.org/officeDocument/2006/relationships/hyperlink" Target="https://contrataciondelestado.es/wps/poc?uri=deeplink:detalle_licitacion&amp;idEvl=LwZyCkYgCkWzz8fXU2i3eQ%3D%3D" TargetMode="External" Id="rId810" /><Relationship Type="http://schemas.openxmlformats.org/officeDocument/2006/relationships/hyperlink" Target="https://contrataciondelestado.es/FileSystem/servlet/GetDocumentByIdServlet?cifrado=QUC1GjXXSiLkydRHJBmbpw%3D%3D&amp;DocumentIdParam=ezppluGR6ASZP91ja1qSgvMIJN9zpcHXMErTfrIaAONV%2BvmM1FR4375UelQnsVQWD%2Bhgo3PQAxx%2B5QEqoFabESAmgJ3VVNlYb77wCJB0yiJ45ClyWkoJ44mKM70IFcOu" TargetMode="External" Id="rId811" /><Relationship Type="http://schemas.openxmlformats.org/officeDocument/2006/relationships/hyperlink" Target="https://contrataciondelestado.es/wps/poc?uri=deeplink:detalle_licitacion&amp;idEvl=NvCEy043dPnECtSnloz%2BZQ%3D%3D" TargetMode="External" Id="rId812" /><Relationship Type="http://schemas.openxmlformats.org/officeDocument/2006/relationships/hyperlink" Target="https://contrataciondelestado.es/FileSystem/servlet/GetDocumentByIdServlet?cifrado=QUC1GjXXSiLkydRHJBmbpw%3D%3D&amp;DocumentIdParam=iLBwkU%2BD20zoK2lRGRwJKfsDpjsHrFeCbGksJhFiBU2GJsPem/1qWsFT1na2sZEu8clK6QQ8tfoKg7X3YK9YXwwZiNoTbB4z3ycFl3hFbot7QB3HKyQaFUExmUVQCerk" TargetMode="External" Id="rId813" /><Relationship Type="http://schemas.openxmlformats.org/officeDocument/2006/relationships/hyperlink" Target="https://contrataciondelestado.es/wps/poc?uri=deeplink:detalle_licitacion&amp;idEvl=JGD%2B%2F1TIo1H%2B3JAijKO%2Bkg%3D%3D" TargetMode="External" Id="rId814" /><Relationship Type="http://schemas.openxmlformats.org/officeDocument/2006/relationships/hyperlink" Target="https://contrataciondelestado.es/FileSystem/servlet/GetDocumentByIdServlet?cifrado=QUC1GjXXSiLkydRHJBmbpw%3D%3D&amp;DocumentIdParam=F17/uRjt0tIKX7V/XkBuqqppZTr6CKGjQ1IzBpEIx0DZ8iOWkY2QoNqUv3Xs0fO6yUschMWT6lIkp5m2WF9QvStS2gnncO0OH0RGoHmkaX5JOVDbGCDM%2BMigrvuVS7Rv" TargetMode="External" Id="rId815" /><Relationship Type="http://schemas.openxmlformats.org/officeDocument/2006/relationships/hyperlink" Target="https://contrataciondelestado.es/wps/poc?uri=deeplink:detalle_licitacion&amp;idEvl=PDZhRrvoWo4ZDGvgaZEVxQ%3D%3D" TargetMode="External" Id="rId816" /><Relationship Type="http://schemas.openxmlformats.org/officeDocument/2006/relationships/hyperlink" Target="https://contrataciondelestado.es/FileSystem/servlet/GetDocumentByIdServlet?cifrado=QUC1GjXXSiLkydRHJBmbpw%3D%3D&amp;DocumentIdParam=16N60vzdtKwngrWf/0PJa6xsugaoxPxfmUNUrtwFp8JX6/uNBGakg54m0i/N8iZmB8aV6HwtG0Uorv62DU7RRDjFo5hWCoXRRhDTfRquGFAZyAJWGsSt0OzTSTyw9JAs" TargetMode="External" Id="rId817" /><Relationship Type="http://schemas.openxmlformats.org/officeDocument/2006/relationships/hyperlink" Target="https://contrataciondelestado.es/wps/poc?uri=deeplink:detalle_licitacion&amp;idEvl=iKzaE5lX9LO8ebB%2FXTwy0A%3D%3D" TargetMode="External" Id="rId818" /><Relationship Type="http://schemas.openxmlformats.org/officeDocument/2006/relationships/hyperlink" Target="https://contrataciondelestado.es/wps/poc?uri=deeplink:detalle_licitacion&amp;idEvl=nj77iuOultWFQ%2FlhRK79lA%3D%3D" TargetMode="External" Id="rId819" /><Relationship Type="http://schemas.openxmlformats.org/officeDocument/2006/relationships/hyperlink" Target="https://contrataciondelestado.es/FileSystem/servlet/GetDocumentByIdServlet?cifrado=QUC1GjXXSiLkydRHJBmbpw%3D%3D&amp;DocumentIdParam=Epa/4KRwu7RCqFmDrqHDr0mtZkaa1S2FUqEHlbMdqi970ILd5AmDusqCIMaPr3TEifcz0WMppTJpp9zp/QzVzxdAzOLdcIXEeug1GHKqJKWHAj0WEJrB5sP7amrh2jBD" TargetMode="External" Id="rId820" /><Relationship Type="http://schemas.openxmlformats.org/officeDocument/2006/relationships/hyperlink" Target="https://contrataciondelestado.es/wps/poc?uri=deeplink:detalle_licitacion&amp;idEvl=QI%2FfKS9W%2FyGP%2Bo96UAV7cQ%3D%3D" TargetMode="External" Id="rId821" /><Relationship Type="http://schemas.openxmlformats.org/officeDocument/2006/relationships/hyperlink" Target="https://contrataciondelestado.es/FileSystem/servlet/GetDocumentByIdServlet?cifrado=QUC1GjXXSiLkydRHJBmbpw%3D%3D&amp;DocumentIdParam=I13aph92AaekniOl1UUuSN33EbwH65y4e9S78mnrIPZ81pys6bYDT2Kj%2B7JQVIxb9/Or7rvU68cOW6z4UBA8ZYrDpd3b18sV8FfeNQW5wq6B0nvVKRzfe4rpHcnlPhSZ" TargetMode="External" Id="rId822" /><Relationship Type="http://schemas.openxmlformats.org/officeDocument/2006/relationships/hyperlink" Target="https://contrataciondelestado.es/wps/poc?uri=deeplink:detalle_licitacion&amp;idEvl=%2BD%2BpRNZuPmf9pbnDwlaUlg%3D%3D" TargetMode="External" Id="rId823" /><Relationship Type="http://schemas.openxmlformats.org/officeDocument/2006/relationships/hyperlink" Target="https://contrataciondelestado.es/FileSystem/servlet/GetDocumentByIdServlet?cifrado=QUC1GjXXSiLkydRHJBmbpw%3D%3D&amp;DocumentIdParam=UVkdT6pWZJKb0Ft9WI6e4KiQlq9n3lCvZLacunlItAQd8O4MQlhz1ucL%2BA/p/jq6yasdi3BtR2%2BSIOVXocGgsbCUhLEYrSTSO8jHHjLL0UXDdQD9RyhUmzT4jZ2In4zL" TargetMode="External" Id="rId824" /><Relationship Type="http://schemas.openxmlformats.org/officeDocument/2006/relationships/hyperlink" Target="https://contrataciondelestado.es/wps/poc?uri=deeplink:detalle_licitacion&amp;idEvl=F%2FhuQXNtP%2BsBPRBxZ4nJ%2Fg%3D%3D" TargetMode="External" Id="rId825" /><Relationship Type="http://schemas.openxmlformats.org/officeDocument/2006/relationships/hyperlink" Target="https://contrataciondelestado.es/wps/wcm/connect/PLACE_es/Site/area/docAccCmpnt?srv=cmpnt&amp;cmpntname=GetDocumentsById&amp;source=library&amp;DocumentIdParam=7388515a-c010-43c2-a319-1983ce439e24" TargetMode="External" Id="rId826" /><Relationship Type="http://schemas.openxmlformats.org/officeDocument/2006/relationships/hyperlink" Target="https://contrataciondelestado.es/wps/poc?uri=deeplink:detalle_licitacion&amp;idEvl=9YybWIww5Ax%2FR5QFTlaM4A%3D%3D" TargetMode="External" Id="rId827" /><Relationship Type="http://schemas.openxmlformats.org/officeDocument/2006/relationships/hyperlink" Target="https://contrataciondelestado.es/FileSystem/servlet/GetDocumentByIdServlet?cifrado=QUC1GjXXSiLkydRHJBmbpw%3D%3D&amp;DocumentIdParam=wZHwTSabFDVmHqTgQl3LYb8iP8FGX3kmCJ9tEn720KaJftDvl%2BetSywrWEmK8gOm8L3lCmfQKotMrM8HXaCz%2Bur4nM4o8eeHjmm6CRaY4w2HAj0WEJrB5sP7amrh2jBD" TargetMode="External" Id="rId828" /><Relationship Type="http://schemas.openxmlformats.org/officeDocument/2006/relationships/hyperlink" Target="https://contrataciondelestado.es/wps/poc?uri=deeplink:detalle_licitacion&amp;idEvl=nXjcQ7FsGz28ebB%2FXTwy0A%3D%3D" TargetMode="External" Id="rId829" /><Relationship Type="http://schemas.openxmlformats.org/officeDocument/2006/relationships/hyperlink" Target="https://contrataciondelestado.es/FileSystem/servlet/GetDocumentByIdServlet?cifrado=QUC1GjXXSiLkydRHJBmbpw%3D%3D&amp;DocumentIdParam=gj%2BPWoEMuvND6/u7tQOWTNW0YZVJcPghnTD1JclIqGB3IWtPIzM5HGhVSyc24hC/TTkr3JQzuZpdw6X382aP0WRA/3gz3XKEmfKuCd6oRqo//q7NB2iMZvNyf0xrJmjt" TargetMode="External" Id="rId830" /><Relationship Type="http://schemas.openxmlformats.org/officeDocument/2006/relationships/hyperlink" Target="https://contrataciondelestado.es/wps/poc?uri=deeplink:detalle_licitacion&amp;idEvl=hvVMHm5lYFhVYjgxA4nMUw%3D%3D" TargetMode="External" Id="rId831" /><Relationship Type="http://schemas.openxmlformats.org/officeDocument/2006/relationships/hyperlink" Target="https://contrataciondelestado.es/FileSystem/servlet/GetDocumentByIdServlet?cifrado=QUC1GjXXSiLkydRHJBmbpw%3D%3D&amp;DocumentIdParam=48Rpjk93blW0j5It57LNgR8n9xZNwOLeu0nep2bQQwaWc5wsGvd5ghmfgVlN/HfJjA/U%2BulVZucIDRMRbtx9YRkHdWpz3ImXVJPkcHHAmAzVTD3T98KC0nSgQFM0q%2B5s" TargetMode="External" Id="rId832" /><Relationship Type="http://schemas.openxmlformats.org/officeDocument/2006/relationships/hyperlink" Target="https://contrataciondelestado.es/wps/poc?uri=deeplink:detalle_licitacion&amp;idEvl=DbnpiCcV8rsadbH3CysQuQ%3D%3D" TargetMode="External" Id="rId833" /><Relationship Type="http://schemas.openxmlformats.org/officeDocument/2006/relationships/hyperlink" Target="https://contrataciondelestado.es/FileSystem/servlet/GetDocumentByIdServlet?cifrado=QUC1GjXXSiLkydRHJBmbpw%3D%3D&amp;DocumentIdParam=10QyIv8/s9P5Tzn2blH8ebmbg0LKF1iRY6wTmNomgRitu82zdRWmNJY5r1zaNeayXlY1VnaJpSP8IPNwU1el2TcE5kmE1YXelkmUZKr0prsZyAJWGsSt0OzTSTyw9JAs" TargetMode="External" Id="rId834" /><Relationship Type="http://schemas.openxmlformats.org/officeDocument/2006/relationships/hyperlink" Target="https://contrataciondelestado.es/wps/poc?uri=deeplink:detalle_licitacion&amp;idEvl=OykOSfByjXIIYE3ZiZ%2BxmQ%3D%3D" TargetMode="External" Id="rId835" /><Relationship Type="http://schemas.openxmlformats.org/officeDocument/2006/relationships/hyperlink" Target="https://contrataciondelestado.es/FileSystem/servlet/GetDocumentByIdServlet?cifrado=QUC1GjXXSiLkydRHJBmbpw%3D%3D&amp;DocumentIdParam=4ecflE0m8HLINiRIp%2BV4cBYfAAtEpNlTNzfPBdfpqfeeff/jMMcQpp3JjtSeomAbXFXVySVjW/Qa9c7t6uJLCvZjCjow%2BhottjrkHr6ANrr6CYyL7SIrUOBFfNf52ZqA" TargetMode="External" Id="rId836" /><Relationship Type="http://schemas.openxmlformats.org/officeDocument/2006/relationships/hyperlink" Target="https://contrataciondelestado.es/wps/poc?uri=deeplink:detalle_licitacion&amp;idEvl=sIyHy21dh1lrSd8H4b2soA%3D%3D" TargetMode="External" Id="rId837" /><Relationship Type="http://schemas.openxmlformats.org/officeDocument/2006/relationships/hyperlink" Target="https://contrataciondelestado.es/FileSystem/servlet/GetDocumentByIdServlet?cifrado=QUC1GjXXSiLkydRHJBmbpw%3D%3D&amp;DocumentIdParam=7FxzaqbYxqLuFh9CnXtUvSQqKGEon6urM8JLqDptEWcs8OcNsYJGOcZTYW9qBg2daymgdQ9qYNLinIfWCKK3Lxfe/YctANieViC5vt5CIlF7QB3HKyQaFUExmUVQCerk" TargetMode="External" Id="rId838" /><Relationship Type="http://schemas.openxmlformats.org/officeDocument/2006/relationships/hyperlink" Target="https://contrataciondelestado.es/wps/poc?uri=deeplink:detalle_licitacion&amp;idEvl=T7%2FtfdCupJGdkQsA7ROvsg%3D%3D" TargetMode="External" Id="rId839" /><Relationship Type="http://schemas.openxmlformats.org/officeDocument/2006/relationships/hyperlink" Target="https://contrataciondelestado.es/FileSystem/servlet/GetDocumentByIdServlet?cifrado=QUC1GjXXSiLkydRHJBmbpw%3D%3D&amp;DocumentIdParam=50Lu8eUdirgGyoEVPk4JhXVeongn6EqmtvoXkb0E1bxXiZGYAYEfjqY4TGbyHeMetLP49j80Z2%2BRi5HqWCiIK/8l55wpneU782Ao%2B90HEJWB0nvVKRzfe4rpHcnlPhSZ" TargetMode="External" Id="rId840" /><Relationship Type="http://schemas.openxmlformats.org/officeDocument/2006/relationships/hyperlink" Target="https://contrataciondelestado.es/wps/poc?uri=deeplink:detalle_licitacion&amp;idEvl=uN6Azk3YxtI7%2B9FIQYNjeQ%3D%3D" TargetMode="External" Id="rId841" /><Relationship Type="http://schemas.openxmlformats.org/officeDocument/2006/relationships/hyperlink" Target="https://contrataciondelestado.es/FileSystem/servlet/GetDocumentByIdServlet?cifrado=QUC1GjXXSiLkydRHJBmbpw%3D%3D&amp;DocumentIdParam=ISQVw8q%2BoERbaHBgZ5ace64de3dcS/dcpKYvSdaPLLjlkyVc3MrJFfz8RXyCPFJfpoyRH2zT30k0HapVhjjcmJb0Btto2vh951%2BoZDWotL3DdQD9RyhUmzT4jZ2In4zL" TargetMode="External" Id="rId842" /><Relationship Type="http://schemas.openxmlformats.org/officeDocument/2006/relationships/hyperlink" Target="https://contrataciondelestado.es/wps/poc?uri=deeplink:detalle_licitacion&amp;idEvl=fzM%2Fx3C%2BYPEkJPJS%2BPS9vg%3D%3D" TargetMode="External" Id="rId843" /><Relationship Type="http://schemas.openxmlformats.org/officeDocument/2006/relationships/hyperlink" Target="https://contrataciondelestado.es/FileSystem/servlet/GetDocumentByIdServlet?cifrado=QUC1GjXXSiLkydRHJBmbpw%3D%3D&amp;DocumentIdParam=2utqsTmOcbCznFfPxXSMLsXbu0Lgq1w4hry9H4WR/qvO79CDLQuA7zya4HQw%2BimhYmKI2vQDhAz2uQ1x/JUPQcB7JbAIU92M0X6/ijRbakJt/o8fNevwsujgRzaBbugn" TargetMode="External" Id="rId844" /><Relationship Type="http://schemas.openxmlformats.org/officeDocument/2006/relationships/hyperlink" Target="https://contrataciondelestado.es/wps/poc?uri=deeplink:detalle_licitacion&amp;idEvl=9n6EKa0vmqAuf4aBO%2BvQlQ%3D%3D" TargetMode="External" Id="rId845" /><Relationship Type="http://schemas.openxmlformats.org/officeDocument/2006/relationships/hyperlink" Target="https://contrataciondelestado.es/wps/wcm/connect/PLACE_es/Site/area/docAccCmpnt?srv=cmpnt&amp;cmpntname=GetDocumentsById&amp;source=library&amp;DocumentIdParam=52d9b8dc-7698-416a-9603-f6722843bf26" TargetMode="External" Id="rId846" /><Relationship Type="http://schemas.openxmlformats.org/officeDocument/2006/relationships/hyperlink" Target="https://contrataciondelestado.es/wps/poc?uri=deeplink:detalle_licitacion&amp;idEvl=0LL%2Bivuysqzua%2Fi14w%2FPLA%3D%3D" TargetMode="External" Id="rId847" /><Relationship Type="http://schemas.openxmlformats.org/officeDocument/2006/relationships/hyperlink" Target="https://contrataciondelestado.es/FileSystem/servlet/GetDocumentByIdServlet?cifrado=QUC1GjXXSiLkydRHJBmbpw%3D%3D&amp;DocumentIdParam=VZfixEqvGZiO7eeYt3rZ1BxGI1aSOy82lv3EWO/le30mj5xaJ10sD/zMlxpNZEmzFjK0WDCiTJsA6pAqrGVfoP/RL8MtEYKIrXKcOMLrW13fdyQgZAdTm3EfcUAC7CJ6" TargetMode="External" Id="rId848" /><Relationship Type="http://schemas.openxmlformats.org/officeDocument/2006/relationships/hyperlink" Target="https://contrataciondelestado.es/wps/poc?uri=deeplink:detalle_licitacion&amp;idEvl=1F5vUDRyKK14zIRvjBVCSw%3D%3D" TargetMode="External" Id="rId849" /><Relationship Type="http://schemas.openxmlformats.org/officeDocument/2006/relationships/hyperlink" Target="https://contrataciondelestado.es/FileSystem/servlet/GetDocumentByIdServlet?cifrado=QUC1GjXXSiLkydRHJBmbpw%3D%3D&amp;DocumentIdParam=2zXqi1tOxdfXuaWRh7xGoLUAx09K/xYaoQGcNflXjBSOOZIuPoDWyrESCuzsXL7b38x82pYb3BFmdVy1aVlqmFl0kThpQ5iuZgYmtc1dQIy1aXEvq3KHa/AEHgtDrQw0" TargetMode="External" Id="rId850" /><Relationship Type="http://schemas.openxmlformats.org/officeDocument/2006/relationships/hyperlink" Target="https://contrataciondelestado.es/wps/poc?uri=deeplink:detalle_licitacion&amp;idEvl=sUnfhYVh1oBrSd8H4b2soA%3D%3D" TargetMode="External" Id="rId851" /><Relationship Type="http://schemas.openxmlformats.org/officeDocument/2006/relationships/hyperlink" Target="https://contrataciondelestado.es/wps/poc?uri=deeplink:detalle_licitacion&amp;idEvl=oXQu%2FZR5i8lxseVhcqrkhw%3D%3D" TargetMode="External" Id="rId852" /><Relationship Type="http://schemas.openxmlformats.org/officeDocument/2006/relationships/hyperlink" Target="https://contrataciondelestado.es/FileSystem/servlet/GetDocumentByIdServlet?cifrado=QUC1GjXXSiLkydRHJBmbpw%3D%3D&amp;DocumentIdParam=edKMeEfxi49LM3rUWtY7FhsxlQ6gbEyUowiAoGSJBlmA7BsJK3lLd5X/jYk3sKM/HVAzDsiKGg/Q3xSnJsKGoXr02AYg4SoFo8yb7g54LEWB0nvVKRzfe4rpHcnlPhSZ" TargetMode="External" Id="rId853" /><Relationship Type="http://schemas.openxmlformats.org/officeDocument/2006/relationships/hyperlink" Target="https://contrataciondelestado.es/wps/poc?uri=deeplink:detalle_licitacion&amp;idEvl=s50lAZYO%2Fz8zjChw4z%2FXvw%3D%3D" TargetMode="External" Id="rId854" /><Relationship Type="http://schemas.openxmlformats.org/officeDocument/2006/relationships/hyperlink" Target="https://contrataciondelestado.es/FileSystem/servlet/GetDocumentByIdServlet?cifrado=QUC1GjXXSiLkydRHJBmbpw%3D%3D&amp;DocumentIdParam=brpNW/HQUn6t5boFqzQC4iZ9NmoZ/JcOcaqn1Rt1MHnhln34XkM5/Ix//AvByVXrR%2B0D4GnS0Kobm//x516fp89SG%2B/DVSBLQD28SvylvqLfdyQgZAdTm3EfcUAC7CJ6" TargetMode="External" Id="rId855" /><Relationship Type="http://schemas.openxmlformats.org/officeDocument/2006/relationships/hyperlink" Target="https://contrataciondelestado.es/wps/poc?uri=deeplink:detalle_licitacion&amp;idEvl=3eWN4FhZER59PLkba5eRog%3D%3D" TargetMode="External" Id="rId856" /><Relationship Type="http://schemas.openxmlformats.org/officeDocument/2006/relationships/hyperlink" Target="https://contrataciondelestado.es/FileSystem/servlet/GetDocumentByIdServlet?cifrado=QUC1GjXXSiLkydRHJBmbpw%3D%3D&amp;DocumentIdParam=mdkO2NqCFP5XiZ%2BUpwA3noyHHiIEV8r/glvn8XKuzUJrGAlAjQnszyTaFAxUCLntOOFrs4Uc65nC9jkN7Y9uFyfUQv6wB6d8kqsm4j95reaB0nvVKRzfe4rpHcnlPhSZ" TargetMode="External" Id="rId857" /><Relationship Type="http://schemas.openxmlformats.org/officeDocument/2006/relationships/hyperlink" Target="https://contrataciondelestado.es/wps/poc?uri=deeplink:detalle_licitacion&amp;idEvl=S9RuuKr2Rcnua%2Fi14w%2FPLA%3D%3D" TargetMode="External" Id="rId858" /><Relationship Type="http://schemas.openxmlformats.org/officeDocument/2006/relationships/hyperlink" Target="https://contrataciondelestado.es/FileSystem/servlet/GetDocumentByIdServlet?cifrado=QUC1GjXXSiLkydRHJBmbpw%3D%3D&amp;DocumentIdParam=FmvOI8FrY5Ng3GWLUVAtvQc5sdx5JMxHzIFbHqiCsAdgAjIo7Mteh/il7N/oT8UwMATLzoLA6vmoTOybEbIQMpGvPkGwHtMvpEfyJjAdHpNJOVDbGCDM%2BMigrvuVS7Rv" TargetMode="External" Id="rId859" /><Relationship Type="http://schemas.openxmlformats.org/officeDocument/2006/relationships/hyperlink" Target="https://contrataciondelestado.es/wps/poc?uri=deeplink:detalle_licitacion&amp;idEvl=Hg0xINnSYNq2gkLQ8TeYKA%3D%3D" TargetMode="External" Id="rId860" /><Relationship Type="http://schemas.openxmlformats.org/officeDocument/2006/relationships/hyperlink" Target="https://contrataciondelestado.es/FileSystem/servlet/GetDocumentByIdServlet?cifrado=QUC1GjXXSiLkydRHJBmbpw%3D%3D&amp;DocumentIdParam=lE3IVYnhwWdX8eoOQL9BtHu2zQXm9H9CAl6WB2JUNX70%2BUrZffEzguoTEaR6gKgdriRevNXmXzzvyfD1ZULKnm7mRFkjV2VS5bGvoAMM2DS1aXEvq3KHa/AEHgtDrQw0" TargetMode="External" Id="rId861" /><Relationship Type="http://schemas.openxmlformats.org/officeDocument/2006/relationships/hyperlink" Target="https://contrataciondelestado.es/wps/poc?uri=deeplink:detalle_licitacion&amp;idEvl=Pa%2BoJemlLxYtm4eBPtV6eQ%3D%3D" TargetMode="External" Id="rId862" /><Relationship Type="http://schemas.openxmlformats.org/officeDocument/2006/relationships/hyperlink" Target="https://contrataciondelestado.es/FileSystem/servlet/GetDocumentByIdServlet?cifrado=QUC1GjXXSiLkydRHJBmbpw%3D%3D&amp;DocumentIdParam=ALmxP3eynxUPVKxZ6u%2BbyIwQjWLp6DUgePBrMqjoCFY7Jgf0x4ehV8uotJ%2BW5bXG801n4TzMENFbVfhtKSxywL2zoXKqgkNvqmvobdARq46Cx2e6p7hqtlp2aFupgHMr" TargetMode="External" Id="rId863" /><Relationship Type="http://schemas.openxmlformats.org/officeDocument/2006/relationships/hyperlink" Target="https://contrataciondelestado.es/wps/poc?uri=deeplink:detalle_licitacion&amp;idEvl=TOhjkVWEPhmKeVWTb9Scog%3D%3D" TargetMode="External" Id="rId864" /><Relationship Type="http://schemas.openxmlformats.org/officeDocument/2006/relationships/hyperlink" Target="https://contrataciondelestado.es/FileSystem/servlet/GetDocumentByIdServlet?cifrado=QUC1GjXXSiLkydRHJBmbpw%3D%3D&amp;DocumentIdParam=PnqW%2B8PtVfksfbK2zh8%2BmZvjg5KJiKzA6OlPJ1DX/5TNdH7YBZZGigy0C3zNI5%2BK5/pn29%2Bsgrl12wQKCAc3HcTJpAXoRGaVP2KiS8c%2BcELVTD3T98KC0nSgQFM0q%2B5s" TargetMode="External" Id="rId865" /><Relationship Type="http://schemas.openxmlformats.org/officeDocument/2006/relationships/hyperlink" Target="https://contrataciondelestado.es/wps/poc?uri=deeplink:detalle_licitacion&amp;idEvl=L%2BzSHpo6f5L9pbnDwlaUlg%3D%3D" TargetMode="External" Id="rId866" /><Relationship Type="http://schemas.openxmlformats.org/officeDocument/2006/relationships/hyperlink" Target="https://contrataciondelestado.es/FileSystem/servlet/GetDocumentByIdServlet?cifrado=QUC1GjXXSiLkydRHJBmbpw%3D%3D&amp;DocumentIdParam=1sg%2BZX2mvvdvgDu4Rs8UsW0jG8GREq0EBSaQm1P5mWoPNYUiR/I%2BEimsx4GEEeSGHDHBx8r0XmgIc4MifQ3Oj0TPaMpOBtJtU7AywTNn41yHAj0WEJrB5sP7amrh2jBD" TargetMode="External" Id="rId867" /><Relationship Type="http://schemas.openxmlformats.org/officeDocument/2006/relationships/hyperlink" Target="https://contrataciondelestado.es/wps/poc?uri=deeplink:detalle_licitacion&amp;idEvl=Ys3LngVXSMidkQsA7ROvsg%3D%3D" TargetMode="External" Id="rId868" /><Relationship Type="http://schemas.openxmlformats.org/officeDocument/2006/relationships/hyperlink" Target="https://contrataciondelestado.es/FileSystem/servlet/GetDocumentByIdServlet?cifrado=QUC1GjXXSiLkydRHJBmbpw%3D%3D&amp;DocumentIdParam=TWPeOxRT5zyNfhbM%2BQkeFDd3jW4s0UuhLRoDMChqrRtLtln5JoMNffS8PQK3PYNXlWtHva35QyLYsaCV8XVrl2cxqWmFoJYAf%2BnH/zLBkzFt/o8fNevwsujgRzaBbugn" TargetMode="External" Id="rId869" /><Relationship Type="http://schemas.openxmlformats.org/officeDocument/2006/relationships/hyperlink" Target="https://contrataciondelestado.es/wps/poc?uri=deeplink:detalle_licitacion&amp;idEvl=tp7zz%2FEvFTmTylGzYmBF9Q%3D%3D" TargetMode="External" Id="rId870" /><Relationship Type="http://schemas.openxmlformats.org/officeDocument/2006/relationships/hyperlink" Target="https://contrataciondelestado.es/FileSystem/servlet/GetDocumentByIdServlet?cifrado=QUC1GjXXSiLkydRHJBmbpw%3D%3D&amp;DocumentIdParam=lf3vZsiuv5l/opzFRdzyEsU5EV%2BtoxugfynZWxwXgZnziqucYfOCFLOcpAGlAs%2Bx6gRqoRxa%2BDF9%2BhLmWgxhv7ry0b4ZLqDDkYI8RKQoYTJt/o8fNevwsujgRzaBbugn" TargetMode="External" Id="rId871" /><Relationship Type="http://schemas.openxmlformats.org/officeDocument/2006/relationships/hyperlink" Target="https://contrataciondelestado.es/wps/poc?uri=deeplink:detalle_licitacion&amp;idEvl=1%2F2J38w8wwiS81gZFETWmA%3D%3D" TargetMode="External" Id="rId872" /><Relationship Type="http://schemas.openxmlformats.org/officeDocument/2006/relationships/hyperlink" Target="https://contrataciondelestado.es/FileSystem/servlet/GetDocumentByIdServlet?cifrado=QUC1GjXXSiLkydRHJBmbpw%3D%3D&amp;DocumentIdParam=blqIV4BU8julf0vxnLMYMjbOWQ%2B/6o9kIgHHezKiY8qR23OZBHp1FjYAWEAjhRfMfhZ9k2iUCaaM7DMvGBStdw6zROKB40KhZLSC7ju%2ByoZ7QB3HKyQaFUExmUVQCerk" TargetMode="External" Id="rId873" /><Relationship Type="http://schemas.openxmlformats.org/officeDocument/2006/relationships/hyperlink" Target="https://contrataciondelestado.es/wps/poc?uri=deeplink:detalle_licitacion&amp;idEvl=Ws2rXJOu0%2FdQFSeKCRun4Q%3D%3D" TargetMode="External" Id="rId874" /><Relationship Type="http://schemas.openxmlformats.org/officeDocument/2006/relationships/hyperlink" Target="https://contrataciondelestado.es/FileSystem/servlet/GetDocumentByIdServlet?cifrado=QUC1GjXXSiLkydRHJBmbpw%3D%3D&amp;DocumentIdParam=C5IsLX00IVGBnioUHrSyBfGVJAUTD8Fc/w9h0jm99ja5PgaK0QhhPcgXbF%2BV9%2B2qA7MVcfI6jSerNeOBwJjJGucgs/XO7WmwLBql6aXKMtv3GVhXrFFqN7yFncy7YfRK" TargetMode="External" Id="rId875" /><Relationship Type="http://schemas.openxmlformats.org/officeDocument/2006/relationships/hyperlink" Target="https://contrataciondelestado.es/wps/poc?uri=deeplink:detalle_licitacion&amp;idEvl=6qJf3M1TMmKIzo3LHNPGcQ%3D%3D" TargetMode="External" Id="rId876" /><Relationship Type="http://schemas.openxmlformats.org/officeDocument/2006/relationships/hyperlink" Target="https://contrataciondelestado.es/FileSystem/servlet/GetDocumentByIdServlet?cifrado=QUC1GjXXSiLkydRHJBmbpw%3D%3D&amp;DocumentIdParam=6HbCSNzzQo0c/X7Gc/AIbC7TEudsRAYN4aRPt52bIN9gMKjtafPqqCQzYvSV8MW91fIR2qNgvfGhEnRah8lSc%2BnEGgp%2BdjwTf6oQ%2BOevikA//q7NB2iMZvNyf0xrJmjt" TargetMode="External" Id="rId877" /><Relationship Type="http://schemas.openxmlformats.org/officeDocument/2006/relationships/hyperlink" Target="https://contrataciondelestado.es/wps/poc?uri=deeplink:detalle_licitacion&amp;idEvl=vjgAOxmZW8kQyBAnWzHfCg%3D%3D" TargetMode="External" Id="rId878" /><Relationship Type="http://schemas.openxmlformats.org/officeDocument/2006/relationships/hyperlink" Target="https://contrataciondelestado.es/FileSystem/servlet/GetDocumentByIdServlet?cifrado=QUC1GjXXSiLkydRHJBmbpw%3D%3D&amp;DocumentIdParam=%2BQGZ1sYMu4wl%2BtBbqrYdoVNmAJcQ1RvaJflOweVflSeIYOCDo2TACWVlCqhRAV%2BkmYpvlDQsEMT1xvulvq6R2tRoGxpfWSmBWBZQgsO76UGB0nvVKRzfe4rpHcnlPhSZ" TargetMode="External" Id="rId879" /><Relationship Type="http://schemas.openxmlformats.org/officeDocument/2006/relationships/hyperlink" Target="https://contrataciondelestado.es/wps/poc?uri=deeplink:detalle_licitacion&amp;idEvl=onmOj02etM%2B2gkLQ8TeYKA%3D%3D" TargetMode="External" Id="rId880" /><Relationship Type="http://schemas.openxmlformats.org/officeDocument/2006/relationships/hyperlink" Target="https://contrataciondelestado.es/FileSystem/servlet/GetDocumentByIdServlet?cifrado=QUC1GjXXSiLkydRHJBmbpw%3D%3D&amp;DocumentIdParam=dJhK8i7KqSo%2BfX3u546EcO/WJGm8GoHb5/FZOgWI1Mll0ZFxLjdjgeII39cpSYtjAmsDp0DD5snoVtKg9UxR7gJY4jM3hL5rniCtbIdOT1dt/o8fNevwsujgRzaBbugn" TargetMode="External" Id="rId881" /><Relationship Type="http://schemas.openxmlformats.org/officeDocument/2006/relationships/hyperlink" Target="https://contrataciondelestado.es/wps/poc?uri=deeplink:detalle_licitacion&amp;idEvl=LbVqhw5ap%2BWkU02jNGj1Fw%3D%3D" TargetMode="External" Id="rId882" /><Relationship Type="http://schemas.openxmlformats.org/officeDocument/2006/relationships/hyperlink" Target="https://contrataciondelestado.es/FileSystem/servlet/GetDocumentByIdServlet?cifrado=QUC1GjXXSiLkydRHJBmbpw%3D%3D&amp;DocumentIdParam=eDXl0/bmuDQcXx2nSz5rdcXw9WeiR7nk1b6PpauvmnXJ2d46gOr9V%2BY5WAkm0Kc7%2BgrUkK05kgQfA4rPAxmepbcSAaToOTcQOQbhXllnlwBt/o8fNevwsujgRzaBbugn" TargetMode="External" Id="rId883" /><Relationship Type="http://schemas.openxmlformats.org/officeDocument/2006/relationships/hyperlink" Target="https://contrataciondelestado.es/wps/poc?uri=deeplink:detalle_licitacion&amp;idEvl=5crmW%2BliAYCLAncw3qdZkA%3D%3D" TargetMode="External" Id="rId884" /><Relationship Type="http://schemas.openxmlformats.org/officeDocument/2006/relationships/hyperlink" Target="https://contrataciondelestado.es/FileSystem/servlet/GetDocumentByIdServlet?cifrado=QUC1GjXXSiLkydRHJBmbpw%3D%3D&amp;DocumentIdParam=Beornq6nmMMgEQgPxPcb1pqkXhYniNpyALcwV8hctZ9DNsNN0CFr9bwe3OaKv/shDXRh1AA7g9c8rHo08ljFZtk9hXaS9EjqdPs0JPvTrTmCx2e6p7hqtlp2aFupgHMr" TargetMode="External" Id="rId885" /><Relationship Type="http://schemas.openxmlformats.org/officeDocument/2006/relationships/hyperlink" Target="https://contrataciondelestado.es/wps/poc?uri=deeplink:detalle_licitacion&amp;idEvl=lZ05FsVQxO7gL1BHd3qjQA%3D%3D" TargetMode="External" Id="rId886" /><Relationship Type="http://schemas.openxmlformats.org/officeDocument/2006/relationships/hyperlink" Target="https://contrataciondelestado.es/FileSystem/servlet/GetDocumentByIdServlet?cifrado=QUC1GjXXSiLkydRHJBmbpw%3D%3D&amp;DocumentIdParam=oCMnlH/PHlEeIfHzkBoPtlXJpLgIsyTy4imKn4jfMDDcHTSHeskOkcjlmYkyzNKGWljWMOVX1%2BsKJTWoMiFR0Qi6ubN12sPM00VF5fVSvkyHAj0WEJrB5sP7amrh2jBD" TargetMode="External" Id="rId887" /><Relationship Type="http://schemas.openxmlformats.org/officeDocument/2006/relationships/hyperlink" Target="https://contrataciondelestado.es/wps/poc?uri=deeplink:detalle_licitacion&amp;idEvl=Ozccl4ioyz0l5NjlNci%2BtA%3D%3D" TargetMode="External" Id="rId888" /><Relationship Type="http://schemas.openxmlformats.org/officeDocument/2006/relationships/hyperlink" Target="https://contrataciondelestado.es/FileSystem/servlet/GetDocumentByIdServlet?cifrado=QUC1GjXXSiLkydRHJBmbpw%3D%3D&amp;DocumentIdParam=eOPUG/BTI3mMSK8rFaS7YgXQ5j0r6vCYzcV564K%2BIfn20uRe2j/Ah7u%2B411IhxbMSB868ZAOwLHVjV10EruM7WLfNBD0SVufuBaFQSRXKQdt/o8fNevwsujgRzaBbugn" TargetMode="External" Id="rId889" /><Relationship Type="http://schemas.openxmlformats.org/officeDocument/2006/relationships/hyperlink" Target="https://contrataciondelestado.es/wps/poc?uri=deeplink:detalle_licitacion&amp;idEvl=sOTshav9qdfL1rX3q%2FMAPA%3D%3D" TargetMode="External" Id="rId890" /><Relationship Type="http://schemas.openxmlformats.org/officeDocument/2006/relationships/hyperlink" Target="https://contrataciondelestado.es/FileSystem/servlet/GetDocumentByIdServlet?cifrado=QUC1GjXXSiLkydRHJBmbpw%3D%3D&amp;DocumentIdParam=/nD63Z7Ap/aH0nh4XQgfG6wW94dy%2BzOyNuYTc1JTU24k1kZm4G4iKLyYruyoeBD7uitS01fkjP6VyUJG0Jm5p/9kd6tCkt3BV%2Bo1fuZVBWy1aXEvq3KHa/AEHgtDrQw0" TargetMode="External" Id="rId891" /><Relationship Type="http://schemas.openxmlformats.org/officeDocument/2006/relationships/hyperlink" Target="https://contrataciondelestado.es/wps/poc?uri=deeplink:detalle_licitacion&amp;idEvl=O59J%2FewRF36P66GS%2BONYvQ%3D%3D" TargetMode="External" Id="rId892" /><Relationship Type="http://schemas.openxmlformats.org/officeDocument/2006/relationships/hyperlink" Target="https://contrataciondelestado.es/FileSystem/servlet/GetDocumentByIdServlet?cifrado=QUC1GjXXSiLkydRHJBmbpw%3D%3D&amp;DocumentIdParam=oJVfMM4KDc%2B6nbU82Udy2outnzNd0gF0fol63g8va4pLCnaCaJvqWfkR0Q/NNE5NZoFCuXlopzni7CzBOZM25Dtgjw3e1V93oOHDrroyEQi1aXEvq3KHa/AEHgtDrQw0" TargetMode="External" Id="rId893" /><Relationship Type="http://schemas.openxmlformats.org/officeDocument/2006/relationships/hyperlink" Target="https://contrataciondelestado.es/wps/poc?uri=deeplink:detalle_licitacion&amp;idEvl=tTFC9Hd0y3J4zIRvjBVCSw%3D%3D" TargetMode="External" Id="rId894" /><Relationship Type="http://schemas.openxmlformats.org/officeDocument/2006/relationships/hyperlink" Target="https://contrataciondelestado.es/FileSystem/servlet/GetDocumentByIdServlet?cifrado=QUC1GjXXSiLkydRHJBmbpw%3D%3D&amp;DocumentIdParam=ftXJmS4tvU4VNKDsyhYDjOIKPCOp56j6Trptjvjk07%2BCi5GMjXKOT8HzmnGSPI5mCq4demAETRk9MGpzb03w8eCF3LSHQ7Err5L4fhhL4ZGB0nvVKRzfe4rpHcnlPhSZ" TargetMode="External" Id="rId895" /><Relationship Type="http://schemas.openxmlformats.org/officeDocument/2006/relationships/hyperlink" Target="https://contrataciondelestado.es/wps/poc?uri=deeplink:detalle_licitacion&amp;idEvl=8EdyDXdhia7i0Kd8%2Brcp6w%3D%3D" TargetMode="External" Id="rId896" /><Relationship Type="http://schemas.openxmlformats.org/officeDocument/2006/relationships/hyperlink" Target="https://contrataciondelestado.es/FileSystem/servlet/GetDocumentByIdServlet?cifrado=QUC1GjXXSiLkydRHJBmbpw%3D%3D&amp;DocumentIdParam=hayopJ59p51JALhT0r5Lx6IGQXM3zJtzexoJaE65RlIPCWKd0XJ/Hh59WOwcseh6NwJTG6rOEPFlWdh38qLpYkE4zopeFU8OwUJskdAXi9F45ClyWkoJ44mKM70IFcOu" TargetMode="External" Id="rId897" /><Relationship Type="http://schemas.openxmlformats.org/officeDocument/2006/relationships/hyperlink" Target="https://contrataciondelestado.es/wps/poc?uri=deeplink:detalle_licitacion&amp;idEvl=KLQ3%2BaGkcFG7JOCXkOhcDg%3D%3D" TargetMode="External" Id="rId898" /><Relationship Type="http://schemas.openxmlformats.org/officeDocument/2006/relationships/hyperlink" Target="https://contrataciondelestado.es/FileSystem/servlet/GetDocumentByIdServlet?cifrado=QUC1GjXXSiLkydRHJBmbpw%3D%3D&amp;DocumentIdParam=kutTZrV5DH3K7AbAmCd3BC0bJxYDMVeQsN43VWHEaQpvUcvuuPoINc2GTbFLJGnhuiqfwSesjBChlyGTMg%2Brk81qOLZtKdzdgzGPYj6p7Dt45ClyWkoJ44mKM70IFcOu" TargetMode="External" Id="rId899" /><Relationship Type="http://schemas.openxmlformats.org/officeDocument/2006/relationships/hyperlink" Target="https://contrataciondelestado.es/wps/poc?uri=deeplink:detalle_licitacion&amp;idEvl=UB8k44GBn7F%2BF6L2uCfUWg%3D%3D" TargetMode="External" Id="rId900" /><Relationship Type="http://schemas.openxmlformats.org/officeDocument/2006/relationships/hyperlink" Target="https://contrataciondelestado.es/FileSystem/servlet/GetDocumentByIdServlet?cifrado=QUC1GjXXSiLkydRHJBmbpw%3D%3D&amp;DocumentIdParam=SGpiOfVFpr1TvST4nF6h8Y5XEHUPJ7B8XzkBBvVai/41b4/9GrdJ5lxv7igIXbid2oHB3a/RjJ1LljvSBodHZcgYxiwf1bqnQvf/oEXXR0DfdyQgZAdTm3EfcUAC7CJ6" TargetMode="External" Id="rId901" /><Relationship Type="http://schemas.openxmlformats.org/officeDocument/2006/relationships/hyperlink" Target="https://contrataciondelestado.es/wps/poc?uri=deeplink:detalle_licitacion&amp;idEvl=KOOCxjeHUqPjHF5qKI4aaw%3D%3D" TargetMode="External" Id="rId902" /><Relationship Type="http://schemas.openxmlformats.org/officeDocument/2006/relationships/hyperlink" Target="https://contrataciondelestado.es/FileSystem/servlet/GetDocumentByIdServlet?cifrado=QUC1GjXXSiLkydRHJBmbpw%3D%3D&amp;DocumentIdParam=41W1m29v636DAxWdGubIy9TaXp2MgI3JS/YR%2BDdlJjSLuB8gjYoQSHB0MNy35KpyqM1vaH%2B5IANc1mghWWhAte5Rb3GtVjKue/%2BDiLhCb3PVTD3T98KC0nSgQFM0q%2B5s" TargetMode="External" Id="rId903" /><Relationship Type="http://schemas.openxmlformats.org/officeDocument/2006/relationships/hyperlink" Target="https://contrataciondelestado.es/wps/poc?uri=deeplink:detalle_licitacion&amp;idEvl=peZYO%2BYeHlWOUi78BmzhOQ%3D%3D" TargetMode="External" Id="rId904" /><Relationship Type="http://schemas.openxmlformats.org/officeDocument/2006/relationships/hyperlink" Target="https://contrataciondelestado.es/FileSystem/servlet/GetDocumentByIdServlet?cifrado=QUC1GjXXSiLkydRHJBmbpw%3D%3D&amp;DocumentIdParam=XQBo1YKdqQHIzYENgvEyexOUfWFt0iDHjsKEf/nvGvuysrYzrbcCCwpn9JgyoQ8GbQL33IpUb6kE%2BUxOYcHXUQ/tEMnYvnph9dvKsQHLjqs//q7NB2iMZvNyf0xrJmjt" TargetMode="External" Id="rId905" /><Relationship Type="http://schemas.openxmlformats.org/officeDocument/2006/relationships/hyperlink" Target="https://contrataciondelestado.es/wps/poc?uri=deeplink:detalle_licitacion&amp;idEvl=mxpGlzMeRBDzAq95uGTrDQ%3D%3D" TargetMode="External" Id="rId906" /><Relationship Type="http://schemas.openxmlformats.org/officeDocument/2006/relationships/hyperlink" Target="https://contrataciondelestado.es/FileSystem/servlet/GetDocumentByIdServlet?cifrado=QUC1GjXXSiLkydRHJBmbpw%3D%3D&amp;DocumentIdParam=V5ql47GUnU8Iti7bn9c9Q9UIexjd9hu7tOSNhfqTLJ9hcQBzJ%2BCJpQAH3eXmWGPrhLwZcCoRilVQ1Wz%2BmSmuPD/60x6u702rdMNqBEWJCxeHAj0WEJrB5sP7amrh2jBD" TargetMode="External" Id="rId907" /><Relationship Type="http://schemas.openxmlformats.org/officeDocument/2006/relationships/hyperlink" Target="https://contrataciondelestado.es/wps/poc?uri=deeplink:detalle_licitacion&amp;idEvl=xvKy5I2YBfyExvMJXBMHHQ%3D%3D" TargetMode="External" Id="rId908" /><Relationship Type="http://schemas.openxmlformats.org/officeDocument/2006/relationships/hyperlink" Target="https://contrataciondelestado.es/FileSystem/servlet/GetDocumentByIdServlet?cifrado=QUC1GjXXSiLkydRHJBmbpw%3D%3D&amp;DocumentIdParam=FBXWEWPmkIaKeC3qLsFEtmo%2Bs8KDZ1jdNi1PMAS9ISekxqPQMWxvExc0XD4lg5zePg8z78bjoWhCav1dav/7SSLsjNt1i3fys4V4hAIExB545ClyWkoJ44mKM70IFcOu" TargetMode="External" Id="rId909" /><Relationship Type="http://schemas.openxmlformats.org/officeDocument/2006/relationships/hyperlink" Target="https://contrataciondelestado.es/wps/poc?uri=deeplink:detalle_licitacion&amp;idEvl=DrPmzDZYBPg3vLk2DU2Ddg%3D%3D" TargetMode="External" Id="rId910" /><Relationship Type="http://schemas.openxmlformats.org/officeDocument/2006/relationships/hyperlink" Target="https://contrataciondelestado.es/FileSystem/servlet/GetDocumentByIdServlet?cifrado=QUC1GjXXSiLkydRHJBmbpw%3D%3D&amp;DocumentIdParam=/f9ttDI41kg35jrbzPkClkyGYNtoenBXbecsf7TINNOljaE1iqMqxWgVi%2B5WVWkpint0Yfuwjr6uu9AQlaycvGF6woyDAsxLMILZkiB28ZgZyAJWGsSt0OzTSTyw9JAs" TargetMode="External" Id="rId911" /><Relationship Type="http://schemas.openxmlformats.org/officeDocument/2006/relationships/hyperlink" Target="https://contrataciondelestado.es/wps/poc?uri=deeplink:detalle_licitacion&amp;idEvl=0NmPyeFB%2Be4ZDGvgaZEVxQ%3D%3D" TargetMode="External" Id="rId912" /><Relationship Type="http://schemas.openxmlformats.org/officeDocument/2006/relationships/hyperlink" Target="https://contrataciondelestado.es/FileSystem/servlet/GetDocumentByIdServlet?cifrado=QUC1GjXXSiLkydRHJBmbpw%3D%3D&amp;DocumentIdParam=PAC5brfGoAoWGI5I%2BYWX9DDL0koBesN0yHzrAYV3Rnasxv8NFW3hWhNXdo1EOdChx%2Bnzf0jEk4AIUgnGzkyQJotldqsdOpeq9URZ08v3wQl45ClyWkoJ44mKM70IFcOu" TargetMode="External" Id="rId913" /><Relationship Type="http://schemas.openxmlformats.org/officeDocument/2006/relationships/hyperlink" Target="https://contrataciondelestado.es/wps/poc?uri=deeplink:detalle_licitacion&amp;idEvl=mnWS8WmvxQGopEMYCmrbmw%3D%3D" TargetMode="External" Id="rId914" /><Relationship Type="http://schemas.openxmlformats.org/officeDocument/2006/relationships/hyperlink" Target="https://contrataciondelestado.es/FileSystem/servlet/GetDocumentByIdServlet?cifrado=QUC1GjXXSiLkydRHJBmbpw%3D%3D&amp;DocumentIdParam=HMhWY%2BAlBz71i0yVC6r26gKzXgooa6dLQZQkpB0mT3n%2BL%2BuWbwpqUB5BcOini2q9U%2B7p4JW84e6OXerdkry2f3Kjrxc5KxwqNjJDXSOF9y/VTD3T98KC0nSgQFM0q%2B5s" TargetMode="External" Id="rId915" /><Relationship Type="http://schemas.openxmlformats.org/officeDocument/2006/relationships/hyperlink" Target="https://contrataciondelestado.es/wps/poc?uri=deeplink:detalle_licitacion&amp;idEvl=Ym0WdDoYsiYeC9GJQOEBkQ%3D%3D" TargetMode="External" Id="rId916" /><Relationship Type="http://schemas.openxmlformats.org/officeDocument/2006/relationships/hyperlink" Target="https://contrataciondelestado.es/FileSystem/servlet/GetDocumentByIdServlet?cifrado=QUC1GjXXSiLkydRHJBmbpw%3D%3D&amp;DocumentIdParam=QMhGn4OFdJnpbFuT1uVF%2BXeWD0TTZDVAlaKJDvbGoCvGix/315J2LC%2B7UsOqQl9Yijcyn4vZHDPsMdvVWIrnJnxppVyQrqjhsgPe8WHPFk4C1/zDIE0Kw/PWNnLS0Z0z" TargetMode="External" Id="rId917" /><Relationship Type="http://schemas.openxmlformats.org/officeDocument/2006/relationships/hyperlink" Target="https://contrataciondelestado.es/wps/poc?uri=deeplink:detalle_licitacion&amp;idEvl=tFRAT5gvUPKKeVWTb9Scog%3D%3D" TargetMode="External" Id="rId918" /><Relationship Type="http://schemas.openxmlformats.org/officeDocument/2006/relationships/hyperlink" Target="https://contrataciondelestado.es/FileSystem/servlet/GetDocumentByIdServlet?cifrado=QUC1GjXXSiLkydRHJBmbpw%3D%3D&amp;DocumentIdParam=cBUWnPPK/rKUMtXA38zVk65/Nq1tnNJ/7Nz8%2BfvBOlfX4mmm2EVCm%2BVMurpA0r8/9MAukv/6KVTkdoWUcoKTIhLqdO5HCRvmlLanr4JCL7QZyAJWGsSt0OzTSTyw9JAs" TargetMode="External" Id="rId919" /><Relationship Type="http://schemas.openxmlformats.org/officeDocument/2006/relationships/hyperlink" Target="https://contrataciondelestado.es/wps/poc?uri=deeplink:detalle_licitacion&amp;idEvl=c%2FGwaUq7X6U7u6%2B%2FR7DUoA%3D%3D" TargetMode="External" Id="rId920" /><Relationship Type="http://schemas.openxmlformats.org/officeDocument/2006/relationships/hyperlink" Target="https://contrataciondelestado.es/FileSystem/servlet/GetDocumentByIdServlet?cifrado=QUC1GjXXSiLkydRHJBmbpw%3D%3D&amp;DocumentIdParam=h4YelnejIzv1PHBW2vV81cfdFOyyGw%2B325GKB/8lcKsvjMuFYYaZpD3uAulDl94xXwFXk1Qzp/notTyRy4lZx/XdK7a6Okik2/btQNYiRfcZyAJWGsSt0OzTSTyw9JAs" TargetMode="External" Id="rId921" /><Relationship Type="http://schemas.openxmlformats.org/officeDocument/2006/relationships/hyperlink" Target="https://contrataciondelestado.es/wps/poc?uri=deeplink:detalle_licitacion&amp;idEvl=XaS0lUeIxTc%2Bk2oCbDosIw%3D%3D" TargetMode="External" Id="rId922" /><Relationship Type="http://schemas.openxmlformats.org/officeDocument/2006/relationships/hyperlink" Target="https://contrataciondelestado.es/FileSystem/servlet/GetDocumentByIdServlet?cifrado=QUC1GjXXSiLkydRHJBmbpw%3D%3D&amp;DocumentIdParam=40oTrrMeZLN3T7f7bwayJj68jUU9PmVPPgC0bFn%2B2mnsIMZ2jT95zPsHDim28MLmat98wRinYznGAMpvwsvJuhJ2XqmuchW5vesSJKSzGXm1aXEvq3KHa/AEHgtDrQw0" TargetMode="External" Id="rId923" /><Relationship Type="http://schemas.openxmlformats.org/officeDocument/2006/relationships/hyperlink" Target="https://contrataciondelestado.es/wps/poc?uri=deeplink:detalle_licitacion&amp;idEvl=rZ8tWVT%2FT3KKeVWTb9Scog%3D%3D" TargetMode="External" Id="rId924" /><Relationship Type="http://schemas.openxmlformats.org/officeDocument/2006/relationships/hyperlink" Target="https://contrataciondelestado.es/FileSystem/servlet/GetDocumentByIdServlet?cifrado=QUC1GjXXSiLkydRHJBmbpw%3D%3D&amp;DocumentIdParam=nai19CG5duTC4ScC9/kl9XHHShQVrvTGuYB9MudLSC2LA2nGoIsjbb%2BSZQCvnCFqnGZ5cuExxim6mYLaf5hD3nnpuYqLnw0281tpnmUzaFb6CYyL7SIrUOBFfNf52ZqA" TargetMode="External" Id="rId925" /><Relationship Type="http://schemas.openxmlformats.org/officeDocument/2006/relationships/hyperlink" Target="https://contrataciondelestado.es/wps/poc?uri=deeplink:detalle_licitacion&amp;idEvl=Jwc8X7avjbcl5NjlNci%2BtA%3D%3D" TargetMode="External" Id="rId926" /><Relationship Type="http://schemas.openxmlformats.org/officeDocument/2006/relationships/hyperlink" Target="https://contrataciondelestado.es/FileSystem/servlet/GetDocumentByIdServlet?cifrado=QUC1GjXXSiLkydRHJBmbpw%3D%3D&amp;DocumentIdParam=UIUoH0plANh%2BRMu1KLMNcEud4Onf/QkZDXYnvrK6/2ze5mGwFaLBINbuOHJ6/V3nYf9sMdTdxyXIfsD5gFrJF61ZjLnfo9xLFMwdbpBN2yUZyAJWGsSt0OzTSTyw9JAs" TargetMode="External" Id="rId927" /><Relationship Type="http://schemas.openxmlformats.org/officeDocument/2006/relationships/hyperlink" Target="https://contrataciondelestado.es/wps/poc?uri=deeplink:detalle_licitacion&amp;idEvl=whN4YVPMitE4NavIWzMcHA%3D%3D" TargetMode="External" Id="rId928" /><Relationship Type="http://schemas.openxmlformats.org/officeDocument/2006/relationships/hyperlink" Target="https://contrataciondelestado.es/FileSystem/servlet/GetDocumentByIdServlet?cifrado=QUC1GjXXSiLkydRHJBmbpw%3D%3D&amp;DocumentIdParam=5SrltEMO4oOlrtOUs2iF5ZaYkb0PRUFr0lwhOekB4IEARSkhsiIt4QRTn99I0IkyceTEVqEC6mwJP%2BV1ZGvVtc%2BXGv90RKBkvT9ktNJfdMcC1/zDIE0Kw/PWNnLS0Z0z" TargetMode="External" Id="rId929" /><Relationship Type="http://schemas.openxmlformats.org/officeDocument/2006/relationships/hyperlink" Target="https://contrataciondelestado.es/wps/poc?uri=deeplink:detalle_licitacion&amp;idEvl=7FwhyLzmn%2BMwYTJJ03sHog%3D%3D" TargetMode="External" Id="rId930" /><Relationship Type="http://schemas.openxmlformats.org/officeDocument/2006/relationships/hyperlink" Target="https://contrataciondelestado.es/FileSystem/servlet/GetDocumentByIdServlet?cifrado=QUC1GjXXSiLkydRHJBmbpw%3D%3D&amp;DocumentIdParam=r7zDwFi1%2B/ik3Kn2mNRZcGRVzE8699f7KKPwvbFolaMeWqzPEYMxrDfGvd%2B35wOOY9uDxtWL4TijWG7fJ7otzvYNoKPhDMdL9VXysu079njDdQD9RyhUmzT4jZ2In4zL" TargetMode="External" Id="rId931" /><Relationship Type="http://schemas.openxmlformats.org/officeDocument/2006/relationships/hyperlink" Target="https://contrataciondelestado.es/wps/poc?uri=deeplink:detalle_licitacion&amp;idEvl=D%2FmOIHbshr03vLk2DU2Ddg%3D%3D" TargetMode="External" Id="rId932" /><Relationship Type="http://schemas.openxmlformats.org/officeDocument/2006/relationships/hyperlink" Target="https://contrataciondelestado.es/FileSystem/servlet/GetDocumentByIdServlet?cifrado=QUC1GjXXSiLkydRHJBmbpw%3D%3D&amp;DocumentIdParam=YAkwjs%2B3HMSQsXsRH1QtQmK3dF0oCNlG7ZgVgVe08ZmjNSDwCC8WociIyWVjS6bF2m2WU5JP6Vtr4bKEseyxQ4rmZHj7kjq5MFTj3EVG1AVJOVDbGCDM%2BMigrvuVS7Rv" TargetMode="External" Id="rId933" /><Relationship Type="http://schemas.openxmlformats.org/officeDocument/2006/relationships/hyperlink" Target="https://contrataciondelestado.es/wps/poc?uri=deeplink:detalle_licitacion&amp;idEvl=1zFl%2FpbVM9XECtSnloz%2BZQ%3D%3D" TargetMode="External" Id="rId934" /><Relationship Type="http://schemas.openxmlformats.org/officeDocument/2006/relationships/hyperlink" Target="https://contrataciondelestado.es/FileSystem/servlet/GetDocumentByIdServlet?cifrado=QUC1GjXXSiLkydRHJBmbpw%3D%3D&amp;DocumentIdParam=x%2BE4PqPgzqMilmiS/0z9BIcK73TWz1BbCldaDg8cqXYljywN/TE6vF9FUwfJtrt95JESLvS6aeGrbEgpzr6069ggP03iY6RsulMauGNJMkdt/o8fNevwsujgRzaBbugn" TargetMode="External" Id="rId935" /><Relationship Type="http://schemas.openxmlformats.org/officeDocument/2006/relationships/hyperlink" Target="https://contrataciondelestado.es/wps/poc?uri=deeplink:detalle_licitacion&amp;idEvl=RG0iaeYtoErua%2Fi14w%2FPLA%3D%3D" TargetMode="External" Id="rId936" /><Relationship Type="http://schemas.openxmlformats.org/officeDocument/2006/relationships/hyperlink" Target="https://contrataciondelestado.es/FileSystem/servlet/GetDocumentByIdServlet?cifrado=QUC1GjXXSiLkydRHJBmbpw%3D%3D&amp;DocumentIdParam=/%2BJDW64amyuG7Iq74XbtJGSnI%2BIc3lOg%2Ba3ciE3y2BJ78MGkT7cb5Xf0GrdRX2J6JUTpjJVF4ZvDgepT40TUyLdgJou9WhyUtpeF3QcJ98KCx2e6p7hqtlp2aFupgHMr" TargetMode="External" Id="rId937" /><Relationship Type="http://schemas.openxmlformats.org/officeDocument/2006/relationships/hyperlink" Target="https://contrataciondelestado.es/wps/poc?uri=deeplink:detalle_licitacion&amp;idEvl=8NMssK1BtvdWhbmkna2nXQ%3D%3D" TargetMode="External" Id="rId938" /><Relationship Type="http://schemas.openxmlformats.org/officeDocument/2006/relationships/hyperlink" Target="https://contrataciondelestado.es/FileSystem/servlet/GetDocumentByIdServlet?cifrado=QUC1GjXXSiLkydRHJBmbpw%3D%3D&amp;DocumentIdParam=0jxcYpyRf/JKgRcNB7xOigA0sC2hLQTKVnEcGFjK4Zc/PO1Mu/UTS%2BQefir6IpjFEeH0jZZRiCL45NlqRkSgbOKRqCHRmxKtnRDLV/zP3O6HAj0WEJrB5sP7amrh2jBD" TargetMode="External" Id="rId939" /><Relationship Type="http://schemas.openxmlformats.org/officeDocument/2006/relationships/hyperlink" Target="https://contrataciondelestado.es/wps/poc?uri=deeplink:detalle_licitacion&amp;idEvl=VHnwy%2Ftmh3%2F%2Fa9DgO%2BoYKQ%3D%3D" TargetMode="External" Id="rId940" /><Relationship Type="http://schemas.openxmlformats.org/officeDocument/2006/relationships/hyperlink" Target="https://contrataciondelestado.es/FileSystem/servlet/GetDocumentByIdServlet?cifrado=QUC1GjXXSiLkydRHJBmbpw%3D%3D&amp;DocumentIdParam=LRVgnB2LrGOLU5WGkl2bJ/go%2BZ4Oboj0RpyYMxYhl6G3h8FR2ZNuSHuKljvjZcOmJeOFWWE8dYfmY09WEhv0rEn3FLwyf45OGnr0lQKSZJGB0nvVKRzfe4rpHcnlPhSZ" TargetMode="External" Id="rId941" /><Relationship Type="http://schemas.openxmlformats.org/officeDocument/2006/relationships/hyperlink" Target="https://contrataciondelestado.es/wps/poc?uri=deeplink:detalle_licitacion&amp;idEvl=ruugrPUc6KwZDGvgaZEVxQ%3D%3D" TargetMode="External" Id="rId942" /><Relationship Type="http://schemas.openxmlformats.org/officeDocument/2006/relationships/hyperlink" Target="https://contrataciondelestado.es/FileSystem/servlet/GetDocumentByIdServlet?cifrado=QUC1GjXXSiLkydRHJBmbpw%3D%3D&amp;DocumentIdParam=AWsmtDKHDuGYRFlWy9kYxILfwy7xObuWIOxkZ%2BCGlbdiquk8SlCxMaREKj/pLNe0YDVGzStQ54Zwh1nRoWMrV%2BsN8LlFSE2std2W2Bq7IQb3GVhXrFFqN7yFncy7YfRK" TargetMode="External" Id="rId943" /><Relationship Type="http://schemas.openxmlformats.org/officeDocument/2006/relationships/hyperlink" Target="https://contrataciondelestado.es/wps/poc?uri=deeplink:detalle_licitacion&amp;idEvl=ChPZQWalhbHzAq95uGTrDQ%3D%3D" TargetMode="External" Id="rId944" /><Relationship Type="http://schemas.openxmlformats.org/officeDocument/2006/relationships/hyperlink" Target="https://contrataciondelestado.es/FileSystem/servlet/GetDocumentByIdServlet?cifrado=QUC1GjXXSiLkydRHJBmbpw%3D%3D&amp;DocumentIdParam=9yifPY0hzuBDX%2BWR3sHeLZU5bixThGAK2zBkmWF0H730Mls1LtjPT6wEFoPEkK13wZs8r%2BVt23XFS5rVxhgbaGIDE42t2WzXsJUF1iG4MwIC1/zDIE0Kw/PWNnLS0Z0z" TargetMode="External" Id="rId945" /><Relationship Type="http://schemas.openxmlformats.org/officeDocument/2006/relationships/hyperlink" Target="https://contrataciondelestado.es/wps/poc?uri=deeplink:detalle_licitacion&amp;idEvl=AxxGTzGzfKctm4eBPtV6eQ%3D%3D" TargetMode="External" Id="rId946" /><Relationship Type="http://schemas.openxmlformats.org/officeDocument/2006/relationships/hyperlink" Target="https://contrataciondelestado.es/FileSystem/servlet/GetDocumentByIdServlet?cifrado=QUC1GjXXSiLkydRHJBmbpw%3D%3D&amp;DocumentIdParam=H/Yyq/%2BP8nU5OuaWfb/qnrYPgRZ6PXtjXYFR2CbjOjSduatpuhbKvvm1oz1nI0Vi1xX8T/B2lwIVgkGtmp1mWf4jWCcojCdZ73I/JFymKnFt/o8fNevwsujgRzaBbugn" TargetMode="External" Id="rId947" /><Relationship Type="http://schemas.openxmlformats.org/officeDocument/2006/relationships/hyperlink" Target="https://contrataciondelestado.es/wps/poc?uri=deeplink:detalle_licitacion&amp;idEvl=tytGTikeUnucTfjQf3USOg%3D%3D" TargetMode="External" Id="rId948" /><Relationship Type="http://schemas.openxmlformats.org/officeDocument/2006/relationships/hyperlink" Target="https://contrataciondelestado.es/FileSystem/servlet/GetDocumentByIdServlet?cifrado=QUC1GjXXSiLkydRHJBmbpw%3D%3D&amp;DocumentIdParam=v1YUNz0IHWlmcI/uqBPWIO2SLX4UuzW1yEDlTx3q/kk5W5zRs3ongY6ezStEB3BXfLgGVKS/1wMRecYZeK0mF0sULW6/lu%2B8xv0ICR/Iya8C1/zDIE0Kw/PWNnLS0Z0z" TargetMode="External" Id="rId949" /><Relationship Type="http://schemas.openxmlformats.org/officeDocument/2006/relationships/hyperlink" Target="https://contrataciondelestado.es/wps/poc?uri=deeplink:detalle_licitacion&amp;idEvl=zQ%2FjVuiaAKQzjChw4z%2FXvw%3D%3D" TargetMode="External" Id="rId950" /><Relationship Type="http://schemas.openxmlformats.org/officeDocument/2006/relationships/hyperlink" Target="https://contrataciondelestado.es/FileSystem/servlet/GetDocumentByIdServlet?cifrado=QUC1GjXXSiLkydRHJBmbpw%3D%3D&amp;DocumentIdParam=n7UnA0h9AUtYOr6Uox2NyMxL53T/YCDT6TULKn5TV7sCSsaLcu9%2Bfq55X38VEMuOoGIe%2B2qVYONAqTO%2BUJzn4Hrho5cLu/htmq27tL5dt9G1aXEvq3KHa/AEHgtDrQw0" TargetMode="External" Id="rId951" /><Relationship Type="http://schemas.openxmlformats.org/officeDocument/2006/relationships/hyperlink" Target="https://contrataciondelestado.es/wps/poc?uri=deeplink:detalle_licitacion&amp;idEvl=EJ1mhWd0JlFWhbmkna2nXQ%3D%3D" TargetMode="External" Id="rId952" /><Relationship Type="http://schemas.openxmlformats.org/officeDocument/2006/relationships/hyperlink" Target="https://contrataciondelestado.es/FileSystem/servlet/GetDocumentByIdServlet?cifrado=QUC1GjXXSiLkydRHJBmbpw%3D%3D&amp;DocumentIdParam=OwzKR1DvIUqy%2B1lYKYiVfI8Lw%2BJ/eWWWlYpokjlpHAI7QTCieZwv97ZN9lAeiVXw1pmOU0q73FEbBQLCnBGpsY9z3xoB0xoglIE4j/3A4ta1aXEvq3KHa/AEHgtDrQw0" TargetMode="External" Id="rId953" /><Relationship Type="http://schemas.openxmlformats.org/officeDocument/2006/relationships/hyperlink" Target="https://contrataciondelestado.es/wps/poc?uri=deeplink:detalle_licitacion&amp;idEvl=wOKZBSgLpuHI8aL3PRS10Q%3D%3D" TargetMode="External" Id="rId954" /><Relationship Type="http://schemas.openxmlformats.org/officeDocument/2006/relationships/hyperlink" Target="https://contrataciondelestado.es/FileSystem/servlet/GetDocumentByIdServlet?cifrado=QUC1GjXXSiLkydRHJBmbpw%3D%3D&amp;DocumentIdParam=LByynYRfZdxe1y91taITOWUb7mH/4QKoHT8rPjG4IX0XZW54L/1EN5myPL16RVS23b8kfRuHf4Z2h9C0PsrdgwzyZv%2BQAZqjeHjxxAtP0%2B2HAj0WEJrB5sP7amrh2jBD" TargetMode="External" Id="rId955" /><Relationship Type="http://schemas.openxmlformats.org/officeDocument/2006/relationships/hyperlink" Target="https://contrataciondelestado.es/wps/poc?uri=deeplink:detalle_licitacion&amp;idEvl=MaCllB2nvsVVq4S9zvaQpQ%3D%3D" TargetMode="External" Id="rId956" /><Relationship Type="http://schemas.openxmlformats.org/officeDocument/2006/relationships/hyperlink" Target="https://contrataciondelestado.es/FileSystem/servlet/GetDocumentByIdServlet?cifrado=QUC1GjXXSiLkydRHJBmbpw%3D%3D&amp;DocumentIdParam=2srwkf5uI35RzVsF1Wrzen4RARLdQFuSYlsm/P0wVijSXMW517ZE8zgkrrwa3C4vB/zaPkTMSUZJOEHpkfnZ4XUStKVKJi0tHwMFIYeP9O7VTD3T98KC0nSgQFM0q%2B5s" TargetMode="External" Id="rId957" /><Relationship Type="http://schemas.openxmlformats.org/officeDocument/2006/relationships/hyperlink" Target="https://contrataciondelestado.es/wps/poc?uri=deeplink:detalle_licitacion&amp;idEvl=ltUgaZUqgVOzz8fXU2i3eQ%3D%3D" TargetMode="External" Id="rId958" /><Relationship Type="http://schemas.openxmlformats.org/officeDocument/2006/relationships/hyperlink" Target="https://contrataciondelestado.es/FileSystem/servlet/GetDocumentByIdServlet?cifrado=QUC1GjXXSiLkydRHJBmbpw%3D%3D&amp;DocumentIdParam=glrOa7b3uXXd1ooOVPLEbFuhQN1rsDaDb9Y9OWtjRUekd3P6xKgXV1mA88B0PncaLnbrtlQVb11CNoCuTUjScNCzWjyzBuBvBvOHUwJ4hDht/o8fNevwsujgRzaBbugn" TargetMode="External" Id="rId959" /><Relationship Type="http://schemas.openxmlformats.org/officeDocument/2006/relationships/hyperlink" Target="https://contrataciondelestado.es/wps/poc?uri=deeplink:detalle_licitacion&amp;idEvl=FnQ6N8C78eTpxJFXpLZ%2B2A%3D%3D" TargetMode="External" Id="rId960" /><Relationship Type="http://schemas.openxmlformats.org/officeDocument/2006/relationships/hyperlink" Target="https://contrataciondelestado.es/FileSystem/servlet/GetDocumentByIdServlet?cifrado=QUC1GjXXSiLkydRHJBmbpw%3D%3D&amp;DocumentIdParam=xDVEvKU868ZaG9RD7ZSiKDHW9htKmmG61mS5YDl3EIQ8EqzvQhLfplbz54%2B0uXWrR3JY5Fqpzao35cJ8p1VeArdTGke5dti1zCZkcQ%2BY4Hn3GVhXrFFqN7yFncy7YfRK" TargetMode="External" Id="rId961" /><Relationship Type="http://schemas.openxmlformats.org/officeDocument/2006/relationships/hyperlink" Target="https://contrataciondelestado.es/wps/poc?uri=deeplink:detalle_licitacion&amp;idEvl=DrD4FuG2j3xeKgd8LfVV9g%3D%3D" TargetMode="External" Id="rId962" /><Relationship Type="http://schemas.openxmlformats.org/officeDocument/2006/relationships/hyperlink" Target="https://contrataciondelestado.es/FileSystem/servlet/GetDocumentByIdServlet?cifrado=QUC1GjXXSiLkydRHJBmbpw%3D%3D&amp;DocumentIdParam=H9Exxi89RWc1PE9eLCdEgsuiffBd2pmJIvUBKZaEOibim1Nq2vx6ilbMziQ79KBUgFXQtfjXJSxjluMS0WBU5EQ8qe7LWAXLZt0LLMImibf3GVhXrFFqN7yFncy7YfRK" TargetMode="External" Id="rId963" /><Relationship Type="http://schemas.openxmlformats.org/officeDocument/2006/relationships/hyperlink" Target="https://contrataciondelestado.es/wps/poc?uri=deeplink:detalle_licitacion&amp;idEvl=p9Z%2BDOR1RCstm4eBPtV6eQ%3D%3D" TargetMode="External" Id="rId964" /><Relationship Type="http://schemas.openxmlformats.org/officeDocument/2006/relationships/hyperlink" Target="https://contrataciondelestado.es/wps/poc?uri=deeplink:detalle_licitacion&amp;idEvl=CrG%2B8coXteWAAM7L03kM8A%3D%3D" TargetMode="External" Id="rId965" /><Relationship Type="http://schemas.openxmlformats.org/officeDocument/2006/relationships/hyperlink" Target="https://contrataciondelestado.es/FileSystem/servlet/GetDocumentByIdServlet?cifrado=QUC1GjXXSiLkydRHJBmbpw%3D%3D&amp;DocumentIdParam=Bmf3mhPkNKGK1QXHIDlWI/jjrpLeGWm9U%2BiI/PmeL5h6OCZufWcsMqIPBQj8AzZtuRvW4FVnSbxEWr1SjmRBkHszlN1tvnM%2BuNJOTjOf/QXfdyQgZAdTm3EfcUAC7CJ6" TargetMode="External" Id="rId966" /><Relationship Type="http://schemas.openxmlformats.org/officeDocument/2006/relationships/hyperlink" Target="https://contrataciondelestado.es/wps/poc?uri=deeplink:detalle_licitacion&amp;idEvl=GeSxREajJeV6nTs9LZ9RhQ%3D%3D" TargetMode="External" Id="rId967" /><Relationship Type="http://schemas.openxmlformats.org/officeDocument/2006/relationships/hyperlink" Target="https://contrataciondelestado.es/FileSystem/servlet/GetDocumentByIdServlet?cifrado=QUC1GjXXSiLkydRHJBmbpw%3D%3D&amp;DocumentIdParam=6OMWV4yihBNDdbpeOGGiWPt39bOqJE5p3F83hcEx5/9QkOXVRdyhMCmqeZMv2QrJ8TXWR0C0xUB9OhAgcb6VM/lNh1ROgAO%2B1gugakqXPBv3GVhXrFFqN7yFncy7YfRK" TargetMode="External" Id="rId968" /><Relationship Type="http://schemas.openxmlformats.org/officeDocument/2006/relationships/hyperlink" Target="https://contrataciondelestado.es/wps/poc?uri=deeplink:detalle_licitacion&amp;idEvl=xlntojPfREGcCF8sV%2BqtYA%3D%3D" TargetMode="External" Id="rId969" /><Relationship Type="http://schemas.openxmlformats.org/officeDocument/2006/relationships/hyperlink" Target="https://contrataciondelestado.es/FileSystem/servlet/GetDocumentByIdServlet?cifrado=QUC1GjXXSiLkydRHJBmbpw%3D%3D&amp;DocumentIdParam=Ef0qJEKY4iBThAaO91btkrFj86i6fGCc/qdN/%2BuVUnHaBc1VpUdpfKSfgk15DFHxWBHDXkrpnH30CHboNopzb81yqiB/l7XuHvvNJgtN3qD6CYyL7SIrUOBFfNf52ZqA" TargetMode="External" Id="rId970" /><Relationship Type="http://schemas.openxmlformats.org/officeDocument/2006/relationships/hyperlink" Target="https://contrataciondelestado.es/wps/poc?uri=deeplink:detalle_licitacion&amp;idEvl=T%2FXLVHfk4%2BcXhk1FZxEyvw%3D%3D" TargetMode="External" Id="rId971" /><Relationship Type="http://schemas.openxmlformats.org/officeDocument/2006/relationships/hyperlink" Target="https://contrataciondelestado.es/FileSystem/servlet/GetDocumentByIdServlet?cifrado=QUC1GjXXSiLkydRHJBmbpw%3D%3D&amp;DocumentIdParam=WMeHv%2BoBAnbYGls4fUn5W0Tr4XBu4oLFbWMwNuYhX5qCRp3OtqY6uvLj1%2BkWiX%2BsxFQUWSpH1r2za4Q1gDdztbITLlfPjNr2R2wmj9PX8nMC1/zDIE0Kw/PWNnLS0Z0z" TargetMode="External" Id="rId972" /><Relationship Type="http://schemas.openxmlformats.org/officeDocument/2006/relationships/hyperlink" Target="https://contrataciondelestado.es/wps/poc?uri=deeplink:detalle_licitacion&amp;idEvl=6nzXAbvOCoTN3k3tjedSGw%3D%3D" TargetMode="External" Id="rId973" /><Relationship Type="http://schemas.openxmlformats.org/officeDocument/2006/relationships/hyperlink" Target="https://contrataciondelestado.es/FileSystem/servlet/GetDocumentByIdServlet?DocumentIdParam=OHMptcyzhQLqx8t%2BR5ea4LR0xf9l%2BRpRWNkIm42r%2BIaa5tubNvUmv2ILD2QR/JzJxxYKfBvPgrjS0zBRbED4QIrJtaYIhY8WFmvR3rOa0ea1aXEvq3KHa/AEHgtDrQw0&amp;cifrado=QUC1GjXXSiLkydRHJBmbpw%3D%3D" TargetMode="External" Id="rId974" /><Relationship Type="http://schemas.openxmlformats.org/officeDocument/2006/relationships/hyperlink" Target="https://contrataciondelestado.es/wps/poc?uri=deeplink:detalle_licitacion&amp;idEvl=BnQKRefKn6mHCIsjvJ3rhQ%3D%3D" TargetMode="External" Id="rId975" /><Relationship Type="http://schemas.openxmlformats.org/officeDocument/2006/relationships/hyperlink" Target="https://contrataciondelestado.es/FileSystem/servlet/GetDocumentByIdServlet?cifrado=QUC1GjXXSiLkydRHJBmbpw%3D%3D&amp;DocumentIdParam=eef6GS/BTSnHe/QayCzlmYSuanhqjYXhv0vgz9D/dFHyvvOdMR6s9RMJw11uXfpnwCTNhDX%2BjnH/dxOTS/RxM1mKksbjiehHrIgfNAxKKkC1aXEvq3KHa/AEHgtDrQw0" TargetMode="External" Id="rId976" /><Relationship Type="http://schemas.openxmlformats.org/officeDocument/2006/relationships/hyperlink" Target="https://contrataciondelestado.es/wps/poc?uri=deeplink:detalle_licitacion&amp;idEvl=ujmYhf3SwywQyBAnWzHfCg%3D%3D" TargetMode="External" Id="rId977" /><Relationship Type="http://schemas.openxmlformats.org/officeDocument/2006/relationships/hyperlink" Target="https://contrataciondelestado.es/FileSystem/servlet/GetDocumentByIdServlet?cifrado=QUC1GjXXSiLkydRHJBmbpw%3D%3D&amp;DocumentIdParam=5yo9H0SeCsADrqYPj7qbvVy69pSB4rb3Vf24D4RHD8a2qXqvHYIrkha71g2I/Cv4aM4Uxzn3q%2Bp8C4x02082t0TfxIljtzjVNEJujhvj/rrVTD3T98KC0nSgQFM0q%2B5s" TargetMode="External" Id="rId978" /><Relationship Type="http://schemas.openxmlformats.org/officeDocument/2006/relationships/hyperlink" Target="https://contrataciondelestado.es/wps/poc?uri=deeplink:detalle_licitacion&amp;idEvl=mo6NPOnpN%2FbVGIpKDxgsAQ%3D%3D" TargetMode="External" Id="rId979" /><Relationship Type="http://schemas.openxmlformats.org/officeDocument/2006/relationships/hyperlink" Target="https://contrataciondelestado.es/FileSystem/servlet/GetDocumentByIdServlet?cifrado=QUC1GjXXSiLkydRHJBmbpw%3D%3D&amp;DocumentIdParam=n91uf/6/cDcn0VtcKJUUyJH1wCyvytOVIKmNhG/sKAEHQzL6PX7QYfZfiXc3/E9YTtRe8th8HeLImQhL/7H/W4BMmU2m8gUk8vNRdu2GHa5JOVDbGCDM%2BMigrvuVS7Rv" TargetMode="External" Id="rId980" /><Relationship Type="http://schemas.openxmlformats.org/officeDocument/2006/relationships/hyperlink" Target="https://contrataciondelestado.es/wps/poc?uri=deeplink:detalle_licitacion&amp;idEvl=LLFNHL1OkU42wEhQbcAqug%3D%3D" TargetMode="External" Id="rId981" /><Relationship Type="http://schemas.openxmlformats.org/officeDocument/2006/relationships/hyperlink" Target="https://contrataciondelestado.es/FileSystem/servlet/GetDocumentByIdServlet?cifrado=QUC1GjXXSiLkydRHJBmbpw%3D%3D&amp;DocumentIdParam=ZAKM0UalOT/eIY8sUFXSGBTwTol6aqt1eShZB9cQRmDZ1actgB1Bnij3z9Fs%2BbyCMW0Ms5l3e3X2eN7SlziFTeSZ83T4IfeaTZmRMY%2BHIyW1aXEvq3KHa/AEHgtDrQw0" TargetMode="External" Id="rId982" /><Relationship Type="http://schemas.openxmlformats.org/officeDocument/2006/relationships/hyperlink" Target="https://contrataciondelestado.es/wps/poc?uri=deeplink:detalle_licitacion&amp;idEvl=mAwRC%2B1EMz%2FL1rX3q%2FMAPA%3D%3D" TargetMode="External" Id="rId983" /><Relationship Type="http://schemas.openxmlformats.org/officeDocument/2006/relationships/hyperlink" Target="https://contrataciondelestado.es/FileSystem/servlet/GetDocumentByIdServlet?cifrado=QUC1GjXXSiLkydRHJBmbpw%3D%3D&amp;DocumentIdParam=JgsY1J6kp66dTzdItyBqQtD6LIqGGbI03bxOvha3h%2Bfrwp4bzglA2zK3sN0W9V7wuRrG8cUxZe/bDDjvvJ97CwIX9mkZ0l7EpPGp/O7t%2B3c//q7NB2iMZvNyf0xrJmjt" TargetMode="External" Id="rId984" /><Relationship Type="http://schemas.openxmlformats.org/officeDocument/2006/relationships/hyperlink" Target="https://contrataciondelestado.es/wps/poc?uri=deeplink:detalle_licitacion&amp;idEvl=ytBF6fjR1n3jHF5qKI4aaw%3D%3D" TargetMode="External" Id="rId985" /><Relationship Type="http://schemas.openxmlformats.org/officeDocument/2006/relationships/hyperlink" Target="https://contrataciondelestado.es/FileSystem/servlet/GetDocumentByIdServlet?cifrado=QUC1GjXXSiLkydRHJBmbpw%3D%3D&amp;DocumentIdParam=fDW6FVWkStEeG71qmnA8GdiFqqjUXcfsPoYeDTKdAzp57DCsLJKICLSnNhxLZ80HJl/didoLOHpvnHuDeuMW6I3lxyvfA5un65wqkfAuG1X6CYyL7SIrUOBFfNf52ZqA" TargetMode="External" Id="rId986" /><Relationship Type="http://schemas.openxmlformats.org/officeDocument/2006/relationships/hyperlink" Target="https://contrataciondelestado.es/wps/poc?uri=deeplink:detalle_licitacion&amp;idEvl=BIPXH8jOrT%2Fs%2BnLj3vAg5A%3D%3D" TargetMode="External" Id="rId987" /><Relationship Type="http://schemas.openxmlformats.org/officeDocument/2006/relationships/hyperlink" Target="https://contrataciondelestado.es/FileSystem/servlet/GetDocumentByIdServlet?DocumentIdParam=leHFPQ/W2Zr7fF6OVYN1SnsK45GiKKployF1yS0nyUIXiAi9z4JbcGxq9r8dK5sM7fEspfaYnHNVEGHdWBanlGqjcxIe2mH36LJhSBVTkpt7QB3HKyQaFUExmUVQCerk&amp;cifrado=QUC1GjXXSiLkydRHJBmbpw%3D%3D" TargetMode="External" Id="rId988" /><Relationship Type="http://schemas.openxmlformats.org/officeDocument/2006/relationships/hyperlink" Target="https://contrataciondelestado.es/wps/poc?uri=deeplink:detalle_licitacion&amp;idEvl=jVTlvByk%2FVeGCFcHcNGIlQ%3D%3D" TargetMode="External" Id="rId989" /><Relationship Type="http://schemas.openxmlformats.org/officeDocument/2006/relationships/hyperlink" Target="https://contrataciondelestado.es/FileSystem/servlet/GetDocumentByIdServlet?cifrado=QUC1GjXXSiLkydRHJBmbpw%3D%3D&amp;DocumentIdParam=CU5nC1i9tSBNsjaJLPHdPBueSSWTvS8yckNUn/OPiAMV3vAdS6%2BwOIG9U4m3VUee4MplbQorKpLP7qjt7Abjxg3OyCIDgHkyZmMT3nCEttMZyAJWGsSt0OzTSTyw9JAs" TargetMode="External" Id="rId990" /><Relationship Type="http://schemas.openxmlformats.org/officeDocument/2006/relationships/hyperlink" Target="https://contrataciondelestado.es/wps/poc?uri=deeplink:detalle_licitacion&amp;idEvl=5r4rQB0U2jQ%2Bk2oCbDosIw%3D%3D" TargetMode="External" Id="rId991" /><Relationship Type="http://schemas.openxmlformats.org/officeDocument/2006/relationships/hyperlink" Target="https://contrataciondelestado.es/FileSystem/servlet/GetDocumentByIdServlet?cifrado=QUC1GjXXSiLkydRHJBmbpw%3D%3D&amp;DocumentIdParam=QMhGn4OFdJnpbFuT1uVF%2BWx/CnGEaeKkuwcn5/JhickCrdyr88tWDQsljAWN%2BbzdAEI47eV5Zdd%2BncunkMzD/hiF8TjSzgjBSyybPbF/0Ldt/o8fNevwsujgRzaBbugn" TargetMode="External" Id="rId992" /><Relationship Type="http://schemas.openxmlformats.org/officeDocument/2006/relationships/hyperlink" Target="https://contrataciondelestado.es/wps/poc?uri=deeplink:detalle_licitacion&amp;idEvl=jkq3Qg34IDLIGlsa0Wad%2Bw%3D%3D" TargetMode="External" Id="rId993" /><Relationship Type="http://schemas.openxmlformats.org/officeDocument/2006/relationships/hyperlink" Target="https://contrataciondelestado.es/FileSystem/servlet/GetDocumentByIdServlet?cifrado=QUC1GjXXSiLkydRHJBmbpw%3D%3D&amp;DocumentIdParam=6wYasKX01aA8d3SY1DmmiWCXIkSeukPvSM8Y2t7POabhqAeKal703B29Hf3a7xJQC2OhlHAFJLwTsmeumq%2BaVU99WYX1tnrZDGZaragFbkGHAj0WEJrB5sP7amrh2jBD" TargetMode="External" Id="rId994" /><Relationship Type="http://schemas.openxmlformats.org/officeDocument/2006/relationships/hyperlink" Target="https://contrataciondelestado.es/wps/poc?uri=deeplink:detalle_licitacion&amp;idEvl=alMpYmykvym2gkLQ8TeYKA%3D%3D" TargetMode="External" Id="rId995" /><Relationship Type="http://schemas.openxmlformats.org/officeDocument/2006/relationships/hyperlink" Target="https://contrataciondelestado.es/FileSystem/servlet/GetDocumentByIdServlet?cifrado=QUC1GjXXSiLkydRHJBmbpw%3D%3D&amp;DocumentIdParam=jv3Y2VqEIUGWEpnKi9NX97gmWm%2Buiua0qkq3tZOy72o0i2Ahy4rXEepP2J0sCSWiP4b184xFRXtgYwmxJcIyPywuAzKlvtY6UI/g1cHxo6QZyAJWGsSt0OzTSTyw9JAs" TargetMode="External" Id="rId996" /><Relationship Type="http://schemas.openxmlformats.org/officeDocument/2006/relationships/hyperlink" Target="https://contrataciondelestado.es/wps/poc?uri=deeplink:detalle_licitacion&amp;idEvl=%2BcSJlUTuBEVt5r0ngvMetA%3D%3D" TargetMode="External" Id="rId997" /><Relationship Type="http://schemas.openxmlformats.org/officeDocument/2006/relationships/hyperlink" Target="https://contrataciondelestado.es/FileSystem/servlet/GetDocumentByIdServlet?cifrado=QUC1GjXXSiLkydRHJBmbpw%3D%3D&amp;DocumentIdParam=9hc2kSvmY4TfBMjW3fqnc7CqD1RE6UoVvobToFfkmdBMhemxz3EpMJRfy08C4PcLMUd2JdWCwc%2Bs/wL1LR9GUB/vf5aatlV6z2Hp5SiEdHzVTD3T98KC0nSgQFM0q%2B5s" TargetMode="External" Id="rId998" /><Relationship Type="http://schemas.openxmlformats.org/officeDocument/2006/relationships/hyperlink" Target="https://contrataciondelestado.es/wps/poc?uri=deeplink:detalle_licitacion&amp;idEvl=uIiZYxmfrPLECtSnloz%2BZQ%3D%3D" TargetMode="External" Id="rId999" /><Relationship Type="http://schemas.openxmlformats.org/officeDocument/2006/relationships/hyperlink" Target="https://contrataciondelestado.es/FileSystem/servlet/GetDocumentByIdServlet?cifrado=QUC1GjXXSiLkydRHJBmbpw%3D%3D&amp;DocumentIdParam=v5D9Uh4mlXGM/Bxydj9/b7b%2BJhN1P55LTQEhtyz5bBNk3k07lqujgIe0uzEzjSvfi156Ur45DyZhdamVQe6K488j9BZ7mrckHtMWpdQ1BdI//q7NB2iMZvNyf0xrJmjt" TargetMode="External" Id="rId1000" /><Relationship Type="http://schemas.openxmlformats.org/officeDocument/2006/relationships/hyperlink" Target="https://contrataciondelestado.es/wps/poc?uri=deeplink:detalle_licitacion&amp;idEvl=Q%2FAv3TW4W%2BK9Hd5zqvq9cg%3D%3D" TargetMode="External" Id="rId1001" /><Relationship Type="http://schemas.openxmlformats.org/officeDocument/2006/relationships/hyperlink" Target="https://contrataciondelestado.es/FileSystem/servlet/GetDocumentByIdServlet?cifrado=QUC1GjXXSiLkydRHJBmbpw%3D%3D&amp;DocumentIdParam=BF5Vvxqk/nxaLoSlghiNNWCtxdrsQb6mnj2d2XT4ZK6KWgz6opH6Z34Q6qxlmBD3ziBkjbTRMI56g0n0F8q%2B6eR5%2By1iBnvkFJLgzM4vDNcC1/zDIE0Kw/PWNnLS0Z0z" TargetMode="External" Id="rId1002" /><Relationship Type="http://schemas.openxmlformats.org/officeDocument/2006/relationships/hyperlink" Target="https://contrataciondelestado.es/wps/poc?uri=deeplink:detalle_licitacion&amp;idEvl=XECjKeFZAQs%2FbjW6njtWLw%3D%3D" TargetMode="External" Id="rId1003" /><Relationship Type="http://schemas.openxmlformats.org/officeDocument/2006/relationships/hyperlink" Target="https://contrataciondelestado.es/FileSystem/servlet/GetDocumentByIdServlet?cifrado=QUC1GjXXSiLkydRHJBmbpw%3D%3D&amp;DocumentIdParam=RHL0bEy4G/vh3B3qc8cX6My1EsKNEwr/206igPxZlBx%2BGEDFQlebFjLP0EpnLAd4/cMapacawLtDYZNB7lBRx7R0qQDKLUBadIEQwc78lx%2BCx2e6p7hqtlp2aFupgHMr" TargetMode="External" Id="rId1004" /><Relationship Type="http://schemas.openxmlformats.org/officeDocument/2006/relationships/hyperlink" Target="https://contrataciondelestado.es/wps/poc?uri=deeplink:detalle_licitacion&amp;idEvl=BARU4uB1d%2BGTylGzYmBF9Q%3D%3D" TargetMode="External" Id="rId1005" /><Relationship Type="http://schemas.openxmlformats.org/officeDocument/2006/relationships/hyperlink" Target="https://contrataciondelestado.es/FileSystem/servlet/GetDocumentByIdServlet?cifrado=QUC1GjXXSiLkydRHJBmbpw%3D%3D&amp;DocumentIdParam=4GJuYQWBc6/k9NDxXaBB%2B/bk2G0mIKc6O7eXL3bKudnsP7vUVg5bNt%2BKyS0bs%2Bj4AFmuu5UnByIbWUOyg8XosLOgcY9VfkHFDiK1tV6ePTuCx2e6p7hqtlp2aFupgHMr" TargetMode="External" Id="rId1006" /><Relationship Type="http://schemas.openxmlformats.org/officeDocument/2006/relationships/hyperlink" Target="https://contrataciondelestado.es/wps/poc?uri=deeplink:detalle_licitacion&amp;idEvl=kUNYQaXQCL%2FI8aL3PRS10Q%3D%3D" TargetMode="External" Id="rId1007" /><Relationship Type="http://schemas.openxmlformats.org/officeDocument/2006/relationships/hyperlink" Target="https://contrataciondelestado.es/FileSystem/servlet/GetDocumentByIdServlet?cifrado=QUC1GjXXSiLkydRHJBmbpw%3D%3D&amp;DocumentIdParam=flk9qKX9sVB1H05jNLRm/Z8/hGjKCrjwQpOGvqz4wr2nDqLWGhR%2BhGtD9YJkqzmbJ9SVaQPy2klgGVylP9K3LSiwQyLOilGFc1DFtu%2BAPl0ZyAJWGsSt0OzTSTyw9JAs" TargetMode="External" Id="rId1008" /><Relationship Type="http://schemas.openxmlformats.org/officeDocument/2006/relationships/hyperlink" Target="https://contrataciondelestado.es/wps/poc?uri=deeplink:detalle_licitacion&amp;idEvl=CrHp%2FH91pTrjHF5qKI4aaw%3D%3D" TargetMode="External" Id="rId1009" /><Relationship Type="http://schemas.openxmlformats.org/officeDocument/2006/relationships/hyperlink" Target="https://contrataciondelestado.es/FileSystem/servlet/GetDocumentByIdServlet?cifrado=QUC1GjXXSiLkydRHJBmbpw%3D%3D&amp;DocumentIdParam=2WnBQrWZcRoDQ4UC3v70AhETSyb09EoIzdKQZ96IbDSJfkvEkUd4%2BBtg9UxHIlmVa14NgdxXgNpnRE0Qw2Eb5iTOtEtAFOLhdg2n4FwB8RGB0nvVKRzfe4rpHcnlPhSZ" TargetMode="External" Id="rId1010" /><Relationship Type="http://schemas.openxmlformats.org/officeDocument/2006/relationships/hyperlink" Target="https://contrataciondelestado.es/wps/poc?uri=deeplink:detalle_licitacion&amp;idEvl=NGcgv6n3IlUtm4eBPtV6eQ%3D%3D" TargetMode="External" Id="rId1011" /><Relationship Type="http://schemas.openxmlformats.org/officeDocument/2006/relationships/hyperlink" Target="https://contrataciondelestado.es/FileSystem/servlet/GetDocumentByIdServlet?cifrado=QUC1GjXXSiLkydRHJBmbpw%3D%3D&amp;DocumentIdParam=WnL4r1Gi2/SLXRwp%2BSXBQPUs852HqbEK4hhVhn8cuzKYuSy2kyvfRvhpjEUAVTaG/rLxOxbpuxZnvII2g11la1wk4jyjqlJStyJBhglCzn57QB3HKyQaFUExmUVQCerk" TargetMode="External" Id="rId1012" /><Relationship Type="http://schemas.openxmlformats.org/officeDocument/2006/relationships/hyperlink" Target="https://contrataciondelestado.es/wps/poc?uri=deeplink:detalle_licitacion&amp;idEvl=uZ2y4I6fsGh%2FR5QFTlaM4A%3D%3D" TargetMode="External" Id="rId1013" /><Relationship Type="http://schemas.openxmlformats.org/officeDocument/2006/relationships/hyperlink" Target="https://contrataciondelestado.es/FileSystem/servlet/GetDocumentByIdServlet?cifrado=QUC1GjXXSiLkydRHJBmbpw%3D%3D&amp;DocumentIdParam=5WHE%2Be2VHRxMwfaeyukYSI0NjvV/oqVbyxSXHSiEcKfDYw6oVJNe1Ai3Do8zmCFpupTQoEj9p3Nns67T95PRYbSgIAqK1iqJUAHRPgvFIZUZyAJWGsSt0OzTSTyw9JAs" TargetMode="External" Id="rId1014" /><Relationship Type="http://schemas.openxmlformats.org/officeDocument/2006/relationships/hyperlink" Target="https://contrataciondelestado.es/wps/poc?uri=deeplink:detalle_licitacion&amp;idEvl=gcfflPRMkV0Xhk1FZxEyvw%3D%3D" TargetMode="External" Id="rId1015" /><Relationship Type="http://schemas.openxmlformats.org/officeDocument/2006/relationships/hyperlink" Target="https://contrataciondelestado.es/wps/poc?uri=deeplink:detalle_licitacion&amp;idEvl=2MRG4%2B%2BY9Tc%2FbjW6njtWLw%3D%3D" TargetMode="External" Id="rId1016" /><Relationship Type="http://schemas.openxmlformats.org/officeDocument/2006/relationships/hyperlink" Target="https://contrataciondelestado.es/FileSystem/servlet/GetDocumentByIdServlet?cifrado=QUC1GjXXSiLkydRHJBmbpw%3D%3D&amp;DocumentIdParam=Hk7/q/PJKgOagV71dR8Q2l/z/Ha5B5VS3yDAMrpptWDRpFmGGEw/SYCugL5ar37%2BmIp3i2h6xoFDq7bptTrJ8dcUzFbtxs9HQYFyQY9U6z4//q7NB2iMZvNyf0xrJmjt" TargetMode="External" Id="rId1017" /><Relationship Type="http://schemas.openxmlformats.org/officeDocument/2006/relationships/hyperlink" Target="https://contrataciondelestado.es/wps/poc?uri=deeplink:detalle_licitacion&amp;idEvl=Xt60Q3V0qoTN3k3tjedSGw%3D%3D" TargetMode="External" Id="rId1018" /><Relationship Type="http://schemas.openxmlformats.org/officeDocument/2006/relationships/hyperlink" Target="https://contrataciondelestado.es/FileSystem/servlet/GetDocumentByIdServlet?cifrado=QUC1GjXXSiLkydRHJBmbpw%3D%3D&amp;DocumentIdParam=XOjSQjv/mNDnWVUZ%2BNky4xEblmiOhnciLXyKfaZwS5iJtXHE%2B7GeYte5CSob8uYUv9VnSVnWPSrLDNLovKp9Ml33/HaYHsZKPj9zmN4DcCk//q7NB2iMZvNyf0xrJmjt" TargetMode="External" Id="rId1019" /><Relationship Type="http://schemas.openxmlformats.org/officeDocument/2006/relationships/hyperlink" Target="https://contrataciondelestado.es/wps/poc?uri=deeplink:detalle_licitacion&amp;idEvl=6Cgl6ujEgpuOUi78BmzhOQ%3D%3D" TargetMode="External" Id="rId1020" /><Relationship Type="http://schemas.openxmlformats.org/officeDocument/2006/relationships/hyperlink" Target="https://contrataciondelestado.es/FileSystem/servlet/GetDocumentByIdServlet?DocumentIdParam=lZqL1S%2BjyKXv9%2Be9TDWsNixcG3Q3U4kR4BiBpJEBvFqMo3QmKN2ZIuEqPwNMC9mQ4VVIHRdH1%2Bn17o1oTqqjulFMd2bjIX2SvaUB24USE7Q//q7NB2iMZvNyf0xrJmjt&amp;cifrado=QUC1GjXXSiLkydRHJBmbpw%3D%3D" TargetMode="External" Id="rId1021" /><Relationship Type="http://schemas.openxmlformats.org/officeDocument/2006/relationships/hyperlink" Target="https://contrataciondelestado.es/wps/poc?uri=deeplink:detalle_licitacion&amp;idEvl=9CtIahuEvfC5HQrHoP3G5A%3D%3D" TargetMode="External" Id="rId1022" /><Relationship Type="http://schemas.openxmlformats.org/officeDocument/2006/relationships/hyperlink" Target="https://contrataciondelestado.es/FileSystem/servlet/GetDocumentByIdServlet?cifrado=QUC1GjXXSiLkydRHJBmbpw%3D%3D&amp;DocumentIdParam=/PBJaiaujiWpr7qLweEq182k4GBNQ5os5IaRZjZO3g1Yphc3yaz1Oovu71gGQe18ppLeUJmRZLn85efQcUY0v4PA7NDnRbvAfpxsybxqqhWCx2e6p7hqtlp2aFupgHMr" TargetMode="External" Id="rId1023" /><Relationship Type="http://schemas.openxmlformats.org/officeDocument/2006/relationships/hyperlink" Target="https://contrataciondelestado.es/wps/poc?uri=deeplink:detalle_licitacion&amp;idEvl=TTV1t0ICrRtSYrkJkLlFdw%3D%3D" TargetMode="External" Id="rId1024" /><Relationship Type="http://schemas.openxmlformats.org/officeDocument/2006/relationships/hyperlink" Target="https://contrataciondelestado.es/FileSystem/servlet/GetDocumentByIdServlet?cifrado=QUC1GjXXSiLkydRHJBmbpw%3D%3D&amp;DocumentIdParam=92CMJiY9WT01NtHcH4KA46Ws76fEAa/OqIcQra5qLjAek6PHS9gz4%2B7swMBq%2BV2Yl90fGNhzMujqGu4eUMlYXrFsNxuxL8a%2BN/AXFH%2BRtPoZyAJWGsSt0OzTSTyw9JAs" TargetMode="External" Id="rId1025" /><Relationship Type="http://schemas.openxmlformats.org/officeDocument/2006/relationships/hyperlink" Target="https://contrataciondelestado.es/wps/poc?uri=deeplink:detalle_licitacion&amp;idEvl=VCr7WHoJafpVYjgxA4nMUw%3D%3D" TargetMode="External" Id="rId1026" /><Relationship Type="http://schemas.openxmlformats.org/officeDocument/2006/relationships/hyperlink" Target="https://contrataciondelestado.es/FileSystem/servlet/GetDocumentByIdServlet?cifrado=QUC1GjXXSiLkydRHJBmbpw%3D%3D&amp;DocumentIdParam=jj616VC7YhA7qEsdNMqdM8lSzal%2BNOopGLgZfdRM7jgdWLebfcVXA/sSmlV%2B%2BJ7XtwtviqDGQr4d8NeWPmfkpv/5WvtJrNrd16ijvQgJS1J7QB3HKyQaFUExmUVQCerk" TargetMode="External" Id="rId1027" /><Relationship Type="http://schemas.openxmlformats.org/officeDocument/2006/relationships/hyperlink" Target="https://contrataciondelestado.es/wps/poc?uri=deeplink:detalle_licitacion&amp;idEvl=tRCMhmmA8iuopEMYCmrbmw%3D%3D" TargetMode="External" Id="rId1028" /><Relationship Type="http://schemas.openxmlformats.org/officeDocument/2006/relationships/hyperlink" Target="https://contrataciondelestado.es/FileSystem/servlet/GetDocumentByIdServlet?cifrado=QUC1GjXXSiLkydRHJBmbpw%3D%3D&amp;DocumentIdParam=QevX5%2B2oIipNC6d1mt7zZIVt6txyu7NSUFTqncxp%2Bzv3UnEnccHxBGDEjOjRcc5mI7DlDqDK7kd7EBdlfiHMkntaNzS49a6l2Czf0adfeBs//q7NB2iMZvNyf0xrJmjt" TargetMode="External" Id="rId1029" /><Relationship Type="http://schemas.openxmlformats.org/officeDocument/2006/relationships/hyperlink" Target="https://contrataciondelestado.es/wps/poc?uri=deeplink:detalle_licitacion&amp;idEvl=nEYqjdIbjQoadbH3CysQuQ%3D%3D" TargetMode="External" Id="rId1030" /><Relationship Type="http://schemas.openxmlformats.org/officeDocument/2006/relationships/hyperlink" Target="https://contrataciondelestado.es/FileSystem/servlet/GetDocumentByIdServlet?cifrado=QUC1GjXXSiLkydRHJBmbpw%3D%3D&amp;DocumentIdParam=fUlHJXolTeReXFQpwLWH7%2BaEN2b3QtYwKALD3aprPj6%2BcTpyixvLtWIOwVnYWZXYjwgd0msNuwpwtDKJokxNwpm9p90kXwi0lbg32WZhtX5t/o8fNevwsujgRzaBbugn" TargetMode="External" Id="rId1031" /><Relationship Type="http://schemas.openxmlformats.org/officeDocument/2006/relationships/hyperlink" Target="https://contrataciondelestado.es/wps/poc?uri=deeplink:detalle_licitacion&amp;idEvl=kU%2FlmBY%2BrAz%2B3JAijKO%2Bkg%3D%3D" TargetMode="External" Id="rId1032" /><Relationship Type="http://schemas.openxmlformats.org/officeDocument/2006/relationships/hyperlink" Target="https://contrataciondelestado.es/FileSystem/servlet/GetDocumentByIdServlet?cifrado=QUC1GjXXSiLkydRHJBmbpw%3D%3D&amp;DocumentIdParam=KD2cIsXglQ6Li9vOI1rckFK5p8DJcU1rGBLHylCr5IV7cau16TAxbGS2qvyfJ4gF41GlN8FZk1Uo5mEv/YiEp%2BIq00Chk7/EYH7Sp5i6nZpt/o8fNevwsujgRzaBbugn" TargetMode="External" Id="rId1033" /><Relationship Type="http://schemas.openxmlformats.org/officeDocument/2006/relationships/hyperlink" Target="https://contrataciondelestado.es/wps/poc?uri=deeplink:detalle_licitacion&amp;idEvl=qHrtbLbvBacaF6cS8TCh%2FA%3D%3D" TargetMode="External" Id="rId1034" /><Relationship Type="http://schemas.openxmlformats.org/officeDocument/2006/relationships/hyperlink" Target="https://contrataciondelestado.es/FileSystem/servlet/GetDocumentByIdServlet?cifrado=QUC1GjXXSiLkydRHJBmbpw%3D%3D&amp;DocumentIdParam=Ggc/Y6BY/KELTDQ4N%2Bs7vOtoRMVCc1/N1KhVe6y3g7DpImH/lfLVTeirNwURTg8kXzV9OB3xdokjXAW0hahqi8zTTQ8X0P0xlYCliF8sFw0C1/zDIE0Kw/PWNnLS0Z0z" TargetMode="External" Id="rId1035" /><Relationship Type="http://schemas.openxmlformats.org/officeDocument/2006/relationships/hyperlink" Target="https://contrataciondelestado.es/wps/poc?uri=deeplink:detalle_licitacion&amp;idEvl=F0w53N8aD3LyoM4us5k4vw%3D%3D" TargetMode="External" Id="rId1036" /><Relationship Type="http://schemas.openxmlformats.org/officeDocument/2006/relationships/hyperlink" Target="https://contrataciondelestado.es/FileSystem/servlet/GetDocumentByIdServlet?cifrado=QUC1GjXXSiLkydRHJBmbpw%3D%3D&amp;DocumentIdParam=85UW0lZ%2BmCoZQ7IPOoefBsaXNw4R5JtxaxKy0xzNkP/kaQerrZKcsGIX70iVaeJxZYIdN2ScgoOgNQsK8w76fpzzaAzLEl72tHuuW/sL0QaB0nvVKRzfe4rpHcnlPhSZ" TargetMode="External" Id="rId1037" /><Relationship Type="http://schemas.openxmlformats.org/officeDocument/2006/relationships/hyperlink" Target="https://contrataciondelestado.es/wps/poc?uri=deeplink:detalle_licitacion&amp;idEvl=5cLxqCeQ70mTylGzYmBF9Q%3D%3D" TargetMode="External" Id="rId1038" /><Relationship Type="http://schemas.openxmlformats.org/officeDocument/2006/relationships/hyperlink" Target="https://contrataciondelestado.es/FileSystem/servlet/GetDocumentByIdServlet?cifrado=QUC1GjXXSiLkydRHJBmbpw%3D%3D&amp;DocumentIdParam=dqCOIqtduWxlZOWmHwwvDseTaadRHOKFR6Q/CV/hssNW7vlMDVOZxcKM9ovvBdkUX90ZqQnfsocuODPLxo/KHj5rTVbI69G3Prnvnr7vMoE//q7NB2iMZvNyf0xrJmjt" TargetMode="External" Id="rId1039" /><Relationship Type="http://schemas.openxmlformats.org/officeDocument/2006/relationships/hyperlink" Target="https://contrataciondelestado.es/wps/poc?uri=deeplink:detalle_licitacion&amp;idEvl=PgTOaMNISHd%2FP7lJ7Fu0SA%3D%3D" TargetMode="External" Id="rId1040" /><Relationship Type="http://schemas.openxmlformats.org/officeDocument/2006/relationships/hyperlink" Target="https://contrataciondelestado.es/FileSystem/servlet/GetDocumentByIdServlet?cifrado=QUC1GjXXSiLkydRHJBmbpw%3D%3D&amp;DocumentIdParam=KpZgvl2a4JCxqZWCwReyHBzPRVgjUNEgfMRJQF29dF5F48b0oCO2WQNjIrN51%2B2kuE/EHATwU1xKQn2Rej06TN4jlsNKuOkvg9Iep9p9ZFL3GVhXrFFqN7yFncy7YfRK" TargetMode="External" Id="rId1041" /><Relationship Type="http://schemas.openxmlformats.org/officeDocument/2006/relationships/hyperlink" Target="https://contrataciondelestado.es/wps/poc?uri=deeplink:detalle_licitacion&amp;idEvl=cOE5bW5w0c%2FVGIpKDxgsAQ%3D%3D" TargetMode="External" Id="rId1042" /><Relationship Type="http://schemas.openxmlformats.org/officeDocument/2006/relationships/hyperlink" Target="https://contrataciondelestado.es/FileSystem/servlet/GetDocumentByIdServlet?cifrado=QUC1GjXXSiLkydRHJBmbpw%3D%3D&amp;DocumentIdParam=KEQOjlLP%2BraAPIKLr8TrVDTJSV9PBpc1/Zg9CbDkjW/tG3sNGXESe5GrJP4fv0KZtBsfnjtOBOU6F2ZTX2kdNaLP76GyG5K539uuaOBKLAZt/o8fNevwsujgRzaBbugn" TargetMode="External" Id="rId1043" /><Relationship Type="http://schemas.openxmlformats.org/officeDocument/2006/relationships/hyperlink" Target="https://contrataciondelestado.es/wps/poc?uri=deeplink:detalle_licitacion&amp;idEvl=I82vv%2BpZlm3kY6rls5tG9A%3D%3D" TargetMode="External" Id="rId1044" /><Relationship Type="http://schemas.openxmlformats.org/officeDocument/2006/relationships/hyperlink" Target="https://contrataciondelestado.es/FileSystem/servlet/GetDocumentByIdServlet?cifrado=QUC1GjXXSiLkydRHJBmbpw%3D%3D&amp;DocumentIdParam=3EDeHFSwfodHfgI/tqlCuABPm0oBpKN6NuYyW74pk1cHWKze0b4i/V0l2mEi8qh69GJTCqKUlKsdiq9kcF0%2B%2B1hsTRJrma0nTFLe9XWYRteCx2e6p7hqtlp2aFupgHMr" TargetMode="External" Id="rId1045" /><Relationship Type="http://schemas.openxmlformats.org/officeDocument/2006/relationships/hyperlink" Target="https://contrataciondelestado.es/wps/poc?uri=deeplink:detalle_licitacion&amp;idEvl=CRBDtAIMtjWFlFRHfEzEaw%3D%3D" TargetMode="External" Id="rId1046" /><Relationship Type="http://schemas.openxmlformats.org/officeDocument/2006/relationships/hyperlink" Target="https://contrataciondelestado.es/FileSystem/servlet/GetDocumentByIdServlet?cifrado=QUC1GjXXSiLkydRHJBmbpw%3D%3D&amp;DocumentIdParam=un2hzJLdc9zeD6xiXxRd%2BgqOi5T0Yj/61K7Lurmx2DP6yE7IbUjh8XVrAFbLEj13suNxIrDpNiER/38fI6fub13TyK8KPHhkxcqY0J7drJHfdyQgZAdTm3EfcUAC7CJ6" TargetMode="External" Id="rId1047" /><Relationship Type="http://schemas.openxmlformats.org/officeDocument/2006/relationships/hyperlink" Target="https://contrataciondelestado.es/wps/poc?uri=deeplink:detalle_licitacion&amp;idEvl=SZpMhR34XrlJ8Trn0ZPzLw%3D%3D" TargetMode="External" Id="rId1048" /><Relationship Type="http://schemas.openxmlformats.org/officeDocument/2006/relationships/hyperlink" Target="https://contrataciondelestado.es/FileSystem/servlet/GetDocumentByIdServlet?cifrado=QUC1GjXXSiLkydRHJBmbpw%3D%3D&amp;DocumentIdParam=7CnDtldDMI7FI6Qnys5wNwAELMc6EOsiWREZVtbgG/8KGvFIFlgTXA2bJA%2BDxpDyE0h5YM15CCSIZFhT1pSoQ9/b4dVRy6ffNFx1khGsjKZ45ClyWkoJ44mKM70IFcOu" TargetMode="External" Id="rId1049" /><Relationship Type="http://schemas.openxmlformats.org/officeDocument/2006/relationships/hyperlink" Target="https://contrataciondelestado.es/wps/poc?uri=deeplink:detalle_licitacion&amp;idEvl=5QJ46lMoUzOsNfRW6APEDw%3D%3D" TargetMode="External" Id="rId1050" /><Relationship Type="http://schemas.openxmlformats.org/officeDocument/2006/relationships/hyperlink" Target="https://contrataciondelestado.es/FileSystem/servlet/GetDocumentByIdServlet?cifrado=QUC1GjXXSiLkydRHJBmbpw%3D%3D&amp;DocumentIdParam=SAjm9PcL8yw3L3/zIdPIZ8xIjfhfjLgTqHnNBST%2B2KhKlJnJjXtvOjCsNDxaT7tlL9y4JxR/0BHwvMXM7z/kVTLzCsZzgG0bGWVUx0hnKM1JOVDbGCDM%2BMigrvuVS7Rv" TargetMode="External" Id="rId1051" /><Relationship Type="http://schemas.openxmlformats.org/officeDocument/2006/relationships/hyperlink" Target="https://contrataciondelestado.es/wps/poc?uri=deeplink:detalle_licitacion&amp;idEvl=C0wOzLJWTU4tm4eBPtV6eQ%3D%3D" TargetMode="External" Id="rId1052" /><Relationship Type="http://schemas.openxmlformats.org/officeDocument/2006/relationships/hyperlink" Target="https://contrataciondelestado.es/FileSystem/servlet/GetDocumentByIdServlet?cifrado=QUC1GjXXSiLkydRHJBmbpw%3D%3D&amp;DocumentIdParam=o46o238VJDkYv2x7nSJejkPBrRYke9dZYeUrB773PT4h2vaNwJhEy6x%2Bm8QfnRN/b7kC9tkHwRaBTPYAR0fSRw6F/MPM38H4kJcV%2BmN09/iCx2e6p7hqtlp2aFupgHMr" TargetMode="External" Id="rId1053" /><Relationship Type="http://schemas.openxmlformats.org/officeDocument/2006/relationships/hyperlink" Target="https://contrataciondelestado.es/wps/poc?uri=deeplink:detalle_licitacion&amp;idEvl=sekD1puXkRK2gkLQ8TeYKA%3D%3D" TargetMode="External" Id="rId1054" /><Relationship Type="http://schemas.openxmlformats.org/officeDocument/2006/relationships/hyperlink" Target="https://contrataciondelestado.es/FileSystem/servlet/GetDocumentByIdServlet?cifrado=QUC1GjXXSiLkydRHJBmbpw%3D%3D&amp;DocumentIdParam=LxzQB9A7gHyuf29c0hl5XHAcmyzhiH7krenU6iCKwcWisPA69rpoV10W18ejYNYo8hu1nDpKqUVUqWczWtI9t%2BsJ4Irx0m6a9pOK%2B7CG82XfdyQgZAdTm3EfcUAC7CJ6" TargetMode="External" Id="rId1055" /><Relationship Type="http://schemas.openxmlformats.org/officeDocument/2006/relationships/hyperlink" Target="https://contrataciondelestado.es/wps/poc?uri=deeplink:detalle_licitacion&amp;idEvl=y3j2WK%2BygPo%2FbjW6njtWLw%3D%3D" TargetMode="External" Id="rId1056" /><Relationship Type="http://schemas.openxmlformats.org/officeDocument/2006/relationships/hyperlink" Target="https://contrataciondelestado.es/FileSystem/servlet/GetDocumentByIdServlet?cifrado=QUC1GjXXSiLkydRHJBmbpw%3D%3D&amp;DocumentIdParam=5WHE%2Be2VHRxMwfaeyukYSOoMHAqk37qcUtjkY31HTty3TDgt%2BMi1wNyDBdlwur4DtH54gQPd9P0vTp7gh40Gvs3u9s/VNKZEoIAoTlS2f6PDdQD9RyhUmzT4jZ2In4zL" TargetMode="External" Id="rId1057" /><Relationship Type="http://schemas.openxmlformats.org/officeDocument/2006/relationships/hyperlink" Target="https://contrataciondelestado.es/wps/poc?uri=deeplink:detalle_licitacion&amp;idEvl=ufA9ou2T1DxrSd8H4b2soA%3D%3D" TargetMode="External" Id="rId1058" /><Relationship Type="http://schemas.openxmlformats.org/officeDocument/2006/relationships/hyperlink" Target="https://contrataciondelestado.es/FileSystem/servlet/GetDocumentByIdServlet?cifrado=QUC1GjXXSiLkydRHJBmbpw%3D%3D&amp;DocumentIdParam=Jcq%2BYuqJ62QpXtg9W0af8EEpV%2BcFEER422d8LIpeHLPa4qP0Ys6ZA56gEGYYj9/NHiQNTKmbUi4ajejhJ%2B8aP2QC17HYVl9qnHj9B/ZC4mzfdyQgZAdTm3EfcUAC7CJ6" TargetMode="External" Id="rId1059" /><Relationship Type="http://schemas.openxmlformats.org/officeDocument/2006/relationships/hyperlink" Target="https://contrataciondelestado.es/wps/poc?uri=deeplink:detalle_licitacion&amp;idEvl=%2BNoi2%2BBQPKfECtSnloz%2BZQ%3D%3D" TargetMode="External" Id="rId1060" /><Relationship Type="http://schemas.openxmlformats.org/officeDocument/2006/relationships/hyperlink" Target="https://contrataciondelestado.es/FileSystem/servlet/GetDocumentByIdServlet?DocumentIdParam=UOpFeh7bHBTygrllQ5CouP4Gm9ISNNijgDdvVo5MUBLjZ2FrXX1uXmJYhJoNPkvYDtPGmR9kWxoH26yjYt2KUSO3MX2U7ZOsTtndwPNPZ6sC1/zDIE0Kw/PWNnLS0Z0z&amp;cifrado=QUC1GjXXSiLkydRHJBmbpw%3D%3D" TargetMode="External" Id="rId1061" /><Relationship Type="http://schemas.openxmlformats.org/officeDocument/2006/relationships/hyperlink" Target="https://contrataciondelestado.es/wps/poc?uri=deeplink:detalle_licitacion&amp;idEvl=xrBASFy%2F3R8%2FbjW6njtWLw%3D%3D" TargetMode="External" Id="rId1062" /><Relationship Type="http://schemas.openxmlformats.org/officeDocument/2006/relationships/hyperlink" Target="https://contrataciondelestado.es/FileSystem/servlet/GetDocumentByIdServlet?cifrado=QUC1GjXXSiLkydRHJBmbpw%3D%3D&amp;DocumentIdParam=g9lp4k7aZvR4b%2BAQc2ssafY8R2NKePYE7bZtLvbatxiZTCsGgxia1iz1vEP36iS9he961oNxkOL0t6UUBdC/twYZR4uao%2B6BLijWxJlMj9m1aXEvq3KHa/AEHgtDrQw0" TargetMode="External" Id="rId1063" /><Relationship Type="http://schemas.openxmlformats.org/officeDocument/2006/relationships/hyperlink" Target="https://contrataciondelestado.es/wps/poc?uri=deeplink:detalle_licitacion&amp;idEvl=G7IeAVSrAuf%2B3JAijKO%2Bkg%3D%3D" TargetMode="External" Id="rId1064" /><Relationship Type="http://schemas.openxmlformats.org/officeDocument/2006/relationships/hyperlink" Target="https://contrataciondelestado.es/FileSystem/servlet/GetDocumentByIdServlet?cifrado=QUC1GjXXSiLkydRHJBmbpw%3D%3D&amp;DocumentIdParam=3wjHLsD7PnACNmRDn6nFiYixzcxu94vnKGLcXNtDS6iAVIhZyStCgH1hjfP6hkUncO%2BNd%2Bx43Iv0o/e6hLKSUA4OVg9RsY4BLLiJpxZ5RVMZyAJWGsSt0OzTSTyw9JAs" TargetMode="External" Id="rId1065" /><Relationship Type="http://schemas.openxmlformats.org/officeDocument/2006/relationships/hyperlink" Target="https://contrataciondelestado.es/wps/poc?uri=deeplink:detalle_licitacion&amp;idEvl=7MGzXrUmNZUaF6cS8TCh%2FA%3D%3D" TargetMode="External" Id="rId1066" /><Relationship Type="http://schemas.openxmlformats.org/officeDocument/2006/relationships/hyperlink" Target="https://contrataciondelestado.es/wps/poc?uri=deeplink:detalle_licitacion&amp;idEvl=PXbrcLfofUc7u6%2B%2FR7DUoA%3D%3D" TargetMode="External" Id="rId1067" /><Relationship Type="http://schemas.openxmlformats.org/officeDocument/2006/relationships/hyperlink" Target="https://contrataciondelestado.es/FileSystem/servlet/GetDocumentByIdServlet?cifrado=QUC1GjXXSiLkydRHJBmbpw%3D%3D&amp;DocumentIdParam=HH9YxdJhPWQOlHE%2BuK5zs0B8UwsHGPtB2u9Ww45y/XKpYLLQrvM0iRiZoO5fy0q1nuXf8drjOHx3fTrzWeDA3Na8JFV5C4VaPmmRax%2BDTcNJOVDbGCDM%2BMigrvuVS7Rv" TargetMode="External" Id="rId1068" /><Relationship Type="http://schemas.openxmlformats.org/officeDocument/2006/relationships/hyperlink" Target="https://contrataciondelestado.es/wps/poc?uri=deeplink:detalle_licitacion&amp;idEvl=j%2FdxoA%2Fwj8PECtSnloz%2BZQ%3D%3D" TargetMode="External" Id="rId1069" /><Relationship Type="http://schemas.openxmlformats.org/officeDocument/2006/relationships/hyperlink" Target="https://contrataciondelestado.es/FileSystem/servlet/GetDocumentByIdServlet?cifrado=QUC1GjXXSiLkydRHJBmbpw%3D%3D&amp;DocumentIdParam=wGGmlgNcmRhNJ8ZXiPypPeUh7Jh9Gs/DhQcmjcMPe4LZsYkybEjQrJJBMzJPYHhF94zCl6OouE0gq7rwaPxrwLEyoPRL6Uxp%2BPFJ8N6Hc9/3GVhXrFFqN7yFncy7YfRK" TargetMode="External" Id="rId1070" /><Relationship Type="http://schemas.openxmlformats.org/officeDocument/2006/relationships/hyperlink" Target="https://contrataciondelestado.es/wps/poc?uri=deeplink:detalle_licitacion&amp;idEvl=9kQx9ZT%2FkMyHCIsjvJ3rhQ%3D%3D" TargetMode="External" Id="rId1071" /><Relationship Type="http://schemas.openxmlformats.org/officeDocument/2006/relationships/hyperlink" Target="https://contrataciondelestado.es/FileSystem/servlet/GetDocumentByIdServlet?cifrado=QUC1GjXXSiLkydRHJBmbpw%3D%3D&amp;DocumentIdParam=v9lS64kIJvBCu9b0vK%2BVFQEJyPS/NDyuRgQIFHxvpA9wGZDXaYLXErL265UNLiYz6KJGHgVD2lP7gOUGTiYAEZAsSB1kMGHJdCetwVMMSbz3GVhXrFFqN7yFncy7YfRK" TargetMode="External" Id="rId1072" /><Relationship Type="http://schemas.openxmlformats.org/officeDocument/2006/relationships/hyperlink" Target="https://contrataciondelestado.es/wps/poc?uri=deeplink:detalle_licitacion&amp;idEvl=I2%2F1TgOpql%2F9pbnDwlaUlg%3D%3D" TargetMode="External" Id="rId1073" /><Relationship Type="http://schemas.openxmlformats.org/officeDocument/2006/relationships/hyperlink" Target="https://contrataciondelestado.es/FileSystem/servlet/GetDocumentByIdServlet?cifrado=QUC1GjXXSiLkydRHJBmbpw%3D%3D&amp;DocumentIdParam=BZ3OTIVJn%2Bj%2BT06%2BonnJYm/fVL70BH4kYAmoicWS5SFvD6yWOQKm2PBQGbCqjWbg0qMCtRy5wtDEnD5Wt0m5WBH2GUYxRMPMHcnkMCLHhIBt/o8fNevwsujgRzaBbugn" TargetMode="External" Id="rId1074" /><Relationship Type="http://schemas.openxmlformats.org/officeDocument/2006/relationships/hyperlink" Target="https://contrataciondelestado.es/wps/poc?uri=deeplink:detalle_licitacion&amp;idEvl=UEs%2BN66QaJLIGlsa0Wad%2Bw%3D%3D" TargetMode="External" Id="rId1075" /><Relationship Type="http://schemas.openxmlformats.org/officeDocument/2006/relationships/hyperlink" Target="https://contrataciondelestado.es/FileSystem/servlet/GetDocumentByIdServlet?cifrado=QUC1GjXXSiLkydRHJBmbpw%3D%3D&amp;DocumentIdParam=ReB71Et%2BlCwZ/X%2Bi2AGfwkY5hiZ3dODaQsghJG8/%2Bex2zdFwCL39Y9Z3eXGKtTMXUCso3S0qQac7qvMscwUvrDinNaM53AfibpQeolMiGkCCx2e6p7hqtlp2aFupgHMr" TargetMode="External" Id="rId1076" /><Relationship Type="http://schemas.openxmlformats.org/officeDocument/2006/relationships/hyperlink" Target="https://contrataciondelestado.es/wps/poc?uri=deeplink:detalle_licitacion&amp;idEvl=3xwLEbRpicEtm4eBPtV6eQ%3D%3D" TargetMode="External" Id="rId1077" /><Relationship Type="http://schemas.openxmlformats.org/officeDocument/2006/relationships/hyperlink" Target="https://contrataciondelestado.es/FileSystem/servlet/GetDocumentByIdServlet?cifrado=QUC1GjXXSiLkydRHJBmbpw%3D%3D&amp;DocumentIdParam=VtjmXZFSCCz1dzPF5J4%2BUCP9o4qbF4mo2mXyen7Aj3LTDgH0cfo02qhlhAQjffUqicQieOvTkXixB1rjrE1dn5RFxOSiRXIhD3S0KsGRshn6CYyL7SIrUOBFfNf52ZqA" TargetMode="External" Id="rId1078" /><Relationship Type="http://schemas.openxmlformats.org/officeDocument/2006/relationships/hyperlink" Target="https://contrataciondelestado.es/wps/poc?uri=deeplink:detalle_licitacion&amp;idEvl=qNCAh%2BPqmdckJPJS%2BPS9vg%3D%3D" TargetMode="External" Id="rId1079" /><Relationship Type="http://schemas.openxmlformats.org/officeDocument/2006/relationships/hyperlink" Target="https://contrataciondelestado.es/FileSystem/servlet/GetDocumentByIdServlet?cifrado=QUC1GjXXSiLkydRHJBmbpw%3D%3D&amp;DocumentIdParam=fF9bbPDNrvwzJth95ALFHLtLt8HVP1zZ%2BlhtFHxC6nC%2BTyDiGqPe1EdT5LYQosT6c%2BHesxlh9NaRUlj6aEUaIunzKUvPMIofMnp1XqIhiMp45ClyWkoJ44mKM70IFcOu" TargetMode="External" Id="rId1080" /><Relationship Type="http://schemas.openxmlformats.org/officeDocument/2006/relationships/hyperlink" Target="https://contrataciondelestado.es/wps/poc?uri=deeplink:detalle_licitacion&amp;idEvl=U%2B93hl8ITYJ%2FP7lJ7Fu0SA%3D%3D" TargetMode="External" Id="rId1081" /><Relationship Type="http://schemas.openxmlformats.org/officeDocument/2006/relationships/hyperlink" Target="https://contrataciondelestado.es/FileSystem/servlet/GetDocumentByIdServlet?cifrado=QUC1GjXXSiLkydRHJBmbpw%3D%3D&amp;DocumentIdParam=naGiamVcA0zQxlED0oOB3%2BTbwYcWemFVTeoEB9vYGBH/SN6H2Kj8UpMlvKCCD15/4WmvRi3qRe8J2zOBjlQOxIvniZTZMXOw%2Bnm9rdR1lI21aXEvq3KHa/AEHgtDrQw0" TargetMode="External" Id="rId1082" /><Relationship Type="http://schemas.openxmlformats.org/officeDocument/2006/relationships/hyperlink" Target="https://contrataciondelestado.es/wps/poc?uri=deeplink:detalle_licitacion&amp;idEvl=ZXyMQVtJGGxVq4S9zvaQpQ%3D%3D" TargetMode="External" Id="rId1083" /><Relationship Type="http://schemas.openxmlformats.org/officeDocument/2006/relationships/hyperlink" Target="https://contrataciondelestado.es/FileSystem/servlet/GetDocumentByIdServlet?cifrado=QUC1GjXXSiLkydRHJBmbpw%3D%3D&amp;DocumentIdParam=%2Bi2Xw/s85XbMnYuorJN60eQi95w0s0eO131ZKgglPNMcLtww2vsXNvrv5NdcwbDS1tYavjJWZx7yFIfkXVWUyMEooe9khVRoww3zJlkHBWk//q7NB2iMZvNyf0xrJmjt" TargetMode="External" Id="rId1084" /><Relationship Type="http://schemas.openxmlformats.org/officeDocument/2006/relationships/hyperlink" Target="https://contrataciondelestado.es/wps/poc?uri=deeplink:detalle_licitacion&amp;idEvl=ilbX5O61acW8ebB%2FXTwy0A%3D%3D" TargetMode="External" Id="rId1085" /><Relationship Type="http://schemas.openxmlformats.org/officeDocument/2006/relationships/hyperlink" Target="https://contrataciondelestado.es/FileSystem/servlet/GetDocumentByIdServlet?cifrado=QUC1GjXXSiLkydRHJBmbpw%3D%3D&amp;DocumentIdParam=mck%2BvvBxJCT44bOKuwJHbM/h7y%2BB8yXPjNC5mRgEk2gpgSUMVyQvLp2Tqh8Hd5KVY8i8qjNCmwiWGRDxrVoHt1D8Id%2BU9iku0safe3nGBYx45ClyWkoJ44mKM70IFcOu" TargetMode="External" Id="rId1086" /><Relationship Type="http://schemas.openxmlformats.org/officeDocument/2006/relationships/hyperlink" Target="https://contrataciondelestado.es/wps/poc?uri=deeplink:detalle_licitacion&amp;idEvl=3SV05q70N%2F4UqXM96WStVA%3D%3D" TargetMode="External" Id="rId1087" /><Relationship Type="http://schemas.openxmlformats.org/officeDocument/2006/relationships/hyperlink" Target="https://contrataciondelestado.es/FileSystem/servlet/GetDocumentByIdServlet?cifrado=QUC1GjXXSiLkydRHJBmbpw%3D%3D&amp;DocumentIdParam=UYTwXA51J9be4%2BXaQ1ivDCkk43T5Y0UNhYVgcP5MbtkAOyVI/cYvbty6/m14rAfu7OTD9yjD/ikHciek8sPGQX%2Bb48BTMIe10DqyhH0uAZaB0nvVKRzfe4rpHcnlPhSZ" TargetMode="External" Id="rId1088" /><Relationship Type="http://schemas.openxmlformats.org/officeDocument/2006/relationships/hyperlink" Target="https://contrataciondelestado.es/wps/poc?uri=deeplink:detalle_licitacion&amp;idEvl=YzgVdBW%2BF9uOUi78BmzhOQ%3D%3D" TargetMode="External" Id="rId1089" /><Relationship Type="http://schemas.openxmlformats.org/officeDocument/2006/relationships/hyperlink" Target="https://contrataciondelestado.es/wps/poc?uri=deeplink:detalle_licitacion&amp;idEvl=f4yeL%2BZvw4otm4eBPtV6eQ%3D%3D" TargetMode="External" Id="rId1090" /><Relationship Type="http://schemas.openxmlformats.org/officeDocument/2006/relationships/hyperlink" Target="https://contrataciondelestado.es/FileSystem/servlet/GetDocumentByIdServlet?cifrado=QUC1GjXXSiLkydRHJBmbpw%3D%3D&amp;DocumentIdParam=sXKFto/QLE0Ut0KdA/gdmfjHl13iaQDH53WEJC3BnbzHzKG/9ivEvUZ5RyXvgDZ4c3r7O66X7MIRcEp2Y5J9T%2BHrXir%2BHNcvMWT7fgPkm/X6CYyL7SIrUOBFfNf52ZqA" TargetMode="External" Id="rId1091" /><Relationship Type="http://schemas.openxmlformats.org/officeDocument/2006/relationships/hyperlink" Target="https://contrataciondelestado.es/wps/poc?uri=deeplink:detalle_licitacion&amp;idEvl=tUCVfgXNGc%2FzAq95uGTrDQ%3D%3D" TargetMode="External" Id="rId1092" /><Relationship Type="http://schemas.openxmlformats.org/officeDocument/2006/relationships/hyperlink" Target="https://contrataciondelestado.es/FileSystem/servlet/GetDocumentByIdServlet?cifrado=QUC1GjXXSiLkydRHJBmbpw%3D%3D&amp;DocumentIdParam=jeFGpBYopxNJqMa%2B/on4AE5tfLNMRXljz82HKcYBxXwlR0xcugmYtif/yOXmxrr75BSkyXOeP%2BmWwssk9KwuDlfbzgS6m%2Bhfux0e3UxFi/eCx2e6p7hqtlp2aFupgHMr" TargetMode="External" Id="rId1093" /><Relationship Type="http://schemas.openxmlformats.org/officeDocument/2006/relationships/hyperlink" Target="https://contrataciondelestado.es/wps/poc?uri=deeplink:detalle_licitacion&amp;idEvl=lw9D6C4cSF0%2FbjW6njtWLw%3D%3D" TargetMode="External" Id="rId1094" /><Relationship Type="http://schemas.openxmlformats.org/officeDocument/2006/relationships/hyperlink" Target="https://contrataciondelestado.es/FileSystem/servlet/GetDocumentByIdServlet?cifrado=QUC1GjXXSiLkydRHJBmbpw%3D%3D&amp;DocumentIdParam=fr3qh/Y1FHt8F1VjAhr3MgYoZRnMo9hORx3anUTp25eeU1BIKDMgcy6Al8Wi0IZkwM41aHSNDlDhn9sbzx/EPONlBySvMuj3wqT1bTNoh6G1aXEvq3KHa/AEHgtDrQw0" TargetMode="External" Id="rId1095" /><Relationship Type="http://schemas.openxmlformats.org/officeDocument/2006/relationships/hyperlink" Target="https://contrataciondelestado.es/wps/poc?uri=deeplink:detalle_licitacion&amp;idEvl=Z4v3xWfSkB5rSd8H4b2soA%3D%3D" TargetMode="External" Id="rId1096" /><Relationship Type="http://schemas.openxmlformats.org/officeDocument/2006/relationships/hyperlink" Target="https://contrataciondelestado.es/FileSystem/servlet/GetDocumentByIdServlet?cifrado=QUC1GjXXSiLkydRHJBmbpw%3D%3D&amp;DocumentIdParam=8ACl%2BdPqAFvselg1yNlVd8jFJuHfOLeSvMIMbQrtTMSUhBl23VechavhCOMjXoZRiSZZcewPi7UMsRL/Te1HNCFdqON8%2BQ3Wn1Mu4KKKAMkC1/zDIE0Kw/PWNnLS0Z0z" TargetMode="External" Id="rId1097" /><Relationship Type="http://schemas.openxmlformats.org/officeDocument/2006/relationships/hyperlink" Target="https://contrataciondelestado.es/wps/poc?uri=deeplink:detalle_licitacion&amp;idEvl=LH9HvGH9k9Atm4eBPtV6eQ%3D%3D" TargetMode="External" Id="rId1098" /><Relationship Type="http://schemas.openxmlformats.org/officeDocument/2006/relationships/hyperlink" Target="https://contrataciondelestado.es/FileSystem/servlet/GetDocumentByIdServlet?DocumentIdParam=8keqDM8knYZMaE4HvBodkFdnLk8aIUAJv7CeT70E9cSqj/D/tr6DzgnuJwKjPqbukeZayPGlTWK2TGwOGTcaScawZoAs7VWCAneFTG/GkpKB0nvVKRzfe4rpHcnlPhSZ&amp;cifrado=QUC1GjXXSiLkydRHJBmbpw%3D%3D" TargetMode="External" Id="rId1099" /><Relationship Type="http://schemas.openxmlformats.org/officeDocument/2006/relationships/hyperlink" Target="https://contrataciondelestado.es/wps/poc?uri=deeplink:detalle_licitacion&amp;idEvl=jTcilt9F8GF%2FP7lJ7Fu0SA%3D%3D" TargetMode="External" Id="rId1100" /><Relationship Type="http://schemas.openxmlformats.org/officeDocument/2006/relationships/hyperlink" Target="https://contrataciondelestado.es/FileSystem/servlet/GetDocumentByIdServlet?cifrado=QUC1GjXXSiLkydRHJBmbpw%3D%3D&amp;DocumentIdParam=XUCVDy185RNy3XJg6bsxRabEA%2BtsZlvcIOsusVjUhmWeVAtbPcUFvHS0uz39xDcja4ryTGjA5uCWxS1sG8ZnpoYM0SOFjgF5/gt2bg34VBS1aXEvq3KHa/AEHgtDrQw0" TargetMode="External" Id="rId1101" /><Relationship Type="http://schemas.openxmlformats.org/officeDocument/2006/relationships/hyperlink" Target="https://contrataciondelestado.es/wps/poc?uri=deeplink:detalle_licitacion&amp;idEvl=lrfSLPTTssaP66GS%2BONYvQ%3D%3D" TargetMode="External" Id="rId1102" /><Relationship Type="http://schemas.openxmlformats.org/officeDocument/2006/relationships/hyperlink" Target="https://contrataciondelestado.es/FileSystem/servlet/GetDocumentByIdServlet?cifrado=QUC1GjXXSiLkydRHJBmbpw%3D%3D&amp;DocumentIdParam=y57QL7vApiojCwHrbUsnJSCygLL2MfCsxqizkaXCv6dppIxUQTgwQoVT6spZpN6PDp6XHJGKrkb6%2BAq5GXbhHrHDQTbC5PDOaYld5Syv/es//q7NB2iMZvNyf0xrJmjt" TargetMode="External" Id="rId1103" /><Relationship Type="http://schemas.openxmlformats.org/officeDocument/2006/relationships/hyperlink" Target="https://contrataciondelestado.es/wps/poc?uri=deeplink:detalle_licitacion&amp;idEvl=%2FlqH6XO7PZA7%2B9FIQYNjeQ%3D%3D" TargetMode="External" Id="rId1104" /><Relationship Type="http://schemas.openxmlformats.org/officeDocument/2006/relationships/hyperlink" Target="https://contrataciondelestado.es/FileSystem/servlet/GetDocumentByIdServlet?cifrado=QUC1GjXXSiLkydRHJBmbpw%3D%3D&amp;DocumentIdParam=4kOXRlqsKdK2RwsDfXDBU04l5koB9CkOspZaHHlujlix/LtgDOR3689g71zmQWTNTjqgA3r8PPT8hHWqcP/8yYJWbRP6PLaSPVwNSFek2MG1aXEvq3KHa/AEHgtDrQw0" TargetMode="External" Id="rId1105" /><Relationship Type="http://schemas.openxmlformats.org/officeDocument/2006/relationships/hyperlink" Target="https://contrataciondelestado.es/wps/poc?uri=deeplink:detalle_licitacion&amp;idEvl=3%2FSIIqSBbEVVq4S9zvaQpQ%3D%3D" TargetMode="External" Id="rId1106" /><Relationship Type="http://schemas.openxmlformats.org/officeDocument/2006/relationships/hyperlink" Target="https://contrataciondelestado.es/FileSystem/servlet/GetDocumentByIdServlet?cifrado=QUC1GjXXSiLkydRHJBmbpw%3D%3D&amp;DocumentIdParam=gLNAPBzJzoPPNXWO4c4E7t26Bkuvo3qPwfDDpffqrIaDSDfROxYHwYTafhCrlpxmF5zdpWe/KhezvQeWZNRBIFqUdmSb9mf6j0tWiDuoRviB0nvVKRzfe4rpHcnlPhSZ" TargetMode="External" Id="rId1107" /><Relationship Type="http://schemas.openxmlformats.org/officeDocument/2006/relationships/hyperlink" Target="https://contrataciondelestado.es/wps/poc?uri=deeplink:detalle_licitacion&amp;idEvl=9f2PXsOg4TZ9PLkba5eRog%3D%3D" TargetMode="External" Id="rId1108" /><Relationship Type="http://schemas.openxmlformats.org/officeDocument/2006/relationships/hyperlink" Target="https://contrataciondelestado.es/FileSystem/servlet/GetDocumentByIdServlet?cifrado=QUC1GjXXSiLkydRHJBmbpw%3D%3D&amp;DocumentIdParam=yniJP/%2BTlkwLSuAj3vWySIZi4mBqFZ41OiNXWrBdHq8DUSizih9QSCJ%2BRq1OhimDHhO7Gy22O5YmTU/QjSS8DGaPzVOYyTmseLg6A1RtrvN45ClyWkoJ44mKM70IFcOu" TargetMode="External" Id="rId1109" /><Relationship Type="http://schemas.openxmlformats.org/officeDocument/2006/relationships/hyperlink" Target="https://contrataciondelestado.es/wps/poc?uri=deeplink:detalle_licitacion&amp;idEvl=fyYikM64NTBVq4S9zvaQpQ%3D%3D" TargetMode="External" Id="rId1110" /><Relationship Type="http://schemas.openxmlformats.org/officeDocument/2006/relationships/hyperlink" Target="https://contrataciondelestado.es/FileSystem/servlet/GetDocumentByIdServlet?cifrado=QUC1GjXXSiLkydRHJBmbpw%3D%3D&amp;DocumentIdParam=6xJIIiKk8M20egnT%2BG%2B1JnLGttjnEPdg9n2Kcy5eNPBkwQfhMEiCW0OdRcFMnipTyaf7ci%2BuDbj/keOEjl75SdSzyPKbOtEGtCsCUQyr3c8ZyAJWGsSt0OzTSTyw9JAs" TargetMode="External" Id="rId1111" /><Relationship Type="http://schemas.openxmlformats.org/officeDocument/2006/relationships/hyperlink" Target="https://contrataciondelestado.es/wps/poc?uri=deeplink:detalle_licitacion&amp;idEvl=Wq%2FzOUjz55I%2Bk2oCbDosIw%3D%3D" TargetMode="External" Id="rId1112" /><Relationship Type="http://schemas.openxmlformats.org/officeDocument/2006/relationships/hyperlink" Target="https://contrataciondelestado.es/FileSystem/servlet/GetDocumentByIdServlet?cifrado=QUC1GjXXSiLkydRHJBmbpw%3D%3D&amp;DocumentIdParam=FJr6NAoxE4mAdjEuatbgAH07lBoZTNMsXuYgdEnYMYvaFNYwu1DGWhaaewmJN228ZAnCUsvP7eYdoxnu2mEax21q2A7r8tQ3KGhTWsqwCOkC1/zDIE0Kw/PWNnLS0Z0z" TargetMode="External" Id="rId1113" /><Relationship Type="http://schemas.openxmlformats.org/officeDocument/2006/relationships/hyperlink" Target="https://contrataciondelestado.es/wps/poc?uri=deeplink:detalle_licitacion&amp;idEvl=mXQiOzcyxEx70UvEyYJSGw%3D%3D" TargetMode="External" Id="rId1114" /><Relationship Type="http://schemas.openxmlformats.org/officeDocument/2006/relationships/hyperlink" Target="https://contrataciondelestado.es/FileSystem/servlet/GetDocumentByIdServlet?cifrado=QUC1GjXXSiLkydRHJBmbpw%3D%3D&amp;DocumentIdParam=w4gFSMDcXsKOcuVlHOngXgn2VngxPgN5j06VL7Np4x8a/xg%2B1jDazw%2BAybDwPNMNhadyEdFLKhOFSxfL7dv4ZYk6ZFpEv3/UNSlTkk0Fr9n3GVhXrFFqN7yFncy7YfRK" TargetMode="External" Id="rId1115" /><Relationship Type="http://schemas.openxmlformats.org/officeDocument/2006/relationships/hyperlink" Target="https://contrataciondelestado.es/wps/poc?uri=deeplink:detalle_licitacion&amp;idEvl=%2BKWo7%2B323N1SYrkJkLlFdw%3D%3D" TargetMode="External" Id="rId1116" /><Relationship Type="http://schemas.openxmlformats.org/officeDocument/2006/relationships/hyperlink" Target="https://contrataciondelestado.es/FileSystem/servlet/GetDocumentByIdServlet?cifrado=QUC1GjXXSiLkydRHJBmbpw%3D%3D&amp;DocumentIdParam=u3XfAQ4YHNQ1eRX1B4mhPBmbPm%2BlIhm9yYOboRL%2Bs5KXNzPV5kd9m/06AtzFaHmy1in2AfYUIjoBEgTvLeIcrVLxwq1GNXlkMb1dyS9oKvSB0nvVKRzfe4rpHcnlPhSZ" TargetMode="External" Id="rId1117" /><Relationship Type="http://schemas.openxmlformats.org/officeDocument/2006/relationships/hyperlink" Target="https://contrataciondelestado.es/wps/poc?uri=deeplink:detalle_licitacion&amp;idEvl=hPBZ%2Fb8x%2F3pLAIVZdUs8KA%3D%3D" TargetMode="External" Id="rId1118" /><Relationship Type="http://schemas.openxmlformats.org/officeDocument/2006/relationships/hyperlink" Target="https://contrataciondelestado.es/FileSystem/servlet/GetDocumentByIdServlet?cifrado=QUC1GjXXSiLkydRHJBmbpw%3D%3D&amp;DocumentIdParam=Ii%2B6bytvnLgoKSTVJHTD4YyqKHDCNPeMS7K93kfVcdNnVwDAOIqsocsM%2BMJMtqiOHfhh17en4k/9aT0I4x9dCk8HQ6TtioIcDiNwfMnJU8w//q7NB2iMZvNyf0xrJmjt" TargetMode="External" Id="rId1119" /><Relationship Type="http://schemas.openxmlformats.org/officeDocument/2006/relationships/hyperlink" Target="https://contrataciondelestado.es/wps/poc?uri=deeplink:detalle_licitacion&amp;idEvl=JJ%2BtMq%2FLogBrhBlEHQFSKA%3D%3D" TargetMode="External" Id="rId1120" /><Relationship Type="http://schemas.openxmlformats.org/officeDocument/2006/relationships/hyperlink" Target="https://contrataciondelestado.es/FileSystem/servlet/GetDocumentByIdServlet?cifrado=QUC1GjXXSiLkydRHJBmbpw%3D%3D&amp;DocumentIdParam=h4u0tw5g/xGkgukRvw/qLuzwLWy/Ho1p607OvEjYsWQ/farrP3DMcZ1wWVKZ4mPEzr474YhPei4MxqiB2i4nzx6u/Md0TnvzX21UcsQp/qg//q7NB2iMZvNyf0xrJmjt" TargetMode="External" Id="rId1121" /><Relationship Type="http://schemas.openxmlformats.org/officeDocument/2006/relationships/hyperlink" Target="https://contrataciondelestado.es/wps/poc?uri=deeplink:detalle_licitacion&amp;idEvl=gT28mJ9cKE3ua%2Fi14w%2FPLA%3D%3D" TargetMode="External" Id="rId1122" /><Relationship Type="http://schemas.openxmlformats.org/officeDocument/2006/relationships/hyperlink" Target="https://contrataciondelestado.es/FileSystem/servlet/GetDocumentByIdServlet?cifrado=QUC1GjXXSiLkydRHJBmbpw%3D%3D&amp;DocumentIdParam=mnEZGLOrahjyX02af6FrQRz2eFPSFghIaXif7GyBnruTNW9moPPrtlSrzgh8Dkz/yLS8agbN7N5UoT7CJvoy4c1JDDHnbLmFHX%2BPbPNflUG1aXEvq3KHa/AEHgtDrQw0" TargetMode="External" Id="rId1123" /><Relationship Type="http://schemas.openxmlformats.org/officeDocument/2006/relationships/hyperlink" Target="https://contrataciondelestado.es/wps/poc?uri=deeplink:detalle_licitacion&amp;idEvl=V6GeynYtkVZ9PLkba5eRog%3D%3D" TargetMode="External" Id="rId1124" /><Relationship Type="http://schemas.openxmlformats.org/officeDocument/2006/relationships/hyperlink" Target="https://contrataciondelestado.es/FileSystem/servlet/GetDocumentByIdServlet?cifrado=QUC1GjXXSiLkydRHJBmbpw%3D%3D&amp;DocumentIdParam=NGZm%2Bx0Cer6pckN9uZnOCSEFslR%2BgpbRHJma9aetfLWv9ZbYqnb7L%2Bg9RxFT8gJ2cKKDesQAol/lBoeGGDqAKhbmZybhbo3U3t7LkgZI%2BsZJOVDbGCDM%2BMigrvuVS7Rv" TargetMode="External" Id="rId1125" /><Relationship Type="http://schemas.openxmlformats.org/officeDocument/2006/relationships/hyperlink" Target="https://contrataciondelestado.es/wps/poc?uri=deeplink:detalle_licitacion&amp;idEvl=cez6IfIyvhoeIBJRHQiPkQ%3D%3D" TargetMode="External" Id="rId1126" /><Relationship Type="http://schemas.openxmlformats.org/officeDocument/2006/relationships/hyperlink" Target="https://contrataciondelestado.es/FileSystem/servlet/GetDocumentByIdServlet?cifrado=QUC1GjXXSiLkydRHJBmbpw%3D%3D&amp;DocumentIdParam=FUZ4pfolvR%2Ba7GnFgqdHhigiR5YqAxHxRaR5noAy5FBXcDxWKnFifgtraGuXxT%2BSU2uVvI0GUnWmKds19uphyQgDEDuwhp8iPw2W/sbVh2945ClyWkoJ44mKM70IFcOu" TargetMode="External" Id="rId1127" /><Relationship Type="http://schemas.openxmlformats.org/officeDocument/2006/relationships/hyperlink" Target="https://contrataciondelestado.es/wps/poc?uri=deeplink:detalle_licitacion&amp;idEvl=up07EnhjssIl5NjlNci%2BtA%3D%3D" TargetMode="External" Id="rId1128" /><Relationship Type="http://schemas.openxmlformats.org/officeDocument/2006/relationships/hyperlink" Target="https://contrataciondelestado.es/FileSystem/servlet/GetDocumentByIdServlet?cifrado=QUC1GjXXSiLkydRHJBmbpw%3D%3D&amp;DocumentIdParam=i6ACKann6S2UOXNIOyZS18Yr%2BWP5kmT0NAXpX8QQG83GmtZjCfLagItfakeMzN/6ifJJkorZ2clYAG/972PrttHCz284a%2BIRayJheeHDHfyHAj0WEJrB5sP7amrh2jBD" TargetMode="External" Id="rId1129" /><Relationship Type="http://schemas.openxmlformats.org/officeDocument/2006/relationships/hyperlink" Target="https://contrataciondelestado.es/wps/poc?uri=deeplink:detalle_licitacion&amp;idEvl=HN%2FEHGxku9ZxseVhcqrkhw%3D%3D" TargetMode="External" Id="rId1130" /><Relationship Type="http://schemas.openxmlformats.org/officeDocument/2006/relationships/hyperlink" Target="https://contrataciondelestado.es/FileSystem/servlet/GetDocumentByIdServlet?cifrado=QUC1GjXXSiLkydRHJBmbpw%3D%3D&amp;DocumentIdParam=wW2C%2BOA6TNl%2B3k6pPZ6P7c%2BX0eJa3CD3ICYZfsvEwerIUKF0UB%2BYNLwf3uDN54YBS0VF1uu0kaAWM4JMChpWFMUMlxMunWc16fG5ATqN/dpt/o8fNevwsujgRzaBbugn" TargetMode="External" Id="rId1131" /><Relationship Type="http://schemas.openxmlformats.org/officeDocument/2006/relationships/hyperlink" Target="https://contrataciondelestado.es/wps/poc?uri=deeplink:detalle_licitacion&amp;idEvl=%2FF%2BHH31fUOu7JOCXkOhcDg%3D%3D" TargetMode="External" Id="rId1132" /><Relationship Type="http://schemas.openxmlformats.org/officeDocument/2006/relationships/hyperlink" Target="https://contrataciondelestado.es/FileSystem/servlet/GetDocumentByIdServlet?cifrado=QUC1GjXXSiLkydRHJBmbpw%3D%3D&amp;DocumentIdParam=d7ZvYv811hiNKAeCdZIvQFM34uD%2B6huE/TYTaNiE2tOVAx9RwuFQPYFR7m6ME8Jo0AuRhSGdbgKT8k/fXbhy5nuJ61%2BQ3D2tWTjvQPQ6SFEC1/zDIE0Kw/PWNnLS0Z0z" TargetMode="External" Id="rId1133" /><Relationship Type="http://schemas.openxmlformats.org/officeDocument/2006/relationships/hyperlink" Target="https://contrataciondelestado.es/wps/poc?uri=deeplink:detalle_licitacion&amp;idEvl=%2BBoveHMLMCHIGlsa0Wad%2Bw%3D%3D" TargetMode="External" Id="rId1134" /><Relationship Type="http://schemas.openxmlformats.org/officeDocument/2006/relationships/hyperlink" Target="https://contrataciondelestado.es/FileSystem/servlet/GetDocumentByIdServlet?cifrado=QUC1GjXXSiLkydRHJBmbpw%3D%3D&amp;DocumentIdParam=5MfGRFMmlP8NyLFLcrWCYxB6GFC%2BS/FGkcEQRLk8fhnrllnirtB5GuscxbTXQkwmtEBAWJYO1jt1hfvwmi7FPfpXO2jBYxA8iGqHpJ/ePdPVTD3T98KC0nSgQFM0q%2B5s" TargetMode="External" Id="rId1135" /><Relationship Type="http://schemas.openxmlformats.org/officeDocument/2006/relationships/hyperlink" Target="https://contrataciondelestado.es/wps/poc?uri=deeplink:detalle_licitacion&amp;idEvl=iwUWlyjDux03vLk2DU2Ddg%3D%3D" TargetMode="External" Id="rId1136" /><Relationship Type="http://schemas.openxmlformats.org/officeDocument/2006/relationships/hyperlink" Target="https://contrataciondelestado.es/FileSystem/servlet/GetDocumentByIdServlet?cifrado=QUC1GjXXSiLkydRHJBmbpw%3D%3D&amp;DocumentIdParam=NPaR4gsv%2B/soxKwdWr4TF9KYZILNBCJEcUu98QfnwHNs763MHL%2BHgkRhbxkqnXWiN/ZKzT076gGb4D8kedNo8dJdUy0SAsHZoAwX/n99zqiHAj0WEJrB5sP7amrh2jBD" TargetMode="External" Id="rId1137" /><Relationship Type="http://schemas.openxmlformats.org/officeDocument/2006/relationships/hyperlink" Target="https://contrataciondelestado.es/wps/poc?uri=deeplink:detalle_licitacion&amp;idEvl=nbYMAFx3lO0%2Bk2oCbDosIw%3D%3D" TargetMode="External" Id="rId1138" /><Relationship Type="http://schemas.openxmlformats.org/officeDocument/2006/relationships/hyperlink" Target="https://contrataciondelestado.es/FileSystem/servlet/GetDocumentByIdServlet?cifrado=QUC1GjXXSiLkydRHJBmbpw%3D%3D&amp;DocumentIdParam=qzEyZ%2B7zc27MyU/FWNBboytJykw2JHaDZvMapcc3G99TjNDuoqdLk0x/6cijdKSRqKt62skvhdkvz4/5wtKeonnDVpTLHhwnDWI9T1UjLMeCx2e6p7hqtlp2aFupgHMr" TargetMode="External" Id="rId1139" /><Relationship Type="http://schemas.openxmlformats.org/officeDocument/2006/relationships/hyperlink" Target="https://contrataciondelestado.es/wps/poc?uri=deeplink:detalle_licitacion&amp;idEvl=FnFpIvHtVOt70UvEyYJSGw%3D%3D" TargetMode="External" Id="rId1140" /><Relationship Type="http://schemas.openxmlformats.org/officeDocument/2006/relationships/hyperlink" Target="https://contrataciondelestado.es/FileSystem/servlet/GetDocumentByIdServlet?cifrado=QUC1GjXXSiLkydRHJBmbpw%3D%3D&amp;DocumentIdParam=qOgDabXAj9cxK9J2zHGD3s7ipopS6//uDxZ31gBMepLCfU8peO3iIvkjTkZs5SYVcqNJVxlFk7LzWGp5VV6jkqfRpTkVYDbAnhXKGF4lL8nfdyQgZAdTm3EfcUAC7CJ6" TargetMode="External" Id="rId1141" /><Relationship Type="http://schemas.openxmlformats.org/officeDocument/2006/relationships/hyperlink" Target="https://contrataciondelestado.es/wps/poc?uri=deeplink:detalle_licitacion&amp;idEvl=WW4buQrB%2F%2BX9pbnDwlaUlg%3D%3D" TargetMode="External" Id="rId1142" /><Relationship Type="http://schemas.openxmlformats.org/officeDocument/2006/relationships/hyperlink" Target="https://contrataciondelestado.es/FileSystem/servlet/GetDocumentByIdServlet?cifrado=QUC1GjXXSiLkydRHJBmbpw%3D%3D&amp;DocumentIdParam=79T%2B5sdVdhEMujkd6m7bvxiC4mRrF/BHB6EXHnxbcPJFjJRcXXfgqgDIsXy5KDQIEBH78IfOSl4by5v9JXRtWVx17qEIc37ncBZoeay4hCF7QB3HKyQaFUExmUVQCerk" TargetMode="External" Id="rId1143" /><Relationship Type="http://schemas.openxmlformats.org/officeDocument/2006/relationships/hyperlink" Target="https://contrataciondelestado.es/wps/poc?uri=deeplink:detalle_licitacion&amp;idEvl=K%2FSzl8KbHnSIzo3LHNPGcQ%3D%3D" TargetMode="External" Id="rId1144" /><Relationship Type="http://schemas.openxmlformats.org/officeDocument/2006/relationships/hyperlink" Target="https://contrataciondelestado.es/FileSystem/servlet/GetDocumentByIdServlet?cifrado=QUC1GjXXSiLkydRHJBmbpw%3D%3D&amp;DocumentIdParam=39IFZ8g9BWuAtdtaM6xEbXpRip4g5dX7qu14c2jsbldt55WTjZ9Eh0eBcC1IIEA/RslE05Jenqv/lqPIlFlMnNaYx7H38FYBjXnQuZ/QoZJ7QB3HKyQaFUExmUVQCerk" TargetMode="External" Id="rId1145" /><Relationship Type="http://schemas.openxmlformats.org/officeDocument/2006/relationships/hyperlink" Target="https://contrataciondelestado.es/wps/poc?uri=deeplink:detalle_licitacion&amp;idEvl=fkjSOY6BKp28ebB%2FXTwy0A%3D%3D" TargetMode="External" Id="rId1146" /><Relationship Type="http://schemas.openxmlformats.org/officeDocument/2006/relationships/hyperlink" Target="https://contrataciondelestado.es/FileSystem/servlet/GetDocumentByIdServlet?cifrado=QUC1GjXXSiLkydRHJBmbpw%3D%3D&amp;DocumentIdParam=YwnwdssqGZt9plo7X9v7IWiPOUoHiTWAvwxF%2BudEbcmCZUBE4dZB6JcoRQDqikf5Cu3En%2BirXjfw0NjLPZgjW65rA9inhJYxNEgPStslSrXfdyQgZAdTm3EfcUAC7CJ6" TargetMode="External" Id="rId1147" /><Relationship Type="http://schemas.openxmlformats.org/officeDocument/2006/relationships/hyperlink" Target="https://contrataciondelestado.es/wps/poc?uri=deeplink:detalle_licitacion&amp;idEvl=ZB1MCuNwEfdeKgd8LfVV9g%3D%3D" TargetMode="External" Id="rId1148" /><Relationship Type="http://schemas.openxmlformats.org/officeDocument/2006/relationships/hyperlink" Target="https://contrataciondelestado.es/FileSystem/servlet/GetDocumentByIdServlet?cifrado=QUC1GjXXSiLkydRHJBmbpw%3D%3D&amp;DocumentIdParam=0FoPgF6gdqzBvWAJ9y4e/xtYxKsD49EBwAyhqF5iSPz4WBZ18f2jPE7btRJuiLivoJuEpkk6YSxIeNfVVdO4GrQOCtUEAvY%2BNiYAy5OZAOz3GVhXrFFqN7yFncy7YfRK" TargetMode="External" Id="rId1149" /><Relationship Type="http://schemas.openxmlformats.org/officeDocument/2006/relationships/hyperlink" Target="https://contrataciondelestado.es/wps/poc?uri=deeplink:detalle_licitacion&amp;idEvl=87hY2NvxS728ebB%2FXTwy0A%3D%3D" TargetMode="External" Id="rId1150" /><Relationship Type="http://schemas.openxmlformats.org/officeDocument/2006/relationships/hyperlink" Target="https://contrataciondelestado.es/FileSystem/servlet/GetDocumentByIdServlet?cifrado=QUC1GjXXSiLkydRHJBmbpw%3D%3D&amp;DocumentIdParam=90VjABXAA2grl8DBrx5FMP6s12K7lWOK3iugk1IAFdMHpf7V0GPFOc6liNvc6wpNnLXKtf8BhzPzMFLuUWcoLgH4KrFrw6boVCOIRpgNfL/VTD3T98KC0nSgQFM0q%2B5s" TargetMode="External" Id="rId1151" /><Relationship Type="http://schemas.openxmlformats.org/officeDocument/2006/relationships/hyperlink" Target="https://contrataciondelestado.es/wps/poc?uri=deeplink:detalle_licitacion&amp;idEvl=zH%2BVoDlpt6SS81gZFETWmA%3D%3D" TargetMode="External" Id="rId1152" /><Relationship Type="http://schemas.openxmlformats.org/officeDocument/2006/relationships/hyperlink" Target="https://contrataciondelestado.es/wps/wcm/connect/PLACE_es/Site/area/docAccCmpnt?srv=cmpnt&amp;cmpntname=GetDocumentsById&amp;source=library&amp;DocumentIdParam=8e533f4a-107e-457d-8516-90b463552f90" TargetMode="External" Id="rId1153" /><Relationship Type="http://schemas.openxmlformats.org/officeDocument/2006/relationships/hyperlink" Target="https://contrataciondelestado.es/wps/poc?uri=deeplink:detalle_licitacion&amp;idEvl=n0vB9Qz%2FsuI%2B1TMyIiZmzw%3D%3D" TargetMode="External" Id="rId1154" /><Relationship Type="http://schemas.openxmlformats.org/officeDocument/2006/relationships/hyperlink" Target="https://contrataciondelestado.es/FileSystem/servlet/GetDocumentByIdServlet?cifrado=QUC1GjXXSiLkydRHJBmbpw%3D%3D&amp;DocumentIdParam=hAh9NJg93qsGEtyUQ7k0va%2BnI3OwKBL5/whuyTxAp%2BxKTpuxFOXbYGCLKcsU525ff7EsAXr1LBwgQtU2Ak/eh4KfeMDfK1IdH42SFkqJ2jL3GVhXrFFqN7yFncy7YfRK" TargetMode="External" Id="rId1155" /><Relationship Type="http://schemas.openxmlformats.org/officeDocument/2006/relationships/hyperlink" Target="https://contrataciondelestado.es/wps/poc?uri=deeplink:detalle_licitacion&amp;idEvl=1NrZRHUmzqNVkTabT%2FRM8A%3D%3D" TargetMode="External" Id="rId1156" /><Relationship Type="http://schemas.openxmlformats.org/officeDocument/2006/relationships/hyperlink" Target="https://contrataciondelestado.es/FileSystem/servlet/GetDocumentByIdServlet?cifrado=QUC1GjXXSiLkydRHJBmbpw%3D%3D&amp;DocumentIdParam=YmN42k6YIoWP%2BWmIUrxwmQ4yaaZXhdnytmWJaQSIuUPfQLbW/ozbDQEIkHZ5AD9AIWtzvyRVosH%2Bn3pgbbmyzZAoKB2yI8ox%2BIV7AS%2Bzhvdt/o8fNevwsujgRzaBbugn" TargetMode="External" Id="rId1157" /><Relationship Type="http://schemas.openxmlformats.org/officeDocument/2006/relationships/hyperlink" Target="https://contrataciondelestado.es/wps/poc?uri=deeplink:detalle_licitacion&amp;idEvl=ta6rE6TIaYV%2BF6L2uCfUWg%3D%3D" TargetMode="External" Id="rId1158" /><Relationship Type="http://schemas.openxmlformats.org/officeDocument/2006/relationships/hyperlink" Target="https://contrataciondelestado.es/FileSystem/servlet/GetDocumentByIdServlet?cifrado=QUC1GjXXSiLkydRHJBmbpw%3D%3D&amp;DocumentIdParam=bXD9DSsc61vxgr3K896sWkapFMEcyBig6CvHgljrtiStty/xp8exhyI41MvldAYhKjhEPdfaFGleMTX%2BiRssdvJ3F2U5hUz0ky5zobedYMC1aXEvq3KHa/AEHgtDrQw0" TargetMode="External" Id="rId1159" /><Relationship Type="http://schemas.openxmlformats.org/officeDocument/2006/relationships/hyperlink" Target="https://contrataciondelestado.es/wps/poc?uri=deeplink:detalle_licitacion&amp;idEvl=nJaOxoxCtJ570UvEyYJSGw%3D%3D" TargetMode="External" Id="rId1160" /><Relationship Type="http://schemas.openxmlformats.org/officeDocument/2006/relationships/hyperlink" Target="https://contrataciondelestado.es/FileSystem/servlet/GetDocumentByIdServlet?cifrado=QUC1GjXXSiLkydRHJBmbpw%3D%3D&amp;DocumentIdParam=fkF2JD750de4cqPNXaNxmCO%2B64LQNWlprHLCbvgg6xI%2BKpCkc5TZt8gr8olblF7SC5yj8EAZQWNvpHFLqmFND5c45hgGMBwTFcX3GM%2BXzY3VTD3T98KC0nSgQFM0q%2B5s" TargetMode="External" Id="rId1161" /><Relationship Type="http://schemas.openxmlformats.org/officeDocument/2006/relationships/hyperlink" Target="https://contrataciondelestado.es/wps/poc?uri=deeplink:detalle_licitacion&amp;idEvl=EvZuafT9pGZVkTabT%2FRM8A%3D%3D" TargetMode="External" Id="rId1162" /><Relationship Type="http://schemas.openxmlformats.org/officeDocument/2006/relationships/hyperlink" Target="https://contrataciondelestado.es/FileSystem/servlet/GetDocumentByIdServlet?cifrado=QUC1GjXXSiLkydRHJBmbpw%3D%3D&amp;DocumentIdParam=eujh4jha7a3KLwvdA3mYo9W4KvNjcufJ2zD27IaH6c3hbPkAsWclGLM3yN0LX4nOGwIo0RF1BALzl2mT9doOE/4F8gVGoDvKm1ohEopyTJcC1/zDIE0Kw/PWNnLS0Z0z" TargetMode="External" Id="rId1163" /><Relationship Type="http://schemas.openxmlformats.org/officeDocument/2006/relationships/hyperlink" Target="https://contrataciondelestado.es/wps/poc?uri=deeplink:detalle_licitacion&amp;idEvl=fkLM7qnvfU6AAM7L03kM8A%3D%3D" TargetMode="External" Id="rId1164" /><Relationship Type="http://schemas.openxmlformats.org/officeDocument/2006/relationships/hyperlink" Target="https://contrataciondelestado.es/FileSystem/servlet/GetDocumentByIdServlet?cifrado=QUC1GjXXSiLkydRHJBmbpw%3D%3D&amp;DocumentIdParam=PlN91KpxD2YI7dAQcFCRAZJOGj32OmGZTb3KC/vsnpjr5vJnlW48rdYFoI62BzjOTaldeh71rYgNd%2BX5MQWFvG23bJmUg5fAJ5tcAAE4WGkZyAJWGsSt0OzTSTyw9JAs" TargetMode="External" Id="rId1165" /><Relationship Type="http://schemas.openxmlformats.org/officeDocument/2006/relationships/hyperlink" Target="https://contrataciondelestado.es/wps/poc?uri=deeplink:detalle_licitacion&amp;idEvl=n1fplq%2B6UlUIYE3ZiZ%2BxmQ%3D%3D" TargetMode="External" Id="rId1166" /><Relationship Type="http://schemas.openxmlformats.org/officeDocument/2006/relationships/hyperlink" Target="https://contrataciondelestado.es/FileSystem/servlet/GetDocumentByIdServlet?cifrado=QUC1GjXXSiLkydRHJBmbpw%3D%3D&amp;DocumentIdParam=PquRGCUxxZOyoyaAZwCitE/505nTXIBTaCkuKo8AfRpuMgr0ERsvT%2BhnIaFCA4wgMp4n8vyhihX6DGlux0/fajPNA49h88OIlk3Sal02jgsC1/zDIE0Kw/PWNnLS0Z0z" TargetMode="External" Id="rId1167" /><Relationship Type="http://schemas.openxmlformats.org/officeDocument/2006/relationships/hyperlink" Target="https://contrataciondelestado.es/wps/poc?uri=deeplink:detalle_licitacion&amp;idEvl=El13bPCQRQ%2FECtSnloz%2BZQ%3D%3D" TargetMode="External" Id="rId1168" /><Relationship Type="http://schemas.openxmlformats.org/officeDocument/2006/relationships/hyperlink" Target="https://contrataciondelestado.es/FileSystem/servlet/GetDocumentByIdServlet?DocumentIdParam=C3XZwby9unH9fKIIdxy4W3SCCTDwtQisUH/IPm9%2BH8ORC8LkF7FaZwW9v8SuKEIUSnO%2Bz8u/XuuTQldYghuyKo4GdomDDS6vl2AOnboxkRb3GVhXrFFqN7yFncy7YfRK&amp;cifrado=QUC1GjXXSiLkydRHJBmbpw%3D%3D" TargetMode="External" Id="rId1169" /><Relationship Type="http://schemas.openxmlformats.org/officeDocument/2006/relationships/hyperlink" Target="https://contrataciondelestado.es/wps/poc?uri=deeplink:detalle_licitacion&amp;idEvl=MQcpn3X%2BlTiqb7rCcv76BA%3D%3D" TargetMode="External" Id="rId1170" /><Relationship Type="http://schemas.openxmlformats.org/officeDocument/2006/relationships/hyperlink" Target="https://contrataciondelestado.es/wps/poc?uri=deeplink:detalle_licitacion&amp;idEvl=AQInKkL41uFeKgd8LfVV9g%3D%3D" TargetMode="External" Id="rId1171" /><Relationship Type="http://schemas.openxmlformats.org/officeDocument/2006/relationships/hyperlink" Target="https://contrataciondelestado.es/FileSystem/servlet/GetDocumentByIdServlet?cifrado=QUC1GjXXSiLkydRHJBmbpw%3D%3D&amp;DocumentIdParam=Mh4jseo1GGA6NDOdxbHHBVR1XQdGVfzOBBUwWn6U1hSg0fTGe%2Bs1dycGQKIXBWHA8FaPWRAhRkRBxPMStodLywilSgjPh1eUHTB/zVxhJUmCx2e6p7hqtlp2aFupgHMr" TargetMode="External" Id="rId1172" /><Relationship Type="http://schemas.openxmlformats.org/officeDocument/2006/relationships/hyperlink" Target="https://contrataciondelestado.es/wps/poc?uri=deeplink:detalle_licitacion&amp;idEvl=pmYMpF9fjEKHCIsjvJ3rhQ%3D%3D" TargetMode="External" Id="rId1173" /><Relationship Type="http://schemas.openxmlformats.org/officeDocument/2006/relationships/hyperlink" Target="https://contrataciondelestado.es/FileSystem/servlet/GetDocumentByIdServlet?cifrado=QUC1GjXXSiLkydRHJBmbpw%3D%3D&amp;DocumentIdParam=nxtaa/pqHWrWwhTIggFFGu6amtHd8auj/pF16or7Arqvk8mzUV0eFL/qw/xRQLCSdKpGdl6aoXohzpv1lVWfVvy4MQJmv78JC9brb7J3yyOCx2e6p7hqtlp2aFupgHMr" TargetMode="External" Id="rId1174" /><Relationship Type="http://schemas.openxmlformats.org/officeDocument/2006/relationships/hyperlink" Target="https://contrataciondelestado.es/wps/poc?uri=deeplink:detalle_licitacion&amp;idEvl=r362epTUiiaqb7rCcv76BA%3D%3D" TargetMode="External" Id="rId1175" /><Relationship Type="http://schemas.openxmlformats.org/officeDocument/2006/relationships/hyperlink" Target="https://contrataciondelestado.es/FileSystem/servlet/GetDocumentByIdServlet?cifrado=QUC1GjXXSiLkydRHJBmbpw%3D%3D&amp;DocumentIdParam=fdUQyJxB7f6ZEXMyip9/JJgDRPD1u5Evc0LeqEDbKXPpbiNsyyGpwwePWiUDXJMoRaSOid1iX8WI5jVl2Jk6IrIAkD9eSoWqul8RAjKs3cFt/o8fNevwsujgRzaBbugn" TargetMode="External" Id="rId1176" /><Relationship Type="http://schemas.openxmlformats.org/officeDocument/2006/relationships/hyperlink" Target="https://contrataciondelestado.es/wps/poc?uri=deeplink:detalle_licitacion&amp;idEvl=t4KL8OPqmeXgL1BHd3qjQA%3D%3D" TargetMode="External" Id="rId1177" /><Relationship Type="http://schemas.openxmlformats.org/officeDocument/2006/relationships/hyperlink" Target="https://contrataciondelestado.es/FileSystem/servlet/GetDocumentByIdServlet?cifrado=QUC1GjXXSiLkydRHJBmbpw%3D%3D&amp;DocumentIdParam=efpimrRDRWA7XPOK2QfNiYmmYS8njR8iH6KmW5AIgGVDh2Xl0MyUZ5M3WzdUuRA78ZR%2B2iCWYNfcNCZ0deAirycrdSjtHW0OacW7BlENOdH6CYyL7SIrUOBFfNf52ZqA" TargetMode="External" Id="rId1178" /><Relationship Type="http://schemas.openxmlformats.org/officeDocument/2006/relationships/hyperlink" Target="https://contrataciondelestado.es/wps/poc?uri=deeplink:detalle_licitacion&amp;idEvl=OtmFHpBMs5fVGIpKDxgsAQ%3D%3D" TargetMode="External" Id="rId1179" /><Relationship Type="http://schemas.openxmlformats.org/officeDocument/2006/relationships/hyperlink" Target="https://contrataciondelestado.es/FileSystem/servlet/GetDocumentByIdServlet?cifrado=QUC1GjXXSiLkydRHJBmbpw%3D%3D&amp;DocumentIdParam=pSKqLSFMpBr5gwyiqwyZCQ3oykLINrOdxrjdL8b8MK47Bh/ucP%2Bb0Raogr7RJvdNeyQJexT4hE%2BR9wImJuyNsqXKdpJ7xdzE54K/d65OG91JOVDbGCDM%2BMigrvuVS7Rv" TargetMode="External" Id="rId1180" /><Relationship Type="http://schemas.openxmlformats.org/officeDocument/2006/relationships/hyperlink" Target="https://contrataciondelestado.es/wps/poc?uri=deeplink:detalle_licitacion&amp;idEvl=iU%2B2wUNe3QaFlFRHfEzEaw%3D%3D" TargetMode="External" Id="rId1181" /><Relationship Type="http://schemas.openxmlformats.org/officeDocument/2006/relationships/hyperlink" Target="https://contrataciondelestado.es/FileSystem/servlet/GetDocumentByIdServlet?cifrado=QUC1GjXXSiLkydRHJBmbpw%3D%3D&amp;DocumentIdParam=786DHU%2B9qw6yNpvf2%2BanzSoTIjTrN0miGyuW9QWVAcPCFEJan4tbUQ2qteL2XLNhhcjFyrNi6VJgvoSc5fHP4KYa2WPgx1%2BXPHVwAAc9VBj6CYyL7SIrUOBFfNf52ZqA" TargetMode="External" Id="rId1182" /><Relationship Type="http://schemas.openxmlformats.org/officeDocument/2006/relationships/hyperlink" Target="https://contrataciondelestado.es/wps/poc?uri=deeplink:detalle_licitacion&amp;idEvl=X2Uql7KP76AS7pcxhTeWOg%3D%3D" TargetMode="External" Id="rId1183" /><Relationship Type="http://schemas.openxmlformats.org/officeDocument/2006/relationships/hyperlink" Target="https://contrataciondelestado.es/FileSystem/servlet/GetDocumentByIdServlet?cifrado=QUC1GjXXSiLkydRHJBmbpw%3D%3D&amp;DocumentIdParam=HQAHHFxXCdth015mHEHhkBp35yxKz2WbtRw7o%2B7VfJWxeCdj1h%2BTDLMpVnQBL2gttw%2Bh7xWBt3tfqY0R%2BmN7BSQZr6A%2Bi7jFsmf5Kre8zsXDdQD9RyhUmzT4jZ2In4zL" TargetMode="External" Id="rId1184" /><Relationship Type="http://schemas.openxmlformats.org/officeDocument/2006/relationships/hyperlink" Target="https://contrataciondelestado.es/wps/poc?uri=deeplink:detalle_licitacion&amp;idEvl=F4QT2ZcCQwWExvMJXBMHHQ%3D%3D" TargetMode="External" Id="rId1185" /><Relationship Type="http://schemas.openxmlformats.org/officeDocument/2006/relationships/hyperlink" Target="https://contrataciondelestado.es/FileSystem/servlet/GetDocumentByIdServlet?cifrado=QUC1GjXXSiLkydRHJBmbpw%3D%3D&amp;DocumentIdParam=fz16SdZtYh43KVnbAUgVs%2B%2BZK7nvt8trgsoBEfcoxgPM7rLhPeIsOuoKj1Se8ITOKk0Q8ajWy0nEWr%2BEsa9TTojsmySsFoycrIXmANkzBw8C1/zDIE0Kw/PWNnLS0Z0z" TargetMode="External" Id="rId1186" /><Relationship Type="http://schemas.openxmlformats.org/officeDocument/2006/relationships/hyperlink" Target="https://contrataciondelestado.es/wps/poc?uri=deeplink:detalle_licitacion&amp;idEvl=hFFOPpUG58B9PLkba5eRog%3D%3D" TargetMode="External" Id="rId1187" /><Relationship Type="http://schemas.openxmlformats.org/officeDocument/2006/relationships/hyperlink" Target="https://contrataciondelestado.es/FileSystem/servlet/GetDocumentByIdServlet?cifrado=QUC1GjXXSiLkydRHJBmbpw%3D%3D&amp;DocumentIdParam=jyffJ4b%2BtTuu4P4BldkyHi9Y2Uo/1130h9DIBnstYDttBDBCAgqVFLhj0SqM2gJEs9WXmVKxUjcScN59tGTWislRS%2BYWXCWhaWVSwnfyThK1aXEvq3KHa/AEHgtDrQw0" TargetMode="External" Id="rId1188" /><Relationship Type="http://schemas.openxmlformats.org/officeDocument/2006/relationships/hyperlink" Target="https://contrataciondelestado.es/wps/poc?uri=deeplink:detalle_licitacion&amp;idEvl=cDjjBKmd7oLE6P%2FuLemXRw%3D%3D" TargetMode="External" Id="rId1189" /><Relationship Type="http://schemas.openxmlformats.org/officeDocument/2006/relationships/hyperlink" Target="https://contrataciondelestado.es/FileSystem/servlet/GetDocumentByIdServlet?cifrado=QUC1GjXXSiLkydRHJBmbpw%3D%3D&amp;DocumentIdParam=pq6CPQlDlYPV9T2mdKdGdfZ/8DjAE%2BGn%2B0SzrS//g7Hn5QdeQswDiOJEeUoNtqAMDV2ToBpA7kHPM78UngZWcy4TLhk4QK4eOJrtooa0a7KCx2e6p7hqtlp2aFupgHMr" TargetMode="External" Id="rId1190" /><Relationship Type="http://schemas.openxmlformats.org/officeDocument/2006/relationships/hyperlink" Target="https://contrataciondelestado.es/wps/poc?uri=deeplink:detalle_licitacion&amp;idEvl=HsfBAJxk2rCFlFRHfEzEaw%3D%3D" TargetMode="External" Id="rId1191" /><Relationship Type="http://schemas.openxmlformats.org/officeDocument/2006/relationships/hyperlink" Target="https://contrataciondelestado.es/FileSystem/servlet/GetDocumentByIdServlet?cifrado=QUC1GjXXSiLkydRHJBmbpw%3D%3D&amp;DocumentIdParam=J5CUR2R7qe39A1jBfTE%2Bt/3rLKXulfiNCTi0hOZBfsIBv/GkxcQ24sh7mSFuhLdzTKWiqlrBl/2rvw510LxS5m%2BiWrL9M7Lylr6Ix4La/50ZyAJWGsSt0OzTSTyw9JAs" TargetMode="External" Id="rId1192" /><Relationship Type="http://schemas.openxmlformats.org/officeDocument/2006/relationships/hyperlink" Target="https://contrataciondelestado.es/wps/poc?uri=deeplink:detalle_licitacion&amp;idEvl=cC6%2BaraSE9g4NavIWzMcHA%3D%3D" TargetMode="External" Id="rId1193" /><Relationship Type="http://schemas.openxmlformats.org/officeDocument/2006/relationships/hyperlink" Target="https://contrataciondelestado.es/FileSystem/servlet/GetDocumentByIdServlet?cifrado=QUC1GjXXSiLkydRHJBmbpw%3D%3D&amp;DocumentIdParam=CgBl4aTm83f7XlBFDyWucnRmQgcFvRLmBXvwZjmxWA4o5lEznm3vx/Lla8L8llFyjE1ybzmxWihNLeNU55SfXIGSS6%2BkAnZr5CkSCxIF%2Be945ClyWkoJ44mKM70IFcOu" TargetMode="External" Id="rId1194" /><Relationship Type="http://schemas.openxmlformats.org/officeDocument/2006/relationships/hyperlink" Target="https://contrataciondelestado.es/wps/poc?uri=deeplink:detalle_licitacion&amp;idEvl=2JgTPDA1NcP5Rey58Yagpg%3D%3D" TargetMode="External" Id="rId1195" /><Relationship Type="http://schemas.openxmlformats.org/officeDocument/2006/relationships/hyperlink" Target="https://contrataciondelestado.es/FileSystem/servlet/GetDocumentByIdServlet?DocumentIdParam=7Z/OwXqBH/ZCmDG0NaYGzlrBNOWZpsHv5YvnnjiCZ%2BQioBopxuymNNwGdZ6v3Bxmby57jRnblb4v8RJAYXR/WsMgYcbti1/SapzE0a/u6HnDdQD9RyhUmzT4jZ2In4zL&amp;cifrado=QUC1GjXXSiLkydRHJBmbpw%3D%3D" TargetMode="External" Id="rId1196" /><Relationship Type="http://schemas.openxmlformats.org/officeDocument/2006/relationships/hyperlink" Target="https://contrataciondelestado.es/wps/poc?uri=deeplink:detalle_licitacion&amp;idEvl=50ZrxERpiWYXhk1FZxEyvw%3D%3D" TargetMode="External" Id="rId1197" /><Relationship Type="http://schemas.openxmlformats.org/officeDocument/2006/relationships/hyperlink" Target="https://contrataciondelestado.es/FileSystem/servlet/GetDocumentByIdServlet?cifrado=QUC1GjXXSiLkydRHJBmbpw%3D%3D&amp;DocumentIdParam=H%2BUnKvow2FtvvKX0jY68YH/gjcJgrDPMqszKcox0dOxeQWdfxU1cwN%2BJJVcw0LKj0BN3e5XyJzo83T%2BF9%2BB/Xw1K5gDMkdIA6giyKkyK3Bh7QB3HKyQaFUExmUVQCerk" TargetMode="External" Id="rId1198" /><Relationship Type="http://schemas.openxmlformats.org/officeDocument/2006/relationships/hyperlink" Target="https://contrataciondelestado.es/wps/poc?uri=deeplink:detalle_licitacion&amp;idEvl=ZpfZlsDALzYeC9GJQOEBkQ%3D%3D" TargetMode="External" Id="rId1199" /><Relationship Type="http://schemas.openxmlformats.org/officeDocument/2006/relationships/hyperlink" Target="https://contrataciondelestado.es/FileSystem/servlet/GetDocumentByIdServlet?cifrado=QUC1GjXXSiLkydRHJBmbpw%3D%3D&amp;DocumentIdParam=dLFQwBZ5taWoW0yPQLW/LccfYFi8tiYMrmJb3UT/SxirU2bnayuGiso3HZphwtz8FX0hmxZsD2lqZmP6%2B38mcByr2vwDYU5obCEj8SjKQzm1aXEvq3KHa/AEHgtDrQw0" TargetMode="External" Id="rId1200" /><Relationship Type="http://schemas.openxmlformats.org/officeDocument/2006/relationships/hyperlink" Target="https://contrataciondelestado.es/wps/poc?uri=deeplink:detalle_licitacion&amp;idEvl=C3Rf6PDXdJ5PpzdqOdhuWg%3D%3D" TargetMode="External" Id="rId1201" /><Relationship Type="http://schemas.openxmlformats.org/officeDocument/2006/relationships/hyperlink" Target="https://contrataciondelestado.es/FileSystem/servlet/GetDocumentByIdServlet?cifrado=QUC1GjXXSiLkydRHJBmbpw%3D%3D&amp;DocumentIdParam=eY5DjuzW6jemeFz4qKSIQJHYEfTPE0cKbD0EXSCxWS5uZ1FBDmMHbaTMk60egmE2NIK/nAZk4fUbQAJaLEO8uM9/BlSerW3ZoDB0XYqfUAtt/o8fNevwsujgRzaBbugn" TargetMode="External" Id="rId1202" /><Relationship Type="http://schemas.openxmlformats.org/officeDocument/2006/relationships/hyperlink" Target="https://contrataciondelestado.es/wps/poc?uri=deeplink:detalle_licitacion&amp;idEvl=Jmnbe1DHvBzi0Kd8%2Brcp6w%3D%3D" TargetMode="External" Id="rId1203" /><Relationship Type="http://schemas.openxmlformats.org/officeDocument/2006/relationships/hyperlink" Target="https://contrataciondelestado.es/FileSystem/servlet/GetDocumentByIdServlet?DocumentIdParam=JStY7UNXTpk2fKhLJeahzFOIQ6NqV5ZCofPabnO8%2BjY5pHxj5z%2BARcW75bNUYKxk5feR426Fx9ixf2xCMRV22i28hxkmJD5CPwXHbZOzlOzDdQD9RyhUmzT4jZ2In4zL&amp;cifrado=QUC1GjXXSiLkydRHJBmbpw%3D%3D" TargetMode="External" Id="rId1204" /><Relationship Type="http://schemas.openxmlformats.org/officeDocument/2006/relationships/hyperlink" Target="https://contrataciondelestado.es/wps/poc?uri=deeplink:detalle_licitacion&amp;idEvl=Dr9f7gmnzbB70UvEyYJSGw%3D%3D" TargetMode="External" Id="rId1205" /><Relationship Type="http://schemas.openxmlformats.org/officeDocument/2006/relationships/hyperlink" Target="https://contrataciondelestado.es/FileSystem/servlet/GetDocumentByIdServlet?cifrado=QUC1GjXXSiLkydRHJBmbpw%3D%3D&amp;DocumentIdParam=430yN5he8xed3bl36sfX8ZFh/vdgPACDSsV7v9SdAxs42sDoX4mKdxcqkA4VKeppXMkcg1qHfpH%2Bnuq932BnhZAMMGLCmc/Cp%2BHPTZqSNs945ClyWkoJ44mKM70IFcOu" TargetMode="External" Id="rId1206" /><Relationship Type="http://schemas.openxmlformats.org/officeDocument/2006/relationships/hyperlink" Target="https://contrataciondelestado.es/wps/poc?uri=deeplink:detalle_licitacion&amp;idEvl=t2hsItZTkWqIzo3LHNPGcQ%3D%3D" TargetMode="External" Id="rId1207" /><Relationship Type="http://schemas.openxmlformats.org/officeDocument/2006/relationships/hyperlink" Target="https://contrataciondelestado.es/FileSystem/servlet/GetDocumentByIdServlet?cifrado=QUC1GjXXSiLkydRHJBmbpw%3D%3D&amp;DocumentIdParam=Fr8vDMRS5M%2BTM%2BYEDioPCNfHuCuKShYQNAQJ6m2lPItTFw2fLTwHlTu2S2EjCpa53Bwt8oQdHKg8/3kmkNIOTqKPj9rs9CNDfQJSMXbLSG8ZyAJWGsSt0OzTSTyw9JAs" TargetMode="External" Id="rId1208" /><Relationship Type="http://schemas.openxmlformats.org/officeDocument/2006/relationships/hyperlink" Target="https://contrataciondelestado.es/wps/poc?uri=deeplink:detalle_licitacion&amp;idEvl=74fS9rkHYKdVkTabT%2FRM8A%3D%3D" TargetMode="External" Id="rId1209" /><Relationship Type="http://schemas.openxmlformats.org/officeDocument/2006/relationships/hyperlink" Target="https://contrataciondelestado.es/FileSystem/servlet/GetDocumentByIdServlet?cifrado=QUC1GjXXSiLkydRHJBmbpw%3D%3D&amp;DocumentIdParam=kutTZrV5DH3K7AbAmCd3BArGBd2V0r/sN0shas6QhiQELaTyF/p54Z0B4yq9kOHh/NEkPb5JD8kM5nReBYAzvFVnC8IuA1v2gC8wTMS9XB7fdyQgZAdTm3EfcUAC7CJ6" TargetMode="External" Id="rId1210" /><Relationship Type="http://schemas.openxmlformats.org/officeDocument/2006/relationships/hyperlink" Target="https://contrataciondelestado.es/wps/poc?uri=deeplink:detalle_licitacion&amp;idEvl=QO8WC180MUJJ8Trn0ZPzLw%3D%3D" TargetMode="External" Id="rId1211" /><Relationship Type="http://schemas.openxmlformats.org/officeDocument/2006/relationships/hyperlink" Target="https://contrataciondelestado.es/FileSystem/servlet/GetDocumentByIdServlet?cifrado=QUC1GjXXSiLkydRHJBmbpw%3D%3D&amp;DocumentIdParam=OimoipVvmIu9tI7g2qVQoCalHJo%2Bc5sitK3N1uced5G6t/2/asoG1%2B8FtEukT9DsFRTrw6K0nlPTCZO0TLprQPpvDjZRHr51UGFCa/Y5ZDN45ClyWkoJ44mKM70IFcOu" TargetMode="External" Id="rId1212" /><Relationship Type="http://schemas.openxmlformats.org/officeDocument/2006/relationships/hyperlink" Target="https://contrataciondelestado.es/wps/poc?uri=deeplink:detalle_licitacion&amp;idEvl=80o%2Fz%2FYBXk570UvEyYJSGw%3D%3D" TargetMode="External" Id="rId1213" /><Relationship Type="http://schemas.openxmlformats.org/officeDocument/2006/relationships/hyperlink" Target="https://contrataciondelestado.es/FileSystem/servlet/GetDocumentByIdServlet?cifrado=QUC1GjXXSiLkydRHJBmbpw%3D%3D&amp;DocumentIdParam=6oyHwfNedpezjiiejThZNBamVAEgLxRJixTgJfK8ZuejWtIK%2B3pQkqLlho6KW3ZWb7wvrmgynPNwTmcLgIo1pxj4lcOFbUg8ebR7fsQgw7zVTD3T98KC0nSgQFM0q%2B5s" TargetMode="External" Id="rId1214" /><Relationship Type="http://schemas.openxmlformats.org/officeDocument/2006/relationships/hyperlink" Target="https://contrataciondelestado.es/wps/poc?uri=deeplink:detalle_licitacion&amp;idEvl=zjmQxy8e%2FOTyoM4us5k4vw%3D%3D" TargetMode="External" Id="rId1215" /><Relationship Type="http://schemas.openxmlformats.org/officeDocument/2006/relationships/hyperlink" Target="https://contrataciondelestado.es/FileSystem/servlet/GetDocumentByIdServlet?cifrado=QUC1GjXXSiLkydRHJBmbpw%3D%3D&amp;DocumentIdParam=HLclx5BXaG01TqQQGvZESI/Jtam%2BjFMPku/KWclUona9lvIZK/DltDgX7/Lv5Ide10BRyvfDXdQKc2gdGWE3sdxdmE6JBFs/LJAwKS3sOWD3GVhXrFFqN7yFncy7YfRK" TargetMode="External" Id="rId1216" /><Relationship Type="http://schemas.openxmlformats.org/officeDocument/2006/relationships/hyperlink" Target="https://contrataciondelestado.es/wps/poc?uri=deeplink:detalle_licitacion&amp;idEvl=bQubJirUVEFxseVhcqrkhw%3D%3D" TargetMode="External" Id="rId1217" /><Relationship Type="http://schemas.openxmlformats.org/officeDocument/2006/relationships/hyperlink" Target="https://contrataciondelestado.es/FileSystem/servlet/GetDocumentByIdServlet?cifrado=QUC1GjXXSiLkydRHJBmbpw%3D%3D&amp;DocumentIdParam=2HL36ZAVpWwyS3yvX0ShwQy0ZwEt1EwC9Ur3H38k4pZTk5shxZZTI1uOAvb4g9vQnDv93zmJ4LM4TyyILCQbj1adX/OCkJjF6a4ltxY3/um1aXEvq3KHa/AEHgtDrQw0" TargetMode="External" Id="rId1218" /><Relationship Type="http://schemas.openxmlformats.org/officeDocument/2006/relationships/hyperlink" Target="https://contrataciondelestado.es/wps/poc?uri=deeplink:detalle_licitacion&amp;idEvl=1wSTeMmX1zakU02jNGj1Fw%3D%3D" TargetMode="External" Id="rId1219" /><Relationship Type="http://schemas.openxmlformats.org/officeDocument/2006/relationships/hyperlink" Target="https://contrataciondelestado.es/FileSystem/servlet/GetDocumentByIdServlet?cifrado=QUC1GjXXSiLkydRHJBmbpw%3D%3D&amp;DocumentIdParam=5ymaTPiF%2B0tTZbeRaLNZMurOKLGq6r4MtjL2oO6rNlx7mDW%2BSuuTzaW8dw9Qq99KTC22b6dL3psyMCpUX81hxHavpaEyxM/TLF8JxunFqS4//q7NB2iMZvNyf0xrJmjt" TargetMode="External" Id="rId1220" /><Relationship Type="http://schemas.openxmlformats.org/officeDocument/2006/relationships/hyperlink" Target="https://contrataciondelestado.es/wps/poc?uri=deeplink:detalle_licitacion&amp;idEvl=NUaGzTff752cCF8sV%2BqtYA%3D%3D" TargetMode="External" Id="rId1221" /><Relationship Type="http://schemas.openxmlformats.org/officeDocument/2006/relationships/hyperlink" Target="https://contrataciondelestado.es/FileSystem/servlet/GetDocumentByIdServlet?cifrado=QUC1GjXXSiLkydRHJBmbpw%3D%3D&amp;DocumentIdParam=vpMvbkgKHPDiwBIlANuFC0AJuQ5ylePOcY6b70IkjoCSnYCOYmG9BsedtY3sJdgCwFxK1FtWhu9yht4xnRE/4q6059KoRQPjDZ4OlCKcgUnfdyQgZAdTm3EfcUAC7CJ6" TargetMode="External" Id="rId1222" /><Relationship Type="http://schemas.openxmlformats.org/officeDocument/2006/relationships/hyperlink" Target="https://contrataciondelestado.es/wps/poc?uri=deeplink:detalle_licitacion&amp;idEvl=4bkqST7G%2FMg36J9Lctlsuw%3D%3D" TargetMode="External" Id="rId1223" /><Relationship Type="http://schemas.openxmlformats.org/officeDocument/2006/relationships/hyperlink" Target="https://contrataciondelestado.es/FileSystem/servlet/GetDocumentByIdServlet?cifrado=QUC1GjXXSiLkydRHJBmbpw%3D%3D&amp;DocumentIdParam=ynk4KyOsPivs6/qk2cPjSjgA/R5XgKt/Yfm5ou6zrY6VyRnf5nDfgfQY4tV3X/GN5ycZoenofgsQJFBuTYrsQ%2BcvvGt54qOd74zTgjSFInAZyAJWGsSt0OzTSTyw9JAs" TargetMode="External" Id="rId1224" /><Relationship Type="http://schemas.openxmlformats.org/officeDocument/2006/relationships/hyperlink" Target="https://contrataciondelestado.es/wps/poc?uri=deeplink:detalle_licitacion&amp;idEvl=Hjc6qMGsGj5rhBlEHQFSKA%3D%3D" TargetMode="External" Id="rId1225" /><Relationship Type="http://schemas.openxmlformats.org/officeDocument/2006/relationships/hyperlink" Target="https://contrataciondelestado.es/FileSystem/servlet/GetDocumentByIdServlet?cifrado=QUC1GjXXSiLkydRHJBmbpw%3D%3D&amp;DocumentIdParam=xwLjrejys2TrR0YUrFhTvWx2kJF458H6ythzue%2BNWxwmQ4v8P5BBFDHAohWyY6Fy4YwuwJHTS%2BnlWruwij5Iifsam5sLnFzdi7PRaIx7qmcZyAJWGsSt0OzTSTyw9JAs" TargetMode="External" Id="rId1226" /><Relationship Type="http://schemas.openxmlformats.org/officeDocument/2006/relationships/hyperlink" Target="https://contrataciondelestado.es/wps/poc?uri=deeplink:detalle_licitacion&amp;idEvl=W7mQ%2BhEvSLiIzo3LHNPGcQ%3D%3D" TargetMode="External" Id="rId1227" /><Relationship Type="http://schemas.openxmlformats.org/officeDocument/2006/relationships/hyperlink" Target="https://contrataciondelestado.es/FileSystem/servlet/GetDocumentByIdServlet?cifrado=QUC1GjXXSiLkydRHJBmbpw%3D%3D&amp;DocumentIdParam=TjhDF/IOBW6fTv3sykNHtKQTKh3ystQCdeeAXNBxI3R0lXICGpTMbKMNWJvMAXp45bKVJabYCufJ5jzpsc2hR0ApUmmDxwMGtLUqIopoNZE//q7NB2iMZvNyf0xrJmjt" TargetMode="External" Id="rId1228" /><Relationship Type="http://schemas.openxmlformats.org/officeDocument/2006/relationships/hyperlink" Target="https://contrataciondelestado.es/wps/poc?uri=deeplink:detalle_licitacion&amp;idEvl=VIuFhdBMZDScCF8sV%2BqtYA%3D%3D" TargetMode="External" Id="rId1229" /><Relationship Type="http://schemas.openxmlformats.org/officeDocument/2006/relationships/hyperlink" Target="https://contrataciondelestado.es/FileSystem/servlet/GetDocumentByIdServlet?cifrado=QUC1GjXXSiLkydRHJBmbpw%3D%3D&amp;DocumentIdParam=jivww0qJYKjV/VEDtUNp75z8/eE9PjwGW1fPtcKmFOtaxPyCR1Rb1pHxsVuI6fgOCGPC54iwxbjXEDlxhw58p2B4eu2mh19zVQUTqbZgc6mHAj0WEJrB5sP7amrh2jBD" TargetMode="External" Id="rId1230" /><Relationship Type="http://schemas.openxmlformats.org/officeDocument/2006/relationships/hyperlink" Target="https://contrataciondelestado.es/wps/poc?uri=deeplink:detalle_licitacion&amp;idEvl=C%2FULTzZPZh5%2FP7lJ7Fu0SA%3D%3D" TargetMode="External" Id="rId1231" /><Relationship Type="http://schemas.openxmlformats.org/officeDocument/2006/relationships/hyperlink" Target="https://contrataciondelestado.es/FileSystem/servlet/GetDocumentByIdServlet?cifrado=QUC1GjXXSiLkydRHJBmbpw%3D%3D&amp;DocumentIdParam=X1fKHbPxGkhlBkIkBoPE/htmlBJLzTeyK%2BilFe%2BNPtBN0V2GBlV9jUO9HpIdCuxsKbcy97ubfY2tyan9kQH%2BWhRQu%2BD5D%2BLHz9Bu1xZ3InVt/o8fNevwsujgRzaBbugn" TargetMode="External" Id="rId1232" /><Relationship Type="http://schemas.openxmlformats.org/officeDocument/2006/relationships/hyperlink" Target="https://contrataciondelestado.es/wps/poc?uri=deeplink:detalle_licitacion&amp;idEvl=gX2lqjMbP7uP%2Bo96UAV7cQ%3D%3D" TargetMode="External" Id="rId1233" /><Relationship Type="http://schemas.openxmlformats.org/officeDocument/2006/relationships/hyperlink" Target="https://contrataciondelestado.es/FileSystem/servlet/GetDocumentByIdServlet?cifrado=QUC1GjXXSiLkydRHJBmbpw%3D%3D&amp;DocumentIdParam=t2Hw%2BP9tc7BqIhAy0OCDHfSAnnJZLtBfrDEpW/iVo3lAptWXGDinst3/Lz4OXaCZJm63kR7leYnKs%2BzEe9/ltKsKqNuKFVYFGubDCHqd7p%2BB0nvVKRzfe4rpHcnlPhSZ" TargetMode="External" Id="rId1234" /><Relationship Type="http://schemas.openxmlformats.org/officeDocument/2006/relationships/hyperlink" Target="https://contrataciondelestado.es/wps/poc?uri=deeplink:detalle_licitacion&amp;idEvl=3h%2BI7NdoNMJSYrkJkLlFdw%3D%3D" TargetMode="External" Id="rId1235" /><Relationship Type="http://schemas.openxmlformats.org/officeDocument/2006/relationships/hyperlink" Target="https://contrataciondelestado.es/FileSystem/servlet/GetDocumentByIdServlet?cifrado=QUC1GjXXSiLkydRHJBmbpw%3D%3D&amp;DocumentIdParam=LtFbdWqOhl2nKbXb1cpt4VcM6W0IoMo9O0T63Cj7ypQi1OjerV0CC9g07kyr27KIWodsOt6YZo22zJ%2B12Q7jIFCY2PKJfkc3lK/rSTysLhBJOVDbGCDM%2BMigrvuVS7Rv" TargetMode="External" Id="rId1236" /><Relationship Type="http://schemas.openxmlformats.org/officeDocument/2006/relationships/hyperlink" Target="https://contrataciondelestado.es/wps/poc?uri=deeplink:detalle_licitacion&amp;idEvl=aqJ6G4muQPSS81gZFETWmA%3D%3D" TargetMode="External" Id="rId1237" /><Relationship Type="http://schemas.openxmlformats.org/officeDocument/2006/relationships/hyperlink" Target="https://contrataciondelestado.es/FileSystem/servlet/GetDocumentByIdServlet?cifrado=QUC1GjXXSiLkydRHJBmbpw%3D%3D&amp;DocumentIdParam=BKdSlZvhpjftRmnBed9HR06MX%2BykH/2tJFX0RPFLG62WYHzhpef6DZ%2BPxf7ktfjY0gzl0d5B5losV%2BWbEvks5IMtlaxoE7aTgodlEGAihAQZyAJWGsSt0OzTSTyw9JAs" TargetMode="External" Id="rId1238" /><Relationship Type="http://schemas.openxmlformats.org/officeDocument/2006/relationships/hyperlink" Target="https://contrataciondelestado.es/wps/poc?uri=deeplink:detalle_licitacion&amp;idEvl=5u26tGqc%2FK6cCF8sV%2BqtYA%3D%3D" TargetMode="External" Id="rId1239" /><Relationship Type="http://schemas.openxmlformats.org/officeDocument/2006/relationships/hyperlink" Target="https://contrataciondelestado.es/FileSystem/servlet/GetDocumentByIdServlet?cifrado=QUC1GjXXSiLkydRHJBmbpw%3D%3D&amp;DocumentIdParam=vAg%2BraQ6bb765oBpb0AwO5TqN%2BngMBir7pz1drkjcLmcDoDXGZmq7WV1gT2CBB94CU014no4Nn3ko8RYVH5Hq9jH8upYcH%2BNsbLS5K9K7SjfdyQgZAdTm3EfcUAC7CJ6" TargetMode="External" Id="rId1240" /><Relationship Type="http://schemas.openxmlformats.org/officeDocument/2006/relationships/hyperlink" Target="https://contrataciondelestado.es/wps/poc?uri=deeplink:detalle_licitacion&amp;idEvl=xVkFIEOD%2FC42wEhQbcAqug%3D%3D" TargetMode="External" Id="rId1241" /><Relationship Type="http://schemas.openxmlformats.org/officeDocument/2006/relationships/hyperlink" Target="https://contrataciondelestado.es/FileSystem/servlet/GetDocumentByIdServlet?cifrado=QUC1GjXXSiLkydRHJBmbpw%3D%3D&amp;DocumentIdParam=/BVoTciG7JmlepoO4PMBufryZ1xJnXciLDwpvhX8vcj3D0rPFS%2BQTowt9qFstukBxwV/iIcwMgp5HGRZABAXDARyS8%2B53RJn/%2B%2BNMgFRx%2B73GVhXrFFqN7yFncy7YfRK" TargetMode="External" Id="rId1242" /><Relationship Type="http://schemas.openxmlformats.org/officeDocument/2006/relationships/hyperlink" Target="https://contrataciondelestado.es/wps/poc?uri=deeplink:detalle_licitacion&amp;idEvl=dPCCdlMOfC2FQ%2FlhRK79lA%3D%3D" TargetMode="External" Id="rId1243" /><Relationship Type="http://schemas.openxmlformats.org/officeDocument/2006/relationships/hyperlink" Target="https://contrataciondelestado.es/FileSystem/servlet/GetDocumentByIdServlet?cifrado=QUC1GjXXSiLkydRHJBmbpw%3D%3D&amp;DocumentIdParam=iA4L8588chdMfZiHqlGTHo7eMMPqqnpwUtkoilVOpq4RaUjWKTdxPQxMdCgSFh6dBjPhJjrWi%2BiKkCbOFygDfBcf/LSZ9wAxnBgqyRg1laXDdQD9RyhUmzT4jZ2In4zL" TargetMode="External" Id="rId1244" /><Relationship Type="http://schemas.openxmlformats.org/officeDocument/2006/relationships/hyperlink" Target="https://contrataciondelestado.es/wps/poc?uri=deeplink:detalle_licitacion&amp;idEvl=MdHdx6p7%2FZ67JOCXkOhcDg%3D%3D" TargetMode="External" Id="rId1245" /><Relationship Type="http://schemas.openxmlformats.org/officeDocument/2006/relationships/hyperlink" Target="https://contrataciondelestado.es/FileSystem/servlet/GetDocumentByIdServlet?cifrado=QUC1GjXXSiLkydRHJBmbpw%3D%3D&amp;DocumentIdParam=1EFnSxFvKewA9fVY4eZ5/%2BAcUz0s9IrUJu9WWu/ljs5YSza8MqKzE6vIvJDawmjr61gT5xUd8JxuUzkqDLat5T164tQ6hjvdGGNEBbpbHFEC1/zDIE0Kw/PWNnLS0Z0z" TargetMode="External" Id="rId1246" /><Relationship Type="http://schemas.openxmlformats.org/officeDocument/2006/relationships/hyperlink" Target="https://contrataciondelestado.es/wps/poc?uri=deeplink:detalle_licitacion&amp;idEvl=0QX0TaX%2Bqk9%2BF6L2uCfUWg%3D%3D" TargetMode="External" Id="rId1247" /><Relationship Type="http://schemas.openxmlformats.org/officeDocument/2006/relationships/hyperlink" Target="https://contrataciondelestado.es/FileSystem/servlet/GetDocumentByIdServlet?cifrado=QUC1GjXXSiLkydRHJBmbpw%3D%3D&amp;DocumentIdParam=fzEXyyRStEpVbQkhzhSCSdsxzoabaM7AiXJsdxvpZ88P9Mv31xYwASUwF9Z4gpSPgXObAY0sKPaqkjKn/rdBOqXqBpIsvETgKEbzPOvjHnnDdQD9RyhUmzT4jZ2In4zL" TargetMode="External" Id="rId1248" /><Relationship Type="http://schemas.openxmlformats.org/officeDocument/2006/relationships/hyperlink" Target="https://contrataciondelestado.es/wps/poc?uri=deeplink:detalle_licitacion&amp;idEvl=XYjqd2OIXel%2FR5QFTlaM4A%3D%3D" TargetMode="External" Id="rId1249" /><Relationship Type="http://schemas.openxmlformats.org/officeDocument/2006/relationships/hyperlink" Target="https://contrataciondelestado.es/FileSystem/servlet/GetDocumentByIdServlet?cifrado=QUC1GjXXSiLkydRHJBmbpw%3D%3D&amp;DocumentIdParam=qerKtE3ixTnxcgbgBLKVjqCnD6SrQAcESwhvEgUvaCOroeHZQ7uc7QpdPfFc719eu%2BkdrB35lFpu5R8eu2itrgvrvV3wpwS3m4qQWLCceuHfdyQgZAdTm3EfcUAC7CJ6" TargetMode="External" Id="rId1250" /><Relationship Type="http://schemas.openxmlformats.org/officeDocument/2006/relationships/hyperlink" Target="https://contrataciondelestado.es/wps/poc?uri=deeplink:detalle_licitacion&amp;idEvl=jh6ko%2BaQf6ZLAIVZdUs8KA%3D%3D" TargetMode="External" Id="rId1251" /><Relationship Type="http://schemas.openxmlformats.org/officeDocument/2006/relationships/hyperlink" Target="https://contrataciondelestado.es/FileSystem/servlet/GetDocumentByIdServlet?cifrado=QUC1GjXXSiLkydRHJBmbpw%3D%3D&amp;DocumentIdParam=pDGVJBqAo3fvRjmbNgXuvqo5aTKyBo2e52eyuAaFlVrX/poRwHESylJkAMV0wGmBJMbs7lZd%2B1esIuMLLUVzO2vSHw/4SbINxViQ55s5c7x45ClyWkoJ44mKM70IFcOu" TargetMode="External" Id="rId1252" /><Relationship Type="http://schemas.openxmlformats.org/officeDocument/2006/relationships/hyperlink" Target="https://contrataciondelestado.es/wps/poc?uri=deeplink:detalle_licitacion&amp;idEvl=bB7KrOY80uN%2FR5QFTlaM4A%3D%3D" TargetMode="External" Id="rId1253" /><Relationship Type="http://schemas.openxmlformats.org/officeDocument/2006/relationships/hyperlink" Target="https://contrataciondelestado.es/FileSystem/servlet/GetDocumentByIdServlet?DocumentIdParam=EI1qjUb6xirXg8tZOFHMqg96sG/AQxoDgKy4QNcIMjvmKDaApkCBdQN/zuMEEx9%2BWi6yBEFjNwFhwOdQrs7oqLVxLmG4KtjGdvCS9OzBQg57QB3HKyQaFUExmUVQCerk&amp;cifrado=QUC1GjXXSiLkydRHJBmbpw%3D%3D" TargetMode="External" Id="rId1254" /><Relationship Type="http://schemas.openxmlformats.org/officeDocument/2006/relationships/hyperlink" Target="https://contrataciondelestado.es/wps/poc?uri=deeplink:detalle_licitacion&amp;idEvl=YSH77ottJzVxseVhcqrkhw%3D%3D" TargetMode="External" Id="rId1255" /><Relationship Type="http://schemas.openxmlformats.org/officeDocument/2006/relationships/hyperlink" Target="https://contrataciondelestado.es/FileSystem/servlet/GetDocumentByIdServlet?cifrado=QUC1GjXXSiLkydRHJBmbpw%3D%3D&amp;DocumentIdParam=uLpEgAgOh7RP0pD83J15kPmSbvewwD4UBh%2Bb/czDBJLjnTHOf6hJV%2B8DZBAd15Jo4UfxuJN5UbA7l/HiWgw1svLtIb2v7cAYDrFgW1pgCO6Cx2e6p7hqtlp2aFupgHMr" TargetMode="External" Id="rId1256" /><Relationship Type="http://schemas.openxmlformats.org/officeDocument/2006/relationships/hyperlink" Target="https://contrataciondelestado.es/wps/poc?uri=deeplink:detalle_licitacion&amp;idEvl=CgfnxY%2FTsTI4NavIWzMcHA%3D%3D" TargetMode="External" Id="rId1257" /><Relationship Type="http://schemas.openxmlformats.org/officeDocument/2006/relationships/hyperlink" Target="https://contrataciondelestado.es/FileSystem/servlet/GetDocumentByIdServlet?cifrado=QUC1GjXXSiLkydRHJBmbpw%3D%3D&amp;DocumentIdParam=unsp0xUgmQhRwc65fbiJaIXbDSTOD3vvYY4fySc8DiFVS7eer5fVqMpXqDCFL0z1HO7%2BWMFSVqq0fZudyI6YzWTA/b5nr5qi2EtOxIDEfwSCx2e6p7hqtlp2aFupgHMr" TargetMode="External" Id="rId1258" /><Relationship Type="http://schemas.openxmlformats.org/officeDocument/2006/relationships/hyperlink" Target="https://contrataciondelestado.es/wps/poc?uri=deeplink:detalle_licitacion&amp;idEvl=57lwVQ8qxKyP%2Bo96UAV7cQ%3D%3D" TargetMode="External" Id="rId1259" /><Relationship Type="http://schemas.openxmlformats.org/officeDocument/2006/relationships/hyperlink" Target="https://contrataciondelestado.es/FileSystem/servlet/GetDocumentByIdServlet?cifrado=QUC1GjXXSiLkydRHJBmbpw%3D%3D&amp;DocumentIdParam=tEcRR9XJlo7fGV35DpUxZDRHkaVx5SKaV1lTdS%2BhjS3jrhSlyVDRu9ZwSexHd5GG0%2BniP%2Ba1zNhYyoYDSZ5%2BmkEZlp4vTKPAZdMvMTN16aT3GVhXrFFqN7yFncy7YfRK" TargetMode="External" Id="rId1260" /><Relationship Type="http://schemas.openxmlformats.org/officeDocument/2006/relationships/hyperlink" Target="https://contrataciondelestado.es/wps/poc?uri=deeplink:detalle_licitacion&amp;idEvl=BFon5xL3kZNxseVhcqrkhw%3D%3D" TargetMode="External" Id="rId1261" /><Relationship Type="http://schemas.openxmlformats.org/officeDocument/2006/relationships/hyperlink" Target="https://contrataciondelestado.es/FileSystem/servlet/GetDocumentByIdServlet?cifrado=QUC1GjXXSiLkydRHJBmbpw%3D%3D&amp;DocumentIdParam=v4VLq9HbR/uL8VtceWUSYgKk6i5M4rF8y/gZKO6SHeF75GwnG7aKHYltA2Uc8n86YSs61GfZ4URLeGpn6xrAFon59tjYGbTn6mtWgNNEjuRt/o8fNevwsujgRzaBbugn" TargetMode="External" Id="rId1262" /><Relationship Type="http://schemas.openxmlformats.org/officeDocument/2006/relationships/hyperlink" Target="https://contrataciondelestado.es/wps/poc?uri=deeplink:detalle_licitacion&amp;idEvl=E1CRTBb3bAdVkTabT%2FRM8A%3D%3D" TargetMode="External" Id="rId1263" /><Relationship Type="http://schemas.openxmlformats.org/officeDocument/2006/relationships/hyperlink" Target="https://contrataciondelestado.es/FileSystem/servlet/GetDocumentByIdServlet?cifrado=QUC1GjXXSiLkydRHJBmbpw%3D%3D&amp;DocumentIdParam=YX4Pak5WDPkJgMDwyXiNmg4o2nJHSppHctT3OIlz54aMH8pwZEyHCRHgXakaQ0ca6MgjWYpd63ULROnuDB27%2BUHkK1lUKoPZW2oNkRcjrp3VTD3T98KC0nSgQFM0q%2B5s" TargetMode="External" Id="rId1264" /><Relationship Type="http://schemas.openxmlformats.org/officeDocument/2006/relationships/hyperlink" Target="https://contrataciondelestado.es/wps/poc?uri=deeplink:detalle_licitacion&amp;idEvl=PzKBRqQGTI2AAM7L03kM8A%3D%3D" TargetMode="External" Id="rId1265" /><Relationship Type="http://schemas.openxmlformats.org/officeDocument/2006/relationships/hyperlink" Target="https://contrataciondelestado.es/FileSystem/servlet/GetDocumentByIdServlet?cifrado=QUC1GjXXSiLkydRHJBmbpw%3D%3D&amp;DocumentIdParam=UDxdIHtkcAbTBJ79eXQRHpc87sPgzREOZNFZeaCtEjZU7yG82cHYp6BJod2w/10b2JodeKnPHX%2B9l6ejgyRZlSRHmLqhFcz8P6EBQoYNYh97QB3HKyQaFUExmUVQCerk" TargetMode="External" Id="rId1266" /><Relationship Type="http://schemas.openxmlformats.org/officeDocument/2006/relationships/hyperlink" Target="https://contrataciondelestado.es/wps/poc?uri=deeplink:detalle_licitacion&amp;idEvl=pQa4jbA9cBF%2BF6L2uCfUWg%3D%3D" TargetMode="External" Id="rId1267" /><Relationship Type="http://schemas.openxmlformats.org/officeDocument/2006/relationships/hyperlink" Target="https://contrataciondelestado.es/FileSystem/servlet/GetDocumentByIdServlet?cifrado=QUC1GjXXSiLkydRHJBmbpw%3D%3D&amp;DocumentIdParam=67S7C/g3Ys/xEmwjj8DOOMPQAPkHHy7ow4mwHb6k4cijtMjn2Ca10xhfAwVbRXXEEMyoQkwDm/212o84vWsfYr4qSm5dp%2BvMB1Jw4ZVsx1X6CYyL7SIrUOBFfNf52ZqA" TargetMode="External" Id="rId1268" /><Relationship Type="http://schemas.openxmlformats.org/officeDocument/2006/relationships/hyperlink" Target="https://contrataciondelestado.es/wps/poc?uri=deeplink:detalle_licitacion&amp;idEvl=MxPNuIN50OgXhk1FZxEyvw%3D%3D" TargetMode="External" Id="rId1269" /><Relationship Type="http://schemas.openxmlformats.org/officeDocument/2006/relationships/hyperlink" Target="https://contrataciondelestado.es/FileSystem/servlet/GetDocumentByIdServlet?cifrado=QUC1GjXXSiLkydRHJBmbpw%3D%3D&amp;DocumentIdParam=ZK/t0sIRMBg1JI%2BbFeRD4ZeA4UZUD6gupTEO/D2LVi96EkAlSqwnzqH1GSlpfNrPRWbrpuHQTKnx1LdLIQ/OVxosF45C9IydcrF0FotG/0F7QB3HKyQaFUExmUVQCerk" TargetMode="External" Id="rId1270" /><Relationship Type="http://schemas.openxmlformats.org/officeDocument/2006/relationships/hyperlink" Target="https://contrataciondelestado.es/wps/poc?uri=deeplink:detalle_licitacion&amp;idEvl=wJsPq3n4CrdVq4S9zvaQpQ%3D%3D" TargetMode="External" Id="rId1271" /><Relationship Type="http://schemas.openxmlformats.org/officeDocument/2006/relationships/hyperlink" Target="https://contrataciondelestado.es/FileSystem/servlet/GetDocumentByIdServlet?cifrado=QUC1GjXXSiLkydRHJBmbpw%3D%3D&amp;DocumentIdParam=knbo6fk4E1QMEni%2BoBKFSf4r1c0LNqT8SKnpslPBpVHmxJF6rKZlOXytMZmDtmapDl7B7EzmcvbZThhz1FH56M8iHXDVSlnveqje5v1lg7OCx2e6p7hqtlp2aFupgHMr" TargetMode="External" Id="rId1272" /><Relationship Type="http://schemas.openxmlformats.org/officeDocument/2006/relationships/hyperlink" Target="https://contrataciondelestado.es/wps/poc?uri=deeplink:detalle_licitacion&amp;idEvl=bjE8JHX97XM2wEhQbcAqug%3D%3D" TargetMode="External" Id="rId1273" /><Relationship Type="http://schemas.openxmlformats.org/officeDocument/2006/relationships/hyperlink" Target="https://contrataciondelestado.es/FileSystem/servlet/GetDocumentByIdServlet?cifrado=QUC1GjXXSiLkydRHJBmbpw%3D%3D&amp;DocumentIdParam=B2vli8OCFDF0p/nccWXKY5senx4Zl5Nyc/%2BPOrZmPqcb/E63FhXVnaZnc3PPrjDNBebQFvmY7pat%2BraR9hEa70uGo5plNk6W2W2NhNL/D2jVTD3T98KC0nSgQFM0q%2B5s" TargetMode="External" Id="rId1274" /><Relationship Type="http://schemas.openxmlformats.org/officeDocument/2006/relationships/hyperlink" Target="https://contrataciondelestado.es/wps/poc?uri=deeplink:detalle_licitacion&amp;idEvl=hi4j8JymSH3XOjazN1Dw9Q%3D%3D" TargetMode="External" Id="rId1275" /><Relationship Type="http://schemas.openxmlformats.org/officeDocument/2006/relationships/hyperlink" Target="https://contrataciondelestado.es/FileSystem/servlet/GetDocumentByIdServlet?cifrado=QUC1GjXXSiLkydRHJBmbpw%3D%3D&amp;DocumentIdParam=NPaR4gsv%2B/soxKwdWr4TFwJjIzoJtLQaSzBnlh%2BF2mXfGce0NxGJ6iQDoeVlp5%2B70Ku%2Bt49U5YQXfQs3eBaS1S5LZULqNEi6dJeBybK6gOsZyAJWGsSt0OzTSTyw9JAs" TargetMode="External" Id="rId1276" /><Relationship Type="http://schemas.openxmlformats.org/officeDocument/2006/relationships/hyperlink" Target="https://contrataciondelestado.es/wps/poc?uri=deeplink:detalle_licitacion&amp;idEvl=wKH5wa19u6Wzz8fXU2i3eQ%3D%3D" TargetMode="External" Id="rId1277" /><Relationship Type="http://schemas.openxmlformats.org/officeDocument/2006/relationships/hyperlink" Target="https://contrataciondelestado.es/FileSystem/servlet/GetDocumentByIdServlet?cifrado=QUC1GjXXSiLkydRHJBmbpw%3D%3D&amp;DocumentIdParam=xvxK6/YpkEeklaA9fYZQeqI95B3tLTkL6kAH0MKFO1mIEG7jB8R7Cg1YkY93bY2kfMs9x/aXmGMaJo9qJ8eZTm5DZp7Qqhs3gVHUjU7RY/J7QB3HKyQaFUExmUVQCerk" TargetMode="External" Id="rId1278" /><Relationship Type="http://schemas.openxmlformats.org/officeDocument/2006/relationships/hyperlink" Target="https://contrataciondelestado.es/wps/poc?uri=deeplink:detalle_licitacion&amp;idEvl=%2FvJcq4YJmT8zjChw4z%2FXvw%3D%3D" TargetMode="External" Id="rId1279" /><Relationship Type="http://schemas.openxmlformats.org/officeDocument/2006/relationships/hyperlink" Target="https://contrataciondelestado.es/wps/wcm/connect/PLACE_es/Site/area/docAccCmpnt?srv=cmpnt&amp;cmpntname=GetDocumentsById&amp;source=library&amp;DocumentIdParam=17fe102e-c963-4ec7-a6b8-f3e615e15de6" TargetMode="External" Id="rId1280" /><Relationship Type="http://schemas.openxmlformats.org/officeDocument/2006/relationships/hyperlink" Target="https://contrataciondelestado.es/wps/poc?uri=deeplink:detalle_licitacion&amp;idEvl=zo6SwRAdHeuExvMJXBMHHQ%3D%3D" TargetMode="External" Id="rId1281" /><Relationship Type="http://schemas.openxmlformats.org/officeDocument/2006/relationships/hyperlink" Target="https://contrataciondelestado.es/FileSystem/servlet/GetDocumentByIdServlet?cifrado=QUC1GjXXSiLkydRHJBmbpw%3D%3D&amp;DocumentIdParam=izdUCwB9INXVU9hgz1%2Bz7TpDLM/pHvCElwOwNelsKakVsRjRoRhepBJVp8eLL%2BGxnjnqBMEIsN77mRgG1dCDWNHMkdYJlv3/OjobuIAokll7QB3HKyQaFUExmUVQCerk" TargetMode="External" Id="rId1282" /><Relationship Type="http://schemas.openxmlformats.org/officeDocument/2006/relationships/hyperlink" Target="https://contrataciondelestado.es/wps/poc?uri=deeplink:detalle_licitacion&amp;idEvl=6drGsmI9gUOqb7rCcv76BA%3D%3D" TargetMode="External" Id="rId1283" /><Relationship Type="http://schemas.openxmlformats.org/officeDocument/2006/relationships/hyperlink" Target="https://contrataciondelestado.es/FileSystem/servlet/GetDocumentByIdServlet?cifrado=QUC1GjXXSiLkydRHJBmbpw%3D%3D&amp;DocumentIdParam=z9AXyML9FDaTtgHic0y9BLfdZmM9goclnzuC4hTg56tzKNz9WUn781x4LgaTysYrm0%2BFHtxbLRwmtqOBZ0LcyoentGCvUKuzwLTSN5hfSpgZyAJWGsSt0OzTSTyw9JAs" TargetMode="External" Id="rId1284" /><Relationship Type="http://schemas.openxmlformats.org/officeDocument/2006/relationships/hyperlink" Target="https://contrataciondelestado.es/wps/poc?uri=deeplink:detalle_licitacion&amp;idEvl=ElWJKliPYD%2BFQ%2FlhRK79lA%3D%3D" TargetMode="External" Id="rId1285" /><Relationship Type="http://schemas.openxmlformats.org/officeDocument/2006/relationships/hyperlink" Target="https://contrataciondelestado.es/FileSystem/servlet/GetDocumentByIdServlet?cifrado=QUC1GjXXSiLkydRHJBmbpw%3D%3D&amp;DocumentIdParam=YwteuSNti8/hN90pzC5U5J4KRDcQOxL3fLibAFPebcs/3z21kG6vDhzhgDSvXjq%2B0c7tqGCAFcb8aY26B9H7UuEev6WHYG5FHR1H66zZH2UZyAJWGsSt0OzTSTyw9JAs" TargetMode="External" Id="rId1286" /><Relationship Type="http://schemas.openxmlformats.org/officeDocument/2006/relationships/hyperlink" Target="https://contrataciondelestado.es/wps/poc?uri=deeplink:detalle_licitacion&amp;idEvl=Ub0a7yDkTr3I8aL3PRS10Q%3D%3D" TargetMode="External" Id="rId1287" /><Relationship Type="http://schemas.openxmlformats.org/officeDocument/2006/relationships/hyperlink" Target="https://contrataciondelestado.es/FileSystem/servlet/GetDocumentByIdServlet?DocumentIdParam=Kr7Dz5nwdTD87FYId8lTNQWrusNTo0alck6X8K5ffZJzVsnziL9WX4A%2BZxs6%2BMQgUHxXu1YrOkefzG2REV3bf69zHrk5TGgjL0ge6ckaj8d7QB3HKyQaFUExmUVQCerk&amp;cifrado=QUC1GjXXSiLkydRHJBmbpw%3D%3D" TargetMode="External" Id="rId1288" /><Relationship Type="http://schemas.openxmlformats.org/officeDocument/2006/relationships/hyperlink" Target="https://contrataciondelestado.es/wps/poc?uri=deeplink:detalle_licitacion&amp;idEvl=XudMGEYJp3mdkQsA7ROvsg%3D%3D" TargetMode="External" Id="rId1289" /><Relationship Type="http://schemas.openxmlformats.org/officeDocument/2006/relationships/hyperlink" Target="https://contrataciondelestado.es/FileSystem/servlet/GetDocumentByIdServlet?cifrado=QUC1GjXXSiLkydRHJBmbpw%3D%3D&amp;DocumentIdParam=VPunzezY5c9%2BZVJ2VfJby5ypTdjTK3HpvhejGQhVSuH/IIoNneOpyvjD7MWaMVyVkLCl6C8z9I1JmvxUBmJIFlhOyj8MPehkCvxkWAMlDGw//q7NB2iMZvNyf0xrJmjt" TargetMode="External" Id="rId1290" /><Relationship Type="http://schemas.openxmlformats.org/officeDocument/2006/relationships/hyperlink" Target="https://contrataciondelestado.es/wps/poc?uri=deeplink:detalle_licitacion&amp;idEvl=vCriwXUiuMw7%2B9FIQYNjeQ%3D%3D" TargetMode="External" Id="rId1291" /><Relationship Type="http://schemas.openxmlformats.org/officeDocument/2006/relationships/hyperlink" Target="https://contrataciondelestado.es/FileSystem/servlet/GetDocumentByIdServlet?cifrado=QUC1GjXXSiLkydRHJBmbpw%3D%3D&amp;DocumentIdParam=rX3/rJPkEBeUdeMMcMI8eMz0ruLDcZmCB5lRDJzLaWois2S/WZOPHhfNkc7lFhix0cfHGB2F9/HjWWIhNPsNCj34JO3VlN6DoOablkqf7Am1aXEvq3KHa/AEHgtDrQw0" TargetMode="External" Id="rId1292" /><Relationship Type="http://schemas.openxmlformats.org/officeDocument/2006/relationships/hyperlink" Target="https://contrataciondelestado.es/wps/poc?uri=deeplink:detalle_licitacion&amp;idEvl=VxgEKymh6lq5HQrHoP3G5A%3D%3D" TargetMode="External" Id="rId1293" /><Relationship Type="http://schemas.openxmlformats.org/officeDocument/2006/relationships/hyperlink" Target="https://contrataciondelestado.es/wps/wcm/connect/PLACE_es/Site/area/docAccCmpnt?srv=cmpnt&amp;cmpntname=GetDocumentsById&amp;source=library&amp;DocumentIdParam=59c5d1a4-7a71-436f-8fa6-5e99f08c40d8" TargetMode="External" Id="rId1294" /><Relationship Type="http://schemas.openxmlformats.org/officeDocument/2006/relationships/hyperlink" Target="https://contrataciondelestado.es/wps/poc?uri=deeplink:detalle_licitacion&amp;idEvl=AfGM%2FWpJPlo7%2B9FIQYNjeQ%3D%3D" TargetMode="External" Id="rId1295" /><Relationship Type="http://schemas.openxmlformats.org/officeDocument/2006/relationships/hyperlink" Target="https://contrataciondelestado.es/FileSystem/servlet/GetDocumentByIdServlet?cifrado=QUC1GjXXSiLkydRHJBmbpw%3D%3D&amp;DocumentIdParam=LIXN7us1r5vz2J3Qkr2dPmqfYY3XBT%2BaUqvN%2BwClxRmADwaTkmEg70A6%2BS%2BkJNDhlUOYdKTE7yi07nXwChF8Sek60Acp%2BW8QU2myUvssC6F45ClyWkoJ44mKM70IFcOu" TargetMode="External" Id="rId1296" /><Relationship Type="http://schemas.openxmlformats.org/officeDocument/2006/relationships/hyperlink" Target="https://contrataciondelestado.es/wps/poc?uri=deeplink:detalle_licitacion&amp;idEvl=x%2BkzWiJYQWvpxJFXpLZ%2B2A%3D%3D" TargetMode="External" Id="rId1297" /><Relationship Type="http://schemas.openxmlformats.org/officeDocument/2006/relationships/hyperlink" Target="https://contrataciondelestado.es/FileSystem/servlet/GetDocumentByIdServlet?cifrado=QUC1GjXXSiLkydRHJBmbpw%3D%3D&amp;DocumentIdParam=xr5EjQIYf7zRQAyWylEz24Xq1%2B77letA7iAnPuMbFhyel7NqUDQ5T%2BiHqmh97LXFs2UFBW5%2BaUz/l9Hrl9RpgZEqAGbD74DUqRx2YlBXoKKB0nvVKRzfe4rpHcnlPhSZ" TargetMode="External" Id="rId1298" /><Relationship Type="http://schemas.openxmlformats.org/officeDocument/2006/relationships/hyperlink" Target="https://contrataciondelestado.es/wps/poc?uri=deeplink:detalle_licitacion&amp;idEvl=RcYS2Yk3ej8kJPJS%2BPS9vg%3D%3D" TargetMode="External" Id="rId1299" /><Relationship Type="http://schemas.openxmlformats.org/officeDocument/2006/relationships/hyperlink" Target="https://contrataciondelestado.es/FileSystem/servlet/GetDocumentByIdServlet?cifrado=QUC1GjXXSiLkydRHJBmbpw%3D%3D&amp;DocumentIdParam=EPEqliFHgqK2p4zxLEM2ybtTBohjDAqaSpb/wrlckGPQutT9nIgdDG9c4bphu0PXqJmjkMY89%2BZE5ed0YA6V3c%2B7MPoQK1OIdIJo1UYCu0ffdyQgZAdTm3EfcUAC7CJ6" TargetMode="External" Id="rId1300" /><Relationship Type="http://schemas.openxmlformats.org/officeDocument/2006/relationships/hyperlink" Target="https://contrataciondelestado.es/wps/poc?uri=deeplink:detalle_licitacion&amp;idEvl=b44uaG0OG8Q7%2B9FIQYNjeQ%3D%3D" TargetMode="External" Id="rId1301" /><Relationship Type="http://schemas.openxmlformats.org/officeDocument/2006/relationships/hyperlink" Target="https://contrataciondelestado.es/FileSystem/servlet/GetDocumentByIdServlet?cifrado=QUC1GjXXSiLkydRHJBmbpw%3D%3D&amp;DocumentIdParam=h8wvjhxW6FK02AMFG8GajEUaCAGKSBle2BJ/k1tgw0/mDIpnEyBq/w59Wxc0nusbIswwbbp04Uj1QHIiuMkKH7kB/6%2BobUgxqez6aELMjfl45ClyWkoJ44mKM70IFcOu" TargetMode="External" Id="rId1302" /><Relationship Type="http://schemas.openxmlformats.org/officeDocument/2006/relationships/hyperlink" Target="https://contrataciondelestado.es/wps/poc?uri=deeplink:detalle_licitacion&amp;idEvl=Oi2yuC%2FUOt6kU02jNGj1Fw%3D%3D" TargetMode="External" Id="rId1303" /><Relationship Type="http://schemas.openxmlformats.org/officeDocument/2006/relationships/hyperlink" Target="https://contrataciondelestado.es/FileSystem/servlet/GetDocumentByIdServlet?cifrado=QUC1GjXXSiLkydRHJBmbpw%3D%3D&amp;DocumentIdParam=nXWcPnR%2BtyeNWXeI1NjcI0x/hdeNqLsLNjeLH4v8iABkRlUw51O8GIo0b/YqIz6Y6YD2K/1%2B9SyXjABuXQ1vUih2WG/kHk5wQpmMcVOGgE9t/o8fNevwsujgRzaBbugn" TargetMode="External" Id="rId1304" /><Relationship Type="http://schemas.openxmlformats.org/officeDocument/2006/relationships/hyperlink" Target="https://contrataciondelestado.es/wps/poc?uri=deeplink:detalle_licitacion&amp;idEvl=Xb9k%2FGteEOyP%2Bo96UAV7cQ%3D%3D" TargetMode="External" Id="rId1305" /><Relationship Type="http://schemas.openxmlformats.org/officeDocument/2006/relationships/hyperlink" Target="https://contrataciondelestado.es/FileSystem/servlet/GetDocumentByIdServlet?cifrado=QUC1GjXXSiLkydRHJBmbpw%3D%3D&amp;DocumentIdParam=6Y58Sy/QSG7Jvezanubic2YH14v4wNBtiMnLsJNCSkj8BhlMBh%2BWP1jP6btU6MfNu66zThEs61wVoRjDo5y8P/%2Bc3bugsYkWBUDCQ1KdQK2B0nvVKRzfe4rpHcnlPhSZ" TargetMode="External" Id="rId1306" /><Relationship Type="http://schemas.openxmlformats.org/officeDocument/2006/relationships/hyperlink" Target="https://contrataciondelestado.es/wps/poc?uri=deeplink:detalle_licitacion&amp;idEvl=1z6ImNY6bX%2BP66GS%2BONYvQ%3D%3D" TargetMode="External" Id="rId1307" /><Relationship Type="http://schemas.openxmlformats.org/officeDocument/2006/relationships/hyperlink" Target="https://contrataciondelestado.es/FileSystem/servlet/GetDocumentByIdServlet?cifrado=QUC1GjXXSiLkydRHJBmbpw%3D%3D&amp;DocumentIdParam=5xlvmC3YbvFZ9tiHc6IYA5NtejzEyBdzjmbPUK03bhqTrFg1BJ%2BOFQseh/iM%2BHKf/LJrfEO7T7ziCLMHEjrd2aggQxwEZ5s3iVJ4k9LpVD/fdyQgZAdTm3EfcUAC7CJ6" TargetMode="External" Id="rId1308" /><Relationship Type="http://schemas.openxmlformats.org/officeDocument/2006/relationships/hyperlink" Target="https://contrataciondelestado.es/wps/poc?uri=deeplink:detalle_licitacion&amp;idEvl=u%2B%2FOymaGAZV6nTs9LZ9RhQ%3D%3D" TargetMode="External" Id="rId1309" /><Relationship Type="http://schemas.openxmlformats.org/officeDocument/2006/relationships/hyperlink" Target="https://contrataciondelestado.es/FileSystem/servlet/GetDocumentByIdServlet?cifrado=QUC1GjXXSiLkydRHJBmbpw%3D%3D&amp;DocumentIdParam=NWKHvlZJ9qxSoktALbkzEnsUzEkD/t7NT4i7xZTQgz4RO4/gmxs%2Bhrb7dNQ6gBOgVshZCCfsgB307JuxVBNF8adOLRvy6ZbiZQVvEFenj4w//q7NB2iMZvNyf0xrJmjt" TargetMode="External" Id="rId1310" /><Relationship Type="http://schemas.openxmlformats.org/officeDocument/2006/relationships/hyperlink" Target="https://contrataciondelestado.es/wps/poc?uri=deeplink:detalle_licitacion&amp;idEvl=5Fwbbh41btvXOjazN1Dw9Q%3D%3D" TargetMode="External" Id="rId1311" /><Relationship Type="http://schemas.openxmlformats.org/officeDocument/2006/relationships/hyperlink" Target="https://contrataciondelestado.es/FileSystem/servlet/GetDocumentByIdServlet?cifrado=QUC1GjXXSiLkydRHJBmbpw%3D%3D&amp;DocumentIdParam=WdS1LuaQvIfP%2B4YXarLmbxACH1kbrX9J7feOBMMPB8PnpPcEtvpmoQmnDX/K7kVYGD0geSCWFK9cNdjoCFQxOzx4e5DeeQKuDfCN8qndB/FJOVDbGCDM%2BMigrvuVS7Rv" TargetMode="External" Id="rId1312" /><Relationship Type="http://schemas.openxmlformats.org/officeDocument/2006/relationships/hyperlink" Target="https://contrataciondelestado.es/wps/poc?uri=deeplink:detalle_licitacion&amp;idEvl=6EqekwckB1nECtSnloz%2BZQ%3D%3D" TargetMode="External" Id="rId1313" /><Relationship Type="http://schemas.openxmlformats.org/officeDocument/2006/relationships/hyperlink" Target="https://contrataciondelestado.es/FileSystem/servlet/GetDocumentByIdServlet?cifrado=QUC1GjXXSiLkydRHJBmbpw%3D%3D&amp;DocumentIdParam=COaUV5h5J2ob3WR/bMQOywSdyRupgaoy9f00CUeM/5h3myWMgOTcqNdTUfU6HrMAiAtY9ZQGkFfeq%2BIBYnOP95i79Udguws3UH0oBaCLEqWHAj0WEJrB5sP7amrh2jBD" TargetMode="External" Id="rId1314" /><Relationship Type="http://schemas.openxmlformats.org/officeDocument/2006/relationships/hyperlink" Target="https://contrataciondelestado.es/wps/poc?uri=deeplink:detalle_licitacion&amp;idEvl=GvYJ8cx%2FYNJ9PLkba5eRog%3D%3D" TargetMode="External" Id="rId1315" /><Relationship Type="http://schemas.openxmlformats.org/officeDocument/2006/relationships/hyperlink" Target="https://contrataciondelestado.es/FileSystem/servlet/GetDocumentByIdServlet?cifrado=QUC1GjXXSiLkydRHJBmbpw%3D%3D&amp;DocumentIdParam=NIWVw0O8WG7Ecz1JHr%2BtolX05dg%2BfkI231slsZb2fWXpx7GVAyhIPaPfe2CYNORIqzJGcwWM%2BIj0Kjy3Cs236lz4kNVZvVifYuXus6QzyVRt/o8fNevwsujgRzaBbugn" TargetMode="External" Id="rId1316" /><Relationship Type="http://schemas.openxmlformats.org/officeDocument/2006/relationships/hyperlink" Target="https://contrataciondelestado.es/wps/poc?uri=deeplink:detalle_licitacion&amp;idEvl=3DhfagLElaOFlFRHfEzEaw%3D%3D" TargetMode="External" Id="rId1317" /><Relationship Type="http://schemas.openxmlformats.org/officeDocument/2006/relationships/hyperlink" Target="https://contrataciondelestado.es/FileSystem/servlet/GetDocumentByIdServlet?cifrado=QUC1GjXXSiLkydRHJBmbpw%3D%3D&amp;DocumentIdParam=XlVGDYtJZk%2BIIEcRpoXjJmOBEoWIzYXiilR%2BqZ3IRbitLuyS/be0V0aekUEKIgrXQ/nr6UhLcaFdTPjF3SGttUXg/7KycQ3PcY9XMCWg4wIZyAJWGsSt0OzTSTyw9JAs" TargetMode="External" Id="rId1318" /><Relationship Type="http://schemas.openxmlformats.org/officeDocument/2006/relationships/hyperlink" Target="https://contrataciondelestado.es/wps/poc?uri=deeplink:detalle_licitacion&amp;idEvl=rU5zHHg4kqLgL1BHd3qjQA%3D%3D" TargetMode="External" Id="rId1319" /><Relationship Type="http://schemas.openxmlformats.org/officeDocument/2006/relationships/hyperlink" Target="https://contrataciondelestado.es/FileSystem/servlet/GetDocumentByIdServlet?cifrado=QUC1GjXXSiLkydRHJBmbpw%3D%3D&amp;DocumentIdParam=qR76M89NUwbLz/B21rcPxEZWStx6KlIYPyQl2j4A0wUBmIU%2BaL7AX9Z7xa2G6TRBMg3lDH7XX7qYJPy0bf3zT5oQUolpCZp/iNSdRTFfn3TDdQD9RyhUmzT4jZ2In4zL" TargetMode="External" Id="rId1320" /><Relationship Type="http://schemas.openxmlformats.org/officeDocument/2006/relationships/hyperlink" Target="https://contrataciondelestado.es/wps/poc?uri=deeplink:detalle_licitacion&amp;idEvl=LKwPcQUkukq2gkLQ8TeYKA%3D%3D" TargetMode="External" Id="rId1321" /><Relationship Type="http://schemas.openxmlformats.org/officeDocument/2006/relationships/hyperlink" Target="https://contrataciondelestado.es/FileSystem/servlet/GetDocumentByIdServlet?cifrado=QUC1GjXXSiLkydRHJBmbpw%3D%3D&amp;DocumentIdParam=j/WqOF60hopLhjU8pfI06h3XurhlLWn5Am6kMBAwvzCmyRliMniLqk10tSdWSFcvkEhzrTRHIVHXjwwWq1q4hPIJfVLpQd2WOE%2BCT5dTJa/fdyQgZAdTm3EfcUAC7CJ6" TargetMode="External" Id="rId1322" /><Relationship Type="http://schemas.openxmlformats.org/officeDocument/2006/relationships/hyperlink" Target="https://contrataciondelestado.es/wps/poc?uri=deeplink:detalle_licitacion&amp;idEvl=nQOsyX7nNpLi0Kd8%2Brcp6w%3D%3D" TargetMode="External" Id="rId1323" /><Relationship Type="http://schemas.openxmlformats.org/officeDocument/2006/relationships/hyperlink" Target="https://contrataciondelestado.es/FileSystem/servlet/GetDocumentByIdServlet?cifrado=QUC1GjXXSiLkydRHJBmbpw%3D%3D&amp;DocumentIdParam=WI4au8fbzmvKdOJ5sCE6gdIXVDRDM817%2B5l9ymrjNkJHPNVZ4Ayc5DOQOTb1mGbVWEVq4LFiOftbBsz0W0WgFTvltIzGq1Hedq56cDKDYCqCx2e6p7hqtlp2aFupgHMr" TargetMode="External" Id="rId1324" /><Relationship Type="http://schemas.openxmlformats.org/officeDocument/2006/relationships/hyperlink" Target="https://contrataciondelestado.es/wps/poc?uri=deeplink:detalle_licitacion&amp;idEvl=xfJYsMZhc8NrhBlEHQFSKA%3D%3D" TargetMode="External" Id="rId1325" /><Relationship Type="http://schemas.openxmlformats.org/officeDocument/2006/relationships/hyperlink" Target="https://contrataciondelestado.es/FileSystem/servlet/GetDocumentByIdServlet?cifrado=QUC1GjXXSiLkydRHJBmbpw%3D%3D&amp;DocumentIdParam=Wzm4Hd4pUeJ9xXzjcn5qKXLY4ap3TUbg9QX85pMozg3XdIaLcuvuDMH3SHWFUaZ%2B7zQbURq/Ji2jEnRrL1ulrmpsxbdXYJr3kW4cc%2BrXAyt7QB3HKyQaFUExmUVQCerk" TargetMode="External" Id="rId1326" /><Relationship Type="http://schemas.openxmlformats.org/officeDocument/2006/relationships/hyperlink" Target="https://contrataciondelestado.es/wps/poc?uri=deeplink:detalle_licitacion&amp;idEvl=yD9K8BPDI9310HRJw8TEnQ%3D%3D" TargetMode="External" Id="rId1327" /><Relationship Type="http://schemas.openxmlformats.org/officeDocument/2006/relationships/hyperlink" Target="https://contrataciondelestado.es/FileSystem/servlet/GetDocumentByIdServlet?cifrado=QUC1GjXXSiLkydRHJBmbpw%3D%3D&amp;DocumentIdParam=S14nX20NFePV8quO9dFY%2BK%2Bc88cfBgMSod8v865V5HjWTQtk%2BUIZ2tLXOIVcpei6WoT4WB7VFAZNGsOHEhwMS18tajGazi%2Bd9SZhGVzrUHmCx2e6p7hqtlp2aFupgHMr" TargetMode="External" Id="rId1328" /><Relationship Type="http://schemas.openxmlformats.org/officeDocument/2006/relationships/hyperlink" Target="https://contrataciondelestado.es/wps/poc?uri=deeplink:detalle_licitacion&amp;idEvl=tdcF022LA%2BO9Hd5zqvq9cg%3D%3D" TargetMode="External" Id="rId1329" /><Relationship Type="http://schemas.openxmlformats.org/officeDocument/2006/relationships/hyperlink" Target="https://contrataciondelestado.es/FileSystem/servlet/GetDocumentByIdServlet?cifrado=QUC1GjXXSiLkydRHJBmbpw%3D%3D&amp;DocumentIdParam=AZNKorTB7VmpnF69Fj8h5QpdEDl20kpPSpch3eYxZwP%2BykRppgOiEPaFROZYWYxzPZMsqvqoYL3vz3Oo92JpU5ziMus30EjVMa9CNfeuv3XVTD3T98KC0nSgQFM0q%2B5s" TargetMode="External" Id="rId1330" /><Relationship Type="http://schemas.openxmlformats.org/officeDocument/2006/relationships/hyperlink" Target="https://contrataciondelestado.es/wps/poc?uri=deeplink:detalle_licitacion&amp;idEvl=HugmnbpiG2Q2wEhQbcAqug%3D%3D" TargetMode="External" Id="rId1331" /><Relationship Type="http://schemas.openxmlformats.org/officeDocument/2006/relationships/hyperlink" Target="https://contrataciondelestado.es/FileSystem/servlet/GetDocumentByIdServlet?cifrado=QUC1GjXXSiLkydRHJBmbpw%3D%3D&amp;DocumentIdParam=jyKguyq//GRi686%2B08eZywvzux3hM1Krx2RadJ2lUMpqIJwGS/8Ry0llRRcDPhkFaEHT3%2BDsn8/bxqjv6nb2kVAhIr0VCeGQxqtgapO6LbfVTD3T98KC0nSgQFM0q%2B5s" TargetMode="External" Id="rId1332" /><Relationship Type="http://schemas.openxmlformats.org/officeDocument/2006/relationships/hyperlink" Target="https://contrataciondelestado.es/wps/poc?uri=deeplink:detalle_licitacion&amp;idEvl=ajBGewi7m08S7pcxhTeWOg%3D%3D" TargetMode="External" Id="rId1333" /><Relationship Type="http://schemas.openxmlformats.org/officeDocument/2006/relationships/hyperlink" Target="https://contrataciondelestado.es/FileSystem/servlet/GetDocumentByIdServlet?cifrado=QUC1GjXXSiLkydRHJBmbpw%3D%3D&amp;DocumentIdParam=pucaekTQP1VM/Me6%2BIdp2GoqlRQB%2BdxTYizES/%2ByrGcf7OmWdXYSGjGn37qp6Td1kah4c9YI8RLYQ9JOKqMQ1e2HeLMIQoqcMJq6MFJtPny1aXEvq3KHa/AEHgtDrQw0" TargetMode="External" Id="rId1334" /><Relationship Type="http://schemas.openxmlformats.org/officeDocument/2006/relationships/hyperlink" Target="https://contrataciondelestado.es/wps/poc?uri=deeplink:detalle_licitacion&amp;idEvl=885y9hBivaEeC9GJQOEBkQ%3D%3D" TargetMode="External" Id="rId1335" /><Relationship Type="http://schemas.openxmlformats.org/officeDocument/2006/relationships/hyperlink" Target="https://contrataciondelestado.es/wps/wcm/connect/PLACE_es/Site/area/docAccCmpnt?srv=cmpnt&amp;cmpntname=GetDocumentsById&amp;source=library&amp;DocumentIdParam=fb19ee27-6f59-47a3-91d4-c6ce7c7cc146" TargetMode="External" Id="rId1336" /><Relationship Type="http://schemas.openxmlformats.org/officeDocument/2006/relationships/hyperlink" Target="https://contrataciondelestado.es/wps/poc?uri=deeplink:detalle_licitacion&amp;idEvl=LOjXiblhB%2BK8ebB%2FXTwy0A%3D%3D" TargetMode="External" Id="rId1337" /><Relationship Type="http://schemas.openxmlformats.org/officeDocument/2006/relationships/hyperlink" Target="https://contrataciondelestado.es/FileSystem/servlet/GetDocumentByIdServlet?cifrado=QUC1GjXXSiLkydRHJBmbpw%3D%3D&amp;DocumentIdParam=%2BFDx1SbKtLQiyfzGAZuLl2p74iQF1kZzKyjQxdokw6jlIxdvyZ0mlahGxOvKSHKhpSkevcQwlVROmuyuo571kXNURpckxjAW445U1RtMdeOB0nvVKRzfe4rpHcnlPhSZ" TargetMode="External" Id="rId1338" /><Relationship Type="http://schemas.openxmlformats.org/officeDocument/2006/relationships/hyperlink" Target="https://contrataciondelestado.es/wps/poc?uri=deeplink:detalle_licitacion&amp;idEvl=34sGRaFxjbxVYjgxA4nMUw%3D%3D" TargetMode="External" Id="rId1339" /><Relationship Type="http://schemas.openxmlformats.org/officeDocument/2006/relationships/hyperlink" Target="https://contrataciondelestado.es/FileSystem/servlet/GetDocumentByIdServlet?cifrado=QUC1GjXXSiLkydRHJBmbpw%3D%3D&amp;DocumentIdParam=HVMnAvwJJ4G9CovJgEhLy4ZXnBmZbrNzIz3H5IO9onnLFGBW9gtXUK0HbFmd7pW3HqvU2QM8hpO/6%2Bqla/B5wvEYHwpg8Hy191RHmA7%2BM4Z7QB3HKyQaFUExmUVQCerk" TargetMode="External" Id="rId1340" /><Relationship Type="http://schemas.openxmlformats.org/officeDocument/2006/relationships/hyperlink" Target="https://contrataciondelestado.es/wps/poc?uri=deeplink:detalle_licitacion&amp;idEvl=YUo21ObYBAYUqXM96WStVA%3D%3D" TargetMode="External" Id="rId1341" /><Relationship Type="http://schemas.openxmlformats.org/officeDocument/2006/relationships/hyperlink" Target="https://contrataciondelestado.es/FileSystem/servlet/GetDocumentByIdServlet?cifrado=QUC1GjXXSiLkydRHJBmbpw%3D%3D&amp;DocumentIdParam=H/0OhLwqB8Yj8P1TC9VOeUpGHxO0TklRSabO4%2BUNiXXMW6MfZmVqqcPsRZDjZ3Q34UNwesTzNuqTXIU5kSK97tEsIlIth7Bh9Ov13hrMn6jDdQD9RyhUmzT4jZ2In4zL" TargetMode="External" Id="rId1342" /><Relationship Type="http://schemas.openxmlformats.org/officeDocument/2006/relationships/hyperlink" Target="https://contrataciondelestado.es/wps/poc?uri=deeplink:detalle_licitacion&amp;idEvl=EKiQsp%2BAw7z%2B3JAijKO%2Bkg%3D%3D" TargetMode="External" Id="rId1343" /><Relationship Type="http://schemas.openxmlformats.org/officeDocument/2006/relationships/hyperlink" Target="https://contrataciondelestado.es/FileSystem/servlet/GetDocumentByIdServlet?cifrado=QUC1GjXXSiLkydRHJBmbpw%3D%3D&amp;DocumentIdParam=i3tqmlzZc/nNCxAuBS23r82Wpk3smnGx2bnAAPuApDeVMZoe0llxorrSIsMcZSvb89T3H4Hqf1ds1S59LcVT1iEJSAWuYPph36d5QPZeyrffdyQgZAdTm3EfcUAC7CJ6" TargetMode="External" Id="rId1344" /><Relationship Type="http://schemas.openxmlformats.org/officeDocument/2006/relationships/hyperlink" Target="https://contrataciondelestado.es/wps/poc?uri=deeplink:detalle_licitacion&amp;idEvl=XzwaRS%2B94TSP66GS%2BONYvQ%3D%3D" TargetMode="External" Id="rId1345" /><Relationship Type="http://schemas.openxmlformats.org/officeDocument/2006/relationships/hyperlink" Target="https://contrataciondelestado.es/FileSystem/servlet/GetDocumentByIdServlet?cifrado=QUC1GjXXSiLkydRHJBmbpw%3D%3D&amp;DocumentIdParam=jG9E/WKSgejAurViKw/tVwQGiMt1vP7qve4xgG3AY9VJbbdwrDpGq6QRHvavhjmtqTQ4fkV02jSX18VrzpRPrYz1e/5UAAAeF96OMkby8loZyAJWGsSt0OzTSTyw9JAs" TargetMode="External" Id="rId1346" /><Relationship Type="http://schemas.openxmlformats.org/officeDocument/2006/relationships/hyperlink" Target="https://contrataciondelestado.es/wps/poc?uri=deeplink:detalle_licitacion&amp;idEvl=ny9lud23wRB%2FR5QFTlaM4A%3D%3D" TargetMode="External" Id="rId1347" /><Relationship Type="http://schemas.openxmlformats.org/officeDocument/2006/relationships/hyperlink" Target="https://contrataciondelestado.es/FileSystem/servlet/GetDocumentByIdServlet?cifrado=QUC1GjXXSiLkydRHJBmbpw%3D%3D&amp;DocumentIdParam=F17/uRjt0tIKX7V/XkBuqknsASzZWzmbnNB5Faa3vX8VQ/B91oo1AYUimaAGkMAfPmlYZH7cq49o9hhAhwUXGI16%2Bv%2BevTb2aCSTEk8wR/M//q7NB2iMZvNyf0xrJmjt" TargetMode="External" Id="rId1348" /><Relationship Type="http://schemas.openxmlformats.org/officeDocument/2006/relationships/hyperlink" Target="https://contrataciondelestado.es/wps/poc?uri=deeplink:detalle_licitacion&amp;idEvl=fXTWRcUIIgkXhk1FZxEyvw%3D%3D" TargetMode="External" Id="rId1349" /><Relationship Type="http://schemas.openxmlformats.org/officeDocument/2006/relationships/hyperlink" Target="https://contrataciondelestado.es/FileSystem/servlet/GetDocumentByIdServlet?cifrado=QUC1GjXXSiLkydRHJBmbpw%3D%3D&amp;DocumentIdParam=l32q9/1UzDRMa9MF8Me1gT/hDoihS5fuKTGd6XnmFBFfoj1dAwAoPK28DiAYhPRtiY7Z1vvFFT420f24HdGdLQDy0rUV0dx6WJ7wB4XqWVv6CYyL7SIrUOBFfNf52ZqA" TargetMode="External" Id="rId1350" /><Relationship Type="http://schemas.openxmlformats.org/officeDocument/2006/relationships/hyperlink" Target="https://contrataciondelestado.es/wps/poc?uri=deeplink:detalle_licitacion&amp;idEvl=ZIqHmbUjI8Z4zIRvjBVCSw%3D%3D" TargetMode="External" Id="rId1351" /><Relationship Type="http://schemas.openxmlformats.org/officeDocument/2006/relationships/hyperlink" Target="https://contrataciondelestado.es/FileSystem/servlet/GetDocumentByIdServlet?cifrado=QUC1GjXXSiLkydRHJBmbpw%3D%3D&amp;DocumentIdParam=HfjaFWCGtQ35XHubho%2BguwRsrxAjdnPRwbKOI%2Bs1SyTmej/fWjL2HFPcsGR2b8%2Ba4lcFd4MUszW3jD1Rj8%2BoKabFsX6tX1E6LowBzk2HCH8C1/zDIE0Kw/PWNnLS0Z0z" TargetMode="External" Id="rId1352" /><Relationship Type="http://schemas.openxmlformats.org/officeDocument/2006/relationships/hyperlink" Target="https://contrataciondelestado.es/wps/poc?uri=deeplink:detalle_licitacion&amp;idEvl=0PMwJkU3xOr%2B3JAijKO%2Bkg%3D%3D" TargetMode="External" Id="rId1353" /><Relationship Type="http://schemas.openxmlformats.org/officeDocument/2006/relationships/hyperlink" Target="https://contrataciondelestado.es/FileSystem/servlet/GetDocumentByIdServlet?cifrado=QUC1GjXXSiLkydRHJBmbpw%3D%3D&amp;DocumentIdParam=wFn/HXmwel1VUcHCFrtxasv%2BNjjAzpoCw09iZqLa7%2B24TH2/EjmxIWzZYfQcaAq1RFYoEjmco9HTXSire4U5bdoCtL07jKSHLsZ8aFOagGN45ClyWkoJ44mKM70IFcOu" TargetMode="External" Id="rId1354" /><Relationship Type="http://schemas.openxmlformats.org/officeDocument/2006/relationships/hyperlink" Target="https://contrataciondelestado.es/wps/poc?uri=deeplink:detalle_licitacion&amp;idEvl=YGVR3XbSrbeP66GS%2BONYvQ%3D%3D" TargetMode="External" Id="rId1355" /><Relationship Type="http://schemas.openxmlformats.org/officeDocument/2006/relationships/hyperlink" Target="https://contrataciondelestado.es/FileSystem/servlet/GetDocumentByIdServlet?cifrado=QUC1GjXXSiLkydRHJBmbpw%3D%3D&amp;DocumentIdParam=YAbC5AbxXxjsiC2k7HCc%2BYVXXPuQDBjowora5WMWfud4%2B8%2Bja2hvn22X3RhGzIykchunAWOItAcIFhi2eco3RsNXrO1Kh7UyZsyURPstKJ8C1/zDIE0Kw/PWNnLS0Z0z" TargetMode="External" Id="rId1356" /><Relationship Type="http://schemas.openxmlformats.org/officeDocument/2006/relationships/hyperlink" Target="https://contrataciondelestado.es/wps/poc?uri=deeplink:detalle_licitacion&amp;idEvl=0vzwzIMIrEGGCFcHcNGIlQ%3D%3D" TargetMode="External" Id="rId1357" /><Relationship Type="http://schemas.openxmlformats.org/officeDocument/2006/relationships/hyperlink" Target="https://contrataciondelestado.es/FileSystem/servlet/GetDocumentByIdServlet?cifrado=QUC1GjXXSiLkydRHJBmbpw%3D%3D&amp;DocumentIdParam=tDUJKLt5v88YYGr8iMGXErANcQJmxkaVykoiROB9n1IbIbOpvAfBg6BqCECEGxt3t8B6aawUbw3KLzW6lrwlJPEO4M3RdttTHvQOfvBEkXpt/o8fNevwsujgRzaBbugn" TargetMode="External" Id="rId1358" /><Relationship Type="http://schemas.openxmlformats.org/officeDocument/2006/relationships/hyperlink" Target="https://contrataciondelestado.es/wps/poc?uri=deeplink:detalle_licitacion&amp;idEvl=U7DPYB5HgmudkQsA7ROvsg%3D%3D" TargetMode="External" Id="rId1359" /><Relationship Type="http://schemas.openxmlformats.org/officeDocument/2006/relationships/hyperlink" Target="https://contrataciondelestado.es/FileSystem/servlet/GetDocumentByIdServlet?cifrado=QUC1GjXXSiLkydRHJBmbpw%3D%3D&amp;DocumentIdParam=YC6KT27ZwhrFvoJIrybW6zwx19TeFnLqyq3WcVR5%2Bgdi%2BFYQwneOg0YOrYKVnk/nRwPm%2BSe9O0Ch1jfPnTEzF7WpJ/uKZHHyUiOeXfc/LgzfdyQgZAdTm3EfcUAC7CJ6" TargetMode="External" Id="rId1360" /><Relationship Type="http://schemas.openxmlformats.org/officeDocument/2006/relationships/hyperlink" Target="https://contrataciondelestado.es/wps/poc?uri=deeplink:detalle_licitacion&amp;idEvl=cfdFMQewi7AZDGvgaZEVxQ%3D%3D" TargetMode="External" Id="rId1361" /><Relationship Type="http://schemas.openxmlformats.org/officeDocument/2006/relationships/hyperlink" Target="https://contrataciondelestado.es/FileSystem/servlet/GetDocumentByIdServlet?cifrado=QUC1GjXXSiLkydRHJBmbpw%3D%3D&amp;DocumentIdParam=w4gFSMDcXsKOcuVlHOngXodOyTkVJbzDAykvrRM/%2BzzBwwys9fxre%2BC9iCcG4IiIFC0bxZOelSiBduXpK6Or5rT7VKokPUVTFCcQP8mbhZ4ZyAJWGsSt0OzTSTyw9JAs" TargetMode="External" Id="rId1362" /><Relationship Type="http://schemas.openxmlformats.org/officeDocument/2006/relationships/hyperlink" Target="https://contrataciondelestado.es/wps/poc?uri=deeplink:detalle_licitacion&amp;idEvl=ppjV3cjBU0WcTfjQf3USOg%3D%3D" TargetMode="External" Id="rId1363" /><Relationship Type="http://schemas.openxmlformats.org/officeDocument/2006/relationships/hyperlink" Target="https://contrataciondelestado.es/FileSystem/servlet/GetDocumentByIdServlet?cifrado=QUC1GjXXSiLkydRHJBmbpw%3D%3D&amp;DocumentIdParam=v/4CXEoWO6rl1FlFD/yEpcTgD26yTTnmIWu64kxzz8muWc%2BpjZ/py9Ttaw38VRPwQNybxUL0uyicQpLXY9Gpe%2BGtbvAuxkee62AFxEV/HrjfdyQgZAdTm3EfcUAC7CJ6" TargetMode="External" Id="rId1364" /><Relationship Type="http://schemas.openxmlformats.org/officeDocument/2006/relationships/hyperlink" Target="https://contrataciondelestado.es/wps/poc?uri=deeplink:detalle_licitacion&amp;idEvl=1o9ILQKmwgAeIBJRHQiPkQ%3D%3D" TargetMode="External" Id="rId1365" /><Relationship Type="http://schemas.openxmlformats.org/officeDocument/2006/relationships/hyperlink" Target="https://contrataciondelestado.es/FileSystem/servlet/GetDocumentByIdServlet?cifrado=QUC1GjXXSiLkydRHJBmbpw%3D%3D&amp;DocumentIdParam=MQctQlMdz83d5HaeBsigzQ5Ik%2BYo6T3b1onlrkLa%2BDS0xSsYCK/a%2BXGEULxTsmxzbn5Y0HLiTOab1/0IpE%2BYUARLXyaKNGsqeHEcIxBbdmZJOVDbGCDM%2BMigrvuVS7Rv" TargetMode="External" Id="rId1366" /><Relationship Type="http://schemas.openxmlformats.org/officeDocument/2006/relationships/hyperlink" Target="https://contrataciondelestado.es/wps/poc?uri=deeplink:detalle_licitacion&amp;idEvl=lMMUqHyRfYsl5NjlNci%2BtA%3D%3D" TargetMode="External" Id="rId1367" /><Relationship Type="http://schemas.openxmlformats.org/officeDocument/2006/relationships/hyperlink" Target="https://contrataciondelestado.es/FileSystem/servlet/GetDocumentByIdServlet?cifrado=QUC1GjXXSiLkydRHJBmbpw%3D%3D&amp;DocumentIdParam=//9LgUv%2BsvbDt3a6AcW0/rapTio5havdBUk84wNHp/2dL59SCXqFlPkBdaQxOr/asL7Hc43zitcEbkKf6f3rw6IeHeLG2g30YP%2BLBvvaqk6HAj0WEJrB5sP7amrh2jBD" TargetMode="External" Id="rId1368" /><Relationship Type="http://schemas.openxmlformats.org/officeDocument/2006/relationships/hyperlink" Target="https://contrataciondelestado.es/wps/poc?uri=deeplink:detalle_licitacion&amp;idEvl=MJ9I9HqVmq3zAq95uGTrDQ%3D%3D" TargetMode="External" Id="rId1369" /><Relationship Type="http://schemas.openxmlformats.org/officeDocument/2006/relationships/hyperlink" Target="https://contrataciondelestado.es/FileSystem/servlet/GetDocumentByIdServlet?cifrado=QUC1GjXXSiLkydRHJBmbpw%3D%3D&amp;DocumentIdParam=v//u4j9cGwp9Jqe7L2PDREJi1YwvHyWNheG6jwllKstxbp2JLuMxSRt5o/Dm2MoJ58lxc6YpD4zmVPSK9XCTHVNhKaciGRv0QrckMdirIKQ//q7NB2iMZvNyf0xrJmjt" TargetMode="External" Id="rId1370" /><Relationship Type="http://schemas.openxmlformats.org/officeDocument/2006/relationships/hyperlink" Target="https://contrataciondelestado.es/wps/poc?uri=deeplink:detalle_licitacion&amp;idEvl=Dpo54UWF1dK7JOCXkOhcDg%3D%3D" TargetMode="External" Id="rId1371" /><Relationship Type="http://schemas.openxmlformats.org/officeDocument/2006/relationships/hyperlink" Target="https://contrataciondelestado.es/FileSystem/servlet/GetDocumentByIdServlet?cifrado=QUC1GjXXSiLkydRHJBmbpw%3D%3D&amp;DocumentIdParam=Zg/wSvTV0yGqo6UDyONve3KgyUzqilSowetWXRauEslmDE3OSRlAacgCpnVh0GXanBgPuECf5d6Z%2Bal9MB6nHwJ89/nv5epV3FlhRCYEqGO1aXEvq3KHa/AEHgtDrQw0" TargetMode="External" Id="rId1372" /><Relationship Type="http://schemas.openxmlformats.org/officeDocument/2006/relationships/hyperlink" Target="https://contrataciondelestado.es/wps/poc?uri=deeplink:detalle_licitacion&amp;idEvl=1VFNmgFp5Fr9pbnDwlaUlg%3D%3D" TargetMode="External" Id="rId1373" /><Relationship Type="http://schemas.openxmlformats.org/officeDocument/2006/relationships/hyperlink" Target="https://contrataciondelestado.es/FileSystem/servlet/GetDocumentByIdServlet?cifrado=QUC1GjXXSiLkydRHJBmbpw%3D%3D&amp;DocumentIdParam=RpOOpmfrakO34RL5IEo%2BbSPcG%2B6KEUrnP0cgDspvLpGFcOXsbmzhZPL/62eNeVi9yoRcpdJ0f757TuMJ5AB1CM5l%2BUBXo7aXEKQGkBBa/GNJOVDbGCDM%2BMigrvuVS7Rv" TargetMode="External" Id="rId1374" /><Relationship Type="http://schemas.openxmlformats.org/officeDocument/2006/relationships/hyperlink" Target="https://contrataciondelestado.es/wps/poc?uri=deeplink:detalle_licitacion&amp;idEvl=r9ax9Uc7W%2Fk7%2B9FIQYNjeQ%3D%3D" TargetMode="External" Id="rId1375" /><Relationship Type="http://schemas.openxmlformats.org/officeDocument/2006/relationships/hyperlink" Target="https://contrataciondelestado.es/FileSystem/servlet/GetDocumentByIdServlet?cifrado=QUC1GjXXSiLkydRHJBmbpw%3D%3D&amp;DocumentIdParam=k4AaM5V8H9KoX/Ou0zuEnu58Roxpgn0rthYFbiZhKEBi55EMBHi9Hqpgj0zWHApI7SiVoBHdijAh%2BX2t7eIVuW7OjylcwHNzhM0B9VKEm04C1/zDIE0Kw/PWNnLS0Z0z" TargetMode="External" Id="rId1376" /><Relationship Type="http://schemas.openxmlformats.org/officeDocument/2006/relationships/hyperlink" Target="https://contrataciondelestado.es/wps/poc?uri=deeplink:detalle_licitacion&amp;idEvl=rlCvz%2BDlFSbjHF5qKI4aaw%3D%3D" TargetMode="External" Id="rId1377" /><Relationship Type="http://schemas.openxmlformats.org/officeDocument/2006/relationships/hyperlink" Target="https://contrataciondelestado.es/FileSystem/servlet/GetDocumentByIdServlet?cifrado=QUC1GjXXSiLkydRHJBmbpw%3D%3D&amp;DocumentIdParam=sdKbdXh2wfMct8pXnX012wspT0cHeF7Gd37LW34bx48vzUM/4cMzqoo%2BAhCDEEMu1Txl8z90FtYILwt/Ee5eOlziUtcpXqsLqIBT9kqCVQr6CYyL7SIrUOBFfNf52ZqA" TargetMode="External" Id="rId1378" /><Relationship Type="http://schemas.openxmlformats.org/officeDocument/2006/relationships/hyperlink" Target="https://contrataciondelestado.es/wps/poc?uri=deeplink:detalle_licitacion&amp;idEvl=oTeXpDL8PyqLAncw3qdZkA%3D%3D" TargetMode="External" Id="rId1379" /><Relationship Type="http://schemas.openxmlformats.org/officeDocument/2006/relationships/hyperlink" Target="https://contrataciondelestado.es/FileSystem/servlet/GetDocumentByIdServlet?cifrado=QUC1GjXXSiLkydRHJBmbpw%3D%3D&amp;DocumentIdParam=4v1f1W6As413GxbdKhVtMyNezzPM/vrHg9jFYZg/v/JmJDoWa%2BiqLi8FpXmJ754U%2BBtlZ50DwE/Rl79FijE3KJPTkJC1%2By3dWSva/eFEZ8%2BCx2e6p7hqtlp2aFupgHMr" TargetMode="External" Id="rId1380" /><Relationship Type="http://schemas.openxmlformats.org/officeDocument/2006/relationships/hyperlink" Target="https://contrataciondelestado.es/wps/poc?uri=deeplink:detalle_licitacion&amp;idEvl=I5hAbfA%2BnPOsNfRW6APEDw%3D%3D" TargetMode="External" Id="rId1381" /><Relationship Type="http://schemas.openxmlformats.org/officeDocument/2006/relationships/hyperlink" Target="https://contrataciondelestado.es/FileSystem/servlet/GetDocumentByIdServlet?cifrado=QUC1GjXXSiLkydRHJBmbpw%3D%3D&amp;DocumentIdParam=DrqzUdKjmCPpv2xwlOt2CqcH4zbpSkNEqCDOrrByVeXiR0o3BCMYhRSafCnCKKzOteRkSpfnqdwsnayyvOka0Mj6PzvPr4JfhSUTohnWhpNJOVDbGCDM%2BMigrvuVS7Rv" TargetMode="External" Id="rId1382" /><Relationship Type="http://schemas.openxmlformats.org/officeDocument/2006/relationships/hyperlink" Target="https://contrataciondelestado.es/wps/poc?uri=deeplink:detalle_licitacion&amp;idEvl=S84dhzda0KM%2FbjW6njtWLw%3D%3D" TargetMode="External" Id="rId1383" /><Relationship Type="http://schemas.openxmlformats.org/officeDocument/2006/relationships/hyperlink" Target="https://contrataciondelestado.es/FileSystem/servlet/GetDocumentByIdServlet?cifrado=QUC1GjXXSiLkydRHJBmbpw%3D%3D&amp;DocumentIdParam=n%2BxizJ4e3%2Bgl4xOTv4GxStpHzlZaV37kfAw9ALek33tNS1zQlqCshzXDHdC4xYU5C4C92zE7SWYDGAOOg7YuVwSMmu30I4C965sDcZ1B8NyCx2e6p7hqtlp2aFupgHMr" TargetMode="External" Id="rId1384" /><Relationship Type="http://schemas.openxmlformats.org/officeDocument/2006/relationships/hyperlink" Target="https://contrataciondelestado.es/wps/poc?uri=deeplink:detalle_licitacion&amp;idEvl=%2FkhmkNb0THlJ8Trn0ZPzLw%3D%3D" TargetMode="External" Id="rId1385" /><Relationship Type="http://schemas.openxmlformats.org/officeDocument/2006/relationships/hyperlink" Target="https://contrataciondelestado.es/FileSystem/servlet/GetDocumentByIdServlet?cifrado=QUC1GjXXSiLkydRHJBmbpw%3D%3D&amp;DocumentIdParam=h7SZwqQsnSLzTwHFbe6a/UFMh1sFGW5epylPTLC%2BMizuXn5gMEcbTdKtkggvuZ1P5Ihv4cL4PBEl7jicNG/cXN8W7vPJi/PMlx812WP%2BoOV7QB3HKyQaFUExmUVQCerk" TargetMode="External" Id="rId1386" /><Relationship Type="http://schemas.openxmlformats.org/officeDocument/2006/relationships/hyperlink" Target="https://contrataciondelestado.es/wps/poc?uri=deeplink:detalle_licitacion&amp;idEvl=2RFuf9IF%2FL4tm4eBPtV6eQ%3D%3D" TargetMode="External" Id="rId1387" /><Relationship Type="http://schemas.openxmlformats.org/officeDocument/2006/relationships/hyperlink" Target="https://contrataciondelestado.es/FileSystem/servlet/GetDocumentByIdServlet?cifrado=QUC1GjXXSiLkydRHJBmbpw%3D%3D&amp;DocumentIdParam=en4VrN8XyNVi0DxMgfSOi/iLe5R1wlRY6aX9Ypk3WaYlgjDzEGyYgkdDgOxJ8nKxPOFxHKIWX/WozDIbUtVz3Owy0EOXNi/pHv%2BtevYkM/d7QB3HKyQaFUExmUVQCerk" TargetMode="External" Id="rId1388" /><Relationship Type="http://schemas.openxmlformats.org/officeDocument/2006/relationships/hyperlink" Target="https://contrataciondelestado.es/wps/poc?uri=deeplink:detalle_licitacion&amp;idEvl=XpatoCp%2B%2BM4%2B1TMyIiZmzw%3D%3D" TargetMode="External" Id="rId1389" /><Relationship Type="http://schemas.openxmlformats.org/officeDocument/2006/relationships/hyperlink" Target="https://contrataciondelestado.es/FileSystem/servlet/GetDocumentByIdServlet?cifrado=QUC1GjXXSiLkydRHJBmbpw%3D%3D&amp;DocumentIdParam=4a77CxJSceF43Zc3cyFNAOHrDaNk8PXZ7P0ah7FNYxHQ27FkW4GRCYWhcj0PIx0bxtfjNw4o5SqrMmK13dMkANW4w9ltG4UyvmuopktuWYmCx2e6p7hqtlp2aFupgHMr" TargetMode="External" Id="rId1390" /><Relationship Type="http://schemas.openxmlformats.org/officeDocument/2006/relationships/hyperlink" Target="https://contrataciondelestado.es/wps/poc?uri=deeplink:detalle_licitacion&amp;idEvl=ssbDLKAglAKExvMJXBMHHQ%3D%3D" TargetMode="External" Id="rId1391" /><Relationship Type="http://schemas.openxmlformats.org/officeDocument/2006/relationships/hyperlink" Target="https://contrataciondelestado.es/FileSystem/servlet/GetDocumentByIdServlet?cifrado=QUC1GjXXSiLkydRHJBmbpw%3D%3D&amp;DocumentIdParam=37zTqMbAqMcrb9KBGmwpwUIgkbTjEYHRoIotN/xTEf%2BMkJLVzM7/KjEfAFXB2lX%2BhErPDPacXID%2B56K6EJH1DWivC/qHWdslfHSrTyLI/U7DdQD9RyhUmzT4jZ2In4zL" TargetMode="External" Id="rId1392" /><Relationship Type="http://schemas.openxmlformats.org/officeDocument/2006/relationships/hyperlink" Target="https://contrataciondelestado.es/wps/poc?uri=deeplink:detalle_licitacion&amp;idEvl=SOpUPTlkMyIzjChw4z%2FXvw%3D%3D" TargetMode="External" Id="rId1393" /><Relationship Type="http://schemas.openxmlformats.org/officeDocument/2006/relationships/hyperlink" Target="https://contrataciondelestado.es/FileSystem/servlet/GetDocumentByIdServlet?cifrado=QUC1GjXXSiLkydRHJBmbpw%3D%3D&amp;DocumentIdParam=bXD9DSsc61vxgr3K896sWuBMv/O8g9IUaPrLHcgL31dIRRt/nAal1kNTw2fHMVuy1T0qKhYlhLbZFA/jJoJHKjIMfzFZyxGzModWE/uwbt/VTD3T98KC0nSgQFM0q%2B5s" TargetMode="External" Id="rId1394" /><Relationship Type="http://schemas.openxmlformats.org/officeDocument/2006/relationships/hyperlink" Target="https://contrataciondelestado.es/wps/poc?uri=deeplink:detalle_licitacion&amp;idEvl=8eymY6NwQo62gkLQ8TeYKA%3D%3D" TargetMode="External" Id="rId1395" /><Relationship Type="http://schemas.openxmlformats.org/officeDocument/2006/relationships/hyperlink" Target="https://contrataciondelestado.es/FileSystem/servlet/GetDocumentByIdServlet?cifrado=QUC1GjXXSiLkydRHJBmbpw%3D%3D&amp;DocumentIdParam=sJ5QMzIo5FwInLtoWHkhJA3efb/Vf3FD6ZTYWQHQPy%2B6J3/G7SyfldlOcV073JzLZAsfZk9DQFkx%2BHBnVtFXmONjOha/9PNfzT7ZjdvPIorVTD3T98KC0nSgQFM0q%2B5s" TargetMode="External" Id="rId1396" /><Relationship Type="http://schemas.openxmlformats.org/officeDocument/2006/relationships/hyperlink" Target="https://contrataciondelestado.es/wps/poc?uri=deeplink:detalle_licitacion&amp;idEvl=UvR1n3Bt%2Fdt%2FR5QFTlaM4A%3D%3D" TargetMode="External" Id="rId1397" /><Relationship Type="http://schemas.openxmlformats.org/officeDocument/2006/relationships/hyperlink" Target="https://contrataciondelestado.es/FileSystem/servlet/GetDocumentByIdServlet?cifrado=QUC1GjXXSiLkydRHJBmbpw%3D%3D&amp;DocumentIdParam=4evTGkTXH4O6ZeT9odNBGA1pX/6U/ARWwEcslp1hM/3gtnqIUpMKvgsUVAx/GnzUbqlKzEPpbG0woZztdu4Do32G6XgBXoUc80mx/pol5wfVTD3T98KC0nSgQFM0q%2B5s" TargetMode="External" Id="rId1398" /><Relationship Type="http://schemas.openxmlformats.org/officeDocument/2006/relationships/hyperlink" Target="https://contrataciondelestado.es/wps/poc?uri=deeplink:detalle_licitacion&amp;idEvl=pF2eQIsL7GKP66GS%2BONYvQ%3D%3D" TargetMode="External" Id="rId1399" /><Relationship Type="http://schemas.openxmlformats.org/officeDocument/2006/relationships/hyperlink" Target="https://contrataciondelestado.es/FileSystem/servlet/GetDocumentByIdServlet?cifrado=QUC1GjXXSiLkydRHJBmbpw%3D%3D&amp;DocumentIdParam=OUgIhd8vnl88bz/TFsuHxEcG6kokKBDqvviB9eDeoas141p9DXTh58XoYISDvojch6DyAGjge9IbfUVUX%2BLj%2BbHuYV40ZhSQyfhL4wnPzOnDdQD9RyhUmzT4jZ2In4zL" TargetMode="External" Id="rId1400" /><Relationship Type="http://schemas.openxmlformats.org/officeDocument/2006/relationships/hyperlink" Target="https://contrataciondelestado.es/wps/poc?uri=deeplink:detalle_licitacion&amp;idEvl=lxDyrgwUDTrpxJFXpLZ%2B2A%3D%3D" TargetMode="External" Id="rId1401" /><Relationship Type="http://schemas.openxmlformats.org/officeDocument/2006/relationships/hyperlink" Target="https://contrataciondelestado.es/FileSystem/servlet/GetDocumentByIdServlet?cifrado=QUC1GjXXSiLkydRHJBmbpw%3D%3D&amp;DocumentIdParam=TbrjCz9BVwdfZhm1avU9BNR%2BNaeBMhtwYfLOWIz1QIikqYMfzmVCCeCNOZCrYMYpxkxXJGXiYKegZxo4b1uA%2Bo%2BBoNkEurys9iB57OX2M6j6CYyL7SIrUOBFfNf52ZqA" TargetMode="External" Id="rId1402" /><Relationship Type="http://schemas.openxmlformats.org/officeDocument/2006/relationships/hyperlink" Target="https://contrataciondelestado.es/wps/poc?uri=deeplink:detalle_licitacion&amp;idEvl=ijhZpqHIkYdLAIVZdUs8KA%3D%3D" TargetMode="External" Id="rId1403" /><Relationship Type="http://schemas.openxmlformats.org/officeDocument/2006/relationships/hyperlink" Target="https://contrataciondelestado.es/FileSystem/servlet/GetDocumentByIdServlet?cifrado=QUC1GjXXSiLkydRHJBmbpw%3D%3D&amp;DocumentIdParam=jQCOownbdTdGqfsbMWoF7kuYc1YmsiQg4LGGx1j9/rkObUisrTFoTSU/PlUzoK2s8nzJkk83Rzt5334D1ZKU1zMt4FzaLQeHFJmCBW/E0SWHAj0WEJrB5sP7amrh2jBD" TargetMode="External" Id="rId1404" /><Relationship Type="http://schemas.openxmlformats.org/officeDocument/2006/relationships/hyperlink" Target="https://contrataciondelestado.es/wps/poc?uri=deeplink:detalle_licitacion&amp;idEvl=t6mR4ZInX%2FFSYrkJkLlFdw%3D%3D" TargetMode="External" Id="rId1405" /><Relationship Type="http://schemas.openxmlformats.org/officeDocument/2006/relationships/hyperlink" Target="https://contrataciondelestado.es/FileSystem/servlet/GetDocumentByIdServlet?cifrado=QUC1GjXXSiLkydRHJBmbpw%3D%3D&amp;DocumentIdParam=Yx0fzT%2BZhg/S9xEt0dMydeoVNJwYk%2BTyEa1ULxkSlPud1aElg5aAlbLxtjdBAvS%2BMAirF9LaRRG6P5IXYrNNTOMgZKvYRkxmI3r6YEyV5v%2BB0nvVKRzfe4rpHcnlPhSZ" TargetMode="External" Id="rId1406" /><Relationship Type="http://schemas.openxmlformats.org/officeDocument/2006/relationships/hyperlink" Target="https://contrataciondelestado.es/wps/poc?uri=deeplink:detalle_licitacion&amp;idEvl=1pq0mKTRQhR%2FR5QFTlaM4A%3D%3D" TargetMode="External" Id="rId1407" /><Relationship Type="http://schemas.openxmlformats.org/officeDocument/2006/relationships/hyperlink" Target="https://contrataciondelestado.es/FileSystem/servlet/GetDocumentByIdServlet?cifrado=QUC1GjXXSiLkydRHJBmbpw%3D%3D&amp;DocumentIdParam=1kv5DRPGKqfD2uI4IQV3UQbm60o4z8u19Xvj7eN4EXUqGOOgCSXv9VguSCV7Vu2C8Z3HXmvreVzwfDuvlOSgz0bzLMqqPJ3IOxcZFR8EiKaCx2e6p7hqtlp2aFupgHMr" TargetMode="External" Id="rId1408" /><Relationship Type="http://schemas.openxmlformats.org/officeDocument/2006/relationships/hyperlink" Target="https://contrataciondelestado.es/wps/poc?uri=deeplink:detalle_licitacion&amp;idEvl=Qsbp5yIjeYKExvMJXBMHHQ%3D%3D" TargetMode="External" Id="rId1409" /><Relationship Type="http://schemas.openxmlformats.org/officeDocument/2006/relationships/hyperlink" Target="https://contrataciondelestado.es/FileSystem/servlet/GetDocumentByIdServlet?cifrado=QUC1GjXXSiLkydRHJBmbpw%3D%3D&amp;DocumentIdParam=%2ByRnY6I4M82gp5Nd8KbUAfehYsMcwhMkKuncpECKWm23ivkCKy8YRhVUlEexZ2xxG0S84iXvd6aomrbTWm80B7tFCR8swo8HoEah8%2B7i6tZ45ClyWkoJ44mKM70IFcOu" TargetMode="External" Id="rId1410" /><Relationship Type="http://schemas.openxmlformats.org/officeDocument/2006/relationships/hyperlink" Target="https://contrataciondelestado.es/wps/poc?uri=deeplink:detalle_licitacion&amp;idEvl=LMTZ4t0%2B5Z%2FjHF5qKI4aaw%3D%3D" TargetMode="External" Id="rId1411" /><Relationship Type="http://schemas.openxmlformats.org/officeDocument/2006/relationships/hyperlink" Target="https://contrataciondelestado.es/FileSystem/servlet/GetDocumentByIdServlet?cifrado=QUC1GjXXSiLkydRHJBmbpw%3D%3D&amp;DocumentIdParam=qtuVFvwTQnLnb/QlHBlL63q159s7DA9vCyXxcd2FNeTxcP869SfNJWN5D9xLpOtV9BC14TZ%2BHTZjBTtAKUwRNrc6b2u/AZkLU7g4jIGWcvWB0nvVKRzfe4rpHcnlPhSZ" TargetMode="External" Id="rId1412" /><Relationship Type="http://schemas.openxmlformats.org/officeDocument/2006/relationships/hyperlink" Target="https://contrataciondelestado.es/wps/poc?uri=deeplink:detalle_licitacion&amp;idEvl=VwgrUUqi6nN70UvEyYJSGw%3D%3D" TargetMode="External" Id="rId1413" /><Relationship Type="http://schemas.openxmlformats.org/officeDocument/2006/relationships/hyperlink" Target="https://contrataciondelestado.es/FileSystem/servlet/GetDocumentByIdServlet?cifrado=QUC1GjXXSiLkydRHJBmbpw%3D%3D&amp;DocumentIdParam=D78o%2BEYuI/aGzuguXeYaEz7qoDY4qTk65TzEmlfZPgkE8Y6kTH8aKnV2YDwg/UBVmn9JdnI4VUTOCvi2HEMec518mHEmC3JObIeeBNO5xkX3GVhXrFFqN7yFncy7YfRK" TargetMode="External" Id="rId1414" /><Relationship Type="http://schemas.openxmlformats.org/officeDocument/2006/relationships/hyperlink" Target="https://contrataciondelestado.es/wps/poc?uri=deeplink:detalle_licitacion&amp;idEvl=AE4x5A02S%2B%2F9pbnDwlaUlg%3D%3D" TargetMode="External" Id="rId1415" /><Relationship Type="http://schemas.openxmlformats.org/officeDocument/2006/relationships/hyperlink" Target="https://contrataciondelestado.es/FileSystem/servlet/GetDocumentByIdServlet?cifrado=QUC1GjXXSiLkydRHJBmbpw%3D%3D&amp;DocumentIdParam=AOoph1R9IlLqjeHh7s48Iu4o78Yujb3bSKaWr8DcggfOuq/onlnCMUzpdRwLptMFzrEaubeXHuyFzjHw9845el6TG2xvRHnRC2qVa435jyAC1/zDIE0Kw/PWNnLS0Z0z" TargetMode="External" Id="rId1416" /><Relationship Type="http://schemas.openxmlformats.org/officeDocument/2006/relationships/hyperlink" Target="https://contrataciondelestado.es/wps/poc?uri=deeplink:detalle_licitacion&amp;idEvl=6k1aJ3uUy514zIRvjBVCSw%3D%3D" TargetMode="External" Id="rId1417" /><Relationship Type="http://schemas.openxmlformats.org/officeDocument/2006/relationships/hyperlink" Target="https://contrataciondelestado.es/FileSystem/servlet/GetDocumentByIdServlet?cifrado=QUC1GjXXSiLkydRHJBmbpw%3D%3D&amp;DocumentIdParam=6oyHwfNedpezjiiejThZNOjez7EWfU4y6italppiOkF6ejN5oihOY9UkT82u18/gGRn6QsyIlZgvhKDe4%2BnHfY0zTBL4SAldD7CDG8%2BFhcp7QB3HKyQaFUExmUVQCerk" TargetMode="External" Id="rId1418" /><Relationship Type="http://schemas.openxmlformats.org/officeDocument/2006/relationships/hyperlink" Target="https://contrataciondelestado.es/wps/poc?uri=deeplink:detalle_licitacion&amp;idEvl=i9xrdr8yMEXzAq95uGTrDQ%3D%3D" TargetMode="External" Id="rId1419" /><Relationship Type="http://schemas.openxmlformats.org/officeDocument/2006/relationships/hyperlink" Target="https://contrataciondelestado.es/FileSystem/servlet/GetDocumentByIdServlet?cifrado=QUC1GjXXSiLkydRHJBmbpw%3D%3D&amp;DocumentIdParam=GQQ1EvhiRaJzL4hbdD%2BJs3qhvAgwK19b3YBqvwLU6qROwiSAaPnu%2BaZotC2Oq/SPYPMKJsA1YmmJLNIph3QPaKAj8W5t6jiz/88r0GWuBFFJOVDbGCDM%2BMigrvuVS7Rv" TargetMode="External" Id="rId1420" /><Relationship Type="http://schemas.openxmlformats.org/officeDocument/2006/relationships/hyperlink" Target="https://contrataciondelestado.es/wps/poc?uri=deeplink:detalle_licitacion&amp;idEvl=CgVKa%2BnnYHh%2BF6L2uCfUWg%3D%3D" TargetMode="External" Id="rId1421" /><Relationship Type="http://schemas.openxmlformats.org/officeDocument/2006/relationships/hyperlink" Target="https://contrataciondelestado.es/FileSystem/servlet/GetDocumentByIdServlet?cifrado=QUC1GjXXSiLkydRHJBmbpw%3D%3D&amp;DocumentIdParam=12Nff5YqoMlc/CNwSguzWXsCcArKc3fIb33Zd5hatQkD9SI4sC5dBc9ha5B1vA6gMxJSPSwy3bqQ0nR6BitKHp0yHJ4285cBfsewOUraz2MC1/zDIE0Kw/PWNnLS0Z0z" TargetMode="External" Id="rId1422" /><Relationship Type="http://schemas.openxmlformats.org/officeDocument/2006/relationships/hyperlink" Target="https://contrataciondelestado.es/wps/poc?uri=deeplink:detalle_licitacion&amp;idEvl=r5aKQ0R0TNO8ebB%2FXTwy0A%3D%3D" TargetMode="External" Id="rId1423" /><Relationship Type="http://schemas.openxmlformats.org/officeDocument/2006/relationships/hyperlink" Target="https://contrataciondelestado.es/FileSystem/servlet/GetDocumentByIdServlet?cifrado=QUC1GjXXSiLkydRHJBmbpw%3D%3D&amp;DocumentIdParam=qbBpsmHVdjWCai70znJkmzTXBAD%2BH5miMxGkAa6HbN4iD8AXAYKNlnE9g/bBmRaIxSvH5Ksb09T6JWoMaVsGnsw%2Bk%2Bm5T9cZNiOLghX2vK%2B1aXEvq3KHa/AEHgtDrQw0" TargetMode="External" Id="rId1424" /><Relationship Type="http://schemas.openxmlformats.org/officeDocument/2006/relationships/hyperlink" Target="https://contrataciondelestado.es/wps/poc?uri=deeplink:detalle_licitacion&amp;idEvl=aXPw46LG8Y%2BLAncw3qdZkA%3D%3D" TargetMode="External" Id="rId1425" /><Relationship Type="http://schemas.openxmlformats.org/officeDocument/2006/relationships/hyperlink" Target="https://contrataciondelestado.es/FileSystem/servlet/GetDocumentByIdServlet?cifrado=QUC1GjXXSiLkydRHJBmbpw%3D%3D&amp;DocumentIdParam=WXuKJ73kmcxZzqNkPWRbIRQ1VPE3BvDs9csfcjpeEjXoh9LAyeXJ05bAcxHgtEw%2B9BTgRvV4LfOQ1ZKpBy4AuXzXpc18QfTa7yRYwr1l78qHAj0WEJrB5sP7amrh2jBD" TargetMode="External" Id="rId1426" /><Relationship Type="http://schemas.openxmlformats.org/officeDocument/2006/relationships/hyperlink" Target="https://contrataciondelestado.es/wps/poc?uri=deeplink:detalle_licitacion&amp;idEvl=YXXdAyXuO3xSYrkJkLlFdw%3D%3D" TargetMode="External" Id="rId1427" /><Relationship Type="http://schemas.openxmlformats.org/officeDocument/2006/relationships/hyperlink" Target="https://contrataciondelestado.es/FileSystem/servlet/GetDocumentByIdServlet?cifrado=QUC1GjXXSiLkydRHJBmbpw%3D%3D&amp;DocumentIdParam=x0gd/2aOPMMdE6BdkPirPb//R0qs0Sp1aN2B372qS6CB9/vi3G/af7ojPLXeq91biY7OiwRWEGExZwz0dIlaFWLLbkkzkfjOrkjpNf9rC1/DdQD9RyhUmzT4jZ2In4zL" TargetMode="External" Id="rId1428" /><Relationship Type="http://schemas.openxmlformats.org/officeDocument/2006/relationships/hyperlink" Target="https://contrataciondelestado.es/wps/poc?uri=deeplink:detalle_licitacion&amp;idEvl=JFVJX9OtdEGsNfRW6APEDw%3D%3D" TargetMode="External" Id="rId1429" /><Relationship Type="http://schemas.openxmlformats.org/officeDocument/2006/relationships/hyperlink" Target="https://contrataciondelestado.es/FileSystem/servlet/GetDocumentByIdServlet?cifrado=QUC1GjXXSiLkydRHJBmbpw%3D%3D&amp;DocumentIdParam=%2BKjbxm1uNCICfBm6Um/0DGmcidSpMmStERjDXYmUuwl18OnxZrMWg21I3feho2IuVt%2BVQ0UolxvxXZH%2BPypN3k0ATw976xvbTUT/WzaE1wwC1/zDIE0Kw/PWNnLS0Z0z" TargetMode="External" Id="rId1430" /><Relationship Type="http://schemas.openxmlformats.org/officeDocument/2006/relationships/hyperlink" Target="https://contrataciondelestado.es/wps/poc?uri=deeplink:detalle_licitacion&amp;idEvl=KlwOK1mkjgAZDGvgaZEVxQ%3D%3D" TargetMode="External" Id="rId1431" /><Relationship Type="http://schemas.openxmlformats.org/officeDocument/2006/relationships/hyperlink" Target="https://contrataciondelestado.es/wps/poc?uri=deeplink:detalle_licitacion&amp;idEvl=kXCvcWkd1dceIBJRHQiPkQ%3D%3D" TargetMode="External" Id="rId1432" /><Relationship Type="http://schemas.openxmlformats.org/officeDocument/2006/relationships/hyperlink" Target="https://contrataciondelestado.es/FileSystem/servlet/GetDocumentByIdServlet?cifrado=QUC1GjXXSiLkydRHJBmbpw%3D%3D&amp;DocumentIdParam=Ohg5VeVQzAbpMzElIC3DpuxNFM3EDo3maFRXFnykugpuSAHelgVLHbpSAWbsRGltd99nfR4HRVhLHimBdWIHg2yfLx4xhBB2%2BCOTi3WRZaaCx2e6p7hqtlp2aFupgHMr" TargetMode="External" Id="rId1433" /><Relationship Type="http://schemas.openxmlformats.org/officeDocument/2006/relationships/hyperlink" Target="https://contrataciondelestado.es/wps/poc?uri=deeplink:detalle_licitacion&amp;idEvl=RFLHvvtKTJBVkTabT%2FRM8A%3D%3D" TargetMode="External" Id="rId1434" /><Relationship Type="http://schemas.openxmlformats.org/officeDocument/2006/relationships/hyperlink" Target="https://contrataciondelestado.es/wps/poc?uri=deeplink:detalle_licitacion&amp;idEvl=kNQpxvEe5xA7u6%2B%2FR7DUoA%3D%3D" TargetMode="External" Id="rId1435" /><Relationship Type="http://schemas.openxmlformats.org/officeDocument/2006/relationships/hyperlink" Target="https://contrataciondelestado.es/wps/poc?uri=deeplink:detalle_licitacion&amp;idEvl=%2BVHWktVUmCb5Rey58Yagpg%3D%3D" TargetMode="External" Id="rId1436" /><Relationship Type="http://schemas.openxmlformats.org/officeDocument/2006/relationships/hyperlink" Target="https://contrataciondelestado.es/FileSystem/servlet/GetDocumentByIdServlet?DocumentIdParam=Xgcm4eNFeE9qN6h5vi7F4kVsljI%2B8wR0H9/%2B21VfucSdexi/2ulAZdQhPSJLdICCZliexvv9YrCUT6eMC4KnSyVTEYghCWdzPtXX7BA480zDdQD9RyhUmzT4jZ2In4zL&amp;cifrado=QUC1GjXXSiLkydRHJBmbpw%3D%3D" TargetMode="External" Id="rId1437" /><Relationship Type="http://schemas.openxmlformats.org/officeDocument/2006/relationships/hyperlink" Target="https://contrataciondelestado.es/wps/poc?uri=deeplink:detalle_licitacion&amp;idEvl=CwWsrKYWLlf%2B3JAijKO%2Bkg%3D%3D" TargetMode="External" Id="rId1438" /><Relationship Type="http://schemas.openxmlformats.org/officeDocument/2006/relationships/hyperlink" Target="https://contrataciondelestado.es/wps/poc?uri=deeplink:detalle_licitacion&amp;idEvl=mRpjWc4Nlf8wYTJJ03sHog%3D%3D" TargetMode="External" Id="rId1439" /><Relationship Type="http://schemas.openxmlformats.org/officeDocument/2006/relationships/hyperlink" Target="https://contrataciondelestado.es/FileSystem/servlet/GetDocumentByIdServlet?cifrado=QUC1GjXXSiLkydRHJBmbpw%3D%3D&amp;DocumentIdParam=OWRU/b6PARESmSReWeh2jY2TPFX5OpS0bM677WZLoNiN7ZgiX96ArSLkWw1PLkvHWVXSv3r2XwcEUwazMjqlCimWx%2BX7CkT3/gTXoPxrWJbfdyQgZAdTm3EfcUAC7CJ6" TargetMode="External" Id="rId1440" /><Relationship Type="http://schemas.openxmlformats.org/officeDocument/2006/relationships/hyperlink" Target="https://contrataciondelestado.es/wps/poc?uri=deeplink:detalle_licitacion&amp;idEvl=j1Ma%2FpYg%2F%2B2zz8fXU2i3eQ%3D%3D" TargetMode="External" Id="rId1441" /><Relationship Type="http://schemas.openxmlformats.org/officeDocument/2006/relationships/hyperlink" Target="https://contrataciondelestado.es/FileSystem/servlet/GetDocumentByIdServlet?cifrado=QUC1GjXXSiLkydRHJBmbpw%3D%3D&amp;DocumentIdParam=EuGgbSaDpqyAKQbWbPEg4bp3kAQhiPlTagzkrWdvsMoO5GjJ/u4i5ZcB4UrEhFtfZMl6WUPQ8E%2BeWZ/wI5aXq6h2Bd%2Ba4flK8NBVuwd0Pb%2BCx2e6p7hqtlp2aFupgHMr" TargetMode="External" Id="rId1442" /><Relationship Type="http://schemas.openxmlformats.org/officeDocument/2006/relationships/hyperlink" Target="https://contrataciondelestado.es/wps/poc?uri=deeplink:detalle_licitacion&amp;idEvl=ba0LqGbgB6Hmnwcj%2BxbdTg%3D%3D" TargetMode="External" Id="rId1443" /><Relationship Type="http://schemas.openxmlformats.org/officeDocument/2006/relationships/hyperlink" Target="https://contrataciondelestado.es/wps/poc?uri=deeplink:detalle_licitacion&amp;idEvl=J0I6V5E5%2BcoaF6cS8TCh%2FA%3D%3D" TargetMode="External" Id="rId1444" /><Relationship Type="http://schemas.openxmlformats.org/officeDocument/2006/relationships/hyperlink" Target="https://contrataciondelestado.es/FileSystem/servlet/GetDocumentByIdServlet?cifrado=QUC1GjXXSiLkydRHJBmbpw%3D%3D&amp;DocumentIdParam=GZ8R%2Br9UHn2E4p81DuxY/TAgA5bjLSe15v%2BFvHAo%2Bbsp1qnuj31PYjZ4nbHJks72FqH9GD2zDGJCGSVEra7Pdvw6zU3Ynofvr5K4cI0fo3qCx2e6p7hqtlp2aFupgHMr" TargetMode="External" Id="rId1445" /><Relationship Type="http://schemas.openxmlformats.org/officeDocument/2006/relationships/hyperlink" Target="https://contrataciondelestado.es/wps/poc?uri=deeplink:detalle_licitacion&amp;idEvl=2qdpV8AJNT7IGlsa0Wad%2Bw%3D%3D" TargetMode="External" Id="rId1446" /><Relationship Type="http://schemas.openxmlformats.org/officeDocument/2006/relationships/hyperlink" Target="https://contrataciondelestado.es/FileSystem/servlet/GetDocumentByIdServlet?cifrado=QUC1GjXXSiLkydRHJBmbpw%3D%3D&amp;DocumentIdParam=IHZRSVptYXhWXt6KupKJQhpPubNm7zF3xmBR1FYVfcO9xIfSHS1yr4rFmzGanzviX297wrN6r0bJ/m8VzS6Io5e5neWCf7nRahEp6E2pV5eCx2e6p7hqtlp2aFupgHMr" TargetMode="External" Id="rId1447" /><Relationship Type="http://schemas.openxmlformats.org/officeDocument/2006/relationships/hyperlink" Target="https://contrataciondelestado.es/wps/poc?uri=deeplink:detalle_licitacion&amp;idEvl=80BhcveQ7bFJ8Trn0ZPzLw%3D%3D" TargetMode="External" Id="rId1448" /><Relationship Type="http://schemas.openxmlformats.org/officeDocument/2006/relationships/hyperlink" Target="https://contrataciondelestado.es/wps/poc?uri=deeplink:detalle_licitacion&amp;idEvl=Myxb62vHkBvpxJFXpLZ%2B2A%3D%3D" TargetMode="External" Id="rId1449" /><Relationship Type="http://schemas.openxmlformats.org/officeDocument/2006/relationships/hyperlink" Target="https://contrataciondelestado.es/FileSystem/servlet/GetDocumentByIdServlet?cifrado=QUC1GjXXSiLkydRHJBmbpw%3D%3D&amp;DocumentIdParam=0vf97H8LJaBGJ%2B6FS4wxFJ3XajW3cO84Tv/V6NY46HNi1GKI0WrgSDGYAewwFdCiINOZb%2BPL5taUqSmWX%2Bv5wEImv%2BUcwGKftadyTArm26z3GVhXrFFqN7yFncy7YfRK" TargetMode="External" Id="rId1450" /><Relationship Type="http://schemas.openxmlformats.org/officeDocument/2006/relationships/hyperlink" Target="https://contrataciondelestado.es/wps/poc?uri=deeplink:detalle_licitacion&amp;idEvl=ALkO3WFWuCqHCIsjvJ3rhQ%3D%3D" TargetMode="External" Id="rId1451" /><Relationship Type="http://schemas.openxmlformats.org/officeDocument/2006/relationships/hyperlink" Target="https://contrataciondelestado.es/FileSystem/servlet/GetDocumentByIdServlet?cifrado=QUC1GjXXSiLkydRHJBmbpw%3D%3D&amp;DocumentIdParam=2L%2B45V9AMM7bkIjR8hM%2BkRb6u2zCpK9THTZh6CWkuqu1DBwXsvcG0J7ZvqlwgueRkFd2obHdoJLpRDoFdQLTsFFJB0Ut7cK9LcWC7MSazdCHAj0WEJrB5sP7amrh2jBD" TargetMode="External" Id="rId1452" /><Relationship Type="http://schemas.openxmlformats.org/officeDocument/2006/relationships/hyperlink" Target="https://contrataciondelestado.es/wps/poc?uri=deeplink:detalle_licitacion&amp;idEvl=KivX7YqAI5qqb7rCcv76BA%3D%3D" TargetMode="External" Id="rId1453" /><Relationship Type="http://schemas.openxmlformats.org/officeDocument/2006/relationships/hyperlink" Target="https://contrataciondelestado.es/FileSystem/servlet/GetDocumentByIdServlet?cifrado=QUC1GjXXSiLkydRHJBmbpw%3D%3D&amp;DocumentIdParam=S2TpWP5lrkMmABP7SgS73ZFD5kv6U3rwGUXCX9TmGxD3AFeNMYRJgRrXoa8T2xRt8VF48fbODAJo21F58/4kcMs0q2Hlu4wfMahP3fHL8jBt/o8fNevwsujgRzaBbugn" TargetMode="External" Id="rId1454" /><Relationship Type="http://schemas.openxmlformats.org/officeDocument/2006/relationships/hyperlink" Target="https://contrataciondelestado.es/wps/poc?uri=deeplink:detalle_licitacion&amp;idEvl=bFoLVVPEEqRQFSeKCRun4Q%3D%3D" TargetMode="External" Id="rId1455" /><Relationship Type="http://schemas.openxmlformats.org/officeDocument/2006/relationships/hyperlink" Target="https://contrataciondelestado.es/wps/poc?uri=deeplink:detalle_licitacion&amp;idEvl=NuabY4JzB8icCF8sV%2BqtYA%3D%3D" TargetMode="External" Id="rId1456" /><Relationship Type="http://schemas.openxmlformats.org/officeDocument/2006/relationships/hyperlink" Target="https://contrataciondelestado.es/FileSystem/servlet/GetDocumentByIdServlet?cifrado=QUC1GjXXSiLkydRHJBmbpw%3D%3D&amp;DocumentIdParam=tZIZKolR9tGVj8UKz2JExSDHi2pScMhQbeLRQVG4ahDSPIY%2BQZePS4LQY2StFAdFs30xKgLr0ztFk2kXYNurlcswYK6uQsegdA7XiWRTlZs//q7NB2iMZvNyf0xrJmjt" TargetMode="External" Id="rId1457" /><Relationship Type="http://schemas.openxmlformats.org/officeDocument/2006/relationships/hyperlink" Target="https://contrataciondelestado.es/wps/poc?uri=deeplink:detalle_licitacion&amp;idEvl=TVkyXAkTsCHua%2Fi14w%2FPLA%3D%3D" TargetMode="External" Id="rId1458" /><Relationship Type="http://schemas.openxmlformats.org/officeDocument/2006/relationships/hyperlink" Target="https://contrataciondelestado.es/FileSystem/servlet/GetDocumentByIdServlet?cifrado=QUC1GjXXSiLkydRHJBmbpw%3D%3D&amp;DocumentIdParam=Dp/o1VLepyK4K9NW7KM3Y/zrUB1XtWH/4rby9uCE/unlkzoai5W26ZrHhqsQK70jUDUOP9%2Bd9q4pxi6ERSU3yeqmJgwGsLbcoxf6e49vYzNt/o8fNevwsujgRzaBbugn" TargetMode="External" Id="rId1459" /><Relationship Type="http://schemas.openxmlformats.org/officeDocument/2006/relationships/hyperlink" Target="https://contrataciondelestado.es/wps/poc?uri=deeplink:detalle_licitacion&amp;idEvl=f0c72UaCwQ%2B7JOCXkOhcDg%3D%3D" TargetMode="External" Id="rId1460" /><Relationship Type="http://schemas.openxmlformats.org/officeDocument/2006/relationships/hyperlink" Target="https://contrataciondelestado.es/FileSystem/servlet/GetDocumentByIdServlet?cifrado=QUC1GjXXSiLkydRHJBmbpw%3D%3D&amp;DocumentIdParam=HfOL2PcH4GbDimqQz2n4h0H7n8VVogdnwLMpsVsGgcNgLsHq%2Bq7uLH1jW9RTDq4jL1NzvEFpSdKNyI17EtJrTu9ZKv2x/Vd9gjufkcS3Iytt/o8fNevwsujgRzaBbugn" TargetMode="External" Id="rId1461" /><Relationship Type="http://schemas.openxmlformats.org/officeDocument/2006/relationships/hyperlink" Target="https://contrataciondelestado.es/wps/poc?uri=deeplink:detalle_licitacion&amp;idEvl=es0nLhoGnBV9Zh%2FyRJgM8w%3D%3D" TargetMode="External" Id="rId1462" /><Relationship Type="http://schemas.openxmlformats.org/officeDocument/2006/relationships/hyperlink" Target="https://contrataciondelestado.es/FileSystem/servlet/GetDocumentByIdServlet?cifrado=QUC1GjXXSiLkydRHJBmbpw%3D%3D&amp;DocumentIdParam=UJrG7u8HTuWctZbqyHtelOwMtDenGr5PR4v5fIxcMr%2BAIlMN4jBSQhc1N0PxsMc0p0CNgcg1%2Bv2xqfm/CzDuLEG/f28%2BhIQmiK8Yn8Yt9l7fdyQgZAdTm3EfcUAC7CJ6" TargetMode="External" Id="rId1463" /><Relationship Type="http://schemas.openxmlformats.org/officeDocument/2006/relationships/hyperlink" Target="https://contrataciondelestado.es/wps/poc?uri=deeplink:detalle_licitacion&amp;idEvl=xRL%2BeG9QthL%2Fa9DgO%2BoYKQ%3D%3D" TargetMode="External" Id="rId1464" /><Relationship Type="http://schemas.openxmlformats.org/officeDocument/2006/relationships/hyperlink" Target="https://contrataciondelestado.es/FileSystem/servlet/GetDocumentByIdServlet?cifrado=QUC1GjXXSiLkydRHJBmbpw%3D%3D&amp;DocumentIdParam=pftZy6EScPj1eSVXgY4Z/pla1BL1PlymxTb6i6fFtQEHoqZJxl6FP75T2/4JHU2ApekLfg/Kk86erj%2B46sJQeLHmFF10BLhjNH5DbvyfNhSCx2e6p7hqtlp2aFupgHMr" TargetMode="External" Id="rId1465" /><Relationship Type="http://schemas.openxmlformats.org/officeDocument/2006/relationships/hyperlink" Target="https://contrataciondelestado.es/wps/poc?uri=deeplink:detalle_licitacion&amp;idEvl=J7Oi2FUA0L1QFSeKCRun4Q%3D%3D" TargetMode="External" Id="rId1466" /><Relationship Type="http://schemas.openxmlformats.org/officeDocument/2006/relationships/hyperlink" Target="https://contrataciondelestado.es/FileSystem/servlet/GetDocumentByIdServlet?cifrado=QUC1GjXXSiLkydRHJBmbpw%3D%3D&amp;DocumentIdParam=GBwhb3kGmOeAuWlNz9whKLvuFYnPiuRHX7iQ8IHbWf64XipaR3qRdsu%2BZN4k1HBJyObtR3kj2pH6uWIDeb9Dw0GCyt8zL8bnQyaMMNPWzl145ClyWkoJ44mKM70IFcOu" TargetMode="External" Id="rId1467" /><Relationship Type="http://schemas.openxmlformats.org/officeDocument/2006/relationships/hyperlink" Target="https://contrataciondelestado.es/wps/poc?uri=deeplink:detalle_licitacion&amp;idEvl=TMFgL%2BDGMd%2F9pbnDwlaUlg%3D%3D" TargetMode="External" Id="rId1468" /><Relationship Type="http://schemas.openxmlformats.org/officeDocument/2006/relationships/hyperlink" Target="https://contrataciondelestado.es/FileSystem/servlet/GetDocumentByIdServlet?cifrado=QUC1GjXXSiLkydRHJBmbpw%3D%3D&amp;DocumentIdParam=YleSUNoyPguoXw/wAdA3oCO9BUMfiPE4COW19wGuoetufEj849jDl/Va7BeLkx2aNYsFtg63PrKmbx8sWHCiRNq03GcDE33eEZFQN1pQf9u1aXEvq3KHa/AEHgtDrQw0" TargetMode="External" Id="rId1469" /><Relationship Type="http://schemas.openxmlformats.org/officeDocument/2006/relationships/hyperlink" Target="https://contrataciondelestado.es/wps/poc?uri=deeplink:detalle_licitacion&amp;idEvl=UQ%2Fbkeh6%2B%2Bhq1DdmE7eaXg%3D%3D" TargetMode="External" Id="rId1470" /><Relationship Type="http://schemas.openxmlformats.org/officeDocument/2006/relationships/hyperlink" Target="https://contrataciondelestado.es/FileSystem/servlet/GetDocumentByIdServlet?cifrado=QUC1GjXXSiLkydRHJBmbpw%3D%3D&amp;DocumentIdParam=HJAThRkGAYP9aYroMu1oBGgThOohKDvzKdqph1n%2B8GuEC28I9N6tJMd26oUOHutnwygqZvPwt0bcRy7m35o70MX/p6t4j48UY/4N%2B9bkGclt/o8fNevwsujgRzaBbugn" TargetMode="External" Id="rId1471" /><Relationship Type="http://schemas.openxmlformats.org/officeDocument/2006/relationships/hyperlink" Target="https://contrataciondelestado.es/wps/poc?uri=deeplink:detalle_licitacion&amp;idEvl=ynX2T2b5rVri0Kd8%2Brcp6w%3D%3D" TargetMode="External" Id="rId1472" /><Relationship Type="http://schemas.openxmlformats.org/officeDocument/2006/relationships/hyperlink" Target="https://contrataciondelestado.es/FileSystem/servlet/GetDocumentByIdServlet?cifrado=QUC1GjXXSiLkydRHJBmbpw%3D%3D&amp;DocumentIdParam=witVxCqxOiQT4KiP9m8AfsY%2BD7SHXJzJPKLdGX4ziXTeNbP/Kwo8O/1%2B872B/e6O19/2u45JFEq3bDGmjO2va8npu0mwu4E2Tuw4KtHoSHIC1/zDIE0Kw/PWNnLS0Z0z" TargetMode="External" Id="rId1473" /><Relationship Type="http://schemas.openxmlformats.org/officeDocument/2006/relationships/hyperlink" Target="https://contrataciondelestado.es/wps/poc?uri=deeplink:detalle_licitacion&amp;idEvl=VksGl%2Fog6kpVkTabT%2FRM8A%3D%3D" TargetMode="External" Id="rId1474" /><Relationship Type="http://schemas.openxmlformats.org/officeDocument/2006/relationships/hyperlink" Target="https://contrataciondelestado.es/FileSystem/servlet/GetDocumentByIdServlet?cifrado=QUC1GjXXSiLkydRHJBmbpw%3D%3D&amp;DocumentIdParam=RK6gwV61macW44Y/f8NhP57VFEi92ovLHJfOGhJwPx%2Bm3prKAucN3lRI7AE/IVnTr07jAc7hstUf6%2B7IRjEopXFeQo30kOr3MnCCJ2/RJ0VJOVDbGCDM%2BMigrvuVS7Rv" TargetMode="External" Id="rId1475" /><Relationship Type="http://schemas.openxmlformats.org/officeDocument/2006/relationships/hyperlink" Target="https://contrataciondelestado.es/wps/poc?uri=deeplink:detalle_licitacion&amp;idEvl=r7%2Fe90vTbRvpxJFXpLZ%2B2A%3D%3D" TargetMode="External" Id="rId1476" /><Relationship Type="http://schemas.openxmlformats.org/officeDocument/2006/relationships/hyperlink" Target="https://contrataciondelestado.es/FileSystem/servlet/GetDocumentByIdServlet?cifrado=QUC1GjXXSiLkydRHJBmbpw%3D%3D&amp;DocumentIdParam=3Ftuv01pcldJrGa33jojk6crChbZj9dKjXMUeByAWCbBuNl%2BcFlnVo3/1FziI0aGO8PPCAQbFIQz1KDrfHQz%2BJw8XAoBFYUQovxwvtaPwtvVTD3T98KC0nSgQFM0q%2B5s" TargetMode="External" Id="rId1477" /><Relationship Type="http://schemas.openxmlformats.org/officeDocument/2006/relationships/hyperlink" Target="https://contrataciondelestado.es/wps/poc?uri=deeplink:detalle_licitacion&amp;idEvl=%2FIeClmd8bbN%2BF6L2uCfUWg%3D%3D" TargetMode="External" Id="rId1478" /><Relationship Type="http://schemas.openxmlformats.org/officeDocument/2006/relationships/hyperlink" Target="https://contrataciondelestado.es/FileSystem/servlet/GetDocumentByIdServlet?cifrado=QUC1GjXXSiLkydRHJBmbpw%3D%3D&amp;DocumentIdParam=P%2BXrr9eHQcEwwisIFef5%2BJ/zmdSWGC9Y1c/XiwjB%2BXWcAPxwsg0xSdRvebQSKFANqYNz9FGikOSNz8lb92Gky4LZ4ESunv%2B5VnP9LrJfLVMZyAJWGsSt0OzTSTyw9JAs" TargetMode="External" Id="rId1479" /><Relationship Type="http://schemas.openxmlformats.org/officeDocument/2006/relationships/hyperlink" Target="https://contrataciondelestado.es/wps/poc?uri=deeplink:detalle_licitacion&amp;idEvl=MsWAkDVP%2B6mFQ%2FlhRK79lA%3D%3D" TargetMode="External" Id="rId1480" /><Relationship Type="http://schemas.openxmlformats.org/officeDocument/2006/relationships/hyperlink" Target="https://contrataciondelestado.es/FileSystem/servlet/GetDocumentByIdServlet?cifrado=QUC1GjXXSiLkydRHJBmbpw%3D%3D&amp;DocumentIdParam=fIQ5b5kLGEOS4S/sSF5fa00/vz3WWTQoK%2BKImN0lleRUR6au2VTLtd//165zwcCkwekSmvgbRYcnqGp3xGA85T3xlWPeiGTpzepRjxtribeB0nvVKRzfe4rpHcnlPhSZ" TargetMode="External" Id="rId1481" /><Relationship Type="http://schemas.openxmlformats.org/officeDocument/2006/relationships/hyperlink" Target="https://contrataciondelestado.es/wps/poc?uri=deeplink:detalle_licitacion&amp;idEvl=gZB5%2BbIwFa%2FIGlsa0Wad%2Bw%3D%3D" TargetMode="External" Id="rId1482" /><Relationship Type="http://schemas.openxmlformats.org/officeDocument/2006/relationships/hyperlink" Target="https://contrataciondelestado.es/FileSystem/servlet/GetDocumentByIdServlet?cifrado=QUC1GjXXSiLkydRHJBmbpw%3D%3D&amp;DocumentIdParam=81cX2N%2BjD3zA4UxRO3KnenXZagTeiQ7fAaXW5FOUTECFqG9EQ03LXm5APmQLydEc9n%2By8HM8r4TrgSkCmcZ7x9Y1Th7a127LePYpdKzAKl36CYyL7SIrUOBFfNf52ZqA" TargetMode="External" Id="rId1483" /><Relationship Type="http://schemas.openxmlformats.org/officeDocument/2006/relationships/hyperlink" Target="https://contrataciondelestado.es/wps/poc?uri=deeplink:detalle_licitacion&amp;idEvl=bcArcXMtrcP5Rey58Yagpg%3D%3D" TargetMode="External" Id="rId1484" /><Relationship Type="http://schemas.openxmlformats.org/officeDocument/2006/relationships/hyperlink" Target="https://contrataciondelestado.es/FileSystem/servlet/GetDocumentByIdServlet?cifrado=QUC1GjXXSiLkydRHJBmbpw%3D%3D&amp;DocumentIdParam=Tc%2BevFewYDKgLCb0qnJJVdJZg2i5JiyXdaZfpKdnPiTGBTV2nHuaQC7jXg8W7T2zrZoI40iaNGYwG605m8Jee9oQmJn9X0VPdc0FeJ%2Bi70z6CYyL7SIrUOBFfNf52ZqA" TargetMode="External" Id="rId1485" /><Relationship Type="http://schemas.openxmlformats.org/officeDocument/2006/relationships/hyperlink" Target="https://contrataciondelestado.es/wps/poc?uri=deeplink:detalle_licitacion&amp;idEvl=dFRWUcZ5kkozjChw4z%2FXvw%3D%3D" TargetMode="External" Id="rId1486" /><Relationship Type="http://schemas.openxmlformats.org/officeDocument/2006/relationships/hyperlink" Target="https://contrataciondelestado.es/FileSystem/servlet/GetDocumentByIdServlet?cifrado=QUC1GjXXSiLkydRHJBmbpw%3D%3D&amp;DocumentIdParam=f0WKn/TOjyihzzXGt2avyCggheKZlHlbVbaoDCFUodzFljlctnIukyhcNfdIskCEignDJFNO5sXIXHJoqWSxhHEm/FeV4MwK/x96By/qYjyCx2e6p7hqtlp2aFupgHMr" TargetMode="External" Id="rId1487" /><Relationship Type="http://schemas.openxmlformats.org/officeDocument/2006/relationships/hyperlink" Target="https://contrataciondelestado.es/wps/poc?uri=deeplink:detalle_licitacion&amp;idEvl=zUVHUc0JZMNq1DdmE7eaXg%3D%3D" TargetMode="External" Id="rId1488" /><Relationship Type="http://schemas.openxmlformats.org/officeDocument/2006/relationships/hyperlink" Target="https://contrataciondelestado.es/FileSystem/servlet/GetDocumentByIdServlet?cifrado=QUC1GjXXSiLkydRHJBmbpw%3D%3D&amp;DocumentIdParam=o45v/vZNx91sLlZ1%2BVkuQRDuUvodUivqjbQ1TjFPZQR2OXIiZ9kuK6mgkXgPrSoMTOKCJXxswAoysE5qq7LLtAdxykbXMQGJEt%2BN69ujhkyCx2e6p7hqtlp2aFupgHMr" TargetMode="External" Id="rId1489" /><Relationship Type="http://schemas.openxmlformats.org/officeDocument/2006/relationships/hyperlink" Target="https://contrataciondelestado.es/wps/poc?uri=deeplink:detalle_licitacion&amp;idEvl=%2F1biQqqbJFGS81gZFETWmA%3D%3D" TargetMode="External" Id="rId1490" /><Relationship Type="http://schemas.openxmlformats.org/officeDocument/2006/relationships/hyperlink" Target="https://contrataciondelestado.es/FileSystem/servlet/GetDocumentByIdServlet?cifrado=QUC1GjXXSiLkydRHJBmbpw%3D%3D&amp;DocumentIdParam=Cb3FgLsyPqCh/1qkHu94MHklrpsyxlSyuZ4kJuuSuHrdm1BOrJ9q2dCmUYDDHUMD90dqzn9GFPi50S7Bqv%2BuwQQ2EjwsUGnYI8DwHbR3CSL3GVhXrFFqN7yFncy7YfRK" TargetMode="External" Id="rId1491" /><Relationship Type="http://schemas.openxmlformats.org/officeDocument/2006/relationships/hyperlink" Target="https://contrataciondelestado.es/wps/poc?uri=deeplink:detalle_licitacion&amp;idEvl=QVNbImRcmHn5Rey58Yagpg%3D%3D" TargetMode="External" Id="rId1492" /><Relationship Type="http://schemas.openxmlformats.org/officeDocument/2006/relationships/hyperlink" Target="https://contrataciondelestado.es/FileSystem/servlet/GetDocumentByIdServlet?cifrado=QUC1GjXXSiLkydRHJBmbpw%3D%3D&amp;DocumentIdParam=L2VwOEQjIF3%2B1PC7J5NozDJ9V510giShFXEUJw2HvL879kk6bpkKnxqxT8PZqsEKTKPI9bwziynSTYYoQtMjND8B6MLb07g9VOw9CqWOTI%2BHAj0WEJrB5sP7amrh2jBD" TargetMode="External" Id="rId1493" /><Relationship Type="http://schemas.openxmlformats.org/officeDocument/2006/relationships/hyperlink" Target="https://contrataciondelestado.es/wps/poc?uri=deeplink:detalle_licitacion&amp;idEvl=RFh2L%2FRHSY6LAncw3qdZkA%3D%3D" TargetMode="External" Id="rId1494" /><Relationship Type="http://schemas.openxmlformats.org/officeDocument/2006/relationships/hyperlink" Target="https://contrataciondelestado.es/FileSystem/servlet/GetDocumentByIdServlet?cifrado=QUC1GjXXSiLkydRHJBmbpw%3D%3D&amp;DocumentIdParam=YS3npWcXDPQC%2BfNJ9LKblnPJHa1QdFqSuzDJSr6fCziME/Yd8K3EMnHriUa%2B%2BRowhtTIagQyXNufudEnoxXZYpKWhG6bneq%2BMW%2B/Eka8XWK1aXEvq3KHa/AEHgtDrQw0" TargetMode="External" Id="rId1495" /><Relationship Type="http://schemas.openxmlformats.org/officeDocument/2006/relationships/hyperlink" Target="https://contrataciondelestado.es/wps/poc?uri=deeplink:detalle_licitacion&amp;idEvl=d3RD70qDfpSFlFRHfEzEaw%3D%3D" TargetMode="External" Id="rId1496" /><Relationship Type="http://schemas.openxmlformats.org/officeDocument/2006/relationships/hyperlink" Target="https://contrataciondelestado.es/FileSystem/servlet/GetDocumentByIdServlet?cifrado=QUC1GjXXSiLkydRHJBmbpw%3D%3D&amp;DocumentIdParam=VI3xA2IjraSbbNiyq5c3%2BhC6rsu8Rm4xBnp4c8u8IpZwHfNPgxDf7xm1kZBnPeGvMfyK1rUurSQM2qMpzE7gc4FNACdHqxnpHSKbJLIJVrwZyAJWGsSt0OzTSTyw9JAs" TargetMode="External" Id="rId1497" /><Relationship Type="http://schemas.openxmlformats.org/officeDocument/2006/relationships/hyperlink" Target="https://contrataciondelestado.es/wps/poc?uri=deeplink:detalle_licitacion&amp;idEvl=WzKH%2FCL9hb9SYrkJkLlFdw%3D%3D" TargetMode="External" Id="rId1498" /><Relationship Type="http://schemas.openxmlformats.org/officeDocument/2006/relationships/hyperlink" Target="https://contrataciondelestado.es/FileSystem/servlet/GetDocumentByIdServlet?cifrado=QUC1GjXXSiLkydRHJBmbpw%3D%3D&amp;DocumentIdParam=Sy8VgnKwXeFFoDrzp%2B1e1crOF3O/MDrhQ0KUVVya/0m9N2RQXbWlNwmbKprZVNsWxLkpCx2X7KV08fLWoZoGQgTr5UYKmC9BZHyVCQ2DLqN7QB3HKyQaFUExmUVQCerk" TargetMode="External" Id="rId1499" /><Relationship Type="http://schemas.openxmlformats.org/officeDocument/2006/relationships/hyperlink" Target="https://contrataciondelestado.es/wps/poc?uri=deeplink:detalle_licitacion&amp;idEvl=N4pk1Xzr479rhBlEHQFSKA%3D%3D" TargetMode="External" Id="rId1500" /><Relationship Type="http://schemas.openxmlformats.org/officeDocument/2006/relationships/hyperlink" Target="https://contrataciondelestado.es/FileSystem/servlet/GetDocumentByIdServlet?cifrado=QUC1GjXXSiLkydRHJBmbpw%3D%3D&amp;DocumentIdParam=h3ernJNaaJ8e602LnWH3/wg9hbtD0O%2B6hYawleUAo721zAs1kep5IUXGs3%2BpsLjdpxNaY55FZHjtal%2Bul6cMuwBbcDKWe9eeEBx9EZeGue545ClyWkoJ44mKM70IFcOu" TargetMode="External" Id="rId1501" /><Relationship Type="http://schemas.openxmlformats.org/officeDocument/2006/relationships/hyperlink" Target="https://contrataciondelestado.es/wps/poc?uri=deeplink:detalle_licitacion&amp;idEvl=GEuTQw66uF7VGIpKDxgsAQ%3D%3D" TargetMode="External" Id="rId1502" /><Relationship Type="http://schemas.openxmlformats.org/officeDocument/2006/relationships/hyperlink" Target="https://contrataciondelestado.es/FileSystem/servlet/GetDocumentByIdServlet?cifrado=QUC1GjXXSiLkydRHJBmbpw%3D%3D&amp;DocumentIdParam=7SfJagxWYIuQ%2BPatvkup9yJapyZDHUNpiLiOSvGR1XFgpYM1mKlLnZ2mXcOQ%2Be4m76hOlLc4XxIiBnzeppGPtPoEsPS7z5Nwvvwd%2B0xnms/VTD3T98KC0nSgQFM0q%2B5s" TargetMode="External" Id="rId1503" /><Relationship Type="http://schemas.openxmlformats.org/officeDocument/2006/relationships/hyperlink" Target="https://contrataciondelestado.es/wps/poc?uri=deeplink:detalle_licitacion&amp;idEvl=0kfM1WlYQaomMOlAXxDEjw%3D%3D" TargetMode="External" Id="rId1504" /><Relationship Type="http://schemas.openxmlformats.org/officeDocument/2006/relationships/hyperlink" Target="https://contrataciondelestado.es/FileSystem/servlet/GetDocumentByIdServlet?cifrado=QUC1GjXXSiLkydRHJBmbpw%3D%3D&amp;DocumentIdParam=d0hvP0HoeuOXq4hCPCzXneBTDUeKtjaIl3ijH%2BuK5Yy9z0SAUCDE%2B7fkF6Brs/6GjFVKeRWr5dnGjvPTzTSK63TlsNtlwzgzSWIS2fNA7Et45ClyWkoJ44mKM70IFcOu" TargetMode="External" Id="rId1505" /><Relationship Type="http://schemas.openxmlformats.org/officeDocument/2006/relationships/hyperlink" Target="https://contrataciondelestado.es/wps/poc?uri=deeplink:detalle_licitacion&amp;idEvl=2H3qFmZF5PtxseVhcqrkhw%3D%3D" TargetMode="External" Id="rId1506" /><Relationship Type="http://schemas.openxmlformats.org/officeDocument/2006/relationships/hyperlink" Target="https://contrataciondelestado.es/FileSystem/servlet/GetDocumentByIdServlet?cifrado=QUC1GjXXSiLkydRHJBmbpw%3D%3D&amp;DocumentIdParam=SjFqutA60hGWMQcsNei7UNJV/Tc0FJOhsmtoLD//CfhhCA3lj69h4hZuswu7/uUGPQ/eba/bSVCQqyn82xe35JTCSZeJvzRLPvKvaFBnpN/3GVhXrFFqN7yFncy7YfRK" TargetMode="External" Id="rId1507" /><Relationship Type="http://schemas.openxmlformats.org/officeDocument/2006/relationships/hyperlink" Target="https://contrataciondelestado.es/wps/poc?uri=deeplink:detalle_licitacion&amp;idEvl=uGbSVvAY3rt%2FP7lJ7Fu0SA%3D%3D" TargetMode="External" Id="rId1508" /><Relationship Type="http://schemas.openxmlformats.org/officeDocument/2006/relationships/hyperlink" Target="https://contrataciondelestado.es/FileSystem/servlet/GetDocumentByIdServlet?cifrado=QUC1GjXXSiLkydRHJBmbpw%3D%3D&amp;DocumentIdParam=JgG%2B6YvM2dqKT%2BVsaUQ4Dp3AyLF3DBuG0FHWlcQJC5AnYLDiUBjd1UlLa49AC/rsnnTCLlTVw26OBYmbXuPklXsGfQHms0BxGFO8rfhpYc/VTD3T98KC0nSgQFM0q%2B5s" TargetMode="External" Id="rId1509" /><Relationship Type="http://schemas.openxmlformats.org/officeDocument/2006/relationships/hyperlink" Target="https://contrataciondelestado.es/wps/poc?uri=deeplink:detalle_licitacion&amp;idEvl=BS4hZ485hZgadbH3CysQuQ%3D%3D" TargetMode="External" Id="rId1510" /><Relationship Type="http://schemas.openxmlformats.org/officeDocument/2006/relationships/hyperlink" Target="https://contrataciondelestado.es/FileSystem/servlet/GetDocumentByIdServlet?cifrado=QUC1GjXXSiLkydRHJBmbpw%3D%3D&amp;DocumentIdParam=zkCQWFCu2/Q395V4pKNlVfhxKsqJOg1HYPc2zUMEWVzJQNhSy4MlLASL/6DRFXJa1vPKfeZZ7tGTMpeZ1BuD3LMie6fl40UXSjQMeiZ/3zWCx2e6p7hqtlp2aFupgHMr" TargetMode="External" Id="rId1511" /><Relationship Type="http://schemas.openxmlformats.org/officeDocument/2006/relationships/hyperlink" Target="https://contrataciondelestado.es/wps/poc?uri=deeplink:detalle_licitacion&amp;idEvl=27YISnV1qnXgL1BHd3qjQA%3D%3D" TargetMode="External" Id="rId1512" /><Relationship Type="http://schemas.openxmlformats.org/officeDocument/2006/relationships/hyperlink" Target="https://contrataciondelestado.es/FileSystem/servlet/GetDocumentByIdServlet?cifrado=QUC1GjXXSiLkydRHJBmbpw%3D%3D&amp;DocumentIdParam=N4RQpGAxpTCPU7Td3yuTQS%2Bt9O0oa4qyCvQTsQi4lK54muI84ipBWXwvZT9quVySsqaDyBafdN1Sf3ulaln7NSPhAs%2BQOGZxh31IkNAWo2FJOVDbGCDM%2BMigrvuVS7Rv" TargetMode="External" Id="rId1513" /><Relationship Type="http://schemas.openxmlformats.org/officeDocument/2006/relationships/hyperlink" Target="https://contrataciondelestado.es/wps/poc?uri=deeplink:detalle_licitacion&amp;idEvl=QFoJCM8KB2hLAIVZdUs8KA%3D%3D" TargetMode="External" Id="rId1514" /><Relationship Type="http://schemas.openxmlformats.org/officeDocument/2006/relationships/hyperlink" Target="https://contrataciondelestado.es/FileSystem/servlet/GetDocumentByIdServlet?cifrado=QUC1GjXXSiLkydRHJBmbpw%3D%3D&amp;DocumentIdParam=0iXTfXQj/TqSnpBHmPtiyrnWS5423uAOyTVET/N1PISqNFUOTDWUtrEF3St9O%2B1122FiXhSsUtBBxhudTqE008CCFE14M24rzvmGfVexh16Cx2e6p7hqtlp2aFupgHMr" TargetMode="External" Id="rId1515" /><Relationship Type="http://schemas.openxmlformats.org/officeDocument/2006/relationships/hyperlink" Target="https://contrataciondelestado.es/wps/poc?uri=deeplink:detalle_licitacion&amp;idEvl=KnSyMkDvYK6ExvMJXBMHHQ%3D%3D" TargetMode="External" Id="rId1516" /><Relationship Type="http://schemas.openxmlformats.org/officeDocument/2006/relationships/hyperlink" Target="https://contrataciondelestado.es/FileSystem/servlet/GetDocumentByIdServlet?cifrado=QUC1GjXXSiLkydRHJBmbpw%3D%3D&amp;DocumentIdParam=vjpdFNGIVuc16ARkOWG6Q8I0Tbvp/G2xa43Nr/rhDwiu7yxiMqjZzU%2BqYccXNQLRPQld/yFrhqGdaEdzsTJ8NiSH6IhvY59/06qynzhy5SFt/o8fNevwsujgRzaBbugn" TargetMode="External" Id="rId1517" /><Relationship Type="http://schemas.openxmlformats.org/officeDocument/2006/relationships/hyperlink" Target="https://contrataciondelestado.es/wps/poc?uri=deeplink:detalle_licitacion&amp;idEvl=l2rGhcJQ2m%2BKeVWTb9Scog%3D%3D" TargetMode="External" Id="rId1518" /><Relationship Type="http://schemas.openxmlformats.org/officeDocument/2006/relationships/hyperlink" Target="https://contrataciondelestado.es/FileSystem/servlet/GetDocumentByIdServlet?cifrado=QUC1GjXXSiLkydRHJBmbpw%3D%3D&amp;DocumentIdParam=dpYT70RLLRSqco0pvlhXxx/ymGxrOWDqO6JVSnI7Nhb1MQw02TEV4Hm/oCWtMJS62Jpp2zlZQ8RtqZ9QD6%2BUkMpC8QUyf1W5JLNeExmsWaGB0nvVKRzfe4rpHcnlPhSZ" TargetMode="External" Id="rId1519" /><Relationship Type="http://schemas.openxmlformats.org/officeDocument/2006/relationships/hyperlink" Target="https://contrataciondelestado.es/wps/poc?uri=deeplink:detalle_licitacion&amp;idEvl=cnkwhK21NNHzAq95uGTrDQ%3D%3D" TargetMode="External" Id="rId1520" /><Relationship Type="http://schemas.openxmlformats.org/officeDocument/2006/relationships/hyperlink" Target="https://contrataciondelestado.es/FileSystem/servlet/GetDocumentByIdServlet?cifrado=QUC1GjXXSiLkydRHJBmbpw%3D%3D&amp;DocumentIdParam=/Wx6IHc87DP%2BPhhK9K/Vj3tbibRf/4HRIsQYGv0Y38noKP8zw2XAX/0qJ8pYTpPVSTZdKipTWdj/5aSKdxpVyI9ssCH9FtM5cbXgZlyCBRm1aXEvq3KHa/AEHgtDrQw0" TargetMode="External" Id="rId1521" /><Relationship Type="http://schemas.openxmlformats.org/officeDocument/2006/relationships/hyperlink" Target="https://contrataciondelestado.es/wps/poc?uri=deeplink:detalle_licitacion&amp;idEvl=iFMI19lXBddJ8Trn0ZPzLw%3D%3D" TargetMode="External" Id="rId1522" /><Relationship Type="http://schemas.openxmlformats.org/officeDocument/2006/relationships/hyperlink" Target="https://contrataciondelestado.es/FileSystem/servlet/GetDocumentByIdServlet?cifrado=QUC1GjXXSiLkydRHJBmbpw%3D%3D&amp;DocumentIdParam=d5odCYECRvRPVfXxQXv0%2BYIA/1kYz5qXHjdFo3Yo1jZRSSN04bFLtQSFv8I3M2YtcXRpIxiStMnnvrCFGMS79f3%2BlrMsuiWlAed5Tgs/Gpw//q7NB2iMZvNyf0xrJmjt" TargetMode="External" Id="rId1523" /><Relationship Type="http://schemas.openxmlformats.org/officeDocument/2006/relationships/hyperlink" Target="https://contrataciondelestado.es/wps/poc?uri=deeplink:detalle_licitacion&amp;idEvl=h1bV%2FOuOm9vzAq95uGTrDQ%3D%3D" TargetMode="External" Id="rId1524" /><Relationship Type="http://schemas.openxmlformats.org/officeDocument/2006/relationships/hyperlink" Target="https://contrataciondelestado.es/FileSystem/servlet/GetDocumentByIdServlet?cifrado=QUC1GjXXSiLkydRHJBmbpw%3D%3D&amp;DocumentIdParam=MPk6/HF5qnVP1sGqAHKI3hkN%2BGq5U00rI/h7EfcqiYm1qZz1zcqPzV9gcBlm/27oFGffKpK3wUDdQPXntg5V48Zp25V2rppEEk8ixr3tghG1aXEvq3KHa/AEHgtDrQw0" TargetMode="External" Id="rId1525" /><Relationship Type="http://schemas.openxmlformats.org/officeDocument/2006/relationships/hyperlink" Target="https://contrataciondelestado.es/wps/poc?uri=deeplink:detalle_licitacion&amp;idEvl=esIKeutzbA35Rey58Yagpg%3D%3D" TargetMode="External" Id="rId1526" /><Relationship Type="http://schemas.openxmlformats.org/officeDocument/2006/relationships/hyperlink" Target="https://contrataciondelestado.es/FileSystem/servlet/GetDocumentByIdServlet?cifrado=QUC1GjXXSiLkydRHJBmbpw%3D%3D&amp;DocumentIdParam=5yMzYIfRsTQr3DBHjiurPq0ThNwv/pNh3mYoUOHQEsZOMjUwtwDZR759JdMqQZRdgzQYAOwdMK9w5pS1IgMN%2BDCfcf6tuTuGUcduNDsGwtTDdQD9RyhUmzT4jZ2In4zL" TargetMode="External" Id="rId1527" /><Relationship Type="http://schemas.openxmlformats.org/officeDocument/2006/relationships/hyperlink" Target="https://contrataciondelestado.es/wps/poc?uri=deeplink:detalle_licitacion&amp;idEvl=2Ij5Yt3CdUJq1DdmE7eaXg%3D%3D" TargetMode="External" Id="rId1528" /><Relationship Type="http://schemas.openxmlformats.org/officeDocument/2006/relationships/hyperlink" Target="https://contrataciondelestado.es/FileSystem/servlet/GetDocumentByIdServlet?cifrado=QUC1GjXXSiLkydRHJBmbpw%3D%3D&amp;DocumentIdParam=GMmQQ%2Bp7xYZBsvfi1w8nf6EWDwcLJH3NZipdEG5koJXX2hFzgKrx8UkqI5bg1GPV8QG4f3mizspZ67Xs3oIWJZ4pQu/BHbMzp69%2BfXBKOC945ClyWkoJ44mKM70IFcOu" TargetMode="External" Id="rId1529" /><Relationship Type="http://schemas.openxmlformats.org/officeDocument/2006/relationships/hyperlink" Target="https://contrataciondelestado.es/wps/poc?uri=deeplink:detalle_licitacion&amp;idEvl=sV0OuGIhEZES7pcxhTeWOg%3D%3D" TargetMode="External" Id="rId1530" /><Relationship Type="http://schemas.openxmlformats.org/officeDocument/2006/relationships/hyperlink" Target="https://contrataciondelestado.es/FileSystem/servlet/GetDocumentByIdServlet?cifrado=QUC1GjXXSiLkydRHJBmbpw%3D%3D&amp;DocumentIdParam=cZpeor4HLvhZ14vPEgqxlA3rHwO%2B8qB%2Bvs6EL6JC6hefriIFQiKE3Zxp5UKDVHP21NiQAhzJcuP/hEfMX6vvlbDQ8XRFul%2B12Nee9/rM1jEC1/zDIE0Kw/PWNnLS0Z0z" TargetMode="External" Id="rId1531" /><Relationship Type="http://schemas.openxmlformats.org/officeDocument/2006/relationships/hyperlink" Target="https://contrataciondelestado.es/wps/poc?uri=deeplink:detalle_licitacion&amp;idEvl=9tmdd%2B3Ct5fVGIpKDxgsAQ%3D%3D" TargetMode="External" Id="rId1532" /><Relationship Type="http://schemas.openxmlformats.org/officeDocument/2006/relationships/hyperlink" Target="https://contrataciondelestado.es/FileSystem/servlet/GetDocumentByIdServlet?cifrado=QUC1GjXXSiLkydRHJBmbpw%3D%3D&amp;DocumentIdParam=fWh/oFEtvOL4fshOilgm6FK0Lb9XHGZelUc0qOAfQUWhYEbD8NSrrBx3RhGyFKe9DBBiYy/VTU%2BkDiV6LVM7JMjSenqBIHZZNlgQ7IfqYQe1aXEvq3KHa/AEHgtDrQw0" TargetMode="External" Id="rId1533" /><Relationship Type="http://schemas.openxmlformats.org/officeDocument/2006/relationships/hyperlink" Target="https://contrataciondelestado.es/wps/poc?uri=deeplink:detalle_licitacion&amp;idEvl=Re85QmZ4t%2B1%2FP7lJ7Fu0SA%3D%3D" TargetMode="External" Id="rId1534" /><Relationship Type="http://schemas.openxmlformats.org/officeDocument/2006/relationships/hyperlink" Target="https://contrataciondelestado.es/FileSystem/servlet/GetDocumentByIdServlet?cifrado=QUC1GjXXSiLkydRHJBmbpw%3D%3D&amp;DocumentIdParam=ljJZKAEkSp7rodSaLnsGBAMYm8wnwBME8HbJ8c5KuIpNJ/R4FWqCKGJtC/FQ22OMTys2TygC4bWbQ6t3YyYRQ9uBdLiYvgB%2BR/MYygo07z/VTD3T98KC0nSgQFM0q%2B5s" TargetMode="External" Id="rId1535" /><Relationship Type="http://schemas.openxmlformats.org/officeDocument/2006/relationships/hyperlink" Target="https://contrataciondelestado.es/wps/poc?uri=deeplink:detalle_licitacion&amp;idEvl=4v31HQEJPNmFlFRHfEzEaw%3D%3D" TargetMode="External" Id="rId1536" /><Relationship Type="http://schemas.openxmlformats.org/officeDocument/2006/relationships/hyperlink" Target="https://contrataciondelestado.es/FileSystem/servlet/GetDocumentByIdServlet?cifrado=QUC1GjXXSiLkydRHJBmbpw%3D%3D&amp;DocumentIdParam=WW2aXCv4CZYnsTSKyqgXUorgM2WfYCT4LpbcwMQQRY2sqwVCrTuz/VgEiPPFTLQpuPHzNioPy%2BEWPGCZyJtxJM/hl3eZQlBX1WxJekShNRvVTD3T98KC0nSgQFM0q%2B5s" TargetMode="External" Id="rId1537" /><Relationship Type="http://schemas.openxmlformats.org/officeDocument/2006/relationships/hyperlink" Target="https://contrataciondelestado.es/wps/poc?uri=deeplink:detalle_licitacion&amp;idEvl=SsXtFbDlwG%2F9pbnDwlaUlg%3D%3D" TargetMode="External" Id="rId1538" /><Relationship Type="http://schemas.openxmlformats.org/officeDocument/2006/relationships/hyperlink" Target="https://contrataciondelestado.es/FileSystem/servlet/GetDocumentByIdServlet?cifrado=QUC1GjXXSiLkydRHJBmbpw%3D%3D&amp;DocumentIdParam=tg4YL/xZM2zdCii/a9/vZYJ7x%2BW/uhhRmvrPyvRTA7wWgm%2B4eIHBEo3mFsfEHyvDR3Ghg/mTA7NWuO9Z96pM6e8MPT6kKUSn4KCkt2qwTVNJOVDbGCDM%2BMigrvuVS7Rv" TargetMode="External" Id="rId1539" /><Relationship Type="http://schemas.openxmlformats.org/officeDocument/2006/relationships/hyperlink" Target="https://contrataciondelestado.es/wps/poc?uri=deeplink:detalle_licitacion&amp;idEvl=mcT6ObGL2CrECtSnloz%2BZQ%3D%3D" TargetMode="External" Id="rId1540" /><Relationship Type="http://schemas.openxmlformats.org/officeDocument/2006/relationships/hyperlink" Target="https://contrataciondelestado.es/FileSystem/servlet/GetDocumentByIdServlet?cifrado=QUC1GjXXSiLkydRHJBmbpw%3D%3D&amp;DocumentIdParam=FAY8WsZhV1jUE6rnKvBbtKPfs/8izsN9rIreRAWzeZuyrk/xajB4Bfb/F9DlOl0k2dbQSojS9atHyLiiKa8obuC86F0hcv3NePtkU2kFORX6CYyL7SIrUOBFfNf52ZqA" TargetMode="External" Id="rId1541" /><Relationship Type="http://schemas.openxmlformats.org/officeDocument/2006/relationships/hyperlink" Target="https://contrataciondelestado.es/wps/poc?uri=deeplink:detalle_licitacion&amp;idEvl=4vFZYoEWBByKeVWTb9Scog%3D%3D" TargetMode="External" Id="rId1542" /><Relationship Type="http://schemas.openxmlformats.org/officeDocument/2006/relationships/hyperlink" Target="https://contrataciondelestado.es/FileSystem/servlet/GetDocumentByIdServlet?cifrado=QUC1GjXXSiLkydRHJBmbpw%3D%3D&amp;DocumentIdParam=lIWKop0FieoGcEADg0tdLevd9gmyCczdlS%2BjS5YRiIL0247egIlsWkv/olGd81DMqPA2x/oY3YdpF5HF1c4CKnI2B6isMEAH/EzaM/wIsGJJOVDbGCDM%2BMigrvuVS7Rv" TargetMode="External" Id="rId1543" /><Relationship Type="http://schemas.openxmlformats.org/officeDocument/2006/relationships/hyperlink" Target="https://contrataciondelestado.es/wps/poc?uri=deeplink:detalle_licitacion&amp;idEvl=7ZLQVoiM6%2BU4NavIWzMcHA%3D%3D" TargetMode="External" Id="rId1544" /><Relationship Type="http://schemas.openxmlformats.org/officeDocument/2006/relationships/hyperlink" Target="https://contrataciondelestado.es/FileSystem/servlet/GetDocumentByIdServlet?cifrado=QUC1GjXXSiLkydRHJBmbpw%3D%3D&amp;DocumentIdParam=4CQ036XksITA6/3Rmw/70zSEQlC0nEnDn80HqUBS8rtNeu1ngM/AHp4i/FJmBVGNoUyQJb9DiY51O9bvxLREnUGbkuAdVlzwYYK7Fxm8/jJt/o8fNevwsujgRzaBbugn" TargetMode="External" Id="rId1545" /><Relationship Type="http://schemas.openxmlformats.org/officeDocument/2006/relationships/hyperlink" Target="https://contrataciondelestado.es/wps/poc?uri=deeplink:detalle_licitacion&amp;idEvl=c%2FAYe%2BKi2U2S81gZFETWmA%3D%3D" TargetMode="External" Id="rId1546" /><Relationship Type="http://schemas.openxmlformats.org/officeDocument/2006/relationships/hyperlink" Target="https://contrataciondelestado.es/FileSystem/servlet/GetDocumentByIdServlet?cifrado=QUC1GjXXSiLkydRHJBmbpw%3D%3D&amp;DocumentIdParam=yQIrVu/wEwbzbffvS9gLoyOhCqbjdLl3Y9BsrncgCMz0AD7Top9%2BntG2rifrpJqHdp5YC0RMMu0YB91Qclb%2BoJBqSUytVaLYvAlaUI2g5J7VTD3T98KC0nSgQFM0q%2B5s" TargetMode="External" Id="rId1547" /><Relationship Type="http://schemas.openxmlformats.org/officeDocument/2006/relationships/hyperlink" Target="https://contrataciondelestado.es/wps/poc?uri=deeplink:detalle_licitacion&amp;idEvl=%2BEf8aQfWqk5q1DdmE7eaXg%3D%3D" TargetMode="External" Id="rId1548" /><Relationship Type="http://schemas.openxmlformats.org/officeDocument/2006/relationships/hyperlink" Target="https://contrataciondelestado.es/FileSystem/servlet/GetDocumentByIdServlet?cifrado=QUC1GjXXSiLkydRHJBmbpw%3D%3D&amp;DocumentIdParam=9kELR3FHX4XUo47J6d%2Blc2HkwxtIcBBwv0rQ70Rb0FbiFj/DCMAsXbUeiCbf%2BoMXSdMu/NwKDPje429IQet9YqIM%2By4C%2BiToz/zvtIN5XsUC1/zDIE0Kw/PWNnLS0Z0z" TargetMode="External" Id="rId1549" /><Relationship Type="http://schemas.openxmlformats.org/officeDocument/2006/relationships/hyperlink" Target="https://contrataciondelestado.es/wps/poc?uri=deeplink:detalle_licitacion&amp;idEvl=MLR%2FVZ%2FeRM%2BS81gZFETWmA%3D%3D" TargetMode="External" Id="rId1550" /><Relationship Type="http://schemas.openxmlformats.org/officeDocument/2006/relationships/hyperlink" Target="https://contrataciondelestado.es/FileSystem/servlet/GetDocumentByIdServlet?cifrado=QUC1GjXXSiLkydRHJBmbpw%3D%3D&amp;DocumentIdParam=ocgJRLKhbmPL7Hk3mDjRdcx67prq2FiKovn%2BZfPNg2DzGg0f/rXmMvwHkfyQ3aY9yJbn2uRZyVujMbMqsNQv3Q3e4UwGmwxGWkhMcLu%2BCNUZyAJWGsSt0OzTSTyw9JAs" TargetMode="External" Id="rId1551" /><Relationship Type="http://schemas.openxmlformats.org/officeDocument/2006/relationships/hyperlink" Target="https://contrataciondelestado.es/wps/poc?uri=deeplink:detalle_licitacion&amp;idEvl=ZlRe905p7%2BacTfjQf3USOg%3D%3D" TargetMode="External" Id="rId1552" /><Relationship Type="http://schemas.openxmlformats.org/officeDocument/2006/relationships/hyperlink" Target="https://contrataciondelestado.es/wps/poc?uri=deeplink:detalle_licitacion&amp;idEvl=S0kk26g%2BKQ0aF6cS8TCh%2FA%3D%3D" TargetMode="External" Id="rId1553" /><Relationship Type="http://schemas.openxmlformats.org/officeDocument/2006/relationships/hyperlink" Target="https://contrataciondelestado.es/FileSystem/servlet/GetDocumentByIdServlet?cifrado=QUC1GjXXSiLkydRHJBmbpw%3D%3D&amp;DocumentIdParam=kchPjsLQdDfNt7vZdEC6tTyFGW82Ze0o2tgy6Ewlja0DWFD9WzzVy5f%2BUl5pE2kibGymcrl98IaReIX4/clfV0qWwNDIu8zrT10aR6qlp/9JOVDbGCDM%2BMigrvuVS7Rv" TargetMode="External" Id="rId1554" /><Relationship Type="http://schemas.openxmlformats.org/officeDocument/2006/relationships/hyperlink" Target="https://contrataciondelestado.es/wps/poc?uri=deeplink:detalle_licitacion&amp;idEvl=Ot1QjGYxdYi9Hd5zqvq9cg%3D%3D" TargetMode="External" Id="rId1555" /><Relationship Type="http://schemas.openxmlformats.org/officeDocument/2006/relationships/hyperlink" Target="https://contrataciondelestado.es/wps/poc?uri=deeplink:detalle_licitacion&amp;idEvl=9zEPTy%2FR9ivCfVQHDepjGQ%3D%3D" TargetMode="External" Id="rId1556" /><Relationship Type="http://schemas.openxmlformats.org/officeDocument/2006/relationships/hyperlink" Target="https://contrataciondelestado.es/FileSystem/servlet/GetDocumentByIdServlet?cifrado=QUC1GjXXSiLkydRHJBmbpw%3D%3D&amp;DocumentIdParam=LyreUscVKUtqY61feO79SVX0%2BBz82k5fePDIlNuB8wNKWNRA7KFbC/MZCy0smdtIefLZP5GAGQnu9EgFp0vPVyjNdG/9iV9XrHh27bHMGk5JOVDbGCDM%2BMigrvuVS7Rv" TargetMode="External" Id="rId1557" /><Relationship Type="http://schemas.openxmlformats.org/officeDocument/2006/relationships/hyperlink" Target="https://contrataciondelestado.es/wps/poc?uri=deeplink:detalle_licitacion&amp;idEvl=ZCVFc8BLWSPua%2Fi14w%2FPLA%3D%3D" TargetMode="External" Id="rId1558" /><Relationship Type="http://schemas.openxmlformats.org/officeDocument/2006/relationships/hyperlink" Target="https://contrataciondelestado.es/FileSystem/servlet/GetDocumentByIdServlet?cifrado=QUC1GjXXSiLkydRHJBmbpw%3D%3D&amp;DocumentIdParam=tV8EqOuEkAO%2BHwFeXsVqVjBuRSLnlCNijqtJXffnhVd7CSNNlPtSBZYXTbLyNr94AElJPKXWSpv%2BTTIYT3EF6%2BGnEwTDZAETJ4i1Ri3AOEWB0nvVKRzfe4rpHcnlPhSZ" TargetMode="External" Id="rId1559" /><Relationship Type="http://schemas.openxmlformats.org/officeDocument/2006/relationships/hyperlink" Target="https://contrataciondelestado.es/wps/poc?uri=deeplink:detalle_licitacion&amp;idEvl=6jTsxSj25wheKgd8LfVV9g%3D%3D" TargetMode="External" Id="rId1560" /><Relationship Type="http://schemas.openxmlformats.org/officeDocument/2006/relationships/hyperlink" Target="https://contrataciondelestado.es/FileSystem/servlet/GetDocumentByIdServlet?cifrado=QUC1GjXXSiLkydRHJBmbpw%3D%3D&amp;DocumentIdParam=g9E/N3R6vILwP4couwVPO%2BquskDLcPKAUGfgr1Vr1Xz9TPQh/iD4ibVlKQe/2JHnpHo/IHnDISDHiVEOHR3awM6l%2B8iD9npiymMsncz1twz6CYyL7SIrUOBFfNf52ZqA" TargetMode="External" Id="rId1561" /><Relationship Type="http://schemas.openxmlformats.org/officeDocument/2006/relationships/hyperlink" Target="https://contrataciondelestado.es/wps/poc?uri=deeplink:detalle_licitacion&amp;idEvl=slCnKteaz5X%2B3JAijKO%2Bkg%3D%3D" TargetMode="External" Id="rId1562" /><Relationship Type="http://schemas.openxmlformats.org/officeDocument/2006/relationships/hyperlink" Target="https://contrataciondelestado.es/FileSystem/servlet/GetDocumentByIdServlet?cifrado=QUC1GjXXSiLkydRHJBmbpw%3D%3D&amp;DocumentIdParam=aGBPSMdKhBoHVdi6zTlf4m4Zd8E58UAYo0HWtDRQ8DTdKoeHLV%2B%2B3KXnmfgIzDZD6Vuw7%2BnwWOlA/2ejNw/Z06Mhrxwk2vCZyZEdd2gLcH33GVhXrFFqN7yFncy7YfRK" TargetMode="External" Id="rId1563" /><Relationship Type="http://schemas.openxmlformats.org/officeDocument/2006/relationships/hyperlink" Target="https://contrataciondelestado.es/wps/poc?uri=deeplink:detalle_licitacion&amp;idEvl=jV3BFDTzbLeIzo3LHNPGcQ%3D%3D" TargetMode="External" Id="rId1564" /><Relationship Type="http://schemas.openxmlformats.org/officeDocument/2006/relationships/hyperlink" Target="https://contrataciondelestado.es/FileSystem/servlet/GetDocumentByIdServlet?cifrado=QUC1GjXXSiLkydRHJBmbpw%3D%3D&amp;DocumentIdParam=qm50hr20sdVftR8S7biVQl1S1vw71WhtY7PZ4o90%2BQOHxi35zFfvX6dleoKs%2BCMac/7AEiRUFgkncvItWQvR3W4BPt5MV4dP8s8xx%2BsNgz3fdyQgZAdTm3EfcUAC7CJ6" TargetMode="External" Id="rId1565" /><Relationship Type="http://schemas.openxmlformats.org/officeDocument/2006/relationships/hyperlink" Target="https://contrataciondelestado.es/wps/poc?uri=deeplink:detalle_licitacion&amp;idEvl=MoZzxIt3XrTmnwcj%2BxbdTg%3D%3D" TargetMode="External" Id="rId1566" /><Relationship Type="http://schemas.openxmlformats.org/officeDocument/2006/relationships/hyperlink" Target="https://contrataciondelestado.es/FileSystem/servlet/GetDocumentByIdServlet?cifrado=QUC1GjXXSiLkydRHJBmbpw%3D%3D&amp;DocumentIdParam=G%2Bz0RGtJ5C2LKTuO8IKqnVR%2BxP39hnFUW8wopRk3PYqCp3608FVUssIIzjlipimoqSqVaB/5pMqlI/tXZsSraTcc9PvwsjUuQmKg4m2wqXbfdyQgZAdTm3EfcUAC7CJ6" TargetMode="External" Id="rId1567" /><Relationship Type="http://schemas.openxmlformats.org/officeDocument/2006/relationships/hyperlink" Target="https://contrataciondelestado.es/wps/poc?uri=deeplink:detalle_licitacion&amp;idEvl=yPfZK8S2dYcaF6cS8TCh%2FA%3D%3D" TargetMode="External" Id="rId1568" /><Relationship Type="http://schemas.openxmlformats.org/officeDocument/2006/relationships/hyperlink" Target="https://contrataciondelestado.es/FileSystem/servlet/GetDocumentByIdServlet?cifrado=QUC1GjXXSiLkydRHJBmbpw%3D%3D&amp;DocumentIdParam=VArgmGloiQfi/A7vv7rr9zIWdueR9Y6EhR1a49H8deFc0OCLJ58TIST7rCADvTzrvGtp9oAzzc1MNPd6GnZ08IahuF83FQLYQEI7WNVvGSuHAj0WEJrB5sP7amrh2jBD" TargetMode="External" Id="rId1569" /><Relationship Type="http://schemas.openxmlformats.org/officeDocument/2006/relationships/hyperlink" Target="https://contrataciondelestado.es/wps/poc?uri=deeplink:detalle_licitacion&amp;idEvl=PglHM%2Fz52KW7JOCXkOhcDg%3D%3D" TargetMode="External" Id="rId1570" /><Relationship Type="http://schemas.openxmlformats.org/officeDocument/2006/relationships/hyperlink" Target="https://contrataciondelestado.es/FileSystem/servlet/GetDocumentByIdServlet?cifrado=QUC1GjXXSiLkydRHJBmbpw%3D%3D&amp;DocumentIdParam=1MK0QbExv3FQOwhh5H1JUjkqwcSGsTtQWNjBjwM8W3TyfNmP9bhqIK5F%2B3/6Y0OmONfMsH2YcRKO%2BqjORTiqBWEbi2CSTLw6dADZy8xNw16Cx2e6p7hqtlp2aFupgHMr" TargetMode="External" Id="rId1571" /><Relationship Type="http://schemas.openxmlformats.org/officeDocument/2006/relationships/hyperlink" Target="https://contrataciondelestado.es/wps/poc?uri=deeplink:detalle_licitacion&amp;idEvl=AtlhJEny2aYkJPJS%2BPS9vg%3D%3D" TargetMode="External" Id="rId1572" /><Relationship Type="http://schemas.openxmlformats.org/officeDocument/2006/relationships/hyperlink" Target="https://contrataciondelestado.es/FileSystem/servlet/GetDocumentByIdServlet?cifrado=QUC1GjXXSiLkydRHJBmbpw%3D%3D&amp;DocumentIdParam=NYlDkDaWna03qm7Tshy/hhBjaivnLPSB2wWHchieqnu7s7Q26J26oulaIQehlw1dz11T7HfbpQQHUjgCOc4Cbcs%2BqidTud5fWUWP14hlEAiHAj0WEJrB5sP7amrh2jBD" TargetMode="External" Id="rId1573" /><Relationship Type="http://schemas.openxmlformats.org/officeDocument/2006/relationships/hyperlink" Target="https://contrataciondelestado.es/wps/poc?uri=deeplink:detalle_licitacion&amp;idEvl=9gtJbAeMVTdxseVhcqrkhw%3D%3D" TargetMode="External" Id="rId1574" /><Relationship Type="http://schemas.openxmlformats.org/officeDocument/2006/relationships/hyperlink" Target="https://contrataciondelestado.es/FileSystem/servlet/GetDocumentByIdServlet?cifrado=QUC1GjXXSiLkydRHJBmbpw%3D%3D&amp;DocumentIdParam=Aq9y8laoaf/DMoM8dLf5sOvfnWC0aFve1wAxFs75KksOEzb01phpW242gxsNKnV%2BUq6BonAmieybEjbRrOUopRTJLOQFjVuCUV0pOnQrEEF45ClyWkoJ44mKM70IFcOu" TargetMode="External" Id="rId1575" /><Relationship Type="http://schemas.openxmlformats.org/officeDocument/2006/relationships/hyperlink" Target="https://contrataciondelestado.es/wps/poc?uri=deeplink:detalle_licitacion&amp;idEvl=4rSV3ZTsWvL10HRJw8TEnQ%3D%3D" TargetMode="External" Id="rId1576" /><Relationship Type="http://schemas.openxmlformats.org/officeDocument/2006/relationships/hyperlink" Target="https://contrataciondelestado.es/FileSystem/servlet/GetDocumentByIdServlet?cifrado=QUC1GjXXSiLkydRHJBmbpw%3D%3D&amp;DocumentIdParam=FoZ2%2BVengKzr2ZmRSLSS0UcneKyojK/XOB4zP0fHQ%2BX0FddEdm5DqkYdyl0/eMxZzRe8Odx9FV45nxmi8Vcpe7byZEFTHTENicXzda77TOy1aXEvq3KHa/AEHgtDrQw0" TargetMode="External" Id="rId1577" /><Relationship Type="http://schemas.openxmlformats.org/officeDocument/2006/relationships/hyperlink" Target="https://contrataciondelestado.es/wps/poc?uri=deeplink:detalle_licitacion&amp;idEvl=bl9bEg1xa7Mtm4eBPtV6eQ%3D%3D" TargetMode="External" Id="rId1578" /><Relationship Type="http://schemas.openxmlformats.org/officeDocument/2006/relationships/hyperlink" Target="https://contrataciondelestado.es/FileSystem/servlet/GetDocumentByIdServlet?cifrado=QUC1GjXXSiLkydRHJBmbpw%3D%3D&amp;DocumentIdParam=PrJPeRmDiAqCQcHYLWkKvz20sZxOxs39fJY1oMzPVI7BWPc5EddOD1Gdc3L13VOo6Bsv%2BROtP9ZnDpvubwBKiEh5e1NevJwDpTCsgM2IYTp7QB3HKyQaFUExmUVQCerk" TargetMode="External" Id="rId1579" /><Relationship Type="http://schemas.openxmlformats.org/officeDocument/2006/relationships/hyperlink" Target="https://contrataciondelestado.es/wps/poc?uri=deeplink:detalle_licitacion&amp;idEvl=GLdtlq2stPQkJPJS%2BPS9vg%3D%3D" TargetMode="External" Id="rId1580" /><Relationship Type="http://schemas.openxmlformats.org/officeDocument/2006/relationships/hyperlink" Target="https://contrataciondelestado.es/FileSystem/servlet/GetDocumentByIdServlet?cifrado=QUC1GjXXSiLkydRHJBmbpw%3D%3D&amp;DocumentIdParam=GupH8rQQKerrsF/1ZEMLFMT%2Bc9GEBY7w2lwEteRGQIRXA40ZFXEV5ih6ZcTeLwjXgU0jf6v5gsisGSy9icLJIkyBBA8aODFaRcEG624CB7%2BB0nvVKRzfe4rpHcnlPhSZ" TargetMode="External" Id="rId1581" /><Relationship Type="http://schemas.openxmlformats.org/officeDocument/2006/relationships/hyperlink" Target="https://contrataciondelestado.es/wps/poc?uri=deeplink:detalle_licitacion&amp;idEvl=3KzZdaHsB4m5HQrHoP3G5A%3D%3D" TargetMode="External" Id="rId1582" /><Relationship Type="http://schemas.openxmlformats.org/officeDocument/2006/relationships/hyperlink" Target="https://contrataciondelestado.es/FileSystem/servlet/GetDocumentByIdServlet?cifrado=QUC1GjXXSiLkydRHJBmbpw%3D%3D&amp;DocumentIdParam=qS9Qm27knPxAPSmAgS/RXpahuK8uO1/zTqKklpoTo44C8qUQtkpni7zKr/pgvYsGax34WUvS/ZNFs%2Bz0DlasAMtJStS33kXZCklLPTSq8%2BtJOVDbGCDM%2BMigrvuVS7Rv" TargetMode="External" Id="rId1583" /><Relationship Type="http://schemas.openxmlformats.org/officeDocument/2006/relationships/hyperlink" Target="https://contrataciondelestado.es/wps/poc?uri=deeplink:detalle_licitacion&amp;idEvl=NsRG0lkQ5k3i0Kd8%2Brcp6w%3D%3D" TargetMode="External" Id="rId1584" /><Relationship Type="http://schemas.openxmlformats.org/officeDocument/2006/relationships/hyperlink" Target="https://contrataciondelestado.es/FileSystem/servlet/GetDocumentByIdServlet?cifrado=QUC1GjXXSiLkydRHJBmbpw%3D%3D&amp;DocumentIdParam=U6eIwGzn/UbRAsTDyRrKVoI%2BiK6GQBM9KTykjA6dupd5mQbpgHqQd3scPcp0Z29Ythy3yUc%2B%2BJ7JFivIDuA4CsR5D5%2BHmBIl0ze5wB1cLatt/o8fNevwsujgRzaBbugn" TargetMode="External" Id="rId1585" /><Relationship Type="http://schemas.openxmlformats.org/officeDocument/2006/relationships/hyperlink" Target="https://contrataciondelestado.es/wps/poc?uri=deeplink:detalle_licitacion&amp;idEvl=uFEEgLj3MHoadbH3CysQuQ%3D%3D" TargetMode="External" Id="rId1586" /><Relationship Type="http://schemas.openxmlformats.org/officeDocument/2006/relationships/hyperlink" Target="https://contrataciondelestado.es/FileSystem/servlet/GetDocumentByIdServlet?cifrado=QUC1GjXXSiLkydRHJBmbpw%3D%3D&amp;DocumentIdParam=sXKFto/QLE0Ut0KdA/gdmUlMCghpTJyYfPkx3g37UOKfROblHgfsjcdZqmoXHZe9u8ccElGA0LdJPdkqzDOPgFcgec6BcfkDveP%2Bv4uLb3ffdyQgZAdTm3EfcUAC7CJ6" TargetMode="External" Id="rId1587" /><Relationship Type="http://schemas.openxmlformats.org/officeDocument/2006/relationships/hyperlink" Target="https://contrataciondelestado.es/wps/poc?uri=deeplink:detalle_licitacion&amp;idEvl=zhety5%2FC4wPmnwcj%2BxbdTg%3D%3D" TargetMode="External" Id="rId1588" /><Relationship Type="http://schemas.openxmlformats.org/officeDocument/2006/relationships/hyperlink" Target="https://contrataciondelestado.es/FileSystem/servlet/GetDocumentByIdServlet?cifrado=QUC1GjXXSiLkydRHJBmbpw%3D%3D&amp;DocumentIdParam=KaIJNEgumcejCtH0lP1flDSm0FZwHQ5BfmCfNTUPRdZyfmEMO/ksExEEaH5j7d1cd%2B1kf27yFmCOsWm2HXZxmadmIeR3N%2B7VIvaG46FRzUSCx2e6p7hqtlp2aFupgHMr" TargetMode="External" Id="rId1589" /><Relationship Type="http://schemas.openxmlformats.org/officeDocument/2006/relationships/hyperlink" Target="https://contrataciondelestado.es/wps/poc?uri=deeplink:detalle_licitacion&amp;idEvl=XiwyTDP5bJni0Kd8%2Brcp6w%3D%3D" TargetMode="External" Id="rId1590" /><Relationship Type="http://schemas.openxmlformats.org/officeDocument/2006/relationships/hyperlink" Target="https://contrataciondelestado.es/FileSystem/servlet/GetDocumentByIdServlet?cifrado=QUC1GjXXSiLkydRHJBmbpw%3D%3D&amp;DocumentIdParam=FZJMNZcey3xG/kVX7sg3WGm3Eqms6KDkJt0NZtS6tckhvgCcl7Gosoolf3rvecv/5ImmIAQ5rSCgoVxPMSOgV4driRQpoyUNf7FCs3Y9qmLDdQD9RyhUmzT4jZ2In4zL" TargetMode="External" Id="rId1591" /><Relationship Type="http://schemas.openxmlformats.org/officeDocument/2006/relationships/hyperlink" Target="https://contrataciondelestado.es/wps/poc?uri=deeplink:detalle_licitacion&amp;idEvl=r8KEPNmeXi%2BIzo3LHNPGcQ%3D%3D" TargetMode="External" Id="rId1592" /><Relationship Type="http://schemas.openxmlformats.org/officeDocument/2006/relationships/hyperlink" Target="https://contrataciondelestado.es/FileSystem/servlet/GetDocumentByIdServlet?cifrado=QUC1GjXXSiLkydRHJBmbpw%3D%3D&amp;DocumentIdParam=3iyQTssM43X/w9PBn8tD1T355E/4QAg%2BP33%2BgsHZntszOaCl5%2BxRK6xrZ3GVsATLaCnK31oUTwGzLgxqU6fwSIRYEvULznRFsxTVV%2BAJkXfDdQD9RyhUmzT4jZ2In4zL" TargetMode="External" Id="rId1593" /><Relationship Type="http://schemas.openxmlformats.org/officeDocument/2006/relationships/hyperlink" Target="https://contrataciondelestado.es/wps/poc?uri=deeplink:detalle_licitacion&amp;idEvl=dSbSWCnU6LWExvMJXBMHHQ%3D%3D" TargetMode="External" Id="rId1594" /><Relationship Type="http://schemas.openxmlformats.org/officeDocument/2006/relationships/hyperlink" Target="https://contrataciondelestado.es/FileSystem/servlet/GetDocumentByIdServlet?cifrado=QUC1GjXXSiLkydRHJBmbpw%3D%3D&amp;DocumentIdParam=Q6Jr7YT6rLPTnUk%2BZs4U6G2P2gKVaZRbcG12Xniz3/iRkT2mKTmKgtCnn0Db3cGsFeL0uWSG/JfFVsKi2e3bamaipSxrueLH6k604r7mIUYZyAJWGsSt0OzTSTyw9JAs" TargetMode="External" Id="rId1595" /><Relationship Type="http://schemas.openxmlformats.org/officeDocument/2006/relationships/hyperlink" Target="https://contrataciondelestado.es/wps/poc?uri=deeplink:detalle_licitacion&amp;idEvl=qrQr7AH7X14Xhk1FZxEyvw%3D%3D" TargetMode="External" Id="rId1596" /><Relationship Type="http://schemas.openxmlformats.org/officeDocument/2006/relationships/hyperlink" Target="https://contrataciondelestado.es/FileSystem/servlet/GetDocumentByIdServlet?cifrado=QUC1GjXXSiLkydRHJBmbpw%3D%3D&amp;DocumentIdParam=Ha3qTsZfFMim3CNnKzBYy5sRJJACg9FAj3pH1rSW9EoDKfedF/YzM04z68OM9gvUKnqEeMcrLg7ov4NEj6Rf25LGlTaYecg3U5VmtrQ9WtyB0nvVKRzfe4rpHcnlPhSZ" TargetMode="External" Id="rId1597" /><Relationship Type="http://schemas.openxmlformats.org/officeDocument/2006/relationships/hyperlink" Target="https://contrataciondelestado.es/wps/poc?uri=deeplink:detalle_licitacion&amp;idEvl=xbFbYI%2BqzDLkY6rls5tG9A%3D%3D" TargetMode="External" Id="rId1598" /><Relationship Type="http://schemas.openxmlformats.org/officeDocument/2006/relationships/hyperlink" Target="https://contrataciondelestado.es/FileSystem/servlet/GetDocumentByIdServlet?cifrado=QUC1GjXXSiLkydRHJBmbpw%3D%3D&amp;DocumentIdParam=e7%2Bh9OMmyNZAkBcNAbaEofX%2B3VxyZ/BpUYv3duHA/NyeWc8cAK0K7iWIlEbzxo8p7k63s5sOwJtsH4nZVmASsFQaSWU0Jekd3Oel30Ia2FO1aXEvq3KHa/AEHgtDrQw0" TargetMode="External" Id="rId1599" /><Relationship Type="http://schemas.openxmlformats.org/officeDocument/2006/relationships/hyperlink" Target="https://contrataciondelestado.es/wps/poc?uri=deeplink:detalle_licitacion&amp;idEvl=8z0wMrtGRaiExvMJXBMHHQ%3D%3D" TargetMode="External" Id="rId1600" /><Relationship Type="http://schemas.openxmlformats.org/officeDocument/2006/relationships/hyperlink" Target="https://contrataciondelestado.es/FileSystem/servlet/GetDocumentByIdServlet?cifrado=QUC1GjXXSiLkydRHJBmbpw%3D%3D&amp;DocumentIdParam=LyreUscVKUtqY61feO79STiqLWN2B8rbC0t9wlS9O0CXDZx9HJG7WcDrERim06W0IHc2bBjHSSFuIXv/HUSFQogxHh57lbRFR9zUWPQRnuQ//q7NB2iMZvNyf0xrJmjt" TargetMode="External" Id="rId1601" /><Relationship Type="http://schemas.openxmlformats.org/officeDocument/2006/relationships/hyperlink" Target="https://contrataciondelestado.es/wps/poc?uri=deeplink:detalle_licitacion&amp;idEvl=2zeyHvXP2GhrhBlEHQFSKA%3D%3D" TargetMode="External" Id="rId1602" /><Relationship Type="http://schemas.openxmlformats.org/officeDocument/2006/relationships/hyperlink" Target="https://contrataciondelestado.es/FileSystem/servlet/GetDocumentByIdServlet?cifrado=QUC1GjXXSiLkydRHJBmbpw%3D%3D&amp;DocumentIdParam=QQ6x3P248%2BMGADTEnm69ORjTVuQcr0LdxcaHTQqJvn0LI4irjXiFTnqphpAZazbGPsz%2B4H6scH7Ocet5uy6dUCOnHaApDD08U3Fp0uKFnFHDdQD9RyhUmzT4jZ2In4zL" TargetMode="External" Id="rId1603" /><Relationship Type="http://schemas.openxmlformats.org/officeDocument/2006/relationships/hyperlink" Target="https://contrataciondelestado.es/wps/poc?uri=deeplink:detalle_licitacion&amp;idEvl=MA4g4epuPuV%2FP7lJ7Fu0SA%3D%3D" TargetMode="External" Id="rId1604" /><Relationship Type="http://schemas.openxmlformats.org/officeDocument/2006/relationships/hyperlink" Target="https://contrataciondelestado.es/FileSystem/servlet/GetDocumentByIdServlet?cifrado=QUC1GjXXSiLkydRHJBmbpw%3D%3D&amp;DocumentIdParam=aUEaJum%2B404L0tihGctZeUAz4Aa5SUouPnxdfbuTtTrJzuYP1%2B9pK0wSg%2BXYWTKBtijutSsIVVg2JHDCeJpRn/g7C8evabawBZbDOoVBxDqB0nvVKRzfe4rpHcnlPhSZ" TargetMode="External" Id="rId1605" /><Relationship Type="http://schemas.openxmlformats.org/officeDocument/2006/relationships/hyperlink" Target="https://contrataciondelestado.es/wps/poc?uri=deeplink:detalle_licitacion&amp;idEvl=%2FIZOJzVU4CXs%2BnLj3vAg5A%3D%3D" TargetMode="External" Id="rId1606" /><Relationship Type="http://schemas.openxmlformats.org/officeDocument/2006/relationships/hyperlink" Target="https://contrataciondelestado.es/FileSystem/servlet/GetDocumentByIdServlet?cifrado=QUC1GjXXSiLkydRHJBmbpw%3D%3D&amp;DocumentIdParam=twdQawM2ii4EiJl4qX458E4Xv91URo%2BATvxkE/hjmVlIwJVnHcaDNlWD8HvzHoXQyjjBZzDMaTGPCIB0fFMzLisehvPHBi2FCzTwOavKzrv3GVhXrFFqN7yFncy7YfRK" TargetMode="External" Id="rId1607" /><Relationship Type="http://schemas.openxmlformats.org/officeDocument/2006/relationships/hyperlink" Target="https://contrataciondelestado.es/wps/poc?uri=deeplink:detalle_licitacion&amp;idEvl=bLDR6i1wqqpt5r0ngvMetA%3D%3D" TargetMode="External" Id="rId1608" /><Relationship Type="http://schemas.openxmlformats.org/officeDocument/2006/relationships/hyperlink" Target="https://contrataciondelestado.es/FileSystem/servlet/GetDocumentByIdServlet?cifrado=QUC1GjXXSiLkydRHJBmbpw%3D%3D&amp;DocumentIdParam=qeImqF7Jk4vIkKerF6erDvXklxzJH7GWpoi/cjZulpHh9Jbqx2%2BIlZAnooWAMkIFykKfXvIFE43k47o/b3PL3e68tPkCeCntMFUl5rvHs4WCx2e6p7hqtlp2aFupgHMr" TargetMode="External" Id="rId1609" /><Relationship Type="http://schemas.openxmlformats.org/officeDocument/2006/relationships/hyperlink" Target="https://contrataciondelestado.es/wps/poc?uri=deeplink:detalle_licitacion&amp;idEvl=NoEe2Vdw6qz%2Fa9DgO%2BoYKQ%3D%3D" TargetMode="External" Id="rId1610" /><Relationship Type="http://schemas.openxmlformats.org/officeDocument/2006/relationships/hyperlink" Target="https://contrataciondelestado.es/FileSystem/servlet/GetDocumentByIdServlet?cifrado=QUC1GjXXSiLkydRHJBmbpw%3D%3D&amp;DocumentIdParam=WQAhH7%2BYrPFAvVh8HAHz4Ra83CczVAlI0P9xO8oclEVvf3QCd0j3oy432n1vC/WkDeGSohgfYHKZ2s6gRYlJt0sEDYL0WV3Fh1Bw9pKCc9F7QB3HKyQaFUExmUVQCerk" TargetMode="External" Id="rId1611" /><Relationship Type="http://schemas.openxmlformats.org/officeDocument/2006/relationships/hyperlink" Target="https://contrataciondelestado.es/wps/poc?uri=deeplink:detalle_licitacion&amp;idEvl=Cy%2B4Ld8Pw2wQyBAnWzHfCg%3D%3D" TargetMode="External" Id="rId1612" /><Relationship Type="http://schemas.openxmlformats.org/officeDocument/2006/relationships/hyperlink" Target="https://contrataciondelestado.es/FileSystem/servlet/GetDocumentByIdServlet?cifrado=QUC1GjXXSiLkydRHJBmbpw%3D%3D&amp;DocumentIdParam=mZwoOjDzaSWSiMCrBoLncdwO8cGTKeivYNCsTFuFwZiORo3QQ8rb3qA483NF9%2BbFKNWtfduZIgnqmNcWKwucOrjqQPSmSjEQmd3dQcGTidD6CYyL7SIrUOBFfNf52ZqA" TargetMode="External" Id="rId1613" /><Relationship Type="http://schemas.openxmlformats.org/officeDocument/2006/relationships/hyperlink" Target="https://contrataciondelestado.es/wps/poc?uri=deeplink:detalle_licitacion&amp;idEvl=u3Vi6u4bT10UqXM96WStVA%3D%3D" TargetMode="External" Id="rId1614" /><Relationship Type="http://schemas.openxmlformats.org/officeDocument/2006/relationships/hyperlink" Target="https://contrataciondelestado.es/FileSystem/servlet/GetDocumentByIdServlet?cifrado=QUC1GjXXSiLkydRHJBmbpw%3D%3D&amp;DocumentIdParam=4hjDgf2NguFMKm65SRls8stDtZg6ztI6xHCn0Me5tSQF20NMjMt%2BqSu4%2Bo2zFrgO4Tbq8tFAUp8JadQYBnC7MSoJWryZJm8a2WxtGtsFtq2B0nvVKRzfe4rpHcnlPhSZ" TargetMode="External" Id="rId1615" /><Relationship Type="http://schemas.openxmlformats.org/officeDocument/2006/relationships/hyperlink" Target="https://contrataciondelestado.es/wps/poc?uri=deeplink:detalle_licitacion&amp;idEvl=Kv7YEJMBBEe9Hd5zqvq9cg%3D%3D" TargetMode="External" Id="rId1616" /><Relationship Type="http://schemas.openxmlformats.org/officeDocument/2006/relationships/hyperlink" Target="https://contrataciondelestado.es/FileSystem/servlet/GetDocumentByIdServlet?cifrado=QUC1GjXXSiLkydRHJBmbpw%3D%3D&amp;DocumentIdParam=629AkMLZQapZf9XsEvDjrmgzGlf7wizbnhO%2BQbgszrnoC%2BpSayGRuo1hs4TcQn7LW%2BErmXpv59/fBJ3o%2BROBwYWK%2B4qFPjaXobWUvbOwTV1JOVDbGCDM%2BMigrvuVS7Rv" TargetMode="External" Id="rId1617" /><Relationship Type="http://schemas.openxmlformats.org/officeDocument/2006/relationships/hyperlink" Target="https://contrataciondelestado.es/wps/poc?uri=deeplink:detalle_licitacion&amp;idEvl=856ODhEzo%2BJPpzdqOdhuWg%3D%3D" TargetMode="External" Id="rId1618" /><Relationship Type="http://schemas.openxmlformats.org/officeDocument/2006/relationships/hyperlink" Target="https://contrataciondelestado.es/FileSystem/servlet/GetDocumentByIdServlet?cifrado=QUC1GjXXSiLkydRHJBmbpw%3D%3D&amp;DocumentIdParam=1ESdVpr4qIZxbLs5w1JvYlWPbcd/cPeyZXjDzC1WNhzQNrSaI0pTbKHtKuxtBxBizqQ7%2B9yp4vuDr5SJheqX6QXyVzjS%2B6LWn7s6zRJwP4DfdyQgZAdTm3EfcUAC7CJ6" TargetMode="External" Id="rId1619" /><Relationship Type="http://schemas.openxmlformats.org/officeDocument/2006/relationships/hyperlink" Target="https://contrataciondelestado.es/wps/poc?uri=deeplink:detalle_licitacion&amp;idEvl=jY%2FPFrApfqq5HQrHoP3G5A%3D%3D" TargetMode="External" Id="rId1620" /><Relationship Type="http://schemas.openxmlformats.org/officeDocument/2006/relationships/hyperlink" Target="https://contrataciondelestado.es/FileSystem/servlet/GetDocumentByIdServlet?cifrado=QUC1GjXXSiLkydRHJBmbpw%3D%3D&amp;DocumentIdParam=o4FchJH/%2BbM%2Bv8iU4AatOXjcUgGKtTBHB2xPl%2BN/kwaXbj6mYi9IHtXu%2BR9O1r2o5cs9%2BUqfCJFJAup880V/I1euWjUfDspp/fnnwVVfST7VTD3T98KC0nSgQFM0q%2B5s" TargetMode="External" Id="rId1621" /><Relationship Type="http://schemas.openxmlformats.org/officeDocument/2006/relationships/hyperlink" Target="https://contrataciondelestado.es/wps/poc?uri=deeplink:detalle_licitacion&amp;idEvl=A9BenKs1fDSHCIsjvJ3rhQ%3D%3D" TargetMode="External" Id="rId1622" /><Relationship Type="http://schemas.openxmlformats.org/officeDocument/2006/relationships/hyperlink" Target="https://contrataciondelestado.es/FileSystem/servlet/GetDocumentByIdServlet?cifrado=QUC1GjXXSiLkydRHJBmbpw%3D%3D&amp;DocumentIdParam=UbAsMLz%2BmSCPPobYQz%2BK%2BOBAkgt9Zmd4nPzTEgvybHYV6wEcRSHtsHm5dsMdykksuGuLr/5bdLrroR57qYrCVT/rfzOblkeRYIGo2D43IDJ45ClyWkoJ44mKM70IFcOu" TargetMode="External" Id="rId1623" /><Relationship Type="http://schemas.openxmlformats.org/officeDocument/2006/relationships/hyperlink" Target="https://contrataciondelestado.es/wps/poc?uri=deeplink:detalle_licitacion&amp;idEvl=2CG0xeTH9Mgtm4eBPtV6eQ%3D%3D" TargetMode="External" Id="rId1624" /><Relationship Type="http://schemas.openxmlformats.org/officeDocument/2006/relationships/hyperlink" Target="https://contrataciondelestado.es/FileSystem/servlet/GetDocumentByIdServlet?cifrado=QUC1GjXXSiLkydRHJBmbpw%3D%3D&amp;DocumentIdParam=wPsA76bwZXKFzTPBAiofeoLLnPBmmtbLJGgAGEyPaMZfH66xvbXgn3emYQAIttELVC8poHK4eSUwtsdSo6BD098PTLVNaAokVRjNUPZxQNd45ClyWkoJ44mKM70IFcOu" TargetMode="External" Id="rId1625" /><Relationship Type="http://schemas.openxmlformats.org/officeDocument/2006/relationships/hyperlink" Target="https://contrataciondelestado.es/wps/poc?uri=deeplink:detalle_licitacion&amp;idEvl=xlXc%2FNuz88ScCF8sV%2BqtYA%3D%3D" TargetMode="External" Id="rId1626" /><Relationship Type="http://schemas.openxmlformats.org/officeDocument/2006/relationships/hyperlink" Target="https://contrataciondelestado.es/FileSystem/servlet/GetDocumentByIdServlet?DocumentIdParam=0/9CZBVcHux5UgDmAxUA6fGEbvBgTJueWgmqDO4PtC7QUd%2BzIbTAHYpnUflvGcZJJmYCV792jKj8cpL77fXwBphjsL/zEfj7If2uSS8N4%2BP6CYyL7SIrUOBFfNf52ZqA&amp;cifrado=QUC1GjXXSiLkydRHJBmbpw%3D%3D" TargetMode="External" Id="rId1627" /><Relationship Type="http://schemas.openxmlformats.org/officeDocument/2006/relationships/hyperlink" Target="https://contrataciondelestado.es/wps/poc?uri=deeplink:detalle_licitacion&amp;idEvl=X0jja8fhTkxJ8Trn0ZPzLw%3D%3D" TargetMode="External" Id="rId1628" /><Relationship Type="http://schemas.openxmlformats.org/officeDocument/2006/relationships/hyperlink" Target="https://contrataciondelestado.es/FileSystem/servlet/GetDocumentByIdServlet?cifrado=QUC1GjXXSiLkydRHJBmbpw%3D%3D&amp;DocumentIdParam=Vr%2BsIBW4xpoYrx8yCEJwT9%2B1Rg6CTxyAz28evJhwuYW2cwIExTti6S2wkj3RciGQ8mO9EjctWiWP8irHKhsCborgHCVbT/WDsrSXU%2BYNbiAC1/zDIE0Kw/PWNnLS0Z0z" TargetMode="External" Id="rId1629" /><Relationship Type="http://schemas.openxmlformats.org/officeDocument/2006/relationships/hyperlink" Target="https://contrataciondelestado.es/wps/poc?uri=deeplink:detalle_licitacion&amp;idEvl=W7Ta0%2F2Kqev%2B3JAijKO%2Bkg%3D%3D" TargetMode="External" Id="rId1630" /><Relationship Type="http://schemas.openxmlformats.org/officeDocument/2006/relationships/hyperlink" Target="https://contrataciondelestado.es/FileSystem/servlet/GetDocumentByIdServlet?cifrado=QUC1GjXXSiLkydRHJBmbpw%3D%3D&amp;DocumentIdParam=kcbHdy%2BRMGjMu6haHVfSdVy%2BrUjMiNuJhpl2XbSr7D9GO9Gw%2BkbfWKd01zEUNXUn8xMW4APML9SmuhfN0sLVIBYk47yQZ4Mrn4ISdPNT5Txt/o8fNevwsujgRzaBbugn" TargetMode="External" Id="rId1631" /><Relationship Type="http://schemas.openxmlformats.org/officeDocument/2006/relationships/hyperlink" Target="https://contrataciondelestado.es/wps/poc?uri=deeplink:detalle_licitacion&amp;idEvl=RhRQgMEX%2FDTIGlsa0Wad%2Bw%3D%3D" TargetMode="External" Id="rId1632" /><Relationship Type="http://schemas.openxmlformats.org/officeDocument/2006/relationships/hyperlink" Target="https://contrataciondelestado.es/FileSystem/servlet/GetDocumentByIdServlet?cifrado=QUC1GjXXSiLkydRHJBmbpw%3D%3D&amp;DocumentIdParam=VB6hfr1iVLV1PAsWi7nG3iPkiaaRT8OOspz8yMIVk8HH7Yrhjj9ML9MU1JSn7hRrKO0LTzyS07h25zl1owKJ5sCkDRIwzwA2MT4prwZRM0SB0nvVKRzfe4rpHcnlPhSZ" TargetMode="External" Id="rId1633" /><Relationship Type="http://schemas.openxmlformats.org/officeDocument/2006/relationships/hyperlink" Target="https://contrataciondelestado.es/wps/poc?uri=deeplink:detalle_licitacion&amp;idEvl=95EUDELn6koS7pcxhTeWOg%3D%3D" TargetMode="External" Id="rId1634" /><Relationship Type="http://schemas.openxmlformats.org/officeDocument/2006/relationships/hyperlink" Target="https://contrataciondelestado.es/FileSystem/servlet/GetDocumentByIdServlet?cifrado=QUC1GjXXSiLkydRHJBmbpw%3D%3D&amp;DocumentIdParam=4hjDgf2NguFMKm65SRls8vjciG9Nfrl1zhxLne0E90d%2BYeeuPbewIFvme5RVUrKuKt05Wfr2NqlCWd%2BxkKnFKLLPVYMR/XmVTaye8NlhWGWHAj0WEJrB5sP7amrh2jBD" TargetMode="External" Id="rId1635" /><Relationship Type="http://schemas.openxmlformats.org/officeDocument/2006/relationships/hyperlink" Target="https://contrataciondelestado.es/wps/poc?uri=deeplink:detalle_licitacion&amp;idEvl=bcYZ8CRE0AE%2B1TMyIiZmzw%3D%3D" TargetMode="External" Id="rId1636" /><Relationship Type="http://schemas.openxmlformats.org/officeDocument/2006/relationships/hyperlink" Target="https://contrataciondelestado.es/FileSystem/servlet/GetDocumentByIdServlet?cifrado=QUC1GjXXSiLkydRHJBmbpw%3D%3D&amp;DocumentIdParam=Do0hLBXPE73T9S7n4/Cn4xnZBdfyi3Dh8QXig55XzkNQU6MU3qFLCk9f/2WS/IrsefMc2VeabQ7N2DAIrBkngXUtMB%2BGWVebgToGUhBkOgH6CYyL7SIrUOBFfNf52ZqA" TargetMode="External" Id="rId1637" /><Relationship Type="http://schemas.openxmlformats.org/officeDocument/2006/relationships/hyperlink" Target="https://contrataciondelestado.es/wps/poc?uri=deeplink:detalle_licitacion&amp;idEvl=r88h0l9%2B9gCiEJrVRqloyA%3D%3D" TargetMode="External" Id="rId1638" /><Relationship Type="http://schemas.openxmlformats.org/officeDocument/2006/relationships/hyperlink" Target="https://contrataciondelestado.es/wps/wcm/connect/PLACE_es/Site/area/docAccCmpnt?srv=cmpnt&amp;cmpntname=GetDocumentsById&amp;source=library&amp;DocumentIdParam=47f76cde-955d-4c5a-afed-4a548bbc3f59" TargetMode="External" Id="rId1639" /><Relationship Type="http://schemas.openxmlformats.org/officeDocument/2006/relationships/hyperlink" Target="https://contrataciondelestado.es/wps/poc?uri=deeplink:detalle_licitacion&amp;idEvl=1BCwn8jLQtCAAM7L03kM8A%3D%3D" TargetMode="External" Id="rId1640" /><Relationship Type="http://schemas.openxmlformats.org/officeDocument/2006/relationships/hyperlink" Target="https://contrataciondelestado.es/FileSystem/servlet/GetDocumentByIdServlet?cifrado=QUC1GjXXSiLkydRHJBmbpw%3D%3D&amp;DocumentIdParam=mALc6vXm5RdAprkZwn3URRs6EPYpnVCrJcf5e9WEZXde9uP9Ffhxw4EvXrUKXTE46buL%2BhAJ0zHWyOWEDerMaXnkrIaPfKcz9EZ1Hx4kdOJ45ClyWkoJ44mKM70IFcOu" TargetMode="External" Id="rId1641" /><Relationship Type="http://schemas.openxmlformats.org/officeDocument/2006/relationships/hyperlink" Target="https://contrataciondelestado.es/wps/poc?uri=deeplink:detalle_licitacion&amp;idEvl=mHpSYuJq1O7LIx6q1oPaMg%3D%3D" TargetMode="External" Id="rId1642" /><Relationship Type="http://schemas.openxmlformats.org/officeDocument/2006/relationships/hyperlink" Target="https://contrataciondelestado.es/FileSystem/servlet/GetDocumentByIdServlet?cifrado=QUC1GjXXSiLkydRHJBmbpw%3D%3D&amp;DocumentIdParam=u0iSu/9Wo9GIscCDz8LrxaRAlrcLP335oelPmvdpGH3WWHpKcjDKO5gpD8sxF8%2BmZYorwQ7tTRBm/qSccQqeGUJs7B0iDJ1E6lSmDvB9thmCx2e6p7hqtlp2aFupgHMr" TargetMode="External" Id="rId1643" /><Relationship Type="http://schemas.openxmlformats.org/officeDocument/2006/relationships/hyperlink" Target="https://contrataciondelestado.es/wps/poc?uri=deeplink:detalle_licitacion&amp;idEvl=8CL4Czl4sWrXOjazN1Dw9Q%3D%3D" TargetMode="External" Id="rId1644" /><Relationship Type="http://schemas.openxmlformats.org/officeDocument/2006/relationships/hyperlink" Target="https://contrataciondelestado.es/FileSystem/servlet/GetDocumentByIdServlet?cifrado=QUC1GjXXSiLkydRHJBmbpw%3D%3D&amp;DocumentIdParam=mx49h%2BJ8LNtqrtkG3WNa4K1L1cgn5IVjLP8MrLaOxFiRNes4L/%2Bl/qjrPpI/YtTT7MpDoCOAUhgOJXS9PkDfGkGZRCCoJLiKu88IDwZV2FSB0nvVKRzfe4rpHcnlPhSZ" TargetMode="External" Id="rId1645" /><Relationship Type="http://schemas.openxmlformats.org/officeDocument/2006/relationships/hyperlink" Target="https://contrataciondelestado.es/wps/poc?uri=deeplink:detalle_licitacion&amp;idEvl=UVDANPSBco0wYTJJ03sHog%3D%3D" TargetMode="External" Id="rId1646" /><Relationship Type="http://schemas.openxmlformats.org/officeDocument/2006/relationships/hyperlink" Target="https://contrataciondelestado.es/FileSystem/servlet/GetDocumentByIdServlet?cifrado=QUC1GjXXSiLkydRHJBmbpw%3D%3D&amp;DocumentIdParam=9Kp9L0watlwu%2BEyLdKrWYt7Bf9WTRjGCt8MFNv%2BPIo8667ERK%2BmVHLPe3gyunRDn4o7g9EspxITmu4wH/N1HyzU2wye2shpN/4Eln3eEJq0//q7NB2iMZvNyf0xrJmjt" TargetMode="External" Id="rId1647" /><Relationship Type="http://schemas.openxmlformats.org/officeDocument/2006/relationships/hyperlink" Target="https://contrataciondelestado.es/wps/poc?uri=deeplink:detalle_licitacion&amp;idEvl=sU%2FDkxH4tKeqb7rCcv76BA%3D%3D" TargetMode="External" Id="rId1648" /><Relationship Type="http://schemas.openxmlformats.org/officeDocument/2006/relationships/hyperlink" Target="https://contrataciondelestado.es/FileSystem/servlet/GetDocumentByIdServlet?cifrado=QUC1GjXXSiLkydRHJBmbpw%3D%3D&amp;DocumentIdParam=k1sSf9jTJzJtboH1UhBUsxwZZ7nvQaqMzmRj4VIFGWZO5alhVbLnImEl8lo3zVA9bleps/JcyaTYxwENdXDr8gBBydv/pViH176KKxGWCdY//q7NB2iMZvNyf0xrJmjt" TargetMode="External" Id="rId1649" /><Relationship Type="http://schemas.openxmlformats.org/officeDocument/2006/relationships/hyperlink" Target="https://contrataciondelestado.es/wps/poc?uri=deeplink:detalle_licitacion&amp;idEvl=YglKUXUvjkgmMOlAXxDEjw%3D%3D" TargetMode="External" Id="rId1650" /><Relationship Type="http://schemas.openxmlformats.org/officeDocument/2006/relationships/hyperlink" Target="https://contrataciondelestado.es/FileSystem/servlet/GetDocumentByIdServlet?cifrado=QUC1GjXXSiLkydRHJBmbpw%3D%3D&amp;DocumentIdParam=UXG2L/597Fg8OlmAoKefQgEymZY5hofl2i1aHInHEf1%2BTNH6rtSq7NWdH4cpEvhYSVLu1eV4Ap%2BNRjvirjJN0y22ccoz6x%2BtTjAekpZ0Ullt/o8fNevwsujgRzaBbugn" TargetMode="External" Id="rId1651" /><Relationship Type="http://schemas.openxmlformats.org/officeDocument/2006/relationships/hyperlink" Target="https://contrataciondelestado.es/wps/poc?uri=deeplink:detalle_licitacion&amp;idEvl=Xya3l66gySb9pbnDwlaUlg%3D%3D" TargetMode="External" Id="rId1652" /><Relationship Type="http://schemas.openxmlformats.org/officeDocument/2006/relationships/hyperlink" Target="https://contrataciondelestado.es/FileSystem/servlet/GetDocumentByIdServlet?cifrado=QUC1GjXXSiLkydRHJBmbpw%3D%3D&amp;DocumentIdParam=Jrg42IC5X003712IBU5J5Q4cVf0Q5CzxzhuOHX1LGw9k550COAOYzWMlpIprHiPEYFFDZNgAs67jWH/fVW1H37b8JBLqONg7Q9JdGJFzJrl7QB3HKyQaFUExmUVQCerk" TargetMode="External" Id="rId1653" /><Relationship Type="http://schemas.openxmlformats.org/officeDocument/2006/relationships/hyperlink" Target="https://contrataciondelestado.es/wps/poc?uri=deeplink:detalle_licitacion&amp;idEvl=lTu7Qq%2FpKE836J9Lctlsuw%3D%3D" TargetMode="External" Id="rId1654" /><Relationship Type="http://schemas.openxmlformats.org/officeDocument/2006/relationships/hyperlink" Target="https://contrataciondelestado.es/FileSystem/servlet/GetDocumentByIdServlet?cifrado=QUC1GjXXSiLkydRHJBmbpw%3D%3D&amp;DocumentIdParam=%2BV0jwCK0b%2B%2BnE86Yf6bEuLtt4dEzwC%2B4Ut8cn3pL6Hm8HT4ugRfA3niwdlJaP1WPgkMz/9S%2BYo/PRvjSDhsEQEfmaykphJVmPDiIWIT1NmUC1/zDIE0Kw/PWNnLS0Z0z" TargetMode="External" Id="rId1655" /><Relationship Type="http://schemas.openxmlformats.org/officeDocument/2006/relationships/hyperlink" Target="https://contrataciondelestado.es/wps/poc?uri=deeplink:detalle_licitacion&amp;idEvl=biwGImuP5ERVYjgxA4nMUw%3D%3D" TargetMode="External" Id="rId1656" /><Relationship Type="http://schemas.openxmlformats.org/officeDocument/2006/relationships/hyperlink" Target="https://contrataciondelestado.es/FileSystem/servlet/GetDocumentByIdServlet?cifrado=QUC1GjXXSiLkydRHJBmbpw%3D%3D&amp;DocumentIdParam=wPsA76bwZXKFzTPBAiofejOgvBROC2ZFR8TOucTaUqK4gpu7cob0JK3Vz747W%2BBu8EJATlUd7VFkhMXwCy891pTYgKfWllxVe9UA3KYRAW3DdQD9RyhUmzT4jZ2In4zL" TargetMode="External" Id="rId1657" /><Relationship Type="http://schemas.openxmlformats.org/officeDocument/2006/relationships/hyperlink" Target="https://contrataciondelestado.es/wps/poc?uri=deeplink:detalle_licitacion&amp;idEvl=FYUInW7xc5Z4zIRvjBVCSw%3D%3D" TargetMode="External" Id="rId1658" /><Relationship Type="http://schemas.openxmlformats.org/officeDocument/2006/relationships/hyperlink" Target="https://contrataciondelestado.es/FileSystem/servlet/GetDocumentByIdServlet?cifrado=QUC1GjXXSiLkydRHJBmbpw%3D%3D&amp;DocumentIdParam=B1M6Qdp3n7/z/eitM5dtbFM2PIcypADTj28QZI9VofDn7aTdZPXRjYZcYatSzXdy/0wr3E5fuljDFZvZYSNHXGcOViEg4%2BSyOcmp078VFFXfdyQgZAdTm3EfcUAC7CJ6" TargetMode="External" Id="rId1659" /><Relationship Type="http://schemas.openxmlformats.org/officeDocument/2006/relationships/hyperlink" Target="https://contrataciondelestado.es/wps/poc?uri=deeplink:detalle_licitacion&amp;idEvl=ieSWLuX3nrTCfVQHDepjGQ%3D%3D" TargetMode="External" Id="rId1660" /><Relationship Type="http://schemas.openxmlformats.org/officeDocument/2006/relationships/hyperlink" Target="https://contrataciondelestado.es/FileSystem/servlet/GetDocumentByIdServlet?cifrado=QUC1GjXXSiLkydRHJBmbpw%3D%3D&amp;DocumentIdParam=9KiQkC0jp0TDsloSKlCYYULDuKjH9xJLDiv0c6DGGla9kO1FqoR0%2B77pWadDoGmPLHezSE89VxEAM4Q7FHRVNaZtGYm27J1H4U4AtlyXOjTVTD3T98KC0nSgQFM0q%2B5s" TargetMode="External" Id="rId1661" /><Relationship Type="http://schemas.openxmlformats.org/officeDocument/2006/relationships/hyperlink" Target="https://contrataciondelestado.es/wps/poc?uri=deeplink:detalle_licitacion&amp;idEvl=6JfAY2%2BzWmb5Rey58Yagpg%3D%3D" TargetMode="External" Id="rId1662" /><Relationship Type="http://schemas.openxmlformats.org/officeDocument/2006/relationships/hyperlink" Target="https://contrataciondelestado.es/wps/poc?uri=deeplink:detalle_licitacion&amp;idEvl=psMR%2FCX8nhp9Zh%2FyRJgM8w%3D%3D" TargetMode="External" Id="rId1663" /><Relationship Type="http://schemas.openxmlformats.org/officeDocument/2006/relationships/hyperlink" Target="https://contrataciondelestado.es/wps/poc?uri=deeplink:detalle_licitacion&amp;idEvl=YejaCyKEwMA3vLk2DU2Ddg%3D%3D" TargetMode="External" Id="rId1664" /><Relationship Type="http://schemas.openxmlformats.org/officeDocument/2006/relationships/hyperlink" Target="https://contrataciondelestado.es/FileSystem/servlet/GetDocumentByIdServlet?cifrado=QUC1GjXXSiLkydRHJBmbpw%3D%3D&amp;DocumentIdParam=q7agIk54BfpI21TCb%2BKFY1JuqgvUST3oRWYXaJDI3lpAXO32lW4wUXKm4aBZlL22ixfDpszjqV55TYxMXGl8h%2BvKauzbmINkuzDEtZirkCs//q7NB2iMZvNyf0xrJmjt" TargetMode="External" Id="rId1665" /><Relationship Type="http://schemas.openxmlformats.org/officeDocument/2006/relationships/hyperlink" Target="https://contrataciondelestado.es/wps/poc?uri=deeplink:detalle_licitacion&amp;idEvl=SsJ8Hqp%2BAWyExvMJXBMHHQ%3D%3D" TargetMode="External" Id="rId1666" /><Relationship Type="http://schemas.openxmlformats.org/officeDocument/2006/relationships/hyperlink" Target="https://contrataciondelestado.es/FileSystem/servlet/GetDocumentByIdServlet?cifrado=QUC1GjXXSiLkydRHJBmbpw%3D%3D&amp;DocumentIdParam=GSpgfLtFv9gUO22Gy2L32RlRpp9%2BUSOzo9KNRTXNY8oJqf1dO8iqQlYs6NFglEK7YQkCqfzRqh16HUgtTSIAfbWf3fG%2BrAH1OjLhfvRf6Th45ClyWkoJ44mKM70IFcOu" TargetMode="External" Id="rId1667" /><Relationship Type="http://schemas.openxmlformats.org/officeDocument/2006/relationships/hyperlink" Target="https://contrataciondelestado.es/wps/poc?uri=deeplink:detalle_licitacion&amp;idEvl=qvnM0FUTgFMQyBAnWzHfCg%3D%3D" TargetMode="External" Id="rId1668" /><Relationship Type="http://schemas.openxmlformats.org/officeDocument/2006/relationships/hyperlink" Target="https://contrataciondelestado.es/FileSystem/servlet/GetDocumentByIdServlet?cifrado=QUC1GjXXSiLkydRHJBmbpw%3D%3D&amp;DocumentIdParam=NWffnacyQGtRG0DH/Nt0xMzgsBhSybuV2wSt1RHSbohmApOhRO/S5zUgH6HX5KuTAVpJ65UjVVekbz6Uu5piKlNJVsHX3MERAi37MINLKllt/o8fNevwsujgRzaBbugn" TargetMode="External" Id="rId1669" /><Relationship Type="http://schemas.openxmlformats.org/officeDocument/2006/relationships/hyperlink" Target="https://contrataciondelestado.es/wps/poc?uri=deeplink:detalle_licitacion&amp;idEvl=fbU7fRXGu3iS81gZFETWmA%3D%3D" TargetMode="External" Id="rId1670" /><Relationship Type="http://schemas.openxmlformats.org/officeDocument/2006/relationships/hyperlink" Target="https://contrataciondelestado.es/FileSystem/servlet/GetDocumentByIdServlet?cifrado=QUC1GjXXSiLkydRHJBmbpw%3D%3D&amp;DocumentIdParam=0kU%2BA4otzVJzgbnYQYD8QqOQtjz%2BIryh7acTY1oRsufcRQcHPd2nYB2/jyW/P/y3Wc06m0q7BN5nQPUsNVgiCtSRjS4dE3gLcLoMBksioNVJOVDbGCDM%2BMigrvuVS7Rv" TargetMode="External" Id="rId1671" /><Relationship Type="http://schemas.openxmlformats.org/officeDocument/2006/relationships/hyperlink" Target="https://contrataciondelestado.es/wps/poc?uri=deeplink:detalle_licitacion&amp;idEvl=Uk4LOAHf7t%2FkY6rls5tG9A%3D%3D" TargetMode="External" Id="rId1672" /><Relationship Type="http://schemas.openxmlformats.org/officeDocument/2006/relationships/hyperlink" Target="https://contrataciondelestado.es/FileSystem/servlet/GetDocumentByIdServlet?cifrado=QUC1GjXXSiLkydRHJBmbpw%3D%3D&amp;DocumentIdParam=fNB6pQtJtfXBeGWqRJiGOkQgGBq3kQIdRKLCaE9TmbEYYZiWZIBTf7vYMNy7xNI8jHPrIE3mZ%2BU7AAazSKL13%2Bysusf//iZR5eHpmWsInDwC1/zDIE0Kw/PWNnLS0Z0z" TargetMode="External" Id="rId1673" /><Relationship Type="http://schemas.openxmlformats.org/officeDocument/2006/relationships/hyperlink" Target="https://contrataciondelestado.es/wps/poc?uri=deeplink:detalle_licitacion&amp;idEvl=MnMyGao2ErQIYE3ZiZ%2BxmQ%3D%3D" TargetMode="External" Id="rId1674" /><Relationship Type="http://schemas.openxmlformats.org/officeDocument/2006/relationships/hyperlink" Target="https://contrataciondelestado.es/FileSystem/servlet/GetDocumentByIdServlet?cifrado=QUC1GjXXSiLkydRHJBmbpw%3D%3D&amp;DocumentIdParam=PV8Ed5jJhwpDV5Pw8JenJ0h0A8JiI87YpW5AISZzxPJcrYc15X3fnJlMN72VLeFwiEUu2Uw/Wyy1xeKncT7teB0gHiauga4SZRicQEjSOSWHAj0WEJrB5sP7amrh2jBD" TargetMode="External" Id="rId1675" /><Relationship Type="http://schemas.openxmlformats.org/officeDocument/2006/relationships/hyperlink" Target="https://contrataciondelestado.es/wps/poc?uri=deeplink:detalle_licitacion&amp;idEvl=8RLhaoiKiyjE6P%2FuLemXRw%3D%3D" TargetMode="External" Id="rId1676" /><Relationship Type="http://schemas.openxmlformats.org/officeDocument/2006/relationships/hyperlink" Target="https://contrataciondelestado.es/FileSystem/servlet/GetDocumentByIdServlet?cifrado=QUC1GjXXSiLkydRHJBmbpw%3D%3D&amp;DocumentIdParam=fy5j53/60DSGlOAXGdguMI1e6WuegHzpbpm10RsfaUzEsI/m3VecStOyvHAaunEnQ/JA4N5jy9rLB9/7T%2BHkyX6E9pq1gXOKQJayddXEyX3fdyQgZAdTm3EfcUAC7CJ6" TargetMode="External" Id="rId1677" /><Relationship Type="http://schemas.openxmlformats.org/officeDocument/2006/relationships/hyperlink" Target="https://contrataciondelestado.es/wps/poc?uri=deeplink:detalle_licitacion&amp;idEvl=lPW%2BEujggUL10HRJw8TEnQ%3D%3D" TargetMode="External" Id="rId1678" /><Relationship Type="http://schemas.openxmlformats.org/officeDocument/2006/relationships/hyperlink" Target="https://contrataciondelestado.es/FileSystem/servlet/GetDocumentByIdServlet?cifrado=QUC1GjXXSiLkydRHJBmbpw%3D%3D&amp;DocumentIdParam=yVG5MvwNAfK8n0eDy3V8rInVXfejvT0ydN4qPAbyVb1ww9br3ID%2BzUQPGoyU3kRWpFB9TzdxCJEzTfaR00ROBRElJw%2BdCEvpzbsb9v2qNc8ZyAJWGsSt0OzTSTyw9JAs" TargetMode="External" Id="rId1679" /><Relationship Type="http://schemas.openxmlformats.org/officeDocument/2006/relationships/hyperlink" Target="https://contrataciondelestado.es/wps/poc?uri=deeplink:detalle_licitacion&amp;idEvl=BIYdCEJYh9aqb7rCcv76BA%3D%3D" TargetMode="External" Id="rId1680" /><Relationship Type="http://schemas.openxmlformats.org/officeDocument/2006/relationships/hyperlink" Target="https://contrataciondelestado.es/FileSystem/servlet/GetDocumentByIdServlet?cifrado=QUC1GjXXSiLkydRHJBmbpw%3D%3D&amp;DocumentIdParam=1F51ahR03C04rh9GRUQH0ZGHNE/NJXqvxHGCpC4jyUGv81GMm7kERyrf/uWhMMg4WWgl2YAvVqiOQGdjaXpvkKs7Tv%2Bj%2BImLfo8oSKEpuut7QB3HKyQaFUExmUVQCerk" TargetMode="External" Id="rId1681" /><Relationship Type="http://schemas.openxmlformats.org/officeDocument/2006/relationships/hyperlink" Target="https://contrataciondelestado.es/wps/poc?uri=deeplink:detalle_licitacion&amp;idEvl=lTu7Qq%2FpKE%2F9pbnDwlaUlg%3D%3D" TargetMode="External" Id="rId1682" /><Relationship Type="http://schemas.openxmlformats.org/officeDocument/2006/relationships/hyperlink" Target="https://contrataciondelestado.es/FileSystem/servlet/GetDocumentByIdServlet?cifrado=QUC1GjXXSiLkydRHJBmbpw%3D%3D&amp;DocumentIdParam=qsYS22kvOzcGaaqgmxezZfKQaR0GarhlHW11m7qIuJZ/OIQqSgvClYkzhTMw6gS%2BK5yvgNWefqjqnw2Z%2BaDE8W5qbGJDWzydkDmEhJe9aoEZyAJWGsSt0OzTSTyw9JAs" TargetMode="External" Id="rId1683" /><Relationship Type="http://schemas.openxmlformats.org/officeDocument/2006/relationships/hyperlink" Target="https://contrataciondelestado.es/wps/poc?uri=deeplink:detalle_licitacion&amp;idEvl=7VztImiwuNh%2FP7lJ7Fu0SA%3D%3D" TargetMode="External" Id="rId1684" /><Relationship Type="http://schemas.openxmlformats.org/officeDocument/2006/relationships/hyperlink" Target="https://contrataciondelestado.es/FileSystem/servlet/GetDocumentByIdServlet?cifrado=QUC1GjXXSiLkydRHJBmbpw%3D%3D&amp;DocumentIdParam=q9JoQ5TDuyejHpVUhIsPRYcZeVoBkfuEcq5LHE%2BEMzXakBDqVmdFlFWBjDoGJVHKY43oMgNhAV3LmGWCFmVSf5MoyN37VKmzUe6UDJWcY%2BP3GVhXrFFqN7yFncy7YfRK" TargetMode="External" Id="rId1685" /><Relationship Type="http://schemas.openxmlformats.org/officeDocument/2006/relationships/hyperlink" Target="https://contrataciondelestado.es/wps/poc?uri=deeplink:detalle_licitacion&amp;idEvl=dC%2BQ55A9bI036J9Lctlsuw%3D%3D" TargetMode="External" Id="rId1686" /><Relationship Type="http://schemas.openxmlformats.org/officeDocument/2006/relationships/hyperlink" Target="https://contrataciondelestado.es/FileSystem/servlet/GetDocumentByIdServlet?cifrado=QUC1GjXXSiLkydRHJBmbpw%3D%3D&amp;DocumentIdParam=eB23c45uJQDLh0lF/rR570QXrW8vz3/nockFNL14tY1GD/ZhNdB98JP/kbcCDzxbnHR%2BNkj4q44PZK0rMdC3pEdQB2G8dk0qwvoRZkfj1sl45ClyWkoJ44mKM70IFcOu" TargetMode="External" Id="rId1687" /><Relationship Type="http://schemas.openxmlformats.org/officeDocument/2006/relationships/hyperlink" Target="https://contrataciondelestado.es/wps/poc?uri=deeplink:detalle_licitacion&amp;idEvl=oQBt6OqMzHNq1DdmE7eaXg%3D%3D" TargetMode="External" Id="rId1688" /><Relationship Type="http://schemas.openxmlformats.org/officeDocument/2006/relationships/hyperlink" Target="https://contrataciondelestado.es/FileSystem/servlet/GetDocumentByIdServlet?cifrado=QUC1GjXXSiLkydRHJBmbpw%3D%3D&amp;DocumentIdParam=2fqsgSmmy9ymfowLHKQa0h7OEyUZ5ueUDatAqV9nPB6fI7DVRcRlN5yWorPAch4YFSV19Ywfb/WiVMJiy0CVZTBCqnAEelAtqNjrWWec9iqB0nvVKRzfe4rpHcnlPhSZ" TargetMode="External" Id="rId1689" /><Relationship Type="http://schemas.openxmlformats.org/officeDocument/2006/relationships/hyperlink" Target="https://contrataciondelestado.es/wps/poc?uri=deeplink:detalle_licitacion&amp;idEvl=3HUu07WPWY4wYTJJ03sHog%3D%3D" TargetMode="External" Id="rId1690" /><Relationship Type="http://schemas.openxmlformats.org/officeDocument/2006/relationships/hyperlink" Target="https://contrataciondelestado.es/FileSystem/servlet/GetDocumentByIdServlet?cifrado=QUC1GjXXSiLkydRHJBmbpw%3D%3D&amp;DocumentIdParam=2aH5dxTaMu71y9ft59kzuKksbC6H10C7%2BsopVKQb1hvf2Ok9QcuA5mThX/gdPbaM9rKh9/RycnA%2B4Rm2TKMQC%2BfxIbMBhE2eoMs0Y6ZHTjyB0nvVKRzfe4rpHcnlPhSZ" TargetMode="External" Id="rId1691" /><Relationship Type="http://schemas.openxmlformats.org/officeDocument/2006/relationships/hyperlink" Target="https://contrataciondelestado.es/wps/poc?uri=deeplink:detalle_licitacion&amp;idEvl=BOum9MUpagE7u6%2B%2FR7DUoA%3D%3D" TargetMode="External" Id="rId1692" /><Relationship Type="http://schemas.openxmlformats.org/officeDocument/2006/relationships/hyperlink" Target="https://contrataciondelestado.es/FileSystem/servlet/GetDocumentByIdServlet?cifrado=QUC1GjXXSiLkydRHJBmbpw%3D%3D&amp;DocumentIdParam=aNMc3T390UiEUMK9PdCXPDDLWn9QXDZzXKBlgqpnssfojScD9GVkfDLwhGy1fQqwJ2RU/AjjGZ9IgnIsLHnZVYMElclz65EYwXo6%2BxOouS0C1/zDIE0Kw/PWNnLS0Z0z" TargetMode="External" Id="rId1693" /><Relationship Type="http://schemas.openxmlformats.org/officeDocument/2006/relationships/hyperlink" Target="https://contrataciondelestado.es/wps/poc?uri=deeplink:detalle_licitacion&amp;idEvl=ymEwm7ENNZyIzo3LHNPGcQ%3D%3D" TargetMode="External" Id="rId1694" /><Relationship Type="http://schemas.openxmlformats.org/officeDocument/2006/relationships/hyperlink" Target="https://contrataciondelestado.es/FileSystem/servlet/GetDocumentByIdServlet?cifrado=QUC1GjXXSiLkydRHJBmbpw%3D%3D&amp;DocumentIdParam=RHYDe2wPV85WWu1LDE8qwmQyMFze6xUmMpWojAwerPj0BcSZEGasgpOl7vtTTaTXlAfw8tBeDtodLkEDk0NFCVcFcLonXkvSxxIopJ28Na2HAj0WEJrB5sP7amrh2jBD" TargetMode="External" Id="rId1695" /><Relationship Type="http://schemas.openxmlformats.org/officeDocument/2006/relationships/hyperlink" Target="https://contrataciondelestado.es/wps/poc?uri=deeplink:detalle_licitacion&amp;idEvl=hNI1FCfqp3l7h85%2Fpmmsfw%3D%3D" TargetMode="External" Id="rId1696" /><Relationship Type="http://schemas.openxmlformats.org/officeDocument/2006/relationships/hyperlink" Target="https://contrataciondelestado.es/wps/wcm/connect/PLACE_es/Site/area/docAccCmpnt?srv=cmpnt&amp;cmpntname=GetDocumentsById&amp;source=library&amp;DocumentIdParam=ec506ee5-4c26-433b-a996-acee0661a12a" TargetMode="External" Id="rId1697" /><Relationship Type="http://schemas.openxmlformats.org/officeDocument/2006/relationships/hyperlink" Target="https://contrataciondelestado.es/wps/poc?uri=deeplink:detalle_licitacion&amp;idEvl=t%2BymXZiwdjLpxJFXpLZ%2B2A%3D%3D" TargetMode="External" Id="rId1698" /><Relationship Type="http://schemas.openxmlformats.org/officeDocument/2006/relationships/hyperlink" Target="https://contrataciondelestado.es/FileSystem/servlet/GetDocumentByIdServlet?cifrado=QUC1GjXXSiLkydRHJBmbpw%3D%3D&amp;DocumentIdParam=1vbWOTheeVCYCdcSH1MEe4EX7cATNGNm4XZBMu8cFJS9Xi2gPVst9wRKsbEsTTl/F40tzMUXEsydtSWLe9b8LYA/9TR%2BL6HTww5j7e0YuAyCx2e6p7hqtlp2aFupgHMr" TargetMode="External" Id="rId1699" /><Relationship Type="http://schemas.openxmlformats.org/officeDocument/2006/relationships/hyperlink" Target="https://contrataciondelestado.es/wps/poc?uri=deeplink:detalle_licitacion&amp;idEvl=l71tqcOdatrXOjazN1Dw9Q%3D%3D" TargetMode="External" Id="rId1700" /><Relationship Type="http://schemas.openxmlformats.org/officeDocument/2006/relationships/hyperlink" Target="https://contrataciondelestado.es/FileSystem/servlet/GetDocumentByIdServlet?cifrado=QUC1GjXXSiLkydRHJBmbpw%3D%3D&amp;DocumentIdParam=93927DnFQPRRF4B3PM/Y9M1fyS82rpHzoGubw9Kjc0Q6C7hk2acI1WenD3rLxxwn5RROP6azy%2BfvLhawxvF3PFvye3t3Q4Xi0a/prkaB6jH3GVhXrFFqN7yFncy7YfRK" TargetMode="External" Id="rId1701" /><Relationship Type="http://schemas.openxmlformats.org/officeDocument/2006/relationships/hyperlink" Target="https://contrataciondelestado.es/wps/poc?uri=deeplink:detalle_licitacion&amp;idEvl=pAeg7BE8CZ1%2FR5QFTlaM4A%3D%3D" TargetMode="External" Id="rId1702" /><Relationship Type="http://schemas.openxmlformats.org/officeDocument/2006/relationships/hyperlink" Target="https://contrataciondelestado.es/FileSystem/servlet/GetDocumentByIdServlet?cifrado=QUC1GjXXSiLkydRHJBmbpw%3D%3D&amp;DocumentIdParam=SOAEYYY7G82l6DFtUHQOoZYCxm%2BJPfksS%2BOpn0JErCxsEFTJjGFIE8sDyZuihf8hpsyXvQujhCaTVsaVEm3mQJ5xX4hOaJOLW/1%2BtjCmRjd7QB3HKyQaFUExmUVQCerk" TargetMode="External" Id="rId1703" /><Relationship Type="http://schemas.openxmlformats.org/officeDocument/2006/relationships/hyperlink" Target="https://contrataciondelestado.es/wps/poc?uri=deeplink:detalle_licitacion&amp;idEvl=1E%2FL8azce1yFlFRHfEzEaw%3D%3D" TargetMode="External" Id="rId1704" /><Relationship Type="http://schemas.openxmlformats.org/officeDocument/2006/relationships/hyperlink" Target="https://contrataciondelestado.es/FileSystem/servlet/GetDocumentByIdServlet?cifrado=QUC1GjXXSiLkydRHJBmbpw%3D%3D&amp;DocumentIdParam=6YYYdRvtHENycq6WHjsqgXBsPqfcG9RE3qx5r04jzY4pf29EU5DPzO2MnYO8jQEFNfx0WslxyLqTy4ttbUgYOoeNmvBkdNOKDdl/kvQio1UZyAJWGsSt0OzTSTyw9JAs" TargetMode="External" Id="rId1705" /><Relationship Type="http://schemas.openxmlformats.org/officeDocument/2006/relationships/hyperlink" Target="https://contrataciondelestado.es/wps/poc?uri=deeplink:detalle_licitacion&amp;idEvl=BsMSwMS3ppfECtSnloz%2BZQ%3D%3D" TargetMode="External" Id="rId1706" /><Relationship Type="http://schemas.openxmlformats.org/officeDocument/2006/relationships/hyperlink" Target="https://contrataciondelestado.es/FileSystem/servlet/GetDocumentByIdServlet?cifrado=QUC1GjXXSiLkydRHJBmbpw%3D%3D&amp;DocumentIdParam=/f9ttDI41kg35jrbzPkCll3779LNW8wsnAsYg3xqoNg3Z/ANoj7XGD%2B9Z9FysqqoM8cPn43EyQJohDRN6uR8r15Xo8yedbTOhtgnWGRgRWnVTD3T98KC0nSgQFM0q%2B5s" TargetMode="External" Id="rId1707" /><Relationship Type="http://schemas.openxmlformats.org/officeDocument/2006/relationships/hyperlink" Target="https://contrataciondelestado.es/wps/poc?uri=deeplink:detalle_licitacion&amp;idEvl=6V%2FkSZwOxLU36J9Lctlsuw%3D%3D" TargetMode="External" Id="rId1708" /><Relationship Type="http://schemas.openxmlformats.org/officeDocument/2006/relationships/hyperlink" Target="https://contrataciondelestado.es/FileSystem/servlet/GetDocumentByIdServlet?cifrado=QUC1GjXXSiLkydRHJBmbpw%3D%3D&amp;DocumentIdParam=QMKfFA40yPu8i7ZqHuS/jC3gDT1HujNbyZBWJ7Q7LeCRDhq0ThOvz211b1JTpXV5Y3/s14nq9UPStmQxhHrnv7SIMWnIbOS8RX76sRxa0/mB0nvVKRzfe4rpHcnlPhSZ" TargetMode="External" Id="rId1709" /><Relationship Type="http://schemas.openxmlformats.org/officeDocument/2006/relationships/hyperlink" Target="https://contrataciondelestado.es/wps/poc?uri=deeplink:detalle_licitacion&amp;idEvl=RNxtOJvMepQQyBAnWzHfCg%3D%3D" TargetMode="External" Id="rId1710" /><Relationship Type="http://schemas.openxmlformats.org/officeDocument/2006/relationships/hyperlink" Target="https://contrataciondelestado.es/FileSystem/servlet/GetDocumentByIdServlet?cifrado=QUC1GjXXSiLkydRHJBmbpw%3D%3D&amp;DocumentIdParam=Fr8vDMRS5M%2BTM%2BYEDioPCGeX0g2TFjyuNsTm42oxttgfVB24G4WfI7/L1v8YQ0G78HK%2BY7CrW%2BMQoXyH8GRGegkK4YOyjMj1suy0FE8d5kUC1/zDIE0Kw/PWNnLS0Z0z" TargetMode="External" Id="rId1711" /><Relationship Type="http://schemas.openxmlformats.org/officeDocument/2006/relationships/hyperlink" Target="https://contrataciondelestado.es/wps/poc?uri=deeplink:detalle_licitacion&amp;idEvl=5noj9zXGAS%2BcCF8sV%2BqtYA%3D%3D" TargetMode="External" Id="rId1712" /><Relationship Type="http://schemas.openxmlformats.org/officeDocument/2006/relationships/hyperlink" Target="https://contrataciondelestado.es/FileSystem/servlet/GetDocumentByIdServlet?cifrado=QUC1GjXXSiLkydRHJBmbpw%3D%3D&amp;DocumentIdParam=0WcyMKXLA1Em/UK5T2w1LgeeokeH739gJ8Yi2DKFZwYs4qpwozc9FrejX3r/IdNfAltc4aWgZnsMTXTotqHhpRrBCM1b1h/Os3mB00r6Omk//q7NB2iMZvNyf0xrJmjt" TargetMode="External" Id="rId1713" /><Relationship Type="http://schemas.openxmlformats.org/officeDocument/2006/relationships/hyperlink" Target="https://contrataciondelestado.es/wps/poc?uri=deeplink:detalle_licitacion&amp;idEvl=68sDpqkqWpOS81gZFETWmA%3D%3D" TargetMode="External" Id="rId1714" /><Relationship Type="http://schemas.openxmlformats.org/officeDocument/2006/relationships/hyperlink" Target="https://contrataciondelestado.es/FileSystem/servlet/GetDocumentByIdServlet?cifrado=QUC1GjXXSiLkydRHJBmbpw%3D%3D&amp;DocumentIdParam=ao28EwkMoyFcQV0slre28a0Cq4o5e6LsB49iPJbMmFUStNDzSWRFrtukYDof32/vVCxnU/7/suerwW2w6U2992AWIqmtVpnvuVFQ04I%2BK5aCx2e6p7hqtlp2aFupgHMr" TargetMode="External" Id="rId1715" /><Relationship Type="http://schemas.openxmlformats.org/officeDocument/2006/relationships/hyperlink" Target="https://contrataciondelestado.es/wps/poc?uri=deeplink:detalle_licitacion&amp;idEvl=rbg5DC%2BEA8asNfRW6APEDw%3D%3D" TargetMode="External" Id="rId1716" /><Relationship Type="http://schemas.openxmlformats.org/officeDocument/2006/relationships/hyperlink" Target="https://contrataciondelestado.es/FileSystem/servlet/GetDocumentByIdServlet?cifrado=QUC1GjXXSiLkydRHJBmbpw%3D%3D&amp;DocumentIdParam=r2wX2Hy8tX4g0irqpVR%2BjhKnefGOJ59k8b89vuCxegwCOJYOE06%2Bug7%2B%2BebaU9jDScBk2R%2B2SNqatkYWzpTabP1QBccMXKXuAr8aDmkke1iCx2e6p7hqtlp2aFupgHMr" TargetMode="External" Id="rId1717" /><Relationship Type="http://schemas.openxmlformats.org/officeDocument/2006/relationships/hyperlink" Target="https://contrataciondelestado.es/wps/poc?uri=deeplink:detalle_licitacion&amp;idEvl=6s%2Fz0BHOzv0Xhk1FZxEyvw%3D%3D" TargetMode="External" Id="rId1718" /><Relationship Type="http://schemas.openxmlformats.org/officeDocument/2006/relationships/hyperlink" Target="https://contrataciondelestado.es/FileSystem/servlet/GetDocumentByIdServlet?cifrado=QUC1GjXXSiLkydRHJBmbpw%3D%3D&amp;DocumentIdParam=RlQj7VO262M5gZwxCpCzVtVk0n%2BKcdl%2BxRECoRagzHNjsI0/YWrGCjzhiWF79KWgLmdsqvCqdm541Ib7hd8NV3yxJ3wxt8X/iHiHCIf%2Bk3TfdyQgZAdTm3EfcUAC7CJ6" TargetMode="External" Id="rId1719" /><Relationship Type="http://schemas.openxmlformats.org/officeDocument/2006/relationships/hyperlink" Target="https://contrataciondelestado.es/wps/poc?uri=deeplink:detalle_licitacion&amp;idEvl=ugqzsN97RgdrhBlEHQFSKA%3D%3D" TargetMode="External" Id="rId1720" /><Relationship Type="http://schemas.openxmlformats.org/officeDocument/2006/relationships/hyperlink" Target="https://contrataciondelestado.es/FileSystem/servlet/GetDocumentByIdServlet?cifrado=QUC1GjXXSiLkydRHJBmbpw%3D%3D&amp;DocumentIdParam=f4OkZgAvgnCoSaoKSMViAW91lUID41ETjkgKjz2NKJv5bQ4e4lDIWjn4/AM2%2BFOhZxjHnyKwuebVUnzG1dCCHQjTTEAUxas2ZyiBkjKJvxwC1/zDIE0Kw/PWNnLS0Z0z" TargetMode="External" Id="rId1721" /><Relationship Type="http://schemas.openxmlformats.org/officeDocument/2006/relationships/hyperlink" Target="https://contrataciondelestado.es/wps/poc?uri=deeplink:detalle_licitacion&amp;idEvl=h7zspSmuJLC2gkLQ8TeYKA%3D%3D" TargetMode="External" Id="rId1722" /><Relationship Type="http://schemas.openxmlformats.org/officeDocument/2006/relationships/hyperlink" Target="https://contrataciondelestado.es/FileSystem/servlet/GetDocumentByIdServlet?cifrado=QUC1GjXXSiLkydRHJBmbpw%3D%3D&amp;DocumentIdParam=f5QGXYU2Iosy0mdhVdIwf7Cm4rjPBD9I3HRfeyT3TA6grFTjIkwizG9GD0ScLrcjqzwdrm6JvVkYO3vVimuE1mypjeuYm8xm%2Box3jbX7RwyCx2e6p7hqtlp2aFupgHMr" TargetMode="External" Id="rId1723" /><Relationship Type="http://schemas.openxmlformats.org/officeDocument/2006/relationships/hyperlink" Target="https://contrataciondelestado.es/wps/poc?uri=deeplink:detalle_licitacion&amp;idEvl=IoTxfG1m2B6cTfjQf3USOg%3D%3D" TargetMode="External" Id="rId1724" /><Relationship Type="http://schemas.openxmlformats.org/officeDocument/2006/relationships/hyperlink" Target="https://contrataciondelestado.es/FileSystem/servlet/GetDocumentByIdServlet?cifrado=QUC1GjXXSiLkydRHJBmbpw%3D%3D&amp;DocumentIdParam=hg4nzYmxYx9H%2BWev9wM%2BjW6p2oz1/5I97HDP4jIuYJ1/M825XVer0T8bQLlrYc2s2vxu%2BkboyHgBU77oqal8ORKdvK1%2BOUA7vp07ORsljeJ45ClyWkoJ44mKM70IFcOu" TargetMode="External" Id="rId1725" /><Relationship Type="http://schemas.openxmlformats.org/officeDocument/2006/relationships/hyperlink" Target="https://contrataciondelestado.es/wps/poc?uri=deeplink:detalle_licitacion&amp;idEvl=A45VIqBqlxVQFSeKCRun4Q%3D%3D" TargetMode="External" Id="rId1726" /><Relationship Type="http://schemas.openxmlformats.org/officeDocument/2006/relationships/hyperlink" Target="https://contrataciondelestado.es/FileSystem/servlet/GetDocumentByIdServlet?DocumentIdParam=VuyNi0dG0BeGc508KlkMK/jQr8ESRo2zlynwMp5OCG3Xm4AFdkWd8E9049eK2kjdSjTyMB8BK%2BP89ABjvl6m/v8gsY7ui8iVldMLfEF4MmI//q7NB2iMZvNyf0xrJmjt&amp;cifrado=QUC1GjXXSiLkydRHJBmbpw%3D%3D" TargetMode="External" Id="rId1727" /><Relationship Type="http://schemas.openxmlformats.org/officeDocument/2006/relationships/hyperlink" Target="https://contrataciondelestado.es/wps/poc?uri=deeplink:detalle_licitacion&amp;idEvl=YdbycqRik4Tua%2Fi14w%2FPLA%3D%3D" TargetMode="External" Id="rId1728" /><Relationship Type="http://schemas.openxmlformats.org/officeDocument/2006/relationships/hyperlink" Target="https://contrataciondelestado.es/FileSystem/servlet/GetDocumentByIdServlet?cifrado=QUC1GjXXSiLkydRHJBmbpw%3D%3D&amp;DocumentIdParam=hbF5dZEANXUBlRMSGI8Fxo36AdCA5mffVf8TRrvJsGIwWHfHIGsyh%2B7FucxUmsYD3Pv7/g%2Be9n%2BxsYakw7zbaHpUuyql2ecf%2BmRHVcPL0GmB0nvVKRzfe4rpHcnlPhSZ" TargetMode="External" Id="rId1729" /><Relationship Type="http://schemas.openxmlformats.org/officeDocument/2006/relationships/hyperlink" Target="https://contrataciondelestado.es/wps/poc?uri=deeplink:detalle_licitacion&amp;idEvl=P5MfKpEwPFm7JOCXkOhcDg%3D%3D" TargetMode="External" Id="rId1730" /><Relationship Type="http://schemas.openxmlformats.org/officeDocument/2006/relationships/hyperlink" Target="https://contrataciondelestado.es/FileSystem/servlet/GetDocumentByIdServlet?cifrado=QUC1GjXXSiLkydRHJBmbpw%3D%3D&amp;DocumentIdParam=z1q9mvNQcEZTW70blxMUtjLciYOuure5bg5nwmvW%2BxShN/TEZDslp9Oo/8kM686YmnL6dbifEk8Ur2bF9SrWkTH3bJ8PTEJ0%2BYhTGcv4%2Bov3GVhXrFFqN7yFncy7YfRK" TargetMode="External" Id="rId1731" /><Relationship Type="http://schemas.openxmlformats.org/officeDocument/2006/relationships/hyperlink" Target="https://contrataciondelestado.es/wps/poc?uri=deeplink:detalle_licitacion&amp;idEvl=aWwPUxE%2B8%2FoeC9GJQOEBkQ%3D%3D" TargetMode="External" Id="rId1732" /><Relationship Type="http://schemas.openxmlformats.org/officeDocument/2006/relationships/hyperlink" Target="https://contrataciondelestado.es/FileSystem/servlet/GetDocumentByIdServlet?cifrado=QUC1GjXXSiLkydRHJBmbpw%3D%3D&amp;DocumentIdParam=uVNbgEQaFFCIW8QXM3WVNsHqHIjMK5d0zBdNXvB0Qic%2BCGpHX2pVWpiEmjuYnZnKd%2BrCRLNFbPRiRXzVqps7Mhuf8upNIyAlPx7L%2BEp99GwZyAJWGsSt0OzTSTyw9JAs" TargetMode="External" Id="rId1733" /><Relationship Type="http://schemas.openxmlformats.org/officeDocument/2006/relationships/hyperlink" Target="https://contrataciondelestado.es/wps/poc?uri=deeplink:detalle_licitacion&amp;idEvl=3EmcGMd1wHs7u6%2B%2FR7DUoA%3D%3D" TargetMode="External" Id="rId1734" /><Relationship Type="http://schemas.openxmlformats.org/officeDocument/2006/relationships/hyperlink" Target="https://contrataciondelestado.es/FileSystem/servlet/GetDocumentByIdServlet?cifrado=QUC1GjXXSiLkydRHJBmbpw%3D%3D&amp;DocumentIdParam=dd3gUUzaTIIwdzdcyd2S07BZtDvgsmR9YktXAyVjsybrxIfukIvCC2E2z5%2BCo7%2B44JQz01wNoe9nBYgyV64YX0vgmIbOJfLVyBqUeCTSXHHDdQD9RyhUmzT4jZ2In4zL" TargetMode="External" Id="rId1735" /><Relationship Type="http://schemas.openxmlformats.org/officeDocument/2006/relationships/hyperlink" Target="https://contrataciondelestado.es/wps/poc?uri=deeplink:detalle_licitacion&amp;idEvl=VSvE4Ou7G2w36J9Lctlsuw%3D%3D" TargetMode="External" Id="rId1736" /><Relationship Type="http://schemas.openxmlformats.org/officeDocument/2006/relationships/hyperlink" Target="https://contrataciondelestado.es/FileSystem/servlet/GetDocumentByIdServlet?cifrado=QUC1GjXXSiLkydRHJBmbpw%3D%3D&amp;DocumentIdParam=9IRIUcwyGR3M/drZskxv0oH3A01gIOqzQc3DdytPzLytKk4E1SGZ49OD9873zdQt4hBLV5px94duYuDNWhW5GB3L5AAcV6Q%2BJHHN7zQsr3QZyAJWGsSt0OzTSTyw9JAs" TargetMode="External" Id="rId1737" /><Relationship Type="http://schemas.openxmlformats.org/officeDocument/2006/relationships/hyperlink" Target="https://contrataciondelestado.es/wps/poc?uri=deeplink:detalle_licitacion&amp;idEvl=cgKn6U8ipcSIzo3LHNPGcQ%3D%3D" TargetMode="External" Id="rId1738" /><Relationship Type="http://schemas.openxmlformats.org/officeDocument/2006/relationships/hyperlink" Target="https://contrataciondelestado.es/FileSystem/servlet/GetDocumentByIdServlet?cifrado=QUC1GjXXSiLkydRHJBmbpw%3D%3D&amp;DocumentIdParam=idxKbqqPSqre/WvWy3S/pPJefD2Co4FoHBsrX1PUg8CZ6869YwBWMphe6vmvCzhB0qj9%2BY9zY8dyhw%2B8xC1Ml/XxVFUS14cdShO9VqtAeRzVTD3T98KC0nSgQFM0q%2B5s" TargetMode="External" Id="rId1739" /><Relationship Type="http://schemas.openxmlformats.org/officeDocument/2006/relationships/hyperlink" Target="https://contrataciondelestado.es/wps/poc?uri=deeplink:detalle_licitacion&amp;idEvl=vHEGkLojNQQzjChw4z%2FXvw%3D%3D" TargetMode="External" Id="rId1740" /><Relationship Type="http://schemas.openxmlformats.org/officeDocument/2006/relationships/hyperlink" Target="https://contrataciondelestado.es/FileSystem/servlet/GetDocumentByIdServlet?cifrado=QUC1GjXXSiLkydRHJBmbpw%3D%3D&amp;DocumentIdParam=oQ5M8NVEZGpiVQyvQfIIEv2YSce1k/MDnXze%2BVa3INjW2raTHoOxFdGPTZNsyLj9jy8aztT3Wm6tg9BF1OFmo7Kr5YtCyH8EpRNIaD/m6nX6CYyL7SIrUOBFfNf52ZqA" TargetMode="External" Id="rId1741" /><Relationship Type="http://schemas.openxmlformats.org/officeDocument/2006/relationships/hyperlink" Target="https://contrataciondelestado.es/wps/poc?uri=deeplink:detalle_licitacion&amp;idEvl=FbV%2Fjquos4aS81gZFETWmA%3D%3D" TargetMode="External" Id="rId1742" /><Relationship Type="http://schemas.openxmlformats.org/officeDocument/2006/relationships/hyperlink" Target="https://contrataciondelestado.es/FileSystem/servlet/GetDocumentByIdServlet?cifrado=QUC1GjXXSiLkydRHJBmbpw%3D%3D&amp;DocumentIdParam=v6HZpceUHsPz%2BPQMch5nYYoebq/K9v%2BxyZf1kJ2vdpL4jLUU%2BxqCDCzFWnHfAgL0VzZHWaY3DoiUS7tRNc8RxdcEPQvDWbfWlpLVz%2BtoSK%2BHAj0WEJrB5sP7amrh2jBD" TargetMode="External" Id="rId1743" /><Relationship Type="http://schemas.openxmlformats.org/officeDocument/2006/relationships/hyperlink" Target="https://contrataciondelestado.es/wps/poc?uri=deeplink:detalle_licitacion&amp;idEvl=di0L0k1X3v6Izo3LHNPGcQ%3D%3D" TargetMode="External" Id="rId1744" /><Relationship Type="http://schemas.openxmlformats.org/officeDocument/2006/relationships/hyperlink" Target="https://contrataciondelestado.es/FileSystem/servlet/GetDocumentByIdServlet?cifrado=QUC1GjXXSiLkydRHJBmbpw%3D%3D&amp;DocumentIdParam=HLclx5BXaG01TqQQGvZESOQ67WccdWtxhBiAZi%2BeL7Qq7iAtwzyHng5jHRBVFdgqvw6fdu1bYuOq%2BJeh76v5D0lXh5/7hbdB5xIUxwdnRu33GVhXrFFqN7yFncy7YfRK" TargetMode="External" Id="rId1745" /><Relationship Type="http://schemas.openxmlformats.org/officeDocument/2006/relationships/hyperlink" Target="https://contrataciondelestado.es/wps/poc?uri=deeplink:detalle_licitacion&amp;idEvl=ZS0VztrsxWxPpzdqOdhuWg%3D%3D" TargetMode="External" Id="rId1746" /><Relationship Type="http://schemas.openxmlformats.org/officeDocument/2006/relationships/hyperlink" Target="https://contrataciondelestado.es/FileSystem/servlet/GetDocumentByIdServlet?cifrado=QUC1GjXXSiLkydRHJBmbpw%3D%3D&amp;DocumentIdParam=Ha%2Bs%2Byb/pvFMzAevkqFiqyAFuoK1%2B6qLmBkakb0VhkdAl31S/HJm4ziLkxzRCj0wPee76l1fFL2rcKtT7EgKrIXBp2YBnH4E1Nj11HuayGlt/o8fNevwsujgRzaBbugn" TargetMode="External" Id="rId1747" /><Relationship Type="http://schemas.openxmlformats.org/officeDocument/2006/relationships/hyperlink" Target="https://contrataciondelestado.es/wps/poc?uri=deeplink:detalle_licitacion&amp;idEvl=4jDd2ZU0f2r5Rey58Yagpg%3D%3D" TargetMode="External" Id="rId1748" /><Relationship Type="http://schemas.openxmlformats.org/officeDocument/2006/relationships/hyperlink" Target="https://contrataciondelestado.es/FileSystem/servlet/GetDocumentByIdServlet?cifrado=QUC1GjXXSiLkydRHJBmbpw%3D%3D&amp;DocumentIdParam=db4dGufGDHugcEOHowq2JFJjBpu676JgQeWeveyEI5BIh0TTxkHvSf8Aj5PU6CgVVP2sXBnWmtfuyRJVPX4Vb/s6bxL9LEuN4W0XyJM26DQC1/zDIE0Kw/PWNnLS0Z0z" TargetMode="External" Id="rId1749" /><Relationship Type="http://schemas.openxmlformats.org/officeDocument/2006/relationships/hyperlink" Target="https://contrataciondelestado.es/wps/poc?uri=deeplink:detalle_licitacion&amp;idEvl=PEeOxC2o%2BTx%2BF6L2uCfUWg%3D%3D" TargetMode="External" Id="rId1750" /><Relationship Type="http://schemas.openxmlformats.org/officeDocument/2006/relationships/hyperlink" Target="https://contrataciondelestado.es/FileSystem/servlet/GetDocumentByIdServlet?cifrado=QUC1GjXXSiLkydRHJBmbpw%3D%3D&amp;DocumentIdParam=ab%2B8Mp%2BBS3Adgunz3Tpf58ISeGcP8TzXr%2BjRUgB6zNAKPpYowRDWfEdmqDRDxzXKoZ0lCApgEGEXdYD3rsDlKEZ6ks%2BDDK64b%2BTf7DxyYeqHAj0WEJrB5sP7amrh2jBD" TargetMode="External" Id="rId1751" /><Relationship Type="http://schemas.openxmlformats.org/officeDocument/2006/relationships/hyperlink" Target="https://contrataciondelestado.es/wps/poc?uri=deeplink:detalle_licitacion&amp;idEvl=6MG%2BndouiaJrhBlEHQFSKA%3D%3D" TargetMode="External" Id="rId1752" /><Relationship Type="http://schemas.openxmlformats.org/officeDocument/2006/relationships/hyperlink" Target="https://contrataciondelestado.es/FileSystem/servlet/GetDocumentByIdServlet?cifrado=QUC1GjXXSiLkydRHJBmbpw%3D%3D&amp;DocumentIdParam=4B0Iv609IsRfwMj%2BZADYW9Gux4LPQtV60yXw7GjD9WR88iSW4e9qy8sVZ7K6SF3IAYquA247ds2QUAvTEv5WKIxPM7ENQkYCqJOgL1uTYN945ClyWkoJ44mKM70IFcOu" TargetMode="External" Id="rId1753" /><Relationship Type="http://schemas.openxmlformats.org/officeDocument/2006/relationships/hyperlink" Target="https://contrataciondelestado.es/wps/poc?uri=deeplink:detalle_licitacion&amp;idEvl=2YQO4PmhbTf5Rey58Yagpg%3D%3D" TargetMode="External" Id="rId1754" /><Relationship Type="http://schemas.openxmlformats.org/officeDocument/2006/relationships/hyperlink" Target="https://contrataciondelestado.es/FileSystem/servlet/GetDocumentByIdServlet?cifrado=QUC1GjXXSiLkydRHJBmbpw%3D%3D&amp;DocumentIdParam=PlN91KpxD2YI7dAQcFCRAV8zzJnZJ7yZNj41Xt1BjhJORPAuvTGEY83TllAp0/FE5Dyy1Rs8ngAevnRwTGyIzAjaHwFjiGUarps6lC9uiYH3GVhXrFFqN7yFncy7YfRK" TargetMode="External" Id="rId1755" /><Relationship Type="http://schemas.openxmlformats.org/officeDocument/2006/relationships/hyperlink" Target="https://contrataciondelestado.es/wps/poc?uri=deeplink:detalle_licitacion&amp;idEvl=NhUjwcj1LkPkY6rls5tG9A%3D%3D" TargetMode="External" Id="rId1756" /><Relationship Type="http://schemas.openxmlformats.org/officeDocument/2006/relationships/hyperlink" Target="https://contrataciondelestado.es/FileSystem/servlet/GetDocumentByIdServlet?DocumentIdParam=JpUiVjqvRck/KQk%2BUdJc7YkRrYSyFBV4jj1%2BwpodMJQ0JG/UwaZnyjg7Nia0%2BPnNxuIEVWG%2B9TrmtB8IYqUlKH6apSSki6FYxNXIKKNE4k0ZyAJWGsSt0OzTSTyw9JAs&amp;cifrado=QUC1GjXXSiLkydRHJBmbpw%3D%3D" TargetMode="External" Id="rId1757" /><Relationship Type="http://schemas.openxmlformats.org/officeDocument/2006/relationships/hyperlink" Target="https://contrataciondelestado.es/wps/poc?uri=deeplink:detalle_licitacion&amp;idEvl=KbsbD2zm6oWdkQsA7ROvsg%3D%3D" TargetMode="External" Id="rId1758" /><Relationship Type="http://schemas.openxmlformats.org/officeDocument/2006/relationships/hyperlink" Target="https://contrataciondelestado.es/FileSystem/servlet/GetDocumentByIdServlet?cifrado=QUC1GjXXSiLkydRHJBmbpw%3D%3D&amp;DocumentIdParam=dTFc1c3kMyaQNxv%2BhOC2ab1FK7IozruaeuUZb9llzgVPmnSfFL6OAU/NF/JNVguyP5OlGcN9X5/1Jv1fwta8cEXqCUt9K%2BMseGufzgTWKzz3GVhXrFFqN7yFncy7YfRK" TargetMode="External" Id="rId1759" /><Relationship Type="http://schemas.openxmlformats.org/officeDocument/2006/relationships/hyperlink" Target="https://contrataciondelestado.es/wps/poc?uri=deeplink:detalle_licitacion&amp;idEvl=etMpS3tWl8prSd8H4b2soA%3D%3D" TargetMode="External" Id="rId1760" /><Relationship Type="http://schemas.openxmlformats.org/officeDocument/2006/relationships/hyperlink" Target="https://contrataciondelestado.es/FileSystem/servlet/GetDocumentByIdServlet?cifrado=QUC1GjXXSiLkydRHJBmbpw%3D%3D&amp;DocumentIdParam=mWYExmK%2BXJzUQVBq4cetIpXcSzK5fhNugSTIHCPKWUP9k3XrZsxAaSptp1/vNaYTNFJ1PMPmbZZwCu3JmB9qgP/SxxyMyWZtyi%2B1oQMvAilt/o8fNevwsujgRzaBbugn" TargetMode="External" Id="rId1761" /><Relationship Type="http://schemas.openxmlformats.org/officeDocument/2006/relationships/hyperlink" Target="https://contrataciondelestado.es/wps/poc?uri=deeplink:detalle_licitacion&amp;idEvl=vp74JXB%2Fhp7jHF5qKI4aaw%3D%3D" TargetMode="External" Id="rId1762" /><Relationship Type="http://schemas.openxmlformats.org/officeDocument/2006/relationships/hyperlink" Target="https://contrataciondelestado.es/wps/poc?uri=deeplink:detalle_licitacion&amp;idEvl=Er8SGKhaA4l%2FR5QFTlaM4A%3D%3D" TargetMode="External" Id="rId1763" /><Relationship Type="http://schemas.openxmlformats.org/officeDocument/2006/relationships/hyperlink" Target="https://contrataciondelestado.es/FileSystem/servlet/GetDocumentByIdServlet?cifrado=QUC1GjXXSiLkydRHJBmbpw%3D%3D&amp;DocumentIdParam=Rbmt17UQwLUVN/dCVyvvIL6ZMz1WeFol7xrs/PzhdOM8pvdGY0zadgEpQ3lzJMCtO3P1/t6xXpwtvAwqfvm5JZ65qDhdTStWDSJyffZUtyb3GVhXrFFqN7yFncy7YfRK" TargetMode="External" Id="rId1764" /><Relationship Type="http://schemas.openxmlformats.org/officeDocument/2006/relationships/hyperlink" Target="https://contrataciondelestado.es/wps/poc?uri=deeplink:detalle_licitacion&amp;idEvl=OiuovvO7xehWhbmkna2nXQ%3D%3D" TargetMode="External" Id="rId1765" /><Relationship Type="http://schemas.openxmlformats.org/officeDocument/2006/relationships/hyperlink" Target="https://contrataciondelestado.es/wps/poc?uri=deeplink:detalle_licitacion&amp;idEvl=3DizzLAwLydPpzdqOdhuWg%3D%3D" TargetMode="External" Id="rId1766" /><Relationship Type="http://schemas.openxmlformats.org/officeDocument/2006/relationships/hyperlink" Target="https://contrataciondelestado.es/FileSystem/servlet/GetDocumentByIdServlet?cifrado=QUC1GjXXSiLkydRHJBmbpw%3D%3D&amp;DocumentIdParam=pu6ke1lcIevP/m6wH95P%2BsA9ZBpn0rIbjuL3%2BOT2/wNOlfm9NeBtBrOMw6hlEO8BDMttOMk5X4tFwUOW/vlAMofMQvaqMJmAEj7JsZsgxFj3GVhXrFFqN7yFncy7YfRK" TargetMode="External" Id="rId1767" /><Relationship Type="http://schemas.openxmlformats.org/officeDocument/2006/relationships/hyperlink" Target="https://contrataciondelestado.es/wps/poc?uri=deeplink:detalle_licitacion&amp;idEvl=g4fnwbDYKFCLAncw3qdZkA%3D%3D" TargetMode="External" Id="rId1768" /><Relationship Type="http://schemas.openxmlformats.org/officeDocument/2006/relationships/hyperlink" Target="https://contrataciondelestado.es/FileSystem/servlet/GetDocumentByIdServlet?cifrado=QUC1GjXXSiLkydRHJBmbpw%3D%3D&amp;DocumentIdParam=9BSaF9CmxV3eeGeSZEuRiK5CrUDz24Gt8PnPa68yW9Mr5uhzvsVCGw0UtjF6Nwiy1Y9CUkB5yM5b4hyjPUpRcpHAeKxisujBeldht59uFzbDdQD9RyhUmzT4jZ2In4zL" TargetMode="External" Id="rId1769" /><Relationship Type="http://schemas.openxmlformats.org/officeDocument/2006/relationships/hyperlink" Target="https://contrataciondelestado.es/wps/poc?uri=deeplink:detalle_licitacion&amp;idEvl=hmAf2yIKcMLua%2Fi14w%2FPLA%3D%3D" TargetMode="External" Id="rId1770" /><Relationship Type="http://schemas.openxmlformats.org/officeDocument/2006/relationships/hyperlink" Target="https://contrataciondelestado.es/wps/poc?uri=deeplink:detalle_licitacion&amp;idEvl=RMFwsUWQ2s%2F10HRJw8TEnQ%3D%3D" TargetMode="External" Id="rId1771" /><Relationship Type="http://schemas.openxmlformats.org/officeDocument/2006/relationships/hyperlink" Target="https://contrataciondelestado.es/FileSystem/servlet/GetDocumentByIdServlet?cifrado=QUC1GjXXSiLkydRHJBmbpw%3D%3D&amp;DocumentIdParam=16A22WwLjd1jul9IO01FQJCAHu%2BttqMJigIfdIqZ1yuOCQeCXc3vQbnzSgGHhIzCX%2Bo8vp8WEeEX63VUINXT5rjdTaj/tJ7bu7Il8ZFELGRJOVDbGCDM%2BMigrvuVS7Rv" TargetMode="External" Id="rId1772" /><Relationship Type="http://schemas.openxmlformats.org/officeDocument/2006/relationships/hyperlink" Target="https://contrataciondelestado.es/wps/poc?uri=deeplink:detalle_licitacion&amp;idEvl=X%2B3Gh%2FTcalD5Rey58Yagpg%3D%3D" TargetMode="External" Id="rId1773" /><Relationship Type="http://schemas.openxmlformats.org/officeDocument/2006/relationships/hyperlink" Target="https://contrataciondelestado.es/FileSystem/servlet/GetDocumentByIdServlet?DocumentIdParam=3megUpfS4gJDyoPgkKAbrXO8Cxr0h48oLMwhtOGdDWLlQYLi5qEe4N8sPRjMn%2BNQ51qYllznKpphjY8LjBpNarpJVuzlTQ7VQo%2Bk%2BhDMWfJt/o8fNevwsujgRzaBbugn&amp;cifrado=QUC1GjXXSiLkydRHJBmbpw%3D%3D" TargetMode="External" Id="rId1774" /><Relationship Type="http://schemas.openxmlformats.org/officeDocument/2006/relationships/hyperlink" Target="https://contrataciondelestado.es/wps/poc?uri=deeplink:detalle_licitacion&amp;idEvl=tMkoJQ8nkom8ebB%2FXTwy0A%3D%3D" TargetMode="External" Id="rId1775" /><Relationship Type="http://schemas.openxmlformats.org/officeDocument/2006/relationships/hyperlink" Target="https://contrataciondelestado.es/FileSystem/servlet/GetDocumentByIdServlet?cifrado=QUC1GjXXSiLkydRHJBmbpw%3D%3D&amp;DocumentIdParam=FmvOI8FrY5Ng3GWLUVAtvU%2BEVYJvVFijs2ma/xdRl1MPYfHyCrQX9mpnvwudoyLVdBRgoorIKhlfXxuOiQqZxeGsYPIiLpsIQO%2BQfzpIfMhJOVDbGCDM%2BMigrvuVS7Rv" TargetMode="External" Id="rId1776" /><Relationship Type="http://schemas.openxmlformats.org/officeDocument/2006/relationships/hyperlink" Target="https://contrataciondelestado.es/wps/poc?uri=deeplink:detalle_licitacion&amp;idEvl=9wBkG36kX3cZDGvgaZEVxQ%3D%3D" TargetMode="External" Id="rId1777" /><Relationship Type="http://schemas.openxmlformats.org/officeDocument/2006/relationships/hyperlink" Target="https://contrataciondelestado.es/FileSystem/servlet/GetDocumentByIdServlet?cifrado=QUC1GjXXSiLkydRHJBmbpw%3D%3D&amp;DocumentIdParam=X3IPVsVYVJyLyLChyRt97Ugo%2BMLenWjG9Mv0B0fOTcNfliuEHnMKEWFkotm8Qr9rhtxkzyseNdCgDAJJ7Sv1Xu/NDVx2WZS0BeNITdBo18d45ClyWkoJ44mKM70IFcOu" TargetMode="External" Id="rId1778" /><Relationship Type="http://schemas.openxmlformats.org/officeDocument/2006/relationships/hyperlink" Target="https://contrataciondelestado.es/wps/poc?uri=deeplink:detalle_licitacion&amp;idEvl=xzphEwMjvPE%2FbjW6njtWLw%3D%3D" TargetMode="External" Id="rId1779" /><Relationship Type="http://schemas.openxmlformats.org/officeDocument/2006/relationships/hyperlink" Target="https://contrataciondelestado.es/FileSystem/servlet/GetDocumentByIdServlet?cifrado=QUC1GjXXSiLkydRHJBmbpw%3D%3D&amp;DocumentIdParam=Y1PD7T9wJXAhMwI1SJjYhQWl9NX9lBPcyqWpiHTTm2RgeXryXh972JbqyrRrrS1yudcZSJB7M3kAS%2Bm%2BtQc6n1qczlvLcDsSS3K5hjOcNHF45ClyWkoJ44mKM70IFcOu" TargetMode="External" Id="rId1780" /><Relationship Type="http://schemas.openxmlformats.org/officeDocument/2006/relationships/hyperlink" Target="https://contrataciondelestado.es/wps/poc?uri=deeplink:detalle_licitacion&amp;idEvl=Cw7TwRl9gXwzjChw4z%2FXvw%3D%3D" TargetMode="External" Id="rId1781" /><Relationship Type="http://schemas.openxmlformats.org/officeDocument/2006/relationships/hyperlink" Target="https://contrataciondelestado.es/FileSystem/servlet/GetDocumentByIdServlet?cifrado=QUC1GjXXSiLkydRHJBmbpw%3D%3D&amp;DocumentIdParam=Syu1OPjxFPdfPBzzCIbkQROaW/JENKHms5Xhi9qY4yhZwCkv03JrT6mSvWYNIeph2HRBhgQ%2BUnSENWWiErZtTRnboPkaor%2BfJ7KoaeyyrejDdQD9RyhUmzT4jZ2In4zL" TargetMode="External" Id="rId1782" /><Relationship Type="http://schemas.openxmlformats.org/officeDocument/2006/relationships/hyperlink" Target="https://contrataciondelestado.es/wps/poc?uri=deeplink:detalle_licitacion&amp;idEvl=gq9h68gvFFY7u6%2B%2FR7DUoA%3D%3D" TargetMode="External" Id="rId1783" /><Relationship Type="http://schemas.openxmlformats.org/officeDocument/2006/relationships/hyperlink" Target="https://contrataciondelestado.es/FileSystem/servlet/GetDocumentByIdServlet?cifrado=QUC1GjXXSiLkydRHJBmbpw%3D%3D&amp;DocumentIdParam=OjrjeGxvSLdyubwRY5SsEZbfz5u7V/v8/YLAxZtMwRtTcPwfo5iCm/g7LuT83a%2BAbSCVKYWHS7MYj%2Bkcny0mugPHrxJvODO5NcuH4OlpUkXDdQD9RyhUmzT4jZ2In4zL" TargetMode="External" Id="rId1784" /><Relationship Type="http://schemas.openxmlformats.org/officeDocument/2006/relationships/hyperlink" Target="https://contrataciondelestado.es/wps/poc?uri=deeplink:detalle_licitacion&amp;idEvl=MZH7J7tnXHc7%2B9FIQYNjeQ%3D%3D" TargetMode="External" Id="rId1785" /><Relationship Type="http://schemas.openxmlformats.org/officeDocument/2006/relationships/hyperlink" Target="https://contrataciondelestado.es/FileSystem/servlet/GetDocumentByIdServlet?cifrado=QUC1GjXXSiLkydRHJBmbpw%3D%3D&amp;DocumentIdParam=chYctSTHTncFoPzHKDm1uZ2dkXwTYMxJVMFU0rs9HfNkASjLcIGixNhOmMIyhA/2egi0E/pL/KCujUyc14a15V5OQZCo/irZooUNUhtS0/3fdyQgZAdTm3EfcUAC7CJ6" TargetMode="External" Id="rId1786" /><Relationship Type="http://schemas.openxmlformats.org/officeDocument/2006/relationships/hyperlink" Target="https://contrataciondelestado.es/wps/poc?uri=deeplink:detalle_licitacion&amp;idEvl=ee5cnzHwoBs%2B1TMyIiZmzw%3D%3D" TargetMode="External" Id="rId1787" /><Relationship Type="http://schemas.openxmlformats.org/officeDocument/2006/relationships/hyperlink" Target="https://contrataciondelestado.es/FileSystem/servlet/GetDocumentByIdServlet?cifrado=QUC1GjXXSiLkydRHJBmbpw%3D%3D&amp;DocumentIdParam=4bWqnRyBKbYzQCQUTjUr7iX1oSJWdFyP8e/q%2BPMxzH9OEAyJs8k04CDbv2fmruQ7JnCFXKAnXzveyB7uz1FDwVHUf3ypwser3yBhlDJ0T9Vt/o8fNevwsujgRzaBbugn" TargetMode="External" Id="rId1788" /><Relationship Type="http://schemas.openxmlformats.org/officeDocument/2006/relationships/hyperlink" Target="https://contrataciondelestado.es/wps/poc?uri=deeplink:detalle_licitacion&amp;idEvl=nJIeYdruKuucTfjQf3USOg%3D%3D" TargetMode="External" Id="rId1789" /><Relationship Type="http://schemas.openxmlformats.org/officeDocument/2006/relationships/hyperlink" Target="https://contrataciondelestado.es/FileSystem/servlet/GetDocumentByIdServlet?cifrado=QUC1GjXXSiLkydRHJBmbpw%3D%3D&amp;DocumentIdParam=kOzZ6wg9X9YDhgORihgrHz%2BnqNXzr9FMqlBrJt3bN/7HbKX8eBL6KMqKC2qcqW7ym3gDv1pcp6IFbEPzoI71OBdQmvir/xmaT3ZqQ2%2B4DEB7QB3HKyQaFUExmUVQCerk" TargetMode="External" Id="rId1790" /><Relationship Type="http://schemas.openxmlformats.org/officeDocument/2006/relationships/hyperlink" Target="https://contrataciondelestado.es/wps/poc?uri=deeplink:detalle_licitacion&amp;idEvl=Jk9TAkCaPGQkJPJS%2BPS9vg%3D%3D" TargetMode="External" Id="rId1791" /><Relationship Type="http://schemas.openxmlformats.org/officeDocument/2006/relationships/hyperlink" Target="https://contrataciondelestado.es/FileSystem/servlet/GetDocumentByIdServlet?cifrado=QUC1GjXXSiLkydRHJBmbpw%3D%3D&amp;DocumentIdParam=lPC5hPSrU88j47FyZXXQvGSPUGMibrHTzK5CBqebZ8lN5Qzi/73/rOe4bEhGGmL3qoFNRRhpFcTIt%2BXs%2Bae9DI1I/6l2bJSCAmFq0PiLOPht/o8fNevwsujgRzaBbugn" TargetMode="External" Id="rId1792" /><Relationship Type="http://schemas.openxmlformats.org/officeDocument/2006/relationships/hyperlink" Target="https://contrataciondelestado.es/wps/poc?uri=deeplink:detalle_licitacion&amp;idEvl=RFTMg%2Bl%2FmmAl5NjlNci%2BtA%3D%3D" TargetMode="External" Id="rId1793" /><Relationship Type="http://schemas.openxmlformats.org/officeDocument/2006/relationships/hyperlink" Target="https://contrataciondelestado.es/FileSystem/servlet/GetDocumentByIdServlet?cifrado=QUC1GjXXSiLkydRHJBmbpw%3D%3D&amp;DocumentIdParam=ByffbFthw/F6yU7WOoJT9bAEEA9ZAmLl5vI5xl2NcaGOzP//Ni9cL%2BArbTrRLI06CIhwsGva35y2hdD230d7SaIRmNUfEQRXk5QJQiSLzg0//q7NB2iMZvNyf0xrJmjt" TargetMode="External" Id="rId1794" /><Relationship Type="http://schemas.openxmlformats.org/officeDocument/2006/relationships/hyperlink" Target="https://contrataciondelestado.es/wps/poc?uri=deeplink:detalle_licitacion&amp;idEvl=wihiC4A%2FnxYadbH3CysQuQ%3D%3D" TargetMode="External" Id="rId1795" /><Relationship Type="http://schemas.openxmlformats.org/officeDocument/2006/relationships/hyperlink" Target="https://contrataciondelestado.es/FileSystem/servlet/GetDocumentByIdServlet?DocumentIdParam=OGvYxROYHhS3KpDqRazJNefciGVtVpoFFjOpHJdT1zd2d0hnYXOrPWMf6TTERxOY7EJ2XsqeAVBTGXOIJP5y77mCkMrtVpHhnD5c7VHsJdfVTD3T98KC0nSgQFM0q%2B5s&amp;cifrado=QUC1GjXXSiLkydRHJBmbpw%3D%3D" TargetMode="External" Id="rId1796" /><Relationship Type="http://schemas.openxmlformats.org/officeDocument/2006/relationships/hyperlink" Target="https://contrataciondelestado.es/wps/poc?uri=deeplink:detalle_licitacion&amp;idEvl=2WBEMrTSfj%2F%2B3JAijKO%2Bkg%3D%3D" TargetMode="External" Id="rId1797" /><Relationship Type="http://schemas.openxmlformats.org/officeDocument/2006/relationships/hyperlink" Target="https://contrataciondelestado.es/FileSystem/servlet/GetDocumentByIdServlet?cifrado=QUC1GjXXSiLkydRHJBmbpw%3D%3D&amp;DocumentIdParam=24OQ9UuA6%2B/GvgMNpXQF0YP0vxqvhEXquQwc8q8b3rofc1y4CacgdLBDs6YOYnyWrQePn8%2BmOTIbh7iOSxTnG//%2BVOz9jGCMKCBKVOctzx/6CYyL7SIrUOBFfNf52ZqA" TargetMode="External" Id="rId1798" /><Relationship Type="http://schemas.openxmlformats.org/officeDocument/2006/relationships/hyperlink" Target="https://contrataciondelestado.es/wps/poc?uri=deeplink:detalle_licitacion&amp;idEvl=s6SPnT5ofKCP%2Bo96UAV7cQ%3D%3D" TargetMode="External" Id="rId1799" /><Relationship Type="http://schemas.openxmlformats.org/officeDocument/2006/relationships/hyperlink" Target="https://contrataciondelestado.es/FileSystem/servlet/GetDocumentByIdServlet?cifrado=QUC1GjXXSiLkydRHJBmbpw%3D%3D&amp;DocumentIdParam=ejeSAHOXupoJTi1WdjcnDtCv5PY1hroI/XzNtioqqVEq2FI7ndHToExuXhsFsO3eFqMOXI7%2BF1UPzJrMySguTNqdGHXy6MIVI8kN3%2BXaS0Vt/o8fNevwsujgRzaBbugn" TargetMode="External" Id="rId1800" /><Relationship Type="http://schemas.openxmlformats.org/officeDocument/2006/relationships/hyperlink" Target="https://contrataciondelestado.es/wps/poc?uri=deeplink:detalle_licitacion&amp;idEvl=Z96yQtK6OjsmMOlAXxDEjw%3D%3D" TargetMode="External" Id="rId1801" /><Relationship Type="http://schemas.openxmlformats.org/officeDocument/2006/relationships/hyperlink" Target="https://contrataciondelestado.es/FileSystem/servlet/GetDocumentByIdServlet?cifrado=QUC1GjXXSiLkydRHJBmbpw%3D%3D&amp;DocumentIdParam=xdDC9/MoVICEEdCuhYl3oD69Y9t2bacMh6w0q7XLMANN4zR7NqUkhNS9JVZczXbloOfoU4aheO7UXvPzDDfmAsAilKj7WdnBb6RyiMy8/YVJOVDbGCDM%2BMigrvuVS7Rv" TargetMode="External" Id="rId1802" /><Relationship Type="http://schemas.openxmlformats.org/officeDocument/2006/relationships/hyperlink" Target="https://contrataciondelestado.es/wps/poc?uri=deeplink:detalle_licitacion&amp;idEvl=83Xca%2Fl6aZjmnwcj%2BxbdTg%3D%3D" TargetMode="External" Id="rId1803" /><Relationship Type="http://schemas.openxmlformats.org/officeDocument/2006/relationships/hyperlink" Target="https://contrataciondelestado.es/FileSystem/servlet/GetDocumentByIdServlet?cifrado=QUC1GjXXSiLkydRHJBmbpw%3D%3D&amp;DocumentIdParam=gbhM2vhuij6Yf3nOkHwDtP24CTYtJNxIFJfNNFV/AMrfsg/EmnUBuyhN8/ucNETFCdfWkvpafg44q/HlK1wRZP/VSFQsdtf1qbt2mOKYN7qHAj0WEJrB5sP7amrh2jBD" TargetMode="External" Id="rId1804" /><Relationship Type="http://schemas.openxmlformats.org/officeDocument/2006/relationships/hyperlink" Target="https://contrataciondelestado.es/wps/poc?uri=deeplink:detalle_licitacion&amp;idEvl=CerQ9laN%2FBUXhk1FZxEyvw%3D%3D" TargetMode="External" Id="rId1805" /><Relationship Type="http://schemas.openxmlformats.org/officeDocument/2006/relationships/hyperlink" Target="https://contrataciondelestado.es/FileSystem/servlet/GetDocumentByIdServlet?cifrado=QUC1GjXXSiLkydRHJBmbpw%3D%3D&amp;DocumentIdParam=hK2HPj%2BcBj8l05iVYgxPdpy6PfjmlldsL53d7A%2BRhCwjR0yA/uAGEsUVTDHmmxvQuU9ejIuyFxvLElI/AOgPS7IxqZWVv96nEMG1lNEBhs0C1/zDIE0Kw/PWNnLS0Z0z" TargetMode="External" Id="rId1806" /><Relationship Type="http://schemas.openxmlformats.org/officeDocument/2006/relationships/hyperlink" Target="https://contrataciondelestado.es/wps/poc?uri=deeplink:detalle_licitacion&amp;idEvl=0OBW4qJT2G04NavIWzMcHA%3D%3D" TargetMode="External" Id="rId1807" /><Relationship Type="http://schemas.openxmlformats.org/officeDocument/2006/relationships/hyperlink" Target="https://contrataciondelestado.es/FileSystem/servlet/GetDocumentByIdServlet?cifrado=QUC1GjXXSiLkydRHJBmbpw%3D%3D&amp;DocumentIdParam=aher60p5R8WOZ71sjETxyZLqW7DoklHSmzDRd7Jwc%2BO%2BekkC9vm%2BU8Imnfj5dbeMpaht/muKwE//encRBi0CIZ7AJDFmwmIE3u0rAml1N5k//q7NB2iMZvNyf0xrJmjt" TargetMode="External" Id="rId1808" /><Relationship Type="http://schemas.openxmlformats.org/officeDocument/2006/relationships/hyperlink" Target="https://contrataciondelestado.es/wps/poc?uri=deeplink:detalle_licitacion&amp;idEvl=as0u1SrK6vngL1BHd3qjQA%3D%3D" TargetMode="External" Id="rId1809" /><Relationship Type="http://schemas.openxmlformats.org/officeDocument/2006/relationships/hyperlink" Target="https://contrataciondelestado.es/FileSystem/servlet/GetDocumentByIdServlet?cifrado=QUC1GjXXSiLkydRHJBmbpw%3D%3D&amp;DocumentIdParam=dE7XGp9tI9LZAOuAvLnT2f8otyB5HHYWaXvmk0PwHeVyTQuTPPragLDKccrtZeu2xHLFXv8IqY0QTcXqcBY0KVfEjkMZaQAy2tR/I2hfVSrVTD3T98KC0nSgQFM0q%2B5s" TargetMode="External" Id="rId1810" /><Relationship Type="http://schemas.openxmlformats.org/officeDocument/2006/relationships/hyperlink" Target="https://contrataciondelestado.es/wps/poc?uri=deeplink:detalle_licitacion&amp;idEvl=TSZ3CItxyMFVq4S9zvaQpQ%3D%3D" TargetMode="External" Id="rId1811" /><Relationship Type="http://schemas.openxmlformats.org/officeDocument/2006/relationships/hyperlink" Target="https://contrataciondelestado.es/FileSystem/servlet/GetDocumentByIdServlet?cifrado=QUC1GjXXSiLkydRHJBmbpw%3D%3D&amp;DocumentIdParam=cqaKhlfXY6IUvHhdXdnbvosUvZRyca7rm7wacH0KgCI98blGneRAYbPxH5pnHPqUNb6NFo/TxB37WaZsvoBdtm5/uFKr0MWP%2B3HzIzhFc%2Bd45ClyWkoJ44mKM70IFcOu" TargetMode="External" Id="rId1812" /><Relationship Type="http://schemas.openxmlformats.org/officeDocument/2006/relationships/hyperlink" Target="https://contrataciondelestado.es/wps/poc?uri=deeplink:detalle_licitacion&amp;idEvl=DPlRu%2FN0YFDN3k3tjedSGw%3D%3D" TargetMode="External" Id="rId1813" /><Relationship Type="http://schemas.openxmlformats.org/officeDocument/2006/relationships/hyperlink" Target="https://contrataciondelestado.es/FileSystem/servlet/GetDocumentByIdServlet?cifrado=QUC1GjXXSiLkydRHJBmbpw%3D%3D&amp;DocumentIdParam=VZfixEqvGZiO7eeYt3rZ1MRwITXSSDWTB3f1SCeImV7HUnXND6n5uJ9GKSOqrvRsiKJ9LiDU%2BXZRVHigsSiRAAw0/R4HNy25MgunQzIN5YV7QB3HKyQaFUExmUVQCerk" TargetMode="External" Id="rId1814" /><Relationship Type="http://schemas.openxmlformats.org/officeDocument/2006/relationships/hyperlink" Target="https://contrataciondelestado.es/wps/poc?uri=deeplink:detalle_licitacion&amp;idEvl=QDlvKuIOi%2BA2wEhQbcAqug%3D%3D" TargetMode="External" Id="rId1815" /><Relationship Type="http://schemas.openxmlformats.org/officeDocument/2006/relationships/hyperlink" Target="https://contrataciondelestado.es/FileSystem/servlet/GetDocumentByIdServlet?cifrado=QUC1GjXXSiLkydRHJBmbpw%3D%3D&amp;DocumentIdParam=cgii6KVY6xlWl%2BsHzL2wVYqXoc4HZNoeINX9I19nztUIK41%2BH6eGjGhuTf/paRe5l1N19QN3hcXldpiSgNi0hc3YFC9PrbUfLWDi2svS7C545ClyWkoJ44mKM70IFcOu" TargetMode="External" Id="rId1816" /><Relationship Type="http://schemas.openxmlformats.org/officeDocument/2006/relationships/hyperlink" Target="https://contrataciondelestado.es/wps/poc?uri=deeplink:detalle_licitacion&amp;idEvl=AosmgVs8FCtSYrkJkLlFdw%3D%3D" TargetMode="External" Id="rId1817" /><Relationship Type="http://schemas.openxmlformats.org/officeDocument/2006/relationships/hyperlink" Target="https://contrataciondelestado.es/FileSystem/servlet/GetDocumentByIdServlet?cifrado=QUC1GjXXSiLkydRHJBmbpw%3D%3D&amp;DocumentIdParam=fCB1ebW51o2x5VUmmC5tOZYhSn%2BiOCN/BeLekS3isEXrj3yRMAyiTHwM1JFoM5mgeyN9MySk00wTILS%2Bt7xNSuhLxeMU9LXGn91kTDO/JPYZyAJWGsSt0OzTSTyw9JAs" TargetMode="External" Id="rId1818" /><Relationship Type="http://schemas.openxmlformats.org/officeDocument/2006/relationships/hyperlink" Target="https://contrataciondelestado.es/wps/poc?uri=deeplink:detalle_licitacion&amp;idEvl=ONdxaoz1IC84NavIWzMcHA%3D%3D" TargetMode="External" Id="rId1819" /><Relationship Type="http://schemas.openxmlformats.org/officeDocument/2006/relationships/hyperlink" Target="https://contrataciondelestado.es/FileSystem/servlet/GetDocumentByIdServlet?cifrado=QUC1GjXXSiLkydRHJBmbpw%3D%3D&amp;DocumentIdParam=cYs1OqbINtqw4JpqlbOB6mvKvF%2Ba1TxtJ0O02y617ptV/D6SpvshboN7I7dnGpDjQIKgKqw5beecP5YZPhZfZRDufLj/ece6vidK%2BQXLqlh45ClyWkoJ44mKM70IFcOu" TargetMode="External" Id="rId1820" /><Relationship Type="http://schemas.openxmlformats.org/officeDocument/2006/relationships/hyperlink" Target="https://contrataciondelestado.es/wps/poc?uri=deeplink:detalle_licitacion&amp;idEvl=ydRWoumk5HKFQ%2FlhRK79lA%3D%3D" TargetMode="External" Id="rId1821" /><Relationship Type="http://schemas.openxmlformats.org/officeDocument/2006/relationships/hyperlink" Target="https://contrataciondelestado.es/FileSystem/servlet/GetDocumentByIdServlet?cifrado=QUC1GjXXSiLkydRHJBmbpw%3D%3D&amp;DocumentIdParam=TEcuYdvmxxRggYwRJFp0CSG9PNrhvKmLwRGz/PXY5Z5ictWa5/dHqllIdxO7Miy6NFzl%2BQy8b9PIn7s1YFIsJDDX946PywAtQp%2BBwUmvJux7QB3HKyQaFUExmUVQCerk" TargetMode="External" Id="rId1822" /><Relationship Type="http://schemas.openxmlformats.org/officeDocument/2006/relationships/hyperlink" Target="https://contrataciondelestado.es/wps/poc?uri=deeplink:detalle_licitacion&amp;idEvl=qYdQ2UNJlyWopEMYCmrbmw%3D%3D" TargetMode="External" Id="rId1823" /><Relationship Type="http://schemas.openxmlformats.org/officeDocument/2006/relationships/hyperlink" Target="https://contrataciondelestado.es/FileSystem/servlet/GetDocumentByIdServlet?cifrado=QUC1GjXXSiLkydRHJBmbpw%3D%3D&amp;DocumentIdParam=G6TtM3zlVLh4iBt0rco2I5YCl6DnsWRDItMTIcknE3AGyzhE9hqF97zZnUfi/ixPf1oMCpkq397n4ekdidUVOQ1geUESGKJSYQayH0CLcJTfdyQgZAdTm3EfcUAC7CJ6" TargetMode="External" Id="rId1824" /><Relationship Type="http://schemas.openxmlformats.org/officeDocument/2006/relationships/hyperlink" Target="https://contrataciondelestado.es/wps/poc?uri=deeplink:detalle_licitacion&amp;idEvl=L6hOwBseujd9PLkba5eRog%3D%3D" TargetMode="External" Id="rId1825" /><Relationship Type="http://schemas.openxmlformats.org/officeDocument/2006/relationships/hyperlink" Target="https://contrataciondelestado.es/FileSystem/servlet/GetDocumentByIdServlet?cifrado=QUC1GjXXSiLkydRHJBmbpw%3D%3D&amp;DocumentIdParam=q2JL61rnrUyeMfkrZnCgryAIUUwrnVO%2BoF6ntepRES1%2BMBrTVpWaqAfyXW9pSqJ/o12dEYIG2i5RZcXPgQKUa47MY8k9koQ2INTY8fZeICr6CYyL7SIrUOBFfNf52ZqA" TargetMode="External" Id="rId1826" /><Relationship Type="http://schemas.openxmlformats.org/officeDocument/2006/relationships/hyperlink" Target="https://contrataciondelestado.es/wps/poc?uri=deeplink:detalle_licitacion&amp;idEvl=w1t7So2fk2RPpzdqOdhuWg%3D%3D" TargetMode="External" Id="rId1827" /><Relationship Type="http://schemas.openxmlformats.org/officeDocument/2006/relationships/hyperlink" Target="https://contrataciondelestado.es/FileSystem/servlet/GetDocumentByIdServlet?cifrado=QUC1GjXXSiLkydRHJBmbpw%3D%3D&amp;DocumentIdParam=3ZXjyXajisQB1f1OIjq9idHQpQ/6OhQqzX0jdgUSIllpvKrufDBbRTwCNB%2BrMskcvBw8Szioc4dZ9e%2BrmQ9IQK/rlRbpQshsq6opgfm9tIUC1/zDIE0Kw/PWNnLS0Z0z" TargetMode="External" Id="rId1828" /><Relationship Type="http://schemas.openxmlformats.org/officeDocument/2006/relationships/hyperlink" Target="https://contrataciondelestado.es/wps/poc?uri=deeplink:detalle_licitacion&amp;idEvl=pSdA05lbz3Jt5r0ngvMetA%3D%3D" TargetMode="External" Id="rId1829" /><Relationship Type="http://schemas.openxmlformats.org/officeDocument/2006/relationships/hyperlink" Target="https://contrataciondelestado.es/FileSystem/servlet/GetDocumentByIdServlet?cifrado=QUC1GjXXSiLkydRHJBmbpw%3D%3D&amp;DocumentIdParam=uCOX0UjUjlqhf3QpWVxXi1JVp1BC5UkuVmuhTeG3KX2hqxQUOEBKIGgA49Rt7gFdR%2BbO71WzKECJ/0qCsXiDOhkg0FVVN059WR4VIAHMWPeCx2e6p7hqtlp2aFupgHMr" TargetMode="External" Id="rId1830" /><Relationship Type="http://schemas.openxmlformats.org/officeDocument/2006/relationships/hyperlink" Target="https://contrataciondelestado.es/wps/poc?uri=deeplink:detalle_licitacion&amp;idEvl=ABSgem6i7LZVkTabT%2FRM8A%3D%3D" TargetMode="External" Id="rId1831" /><Relationship Type="http://schemas.openxmlformats.org/officeDocument/2006/relationships/hyperlink" Target="https://contrataciondelestado.es/FileSystem/servlet/GetDocumentByIdServlet?cifrado=QUC1GjXXSiLkydRHJBmbpw%3D%3D&amp;DocumentIdParam=knwZfqKJCSOReSDCsS8ASK%2BsZxINwRoCEC5KONNKZ007T3RaotksFebDOfnNezbuzpyE9msbY71KiLjqyTBPdwvE9UrM2EZy2Cs%2BYuFbgAiHAj0WEJrB5sP7amrh2jBD" TargetMode="External" Id="rId1832" /><Relationship Type="http://schemas.openxmlformats.org/officeDocument/2006/relationships/hyperlink" Target="https://contrataciondelestado.es/wps/poc?uri=deeplink:detalle_licitacion&amp;idEvl=WKxl4n9ShGrVGIpKDxgsAQ%3D%3D" TargetMode="External" Id="rId1833" /><Relationship Type="http://schemas.openxmlformats.org/officeDocument/2006/relationships/hyperlink" Target="https://contrataciondelestado.es/wps/poc?uri=deeplink:detalle_licitacion&amp;idEvl=KAUJiYxZYJ%2FzAq95uGTrDQ%3D%3D" TargetMode="External" Id="rId1834" /><Relationship Type="http://schemas.openxmlformats.org/officeDocument/2006/relationships/hyperlink" Target="https://contrataciondelestado.es/FileSystem/servlet/GetDocumentByIdServlet?cifrado=QUC1GjXXSiLkydRHJBmbpw%3D%3D&amp;DocumentIdParam=uusj21cmfVvLRKvyr8fFc/IsdKeGMWuZpHDKlj80AGF0sE18BpmOKdT5NxKSrJUzrLrbklKyqoyOkYoFmNF6SZJZZG9Hd6QS%2BeYjJA9bmMh7QB3HKyQaFUExmUVQCerk" TargetMode="External" Id="rId1835" /><Relationship Type="http://schemas.openxmlformats.org/officeDocument/2006/relationships/hyperlink" Target="https://contrataciondelestado.es/wps/poc?uri=deeplink:detalle_licitacion&amp;idEvl=EZpBt5Qp9zvs%2BnLj3vAg5A%3D%3D" TargetMode="External" Id="rId1836" /><Relationship Type="http://schemas.openxmlformats.org/officeDocument/2006/relationships/hyperlink" Target="https://contrataciondelestado.es/FileSystem/servlet/GetDocumentByIdServlet?cifrado=QUC1GjXXSiLkydRHJBmbpw%3D%3D&amp;DocumentIdParam=pMVECn1EAvhvAyI3TxF5f44jxrON6MQxSreAFd0Yrpqp0xqc%2BgDKO/BgskmASN1lq61cawqP5u6FWjFj9XDESottofoufYhZ%2BVvHDLJXwNA//q7NB2iMZvNyf0xrJmjt" TargetMode="External" Id="rId1837" /><Relationship Type="http://schemas.openxmlformats.org/officeDocument/2006/relationships/hyperlink" Target="https://contrataciondelestado.es/wps/poc?uri=deeplink:detalle_licitacion&amp;idEvl=h1hNlJd1CAtQFSeKCRun4Q%3D%3D" TargetMode="External" Id="rId1838" /><Relationship Type="http://schemas.openxmlformats.org/officeDocument/2006/relationships/hyperlink" Target="https://contrataciondelestado.es/FileSystem/servlet/GetDocumentByIdServlet?cifrado=QUC1GjXXSiLkydRHJBmbpw%3D%3D&amp;DocumentIdParam=1H%2BYHuxv9MmVKeMmKJTQyOift1NPP3UJp21iWEVkVv3vrHQOmAxPJ3fOjc6u3U%2BdUKTr/ALQjoq35mKFmYo3XCahHg4WtHQd02dkB%2Bf03VQC1/zDIE0Kw/PWNnLS0Z0z" TargetMode="External" Id="rId1839" /><Relationship Type="http://schemas.openxmlformats.org/officeDocument/2006/relationships/hyperlink" Target="https://contrataciondelestado.es/wps/poc?uri=deeplink:detalle_licitacion&amp;idEvl=IwYt08KPtCi7JOCXkOhcDg%3D%3D" TargetMode="External" Id="rId1840" /><Relationship Type="http://schemas.openxmlformats.org/officeDocument/2006/relationships/hyperlink" Target="https://contrataciondelestado.es/FileSystem/servlet/GetDocumentByIdServlet?cifrado=QUC1GjXXSiLkydRHJBmbpw%3D%3D&amp;DocumentIdParam=JqrTEMTzviSkWSwGX2ejB5zlADG9cWOD/K8%2BgCp/zccER2HPpC85TVt9sHLzLWeo1TrOyFkm69iWsRAzkkNafu3cZ1GPLTyYbJQKUJrwEerVTD3T98KC0nSgQFM0q%2B5s" TargetMode="External" Id="rId1841" /><Relationship Type="http://schemas.openxmlformats.org/officeDocument/2006/relationships/hyperlink" Target="https://contrataciondelestado.es/wps/poc?uri=deeplink:detalle_licitacion&amp;idEvl=uwuuHdm2V3Z9PLkba5eRog%3D%3D" TargetMode="External" Id="rId1842" /><Relationship Type="http://schemas.openxmlformats.org/officeDocument/2006/relationships/hyperlink" Target="https://contrataciondelestado.es/FileSystem/servlet/GetDocumentByIdServlet?cifrado=QUC1GjXXSiLkydRHJBmbpw%3D%3D&amp;DocumentIdParam=s4vQW3/n3poJRwhDG14Nr/nLnuV8hlRBxejiom0hH9GOZiSl1axmMowPlfr5AOrX5zLHTF0imTt9RnZRwccxbVxqTx1G8m9UOXwIbIsDjGH3GVhXrFFqN7yFncy7YfRK" TargetMode="External" Id="rId1843" /><Relationship Type="http://schemas.openxmlformats.org/officeDocument/2006/relationships/hyperlink" Target="https://contrataciondelestado.es/wps/poc?uri=deeplink:detalle_licitacion&amp;idEvl=CVlzrPSyb26cTfjQf3USOg%3D%3D" TargetMode="External" Id="rId1844" /><Relationship Type="http://schemas.openxmlformats.org/officeDocument/2006/relationships/hyperlink" Target="https://contrataciondelestado.es/wps/wcm/connect/PLACE_es/Site/area/docAccCmpnt?srv=cmpnt&amp;cmpntname=GetDocumentsById&amp;source=library&amp;DocumentIdParam=5a51fb9d-8447-403d-804b-c8fbd4cf315f" TargetMode="External" Id="rId1845" /><Relationship Type="http://schemas.openxmlformats.org/officeDocument/2006/relationships/hyperlink" Target="https://contrataciondelestado.es/wps/poc?uri=deeplink:detalle_licitacion&amp;idEvl=rwhsNA1c2cB%2FP7lJ7Fu0SA%3D%3D" TargetMode="External" Id="rId1846" /><Relationship Type="http://schemas.openxmlformats.org/officeDocument/2006/relationships/hyperlink" Target="https://contrataciondelestado.es/FileSystem/servlet/GetDocumentByIdServlet?cifrado=QUC1GjXXSiLkydRHJBmbpw%3D%3D&amp;DocumentIdParam=f0WKn/TOjyihzzXGt2avyJVNop4iIfQ95qagKYvKS/S4CVrYwMoeQhmN7G33u9TF7nL7EqKINcG%2BxFs/p%2Br8oisBLOcXL0CTR%2BpqFfQj8OHVTD3T98KC0nSgQFM0q%2B5s" TargetMode="External" Id="rId1847" /><Relationship Type="http://schemas.openxmlformats.org/officeDocument/2006/relationships/hyperlink" Target="https://contrataciondelestado.es/wps/poc?uri=deeplink:detalle_licitacion&amp;idEvl=oKeaX1q7DYXCfVQHDepjGQ%3D%3D" TargetMode="External" Id="rId1848" /><Relationship Type="http://schemas.openxmlformats.org/officeDocument/2006/relationships/hyperlink" Target="https://contrataciondelestado.es/FileSystem/servlet/GetDocumentByIdServlet?cifrado=QUC1GjXXSiLkydRHJBmbpw%3D%3D&amp;DocumentIdParam=fv2csC1ATD/cETRRm0cRY8c%2BCnT%2BTG054HCp47afSFPOflgzKAeYPMbCOvE/P/MCG36AlvYgoo1oAmN1YEsSlcMHRxoawa3UP00T1el9Q53fdyQgZAdTm3EfcUAC7CJ6" TargetMode="External" Id="rId1849" /><Relationship Type="http://schemas.openxmlformats.org/officeDocument/2006/relationships/hyperlink" Target="https://contrataciondelestado.es/wps/poc?uri=deeplink:detalle_licitacion&amp;idEvl=47FkCao0SxydkQsA7ROvsg%3D%3D" TargetMode="External" Id="rId1850" /><Relationship Type="http://schemas.openxmlformats.org/officeDocument/2006/relationships/hyperlink" Target="https://contrataciondelestado.es/FileSystem/servlet/GetDocumentByIdServlet?cifrado=QUC1GjXXSiLkydRHJBmbpw%3D%3D&amp;DocumentIdParam=ytX%2BrL7pPXhbxK7cnb6UDZhXNMY5uMvYsUwQpkD9DzrLA5351cz%2BLSMge5wWVTHRDtWTcZ8bQNZP4hGgcaf1/fptY8TUZ/IkYteOD%2BcqoAt7QB3HKyQaFUExmUVQCerk" TargetMode="External" Id="rId1851" /><Relationship Type="http://schemas.openxmlformats.org/officeDocument/2006/relationships/hyperlink" Target="https://contrataciondelestado.es/wps/poc?uri=deeplink:detalle_licitacion&amp;idEvl=yxLbMc2LQ0CP%2Bo96UAV7cQ%3D%3D" TargetMode="External" Id="rId1852" /><Relationship Type="http://schemas.openxmlformats.org/officeDocument/2006/relationships/hyperlink" Target="https://contrataciondelestado.es/FileSystem/servlet/GetDocumentByIdServlet?cifrado=QUC1GjXXSiLkydRHJBmbpw%3D%3D&amp;DocumentIdParam=6QwORiL8YWZmzU2OyfexO58qil6ckkrTyEfAAz8xy1SzFwLQUVnYSWUqMKnVPl43OCo6iVVeif/DUjWDlagLXRJfKCkLN1OVSEsGZ0rTNFJ7QB3HKyQaFUExmUVQCerk" TargetMode="External" Id="rId1853" /><Relationship Type="http://schemas.openxmlformats.org/officeDocument/2006/relationships/hyperlink" Target="https://contrataciondelestado.es/wps/poc?uri=deeplink:detalle_licitacion&amp;idEvl=6MZ0kFZqu2p9Zh%2FyRJgM8w%3D%3D" TargetMode="External" Id="rId1854" /><Relationship Type="http://schemas.openxmlformats.org/officeDocument/2006/relationships/hyperlink" Target="https://contrataciondelestado.es/FileSystem/servlet/GetDocumentByIdServlet?cifrado=QUC1GjXXSiLkydRHJBmbpw%3D%3D&amp;DocumentIdParam=RyVB83GCFV20u3SLnY4FWqaWy%2BrvW13txziucMsDn/Xn3a/TypatcwyXSCU7pDVqZ2mZl%2Bex7lmucEffNv999m/k%2B78RvNvknBgRlpYLT5U//q7NB2iMZvNyf0xrJmjt" TargetMode="External" Id="rId1855" /><Relationship Type="http://schemas.openxmlformats.org/officeDocument/2006/relationships/hyperlink" Target="https://contrataciondelestado.es/wps/poc?uri=deeplink:detalle_licitacion&amp;idEvl=J5dFkEJFfLxQFSeKCRun4Q%3D%3D" TargetMode="External" Id="rId1856" /><Relationship Type="http://schemas.openxmlformats.org/officeDocument/2006/relationships/hyperlink" Target="https://contrataciondelestado.es/FileSystem/servlet/GetDocumentByIdServlet?cifrado=QUC1GjXXSiLkydRHJBmbpw%3D%3D&amp;DocumentIdParam=1a4I4am5X2E%2BH67CBZHF%2BOcpXE9248SmgGElAdZOJayTxoF8utdTYrmhIpF%2BX%2B/5cWQ9FA%2BfAhoOj%2BTqYO3E1tcCrQR5AtlgV5eYsinmTFZJOVDbGCDM%2BMigrvuVS7Rv" TargetMode="External" Id="rId1857" /><Relationship Type="http://schemas.openxmlformats.org/officeDocument/2006/relationships/hyperlink" Target="https://contrataciondelestado.es/wps/poc?uri=deeplink:detalle_licitacion&amp;idEvl=q5Vvs%2BsCtosS7pcxhTeWOg%3D%3D" TargetMode="External" Id="rId1858" /><Relationship Type="http://schemas.openxmlformats.org/officeDocument/2006/relationships/hyperlink" Target="https://contrataciondelestado.es/FileSystem/servlet/GetDocumentByIdServlet?cifrado=QUC1GjXXSiLkydRHJBmbpw%3D%3D&amp;DocumentIdParam=57TmaF3w9kL0Ke8hY4jTGZaIyNPZlK7QsVyHSJN%2B9Gn%2BJff0CYJRnfvU2IXYdlQyhyv0iZCHeN7yUeSE7zI/m%2BNH3nRhFcYOkace/u0NEZB45ClyWkoJ44mKM70IFcOu" TargetMode="External" Id="rId1859" /><Relationship Type="http://schemas.openxmlformats.org/officeDocument/2006/relationships/hyperlink" Target="https://contrataciondelestado.es/wps/poc?uri=deeplink:detalle_licitacion&amp;idEvl=BaILYloe850wYTJJ03sHog%3D%3D" TargetMode="External" Id="rId1860" /><Relationship Type="http://schemas.openxmlformats.org/officeDocument/2006/relationships/hyperlink" Target="https://contrataciondelestado.es/FileSystem/servlet/GetDocumentByIdServlet?cifrado=QUC1GjXXSiLkydRHJBmbpw%3D%3D&amp;DocumentIdParam=n44AYdR2WuAnD91Dz/ZmKtEp7L0US5VS/BfRSGag6BNbOX88pQXbDKGKu6Emvon4xvRtyF4gjps4h6O9b2Kn9jBC2egVCoH7myOXri6/wyCHAj0WEJrB5sP7amrh2jBD" TargetMode="External" Id="rId1861" /><Relationship Type="http://schemas.openxmlformats.org/officeDocument/2006/relationships/hyperlink" Target="https://contrataciondelestado.es/wps/poc?uri=deeplink:detalle_licitacion&amp;idEvl=%2FjRjPAtwt7AQyBAnWzHfCg%3D%3D" TargetMode="External" Id="rId1862" /><Relationship Type="http://schemas.openxmlformats.org/officeDocument/2006/relationships/hyperlink" Target="https://contrataciondelestado.es/FileSystem/servlet/GetDocumentByIdServlet?cifrado=QUC1GjXXSiLkydRHJBmbpw%3D%3D&amp;DocumentIdParam=whygy/FLN2pC4SMW%2Baihab9eC2VNODmv/TSOClv64JlUg6%2BJIr5XsQMVIGFOTLhvwugYbMIZzHQl70Mdi4EMHOON/CWOR6SnvubHqYaEUvX3GVhXrFFqN7yFncy7YfRK" TargetMode="External" Id="rId1863" /><Relationship Type="http://schemas.openxmlformats.org/officeDocument/2006/relationships/hyperlink" Target="https://contrataciondelestado.es/wps/poc?uri=deeplink:detalle_licitacion&amp;idEvl=OSDWA9pVaDpVYjgxA4nMUw%3D%3D" TargetMode="External" Id="rId1864" /><Relationship Type="http://schemas.openxmlformats.org/officeDocument/2006/relationships/hyperlink" Target="https://contrataciondelestado.es/FileSystem/servlet/GetDocumentByIdServlet?cifrado=QUC1GjXXSiLkydRHJBmbpw%3D%3D&amp;DocumentIdParam=kQ2YBv8zMh/uLBj0I7zUEFXtYT89UwQhU7T5EjMAlBGc9yOjES79cXRlTr8dinxI8iJIuxH4KBfG4Y0NEBouUMRsYCwNbSqI3yZIUd7l0tTfdyQgZAdTm3EfcUAC7CJ6" TargetMode="External" Id="rId1865" /><Relationship Type="http://schemas.openxmlformats.org/officeDocument/2006/relationships/hyperlink" Target="https://contrataciondelestado.es/wps/poc?uri=deeplink:detalle_licitacion&amp;idEvl=hME4u6Dmu7I%2Bk2oCbDosIw%3D%3D" TargetMode="External" Id="rId1866" /><Relationship Type="http://schemas.openxmlformats.org/officeDocument/2006/relationships/hyperlink" Target="https://contrataciondelestado.es/FileSystem/servlet/GetDocumentByIdServlet?cifrado=QUC1GjXXSiLkydRHJBmbpw%3D%3D&amp;DocumentIdParam=2GH4Yuh9TzHUQkWhSTuXydkXXCZV1wUf3BoTDt/eB6YxjzuxMGEGN3tJtVz4AVYEl0bua9AJDwS58z0SlbOpEmLpJc%2B%2BL74A6rANIta7jGBt/o8fNevwsujgRzaBbugn" TargetMode="External" Id="rId1867" /><Relationship Type="http://schemas.openxmlformats.org/officeDocument/2006/relationships/hyperlink" Target="https://contrataciondelestado.es/wps/poc?uri=deeplink:detalle_licitacion&amp;idEvl=6O18MEMPR0OdkQsA7ROvsg%3D%3D" TargetMode="External" Id="rId1868" /><Relationship Type="http://schemas.openxmlformats.org/officeDocument/2006/relationships/hyperlink" Target="https://contrataciondelestado.es/FileSystem/servlet/GetDocumentByIdServlet?cifrado=QUC1GjXXSiLkydRHJBmbpw%3D%3D&amp;DocumentIdParam=knbo6fk4E1QMEni%2BoBKFSe4zFb3OHutm/GO7cvRwDnYF/Notemzz88JzkyBAx8uHKo366g6bK9%2B3nFarOBke7toumbIzFdo0FmPn6cbCeRX3GVhXrFFqN7yFncy7YfRK" TargetMode="External" Id="rId1869" /><Relationship Type="http://schemas.openxmlformats.org/officeDocument/2006/relationships/hyperlink" Target="https://contrataciondelestado.es/wps/poc?uri=deeplink:detalle_licitacion&amp;idEvl=7fUAiBOYYpsaF6cS8TCh%2FA%3D%3D" TargetMode="External" Id="rId1870" /><Relationship Type="http://schemas.openxmlformats.org/officeDocument/2006/relationships/hyperlink" Target="https://contrataciondelestado.es/FileSystem/servlet/GetDocumentByIdServlet?cifrado=QUC1GjXXSiLkydRHJBmbpw%3D%3D&amp;DocumentIdParam=Pf7ufdyo0EpKAmk7bmwFzC2k7zDFkTIpTJpWVrg8SOeEGjysgVqTkTKPVeWkBF8ftYD0%2B2YzzzIjff9cld6Sm48EBxKq93AdiJc1YGNXBWgC1/zDIE0Kw/PWNnLS0Z0z" TargetMode="External" Id="rId1871" /><Relationship Type="http://schemas.openxmlformats.org/officeDocument/2006/relationships/hyperlink" Target="https://contrataciondelestado.es/wps/poc?uri=deeplink:detalle_licitacion&amp;idEvl=mVdXuNqXHm02wEhQbcAqug%3D%3D" TargetMode="External" Id="rId1872" /><Relationship Type="http://schemas.openxmlformats.org/officeDocument/2006/relationships/hyperlink" Target="https://contrataciondelestado.es/FileSystem/servlet/GetDocumentByIdServlet?cifrado=QUC1GjXXSiLkydRHJBmbpw%3D%3D&amp;DocumentIdParam=zb0OHq2HQQ9I2UMe11YmYlDZ5SDoVlpFRNejjBLg7GAqFTaxIrq22n9ltn8smZQ/ce0DAwhUZIIBzeDqVSTfqhnq1wqE6fMxsF69dzzVUS9JOVDbGCDM%2BMigrvuVS7Rv" TargetMode="External" Id="rId1873" /><Relationship Type="http://schemas.openxmlformats.org/officeDocument/2006/relationships/hyperlink" Target="https://contrataciondelestado.es/wps/poc?uri=deeplink:detalle_licitacion&amp;idEvl=Dm6qVhLDoWycCF8sV%2BqtYA%3D%3D" TargetMode="External" Id="rId1874" /><Relationship Type="http://schemas.openxmlformats.org/officeDocument/2006/relationships/hyperlink" Target="https://contrataciondelestado.es/FileSystem/servlet/GetDocumentByIdServlet?cifrado=QUC1GjXXSiLkydRHJBmbpw%3D%3D&amp;DocumentIdParam=uXTU8alS4HnvJgLD83wZilKB1ZoK8KQE6ZjV4%2Bxz0IeKySyaQ0mguUCaaVhiANWetLNvItY7wMeTpJYtG5UssY54xyrJKHCIjaDwKnTmW9Jt/o8fNevwsujgRzaBbugn" TargetMode="External" Id="rId1875" /><Relationship Type="http://schemas.openxmlformats.org/officeDocument/2006/relationships/hyperlink" Target="https://contrataciondelestado.es/wps/poc?uri=deeplink:detalle_licitacion&amp;idEvl=TYOPJm4ng9h9PLkba5eRog%3D%3D" TargetMode="External" Id="rId1876" /><Relationship Type="http://schemas.openxmlformats.org/officeDocument/2006/relationships/hyperlink" Target="https://contrataciondelestado.es/FileSystem/servlet/GetDocumentByIdServlet?cifrado=QUC1GjXXSiLkydRHJBmbpw%3D%3D&amp;DocumentIdParam=6YYYdRvtHENycq6WHjsqgah8RrH1xurqWZ0YTzwkRXHhCJ%2BcJFs1rajmrNp/57UXTPtaaN0sScXEX%2BLQnR98dVctkY5%2BXRNNvhYUZMEYrvSCx2e6p7hqtlp2aFupgHMr" TargetMode="External" Id="rId1877" /><Relationship Type="http://schemas.openxmlformats.org/officeDocument/2006/relationships/hyperlink" Target="https://contrataciondelestado.es/wps/poc?uri=deeplink:detalle_licitacion&amp;idEvl=SgQ0NWYpIi%2BsNfRW6APEDw%3D%3D" TargetMode="External" Id="rId1878" /><Relationship Type="http://schemas.openxmlformats.org/officeDocument/2006/relationships/hyperlink" Target="https://contrataciondelestado.es/FileSystem/servlet/GetDocumentByIdServlet?cifrado=QUC1GjXXSiLkydRHJBmbpw%3D%3D&amp;DocumentIdParam=Y0yE2CVf/qM5h8qHjrfBmlcaFi4h8yJXUjr3ysAXFsBTcjB5gOSf6XWjYYHIIJFJeifHlqmNJaqsM3NVhGPWguBSypvPBMAu5ebuTQYBN/XDdQD9RyhUmzT4jZ2In4zL" TargetMode="External" Id="rId1879" /><Relationship Type="http://schemas.openxmlformats.org/officeDocument/2006/relationships/hyperlink" Target="https://contrataciondelestado.es/wps/poc?uri=deeplink:detalle_licitacion&amp;idEvl=MM9a6jiiQQ2dkQsA7ROvsg%3D%3D" TargetMode="External" Id="rId1880" /><Relationship Type="http://schemas.openxmlformats.org/officeDocument/2006/relationships/hyperlink" Target="https://contrataciondelestado.es/FileSystem/servlet/GetDocumentByIdServlet?cifrado=QUC1GjXXSiLkydRHJBmbpw%3D%3D&amp;DocumentIdParam=PtnWTzmMUkdpNRt1Nc7THHNZxY2EcNHbvR9hbq%2B98UDFyMVi/kcbD9VgzJeu4pr8Tkr9SLEe%2B0jGpy3aK/NBc0PoUjEEHHo4F4KgGYBhp6lJOVDbGCDM%2BMigrvuVS7Rv" TargetMode="External" Id="rId1881" /><Relationship Type="http://schemas.openxmlformats.org/officeDocument/2006/relationships/hyperlink" Target="https://contrataciondelestado.es/wps/poc?uri=deeplink:detalle_licitacion&amp;idEvl=r0YnGGMT4cbua%2Fi14w%2FPLA%3D%3D" TargetMode="External" Id="rId1882" /><Relationship Type="http://schemas.openxmlformats.org/officeDocument/2006/relationships/hyperlink" Target="https://contrataciondelestado.es/FileSystem/servlet/GetDocumentByIdServlet?cifrado=QUC1GjXXSiLkydRHJBmbpw%3D%3D&amp;DocumentIdParam=k/DBPFy3cNclWWbv601Zn9l%2BlQoF2uUGP%2BisJkFxy4Uu8Q0b8r9UI8raqEtPFrgyMkRwIGs2y8QS1%2B0HUluVta6b8VjqfCmYRv9wxCj1Esv3GVhXrFFqN7yFncy7YfRK" TargetMode="External" Id="rId1883" /><Relationship Type="http://schemas.openxmlformats.org/officeDocument/2006/relationships/hyperlink" Target="https://contrataciondelestado.es/wps/poc?uri=deeplink:detalle_licitacion&amp;idEvl=bCtIhmjrqy7E6P%2FuLemXRw%3D%3D" TargetMode="External" Id="rId1884" /><Relationship Type="http://schemas.openxmlformats.org/officeDocument/2006/relationships/hyperlink" Target="https://contrataciondelestado.es/FileSystem/servlet/GetDocumentByIdServlet?cifrado=QUC1GjXXSiLkydRHJBmbpw%3D%3D&amp;DocumentIdParam=BjGPPJVMaLhuuVM05xcLlHTxxr/J3wdWqgTruuKhMV70vB6/Cd38zCkZCc0iJFEPo03szFnNHzpd4elJOWYc2pB9JuatkpSEh5rQWtbN5ybVTD3T98KC0nSgQFM0q%2B5s" TargetMode="External" Id="rId1885" /><Relationship Type="http://schemas.openxmlformats.org/officeDocument/2006/relationships/hyperlink" Target="https://contrataciondelestado.es/wps/poc?uri=deeplink:detalle_licitacion&amp;idEvl=4IoxDsPd6ONPpzdqOdhuWg%3D%3D" TargetMode="External" Id="rId1886" /><Relationship Type="http://schemas.openxmlformats.org/officeDocument/2006/relationships/hyperlink" Target="https://contrataciondelestado.es/FileSystem/servlet/GetDocumentByIdServlet?cifrado=QUC1GjXXSiLkydRHJBmbpw%3D%3D&amp;DocumentIdParam=npGLXibGXSm0gKEj7%2BupwXx01znlzWIHXDwP25SQLbhMtYGnTqeAIWEO2ajfamfdMxkogDlWwU73tCoyg/xl3PWx5gYu/xMcGO%2BBNKbhvfh45ClyWkoJ44mKM70IFcOu" TargetMode="External" Id="rId1887" /><Relationship Type="http://schemas.openxmlformats.org/officeDocument/2006/relationships/hyperlink" Target="https://contrataciondelestado.es/wps/poc?uri=deeplink:detalle_licitacion&amp;idEvl=Eg2ENCF2aSuIzo3LHNPGcQ%3D%3D" TargetMode="External" Id="rId1888" /><Relationship Type="http://schemas.openxmlformats.org/officeDocument/2006/relationships/hyperlink" Target="https://contrataciondelestado.es/FileSystem/servlet/GetDocumentByIdServlet?cifrado=QUC1GjXXSiLkydRHJBmbpw%3D%3D&amp;DocumentIdParam=%2BvIUPvluChGeSeoSOkpjFcy%2B5QE8abodup6mNzhL%2Bk7sobJjl9hQc4DxGL3eZrc0QWjG%2Brxnk5zl9qNE/KQJxFxK%2BLRHdPa7olUCFmysduFJOVDbGCDM%2BMigrvuVS7Rv" TargetMode="External" Id="rId1889" /><Relationship Type="http://schemas.openxmlformats.org/officeDocument/2006/relationships/hyperlink" Target="https://contrataciondelestado.es/wps/poc?uri=deeplink:detalle_licitacion&amp;idEvl=RBGp8tMABhM%2Bk2oCbDosIw%3D%3D" TargetMode="External" Id="rId1890" /><Relationship Type="http://schemas.openxmlformats.org/officeDocument/2006/relationships/hyperlink" Target="https://contrataciondelestado.es/FileSystem/servlet/GetDocumentByIdServlet?cifrado=QUC1GjXXSiLkydRHJBmbpw%3D%3D&amp;DocumentIdParam=/fwnC9iZmVm2l/1fdM/2mr/oLobq61qa567s7TP2xHFsrKOc8h3ytrQEOPenNphJwDwnrLwcUtW7Z%2B/vS1sZdfdKV0FpKwcyoyRDei6bmriCx2e6p7hqtlp2aFupgHMr" TargetMode="External" Id="rId1891" /><Relationship Type="http://schemas.openxmlformats.org/officeDocument/2006/relationships/hyperlink" Target="https://contrataciondelestado.es/wps/poc?uri=deeplink:detalle_licitacion&amp;idEvl=WHALGmGEDpVVkTabT%2FRM8A%3D%3D" TargetMode="External" Id="rId1892" /><Relationship Type="http://schemas.openxmlformats.org/officeDocument/2006/relationships/hyperlink" Target="https://contrataciondelestado.es/FileSystem/servlet/GetDocumentByIdServlet?cifrado=QUC1GjXXSiLkydRHJBmbpw%3D%3D&amp;DocumentIdParam=tEnJpXJPnLzjQ8ddymr6r3vam3NawOFxSvE5gMUnl6NQzgm8zdnl8BBH8YZk64wrKPm7cJY3ROh/94mMVm2mdcSX%2BhuM8ncR9toGEhjZA6Vt/o8fNevwsujgRzaBbugn" TargetMode="External" Id="rId1893" /><Relationship Type="http://schemas.openxmlformats.org/officeDocument/2006/relationships/hyperlink" Target="https://contrataciondelestado.es/wps/poc?uri=deeplink:detalle_licitacion&amp;idEvl=8GcvqRdL2aZ4zIRvjBVCSw%3D%3D" TargetMode="External" Id="rId1894" /><Relationship Type="http://schemas.openxmlformats.org/officeDocument/2006/relationships/hyperlink" Target="https://contrataciondelestado.es/FileSystem/servlet/GetDocumentByIdServlet?cifrado=QUC1GjXXSiLkydRHJBmbpw%3D%3D&amp;DocumentIdParam=LqkNJQNfzWhG5Pf7CFezwsr7DOUN9/Xp4IO7vJHtN6x2BDp8qLHUGjfe2QcI/yGra5kphf/BUrFVjkqfXnlgYMBhlmhq8X6BefXtZBhCyFdJOVDbGCDM%2BMigrvuVS7Rv" TargetMode="External" Id="rId1895" /><Relationship Type="http://schemas.openxmlformats.org/officeDocument/2006/relationships/hyperlink" Target="https://contrataciondelestado.es/wps/poc?uri=deeplink:detalle_licitacion&amp;idEvl=WxQAZjENNsfIGlsa0Wad%2Bw%3D%3D" TargetMode="External" Id="rId1896" /><Relationship Type="http://schemas.openxmlformats.org/officeDocument/2006/relationships/hyperlink" Target="https://contrataciondelestado.es/FileSystem/servlet/GetDocumentByIdServlet?cifrado=QUC1GjXXSiLkydRHJBmbpw%3D%3D&amp;DocumentIdParam=syMA5722wPfMJCiG2N/qHop3c9RpgS4MKCMMDhcgBA8%2BM9pq9oplEtmbv3k4yDx1hKeMRCmX0/sG7FpL2x5dlfS1ZCKjjApK%2BUnHU1MTJfB45ClyWkoJ44mKM70IFcOu" TargetMode="External" Id="rId1897" /><Relationship Type="http://schemas.openxmlformats.org/officeDocument/2006/relationships/hyperlink" Target="https://contrataciondelestado.es/wps/poc?uri=deeplink:detalle_licitacion&amp;idEvl=ejM9s7f9nzTyoM4us5k4vw%3D%3D" TargetMode="External" Id="rId1898" /><Relationship Type="http://schemas.openxmlformats.org/officeDocument/2006/relationships/hyperlink" Target="https://contrataciondelestado.es/FileSystem/servlet/GetDocumentByIdServlet?cifrado=QUC1GjXXSiLkydRHJBmbpw%3D%3D&amp;DocumentIdParam=W%2BvKz6lNbb3skKOeeNAgffqLKkfqK%2BHfj49n5LBW3KH5FnRmUgRuShWN6NN87uKKX%2BT7Ywze8oNRucG3JTvi1vhXgR6peeaGq864fMBmD0k//q7NB2iMZvNyf0xrJmjt" TargetMode="External" Id="rId1899" /><Relationship Type="http://schemas.openxmlformats.org/officeDocument/2006/relationships/hyperlink" Target="https://contrataciondelestado.es/wps/poc?uri=deeplink:detalle_licitacion&amp;idEvl=XzTL1b2VHY436J9Lctlsuw%3D%3D" TargetMode="External" Id="rId1900" /><Relationship Type="http://schemas.openxmlformats.org/officeDocument/2006/relationships/hyperlink" Target="https://contrataciondelestado.es/FileSystem/servlet/GetDocumentByIdServlet?cifrado=QUC1GjXXSiLkydRHJBmbpw%3D%3D&amp;DocumentIdParam=Q9RudKj4HF1JD8vuX/TBTaptaCai4N/HsW3v4k8XKyKJuff10hIy6PvjAz%2BWHgLcgpUcOEZo46cjXkeC7TpSnK3ebr/fXhVH10fQAwZQjrxJOVDbGCDM%2BMigrvuVS7Rv" TargetMode="External" Id="rId1901" /><Relationship Type="http://schemas.openxmlformats.org/officeDocument/2006/relationships/hyperlink" Target="https://contrataciondelestado.es/wps/poc?uri=deeplink:detalle_licitacion&amp;idEvl=Ut3sPY37wnuExvMJXBMHHQ%3D%3D" TargetMode="External" Id="rId1902" /><Relationship Type="http://schemas.openxmlformats.org/officeDocument/2006/relationships/hyperlink" Target="https://contrataciondelestado.es/FileSystem/servlet/GetDocumentByIdServlet?cifrado=QUC1GjXXSiLkydRHJBmbpw%3D%3D&amp;DocumentIdParam=764BcO73gHjDqyOhdZ06X0jw90z08WbOzpe8HseQ6Sr/Bi/Eulukrho5AjHblhUnAoB47RKJL93pGq1whlYRi/VAfDhrsnSM9tAV1lWQVWM//q7NB2iMZvNyf0xrJmjt" TargetMode="External" Id="rId1903" /><Relationship Type="http://schemas.openxmlformats.org/officeDocument/2006/relationships/hyperlink" Target="https://contrataciondelestado.es/wps/poc?uri=deeplink:detalle_licitacion&amp;idEvl=O5sGau7lSHD10HRJw8TEnQ%3D%3D" TargetMode="External" Id="rId1904" /><Relationship Type="http://schemas.openxmlformats.org/officeDocument/2006/relationships/hyperlink" Target="https://contrataciondelestado.es/FileSystem/servlet/GetDocumentByIdServlet?cifrado=QUC1GjXXSiLkydRHJBmbpw%3D%3D&amp;DocumentIdParam=sUZ/wVyzIu7NPVbaar6nuJPRW%2Bwn6Q6JSRjoY2p/dC2j7RIsx084XoATPGVtCYpjvHoIQt7e%2BZ/sJgGOiiQVZaA%2BU5ZSZczMCfZdST800Z2B0nvVKRzfe4rpHcnlPhSZ" TargetMode="External" Id="rId1905" /><Relationship Type="http://schemas.openxmlformats.org/officeDocument/2006/relationships/hyperlink" Target="https://contrataciondelestado.es/wps/poc?uri=deeplink:detalle_licitacion&amp;idEvl=2R%2F4oWRryv7XOjazN1Dw9Q%3D%3D" TargetMode="External" Id="rId1906" /><Relationship Type="http://schemas.openxmlformats.org/officeDocument/2006/relationships/hyperlink" Target="https://contrataciondelestado.es/FileSystem/servlet/GetDocumentByIdServlet?cifrado=QUC1GjXXSiLkydRHJBmbpw%3D%3D&amp;DocumentIdParam=OAvEOh7mRpih2IUuwtUhnuqMDovP/1cV/mbegFZIKPdLmW7cReT7mABgFdT4cKjNa9y/OarF8CTCdALY3z7SXTriUliiaCI8eIHZ45qnTox45ClyWkoJ44mKM70IFcOu" TargetMode="External" Id="rId1907" /><Relationship Type="http://schemas.openxmlformats.org/officeDocument/2006/relationships/hyperlink" Target="https://contrataciondelestado.es/wps/poc?uri=deeplink:detalle_licitacion&amp;idEvl=zcdj9UejJoSTylGzYmBF9Q%3D%3D" TargetMode="External" Id="rId1908" /><Relationship Type="http://schemas.openxmlformats.org/officeDocument/2006/relationships/hyperlink" Target="https://contrataciondelestado.es/FileSystem/servlet/GetDocumentByIdServlet?cifrado=QUC1GjXXSiLkydRHJBmbpw%3D%3D&amp;DocumentIdParam=fIQ5b5kLGEOS4S/sSF5fax4UAbUH2Ow%2B5tOxwthLAGR3ra2oaTbxtFhwabX/anPtoqCGSuxRssKx0pp0igVedsN3npZxE8jLZgXecHh4rGPDdQD9RyhUmzT4jZ2In4zL" TargetMode="External" Id="rId1909" /><Relationship Type="http://schemas.openxmlformats.org/officeDocument/2006/relationships/hyperlink" Target="https://contrataciondelestado.es/wps/poc?uri=deeplink:detalle_licitacion&amp;idEvl=cwOrF9KKtRjs%2BnLj3vAg5A%3D%3D" TargetMode="External" Id="rId1910" /><Relationship Type="http://schemas.openxmlformats.org/officeDocument/2006/relationships/hyperlink" Target="https://contrataciondelestado.es/FileSystem/servlet/GetDocumentByIdServlet?cifrado=QUC1GjXXSiLkydRHJBmbpw%3D%3D&amp;DocumentIdParam=Ohg5VeVQzAbpMzElIC3DppjlWmRdSbDiXj8T67pOXy9mKfzLGKlU3zlQH%2BrDiwWMzdqysytLSzBAQuc9nYTpGJtiFQoGJSCozMMLPcM799x45ClyWkoJ44mKM70IFcOu" TargetMode="External" Id="rId1911" /><Relationship Type="http://schemas.openxmlformats.org/officeDocument/2006/relationships/hyperlink" Target="https://contrataciondelestado.es/wps/poc?uri=deeplink:detalle_licitacion&amp;idEvl=SiiDimwTB7Ul5NjlNci%2BtA%3D%3D" TargetMode="External" Id="rId1912" /><Relationship Type="http://schemas.openxmlformats.org/officeDocument/2006/relationships/hyperlink" Target="https://contrataciondelestado.es/FileSystem/servlet/GetDocumentByIdServlet?cifrado=QUC1GjXXSiLkydRHJBmbpw%3D%3D&amp;DocumentIdParam=7gPR/YULMJDpzKgSY4FEkzINQby0fI7lI4ru0oCV%2BYfo3zZ4zVUPQZejj1RFcEI7NqzNiAgA3lM0rjoK67odEBQK1MaDULKrxOQzORi2qXuHAj0WEJrB5sP7amrh2jBD" TargetMode="External" Id="rId1913" /><Relationship Type="http://schemas.openxmlformats.org/officeDocument/2006/relationships/hyperlink" Target="https://contrataciondelestado.es/wps/poc?uri=deeplink:detalle_licitacion&amp;idEvl=e6xuGP3acOa8ebB%2FXTwy0A%3D%3D" TargetMode="External" Id="rId1914" /><Relationship Type="http://schemas.openxmlformats.org/officeDocument/2006/relationships/hyperlink" Target="https://contrataciondelestado.es/wps/wcm/connect/PLACE_es/Site/area/docAccCmpnt?srv=cmpnt&amp;cmpntname=GetDocumentsById&amp;source=library&amp;DocumentIdParam=641df5e8-1852-4b5b-b492-9ae3bcbeb682" TargetMode="External" Id="rId1915" /><Relationship Type="http://schemas.openxmlformats.org/officeDocument/2006/relationships/hyperlink" Target="https://contrataciondelestado.es/wps/poc?uri=deeplink:detalle_licitacion&amp;idEvl=G1mLa7jzSyPECtSnloz%2BZQ%3D%3D" TargetMode="External" Id="rId1916" /><Relationship Type="http://schemas.openxmlformats.org/officeDocument/2006/relationships/hyperlink" Target="https://contrataciondelestado.es/FileSystem/servlet/GetDocumentByIdServlet?cifrado=QUC1GjXXSiLkydRHJBmbpw%3D%3D&amp;DocumentIdParam=AqVpUCb3fvU2V%2BdnGbdkloijOWCNcyIe1ofhagshJhFhz2WxCav88P96/1RWrQ2St9BemTOg/Jx7hwMSbhATJ2ES50NGhdNfxPSQIwIUVc145ClyWkoJ44mKM70IFcOu" TargetMode="External" Id="rId1917" /><Relationship Type="http://schemas.openxmlformats.org/officeDocument/2006/relationships/hyperlink" Target="https://contrataciondelestado.es/wps/poc?uri=deeplink:detalle_licitacion&amp;idEvl=sCRawiNHKK8zjChw4z%2FXvw%3D%3D" TargetMode="External" Id="rId1918" /><Relationship Type="http://schemas.openxmlformats.org/officeDocument/2006/relationships/hyperlink" Target="https://contrataciondelestado.es/FileSystem/servlet/GetDocumentByIdServlet?cifrado=QUC1GjXXSiLkydRHJBmbpw%3D%3D&amp;DocumentIdParam=tD0hUBJhiP8eKGTk8QkQ/JMBVb/4FJ0EjIWzyB6Qt7S0Xm7%2B8Nei/XqrxrffKfe6mYKZPVBs4Zsyzcyd/WZi7Vqx0tqc1qTpf0kCt/dOhwPfdyQgZAdTm3EfcUAC7CJ6" TargetMode="External" Id="rId1919" /><Relationship Type="http://schemas.openxmlformats.org/officeDocument/2006/relationships/hyperlink" Target="https://contrataciondelestado.es/wps/poc?uri=deeplink:detalle_licitacion&amp;idEvl=%2FSbfQlst8IUQyBAnWzHfCg%3D%3D" TargetMode="External" Id="rId1920" /><Relationship Type="http://schemas.openxmlformats.org/officeDocument/2006/relationships/hyperlink" Target="https://contrataciondelestado.es/wps/wcm/connect/PLACE_es/Site/area/docAccCmpnt?srv=cmpnt&amp;cmpntname=GetDocumentsById&amp;source=library&amp;DocumentIdParam=7369d3c3-a96b-440b-85ac-ce9c5429d821" TargetMode="External" Id="rId1921" /><Relationship Type="http://schemas.openxmlformats.org/officeDocument/2006/relationships/hyperlink" Target="https://contrataciondelestado.es/wps/poc?uri=deeplink:detalle_licitacion&amp;idEvl=1AcibQy%2FEPAl5NjlNci%2BtA%3D%3D" TargetMode="External" Id="rId1922" /><Relationship Type="http://schemas.openxmlformats.org/officeDocument/2006/relationships/hyperlink" Target="https://contrataciondelestado.es/FileSystem/servlet/GetDocumentByIdServlet?cifrado=QUC1GjXXSiLkydRHJBmbpw%3D%3D&amp;DocumentIdParam=n7UnA0h9AUtYOr6Uox2NyLOyKh5LysqOP08EeLKwJXxnq7fCRT1ELAnwF5pWxiSCm0wPi48Q83S6CNY1flalLRK2J8h3wWICR77GCjkdHJvVTD3T98KC0nSgQFM0q%2B5s" TargetMode="External" Id="rId1923" /><Relationship Type="http://schemas.openxmlformats.org/officeDocument/2006/relationships/hyperlink" Target="https://contrataciondelestado.es/wps/poc?uri=deeplink:detalle_licitacion&amp;idEvl=YyeCo1EsCvrXOjazN1Dw9Q%3D%3D" TargetMode="External" Id="rId1924" /><Relationship Type="http://schemas.openxmlformats.org/officeDocument/2006/relationships/hyperlink" Target="https://contrataciondelestado.es/FileSystem/servlet/GetDocumentByIdServlet?cifrado=QUC1GjXXSiLkydRHJBmbpw%3D%3D&amp;DocumentIdParam=v6HZpceUHsPz%2BPQMch5nYchUBVvR4D3xYyCPMXHDzOVHlwo0uWPtxZMWF7SGgCJZSMyd5hejjcu%2B59IyOuVFEL5D815qVHnS7ha34/qe3WU//q7NB2iMZvNyf0xrJmjt" TargetMode="External" Id="rId1925" /><Relationship Type="http://schemas.openxmlformats.org/officeDocument/2006/relationships/hyperlink" Target="https://contrataciondelestado.es/wps/poc?uri=deeplink:detalle_licitacion&amp;idEvl=bSaK1RHlNuM4NavIWzMcHA%3D%3D" TargetMode="External" Id="rId1926" /><Relationship Type="http://schemas.openxmlformats.org/officeDocument/2006/relationships/hyperlink" Target="https://contrataciondelestado.es/FileSystem/servlet/GetDocumentByIdServlet?DocumentIdParam=ThkvhdQgxOvKIYyydHmCfQnZuZTdW5AKju/Q0poSny7IfHEyfbwg/uprG%2BkTkKyZn9NoVKrXWB0O0d2Q2AfpqT92yQvVLCLcs7Mnoawfzwh7QB3HKyQaFUExmUVQCerk&amp;cifrado=QUC1GjXXSiLkydRHJBmbpw%3D%3D" TargetMode="External" Id="rId1927" /><Relationship Type="http://schemas.openxmlformats.org/officeDocument/2006/relationships/hyperlink" Target="https://contrataciondelestado.es/wps/poc?uri=deeplink:detalle_licitacion&amp;idEvl=8w9pNy7FDWqP%2Bo96UAV7cQ%3D%3D" TargetMode="External" Id="rId1928" /><Relationship Type="http://schemas.openxmlformats.org/officeDocument/2006/relationships/hyperlink" Target="https://contrataciondelestado.es/FileSystem/servlet/GetDocumentByIdServlet?cifrado=QUC1GjXXSiLkydRHJBmbpw%3D%3D&amp;DocumentIdParam=ZhYRLAAE20E1Np1VZpskabT66McUyhCEWk3eOPYwzuKb1wCrKdbHkYwWba43kUxsqFxULQ1kVOUPOTBn0f6Xwdj5%2B24JSaQkLVnPmLFGRhx45ClyWkoJ44mKM70IFcOu" TargetMode="External" Id="rId1929" /><Relationship Type="http://schemas.openxmlformats.org/officeDocument/2006/relationships/hyperlink" Target="https://contrataciondelestado.es/wps/poc?uri=deeplink:detalle_licitacion&amp;idEvl=zWBWL0QMS4AaF6cS8TCh%2FA%3D%3D" TargetMode="External" Id="rId1930" /><Relationship Type="http://schemas.openxmlformats.org/officeDocument/2006/relationships/hyperlink" Target="https://contrataciondelestado.es/FileSystem/servlet/GetDocumentByIdServlet?cifrado=QUC1GjXXSiLkydRHJBmbpw%3D%3D&amp;DocumentIdParam=ewnwbOYwCrmD4ZOYXJyK0qA%2BNpvIGbowW6t833IQx77qEo0Mx6ggQryODBzqszoXy7iSsB4g3scDzMv9zu/xRiWrb4%2BNTqLS0DZ0VDmaSIt7QB3HKyQaFUExmUVQCerk" TargetMode="External" Id="rId1931" /><Relationship Type="http://schemas.openxmlformats.org/officeDocument/2006/relationships/hyperlink" Target="https://contrataciondelestado.es/wps/poc?uri=deeplink:detalle_licitacion&amp;idEvl=Okbu90fqMgQS7pcxhTeWOg%3D%3D" TargetMode="External" Id="rId1932" /><Relationship Type="http://schemas.openxmlformats.org/officeDocument/2006/relationships/hyperlink" Target="https://contrataciondelestado.es/wps/poc?uri=deeplink:detalle_licitacion&amp;idEvl=Kr7UkThlFrH%2B3JAijKO%2Bkg%3D%3D" TargetMode="External" Id="rId1933" /><Relationship Type="http://schemas.openxmlformats.org/officeDocument/2006/relationships/hyperlink" Target="https://contrataciondelestado.es/FileSystem/servlet/GetDocumentByIdServlet?cifrado=QUC1GjXXSiLkydRHJBmbpw%3D%3D&amp;DocumentIdParam=CJJAXOnc5K2IavSZ/1kC4sjvjXwHJTJfV2LZ613DxDy3hiIgD%2Boe7SaubdZziJkuJasC%2BaplWtIdxLiPyfecAAqPZTGCrPVg%2BsHjkLHLpdL3GVhXrFFqN7yFncy7YfRK" TargetMode="External" Id="rId1934" /><Relationship Type="http://schemas.openxmlformats.org/officeDocument/2006/relationships/hyperlink" Target="https://contrataciondelestado.es/wps/poc?uri=deeplink:detalle_licitacion&amp;idEvl=vpqdesaM%2B6jjHF5qKI4aaw%3D%3D" TargetMode="External" Id="rId1935" /><Relationship Type="http://schemas.openxmlformats.org/officeDocument/2006/relationships/hyperlink" Target="https://contrataciondelestado.es/FileSystem/servlet/GetDocumentByIdServlet?cifrado=QUC1GjXXSiLkydRHJBmbpw%3D%3D&amp;DocumentIdParam=83oVTpRmxiO/2TL2JyZDXkKMWj6BeYozYwv2ScOSAAR6Ec/k31jd89RvIotPbU5Ynr%2BjBe93/0ngKB%2B5rDaJQa6YuGdewbMK7/uquTWmKpaB0nvVKRzfe4rpHcnlPhSZ" TargetMode="External" Id="rId1936" /><Relationship Type="http://schemas.openxmlformats.org/officeDocument/2006/relationships/hyperlink" Target="https://contrataciondelestado.es/wps/poc?uri=deeplink:detalle_licitacion&amp;idEvl=%2FwRBcdr0vrM36J9Lctlsuw%3D%3D" TargetMode="External" Id="rId1937" /><Relationship Type="http://schemas.openxmlformats.org/officeDocument/2006/relationships/hyperlink" Target="https://contrataciondelestado.es/FileSystem/servlet/GetDocumentByIdServlet?cifrado=QUC1GjXXSiLkydRHJBmbpw%3D%3D&amp;DocumentIdParam=GBEiv1dTRfmHN9POHogOZ1B7T35it1ZkbAEDX%2BN86tUSvBHFuvUH/DQq19l7TbicPcLUhzzzaM/FZEEhjmwMrIb7F6EwZJGmCJhswiwnvwZ7QB3HKyQaFUExmUVQCerk" TargetMode="External" Id="rId1938" /><Relationship Type="http://schemas.openxmlformats.org/officeDocument/2006/relationships/hyperlink" Target="https://contrataciondelestado.es/wps/poc?uri=deeplink:detalle_licitacion&amp;idEvl=mxzWf0g8U0OsNfRW6APEDw%3D%3D" TargetMode="External" Id="rId1939" /><Relationship Type="http://schemas.openxmlformats.org/officeDocument/2006/relationships/hyperlink" Target="https://contrataciondelestado.es/FileSystem/servlet/GetDocumentByIdServlet?cifrado=QUC1GjXXSiLkydRHJBmbpw%3D%3D&amp;DocumentIdParam=MFJBLQGfZmohti12yUKomiDDAKBHr4upCu0SJ%2BX8IOUv7acULRsYWMeTAzngzSsv2aRqjaGK5B8RjerZ9d0nba4bzVxZROa2MtxZi5d3tsFJOVDbGCDM%2BMigrvuVS7Rv" TargetMode="External" Id="rId1940" /><Relationship Type="http://schemas.openxmlformats.org/officeDocument/2006/relationships/hyperlink" Target="https://contrataciondelestado.es/wps/poc?uri=deeplink:detalle_licitacion&amp;idEvl=kfEmUSrycM2P%2Bo96UAV7cQ%3D%3D" TargetMode="External" Id="rId1941" /><Relationship Type="http://schemas.openxmlformats.org/officeDocument/2006/relationships/hyperlink" Target="https://contrataciondelestado.es/FileSystem/servlet/GetDocumentByIdServlet?cifrado=QUC1GjXXSiLkydRHJBmbpw%3D%3D&amp;DocumentIdParam=NBF9sBzztURZPKggmXRAhyFZK/WjmFWzg5oCv6yLBhpLSBI8Xgez6CyiBlK1VEEIGKKQQTf8RjkmiTDHk24l/EbSOf60yK/BGpzJ5W7XniXDdQD9RyhUmzT4jZ2In4zL" TargetMode="External" Id="rId1942" /><Relationship Type="http://schemas.openxmlformats.org/officeDocument/2006/relationships/hyperlink" Target="https://contrataciondelestado.es/wps/poc?uri=deeplink:detalle_licitacion&amp;idEvl=GV9o1X9TYRJ4zIRvjBVCSw%3D%3D" TargetMode="External" Id="rId1943" /><Relationship Type="http://schemas.openxmlformats.org/officeDocument/2006/relationships/hyperlink" Target="https://contrataciondelestado.es/FileSystem/servlet/GetDocumentByIdServlet?cifrado=QUC1GjXXSiLkydRHJBmbpw%3D%3D&amp;DocumentIdParam=Dg1QrP8VtyF76ndnASg5vW9NEUibYWnfhSixi0bKzBjt4j1f2dJhrT94zXXQP6mhoW6AEllS4NQsXdx4LGCMr1rXX/82yEqRZ3VJXb60kJw//q7NB2iMZvNyf0xrJmjt" TargetMode="External" Id="rId1944" /><Relationship Type="http://schemas.openxmlformats.org/officeDocument/2006/relationships/hyperlink" Target="https://contrataciondelestado.es/wps/poc?uri=deeplink:detalle_licitacion&amp;idEvl=UmkJG20qxaz9pbnDwlaUlg%3D%3D" TargetMode="External" Id="rId1945" /><Relationship Type="http://schemas.openxmlformats.org/officeDocument/2006/relationships/hyperlink" Target="https://contrataciondelestado.es/FileSystem/servlet/GetDocumentByIdServlet?cifrado=QUC1GjXXSiLkydRHJBmbpw%3D%3D&amp;DocumentIdParam=oHWyx2ut6vzZXEy2vIzBaM8CJIzvUBNj5vsdDIQQWvk2X7QjyDeLwOAknRBPLie9zArBiM1w7YDPXf5zh5zbrW5IjA4A8%2Bd%2BbclVDX02DTc//q7NB2iMZvNyf0xrJmjt" TargetMode="External" Id="rId1946" /><Relationship Type="http://schemas.openxmlformats.org/officeDocument/2006/relationships/hyperlink" Target="https://contrataciondelestado.es/wps/poc?uri=deeplink:detalle_licitacion&amp;idEvl=lfwQCoXWXUGS81gZFETWmA%3D%3D" TargetMode="External" Id="rId1947" /><Relationship Type="http://schemas.openxmlformats.org/officeDocument/2006/relationships/hyperlink" Target="https://contrataciondelestado.es/FileSystem/servlet/GetDocumentByIdServlet?cifrado=QUC1GjXXSiLkydRHJBmbpw%3D%3D&amp;DocumentIdParam=9MbfdbwjbiYGZn6AhkGJbyleB0Mq2M%2BmGGrSXnaS/4JcBlot/%2BwLyrOfWFise8DYdxt%2BcgLIPuCucIBBLL9g9L%2BDE1/Os23kxFQeuyiQh04ZyAJWGsSt0OzTSTyw9JAs" TargetMode="External" Id="rId1948" /><Relationship Type="http://schemas.openxmlformats.org/officeDocument/2006/relationships/hyperlink" Target="https://contrataciondelestado.es/wps/poc?uri=deeplink:detalle_licitacion&amp;idEvl=sTIExdjRos2Izo3LHNPGcQ%3D%3D" TargetMode="External" Id="rId1949" /><Relationship Type="http://schemas.openxmlformats.org/officeDocument/2006/relationships/hyperlink" Target="https://contrataciondelestado.es/wps/poc?uri=deeplink:detalle_licitacion&amp;idEvl=CYvuPpc7Ej%2FjHF5qKI4aaw%3D%3D" TargetMode="External" Id="rId1950" /><Relationship Type="http://schemas.openxmlformats.org/officeDocument/2006/relationships/hyperlink" Target="https://contrataciondelestado.es/wps/poc?uri=deeplink:detalle_licitacion&amp;idEvl=JV53lVzvmugIYE3ZiZ%2BxmQ%3D%3D" TargetMode="External" Id="rId1951" /><Relationship Type="http://schemas.openxmlformats.org/officeDocument/2006/relationships/hyperlink" Target="https://contrataciondelestado.es/FileSystem/servlet/GetDocumentByIdServlet?cifrado=QUC1GjXXSiLkydRHJBmbpw%3D%3D&amp;DocumentIdParam=IucCXx80xLCCiciz7DrrOLGybK29lONeE2qn1GV5nYILLf/mhQ8xSWoROFcEAxMCa0MQf7cK23ybtnoM3OSYqJcgALENDGXEgMNkAbt%2B5b545ClyWkoJ44mKM70IFcOu" TargetMode="External" Id="rId1952" /><Relationship Type="http://schemas.openxmlformats.org/officeDocument/2006/relationships/hyperlink" Target="https://contrataciondelestado.es/wps/poc?uri=deeplink:detalle_licitacion&amp;idEvl=ErjW46SZDdYkJPJS%2BPS9vg%3D%3D" TargetMode="External" Id="rId1953" /><Relationship Type="http://schemas.openxmlformats.org/officeDocument/2006/relationships/hyperlink" Target="https://contrataciondelestado.es/FileSystem/servlet/GetDocumentByIdServlet?cifrado=QUC1GjXXSiLkydRHJBmbpw%3D%3D&amp;DocumentIdParam=2mcb8v4/LsF9jc8Mg6Qd1hMsK8dLgki%2B4wfTWZg/ou/P0hNNMhqdFvyq3AHy7gAdX1wEq4gBwVztUQ/bL3TornyrxEMkYIdZShcg268je657QB3HKyQaFUExmUVQCerk" TargetMode="External" Id="rId1954" /><Relationship Type="http://schemas.openxmlformats.org/officeDocument/2006/relationships/hyperlink" Target="https://contrataciondelestado.es/wps/poc?uri=deeplink:detalle_licitacion&amp;idEvl=JEmQZ%2BeRL32P66GS%2BONYvQ%3D%3D" TargetMode="External" Id="rId1955" /><Relationship Type="http://schemas.openxmlformats.org/officeDocument/2006/relationships/hyperlink" Target="https://contrataciondelestado.es/FileSystem/servlet/GetDocumentByIdServlet?cifrado=QUC1GjXXSiLkydRHJBmbpw%3D%3D&amp;DocumentIdParam=%2BMV1uZeQtUFIbySWr6eEiY73Z7Mw%2BbIEAe2yV%2Bceggx9rAtFzqICEdd3/pqNFPvO9qLuEYVBktfdoaq/09Nkf3NGqHDqvkZ8OzsNgvHZ6hqCx2e6p7hqtlp2aFupgHMr" TargetMode="External" Id="rId1956" /><Relationship Type="http://schemas.openxmlformats.org/officeDocument/2006/relationships/hyperlink" Target="https://contrataciondelestado.es/wps/poc?uri=deeplink:detalle_licitacion&amp;idEvl=QLSVTSlFHpR6nTs9LZ9RhQ%3D%3D" TargetMode="External" Id="rId1957" /><Relationship Type="http://schemas.openxmlformats.org/officeDocument/2006/relationships/hyperlink" Target="https://contrataciondelestado.es/FileSystem/servlet/GetDocumentByIdServlet?cifrado=QUC1GjXXSiLkydRHJBmbpw%3D%3D&amp;DocumentIdParam=VAFrDRNRnl%2Bui8jRNBLGhFjYbECJYHdPsDFqVTsa8aX4JUT8leKCxa9TXKAKYafyyed1V6OimMeZg2Mw7niHa7PcrBlEVm52RzJ5J3GV9qaB0nvVKRzfe4rpHcnlPhSZ" TargetMode="External" Id="rId1958" /><Relationship Type="http://schemas.openxmlformats.org/officeDocument/2006/relationships/hyperlink" Target="https://contrataciondelestado.es/wps/poc?uri=deeplink:detalle_licitacion&amp;idEvl=6bWvZPg4zt02wEhQbcAqug%3D%3D" TargetMode="External" Id="rId1959" /><Relationship Type="http://schemas.openxmlformats.org/officeDocument/2006/relationships/hyperlink" Target="https://contrataciondelestado.es/FileSystem/servlet/GetDocumentByIdServlet?cifrado=QUC1GjXXSiLkydRHJBmbpw%3D%3D&amp;DocumentIdParam=B%2BlYJbok0Bz4CthTuazR%2BUp2l0XfVYgyJbPYgGSNcXNAs9HTr721svdip7gqJAH9S8VGY4jlvtWvhSLJeggwvWrDKf9iXyeLj3dAvXhXBp0C1/zDIE0Kw/PWNnLS0Z0z" TargetMode="External" Id="rId1960" /><Relationship Type="http://schemas.openxmlformats.org/officeDocument/2006/relationships/hyperlink" Target="https://contrataciondelestado.es/wps/poc?uri=deeplink:detalle_licitacion&amp;idEvl=vTLwvsm%2BE6O2gkLQ8TeYKA%3D%3D" TargetMode="External" Id="rId1961" /><Relationship Type="http://schemas.openxmlformats.org/officeDocument/2006/relationships/hyperlink" Target="https://contrataciondelestado.es/FileSystem/servlet/GetDocumentByIdServlet?cifrado=QUC1GjXXSiLkydRHJBmbpw%3D%3D&amp;DocumentIdParam=KAEQcz9O9GnQuMt%2BbSyx6u3z%2BrkyNp2E%2B9l7FX8kJLKyTVsCOkWuqVLiN68llZnKL16hNzA1LD8PHthwzDBEFGWczyizXVcYmhMiUtZ9HSG1aXEvq3KHa/AEHgtDrQw0" TargetMode="External" Id="rId1962" /><Relationship Type="http://schemas.openxmlformats.org/officeDocument/2006/relationships/hyperlink" Target="https://contrataciondelestado.es/wps/poc?uri=deeplink:detalle_licitacion&amp;idEvl=eIi4dqBhnMoXhk1FZxEyvw%3D%3D" TargetMode="External" Id="rId1963" /><Relationship Type="http://schemas.openxmlformats.org/officeDocument/2006/relationships/hyperlink" Target="https://contrataciondelestado.es/FileSystem/servlet/GetDocumentByIdServlet?cifrado=QUC1GjXXSiLkydRHJBmbpw%3D%3D&amp;DocumentIdParam=wRA0lfsCH5Q/CwkinAmzefkYXrPj7O9bDok4qWYKXgwSAAvgj//Ouo3mellRsrScA0Rj4OhKQoeE1VB7N9BHSOohRn13tnWIpsJ1r8lh/jvDdQD9RyhUmzT4jZ2In4zL" TargetMode="External" Id="rId1964" /><Relationship Type="http://schemas.openxmlformats.org/officeDocument/2006/relationships/hyperlink" Target="https://contrataciondelestado.es/wps/poc?uri=deeplink:detalle_licitacion&amp;idEvl=eBKev387l1HVGIpKDxgsAQ%3D%3D" TargetMode="External" Id="rId1965" /><Relationship Type="http://schemas.openxmlformats.org/officeDocument/2006/relationships/hyperlink" Target="https://contrataciondelestado.es/FileSystem/servlet/GetDocumentByIdServlet?cifrado=QUC1GjXXSiLkydRHJBmbpw%3D%3D&amp;DocumentIdParam=7o5nqgrGKD60SGDVMeqclg/1uhzcPONTD5KUOm/oR0lyw79hdDC6lD5WryzcKfuMe5Zr2ElmjWnHSZPCuDA93%2BCwcIGXtlcOOoK2goGCEU/fdyQgZAdTm3EfcUAC7CJ6" TargetMode="External" Id="rId1966" /><Relationship Type="http://schemas.openxmlformats.org/officeDocument/2006/relationships/hyperlink" Target="https://contrataciondelestado.es/wps/poc?uri=deeplink:detalle_licitacion&amp;idEvl=od2txDmRGYpJ8Trn0ZPzLw%3D%3D" TargetMode="External" Id="rId1967" /><Relationship Type="http://schemas.openxmlformats.org/officeDocument/2006/relationships/hyperlink" Target="https://contrataciondelestado.es/FileSystem/servlet/GetDocumentByIdServlet?cifrado=QUC1GjXXSiLkydRHJBmbpw%3D%3D&amp;DocumentIdParam=XrsljOTue4npU2gL5Xq6bAblBONhjuPM0qeCpb3Y4kS7BwCvnKz0KFQt2pRW8GCzOzeOor9mB8Dm2fQMQIfiH68YbE9zZTgELN23226qT9kC1/zDIE0Kw/PWNnLS0Z0z" TargetMode="External" Id="rId1968" /><Relationship Type="http://schemas.openxmlformats.org/officeDocument/2006/relationships/hyperlink" Target="https://contrataciondelestado.es/wps/poc?uri=deeplink:detalle_licitacion&amp;idEvl=rMPSkaZMOJGzz8fXU2i3eQ%3D%3D" TargetMode="External" Id="rId1969" /><Relationship Type="http://schemas.openxmlformats.org/officeDocument/2006/relationships/hyperlink" Target="https://contrataciondelestado.es/FileSystem/servlet/GetDocumentByIdServlet?cifrado=QUC1GjXXSiLkydRHJBmbpw%3D%3D&amp;DocumentIdParam=0%2BmxyVs0t70JXfVZF%2BVq0i26umoGFCooXCRIsW8VhjZOyaxBZ/h0Uo%2BUZtGNLO3y3utno0H5r1ERYFC0Vj0GLoABNxDL8StWMYzZmKIrnZ4//q7NB2iMZvNyf0xrJmjt" TargetMode="External" Id="rId1970" /><Relationship Type="http://schemas.openxmlformats.org/officeDocument/2006/relationships/hyperlink" Target="https://contrataciondelestado.es/wps/poc?uri=deeplink:detalle_licitacion&amp;idEvl=hkVnNQnEfwP9pbnDwlaUlg%3D%3D" TargetMode="External" Id="rId1971" /><Relationship Type="http://schemas.openxmlformats.org/officeDocument/2006/relationships/hyperlink" Target="https://contrataciondelestado.es/FileSystem/servlet/GetDocumentByIdServlet?cifrado=QUC1GjXXSiLkydRHJBmbpw%3D%3D&amp;DocumentIdParam=aB18pFXB4IgNXISXNepwDiIqqtKMEolKUk2%2BhnZHzJIReHXWAPLqA0%2BdH1HkSF9NPyPNupMLvE35kyOOrvrakL%2BxoTVCVNEKu9bAzlzUcgHDdQD9RyhUmzT4jZ2In4zL" TargetMode="External" Id="rId1972" /><Relationship Type="http://schemas.openxmlformats.org/officeDocument/2006/relationships/hyperlink" Target="https://contrataciondelestado.es/wps/poc?uri=deeplink:detalle_licitacion&amp;idEvl=FZ14Fn%2FToZuAAM7L03kM8A%3D%3D" TargetMode="External" Id="rId1973" /><Relationship Type="http://schemas.openxmlformats.org/officeDocument/2006/relationships/hyperlink" Target="https://contrataciondelestado.es/FileSystem/servlet/GetDocumentByIdServlet?cifrado=QUC1GjXXSiLkydRHJBmbpw%3D%3D&amp;DocumentIdParam=9m9MFiwk6DmoePz0hr5NFaffcVpOKaO9H3OkveM6EQz3DhCoGEpjmLjhxSWEl7sfYRReqz3RhB8FbGT2P5PhAckfPZiLO1Ewu60L7FAmsh3DdQD9RyhUmzT4jZ2In4zL" TargetMode="External" Id="rId1974" /><Relationship Type="http://schemas.openxmlformats.org/officeDocument/2006/relationships/hyperlink" Target="https://contrataciondelestado.es/wps/poc?uri=deeplink:detalle_licitacion&amp;idEvl=kNYm4P3Fg0%2B2gkLQ8TeYKA%3D%3D" TargetMode="External" Id="rId1975" /><Relationship Type="http://schemas.openxmlformats.org/officeDocument/2006/relationships/hyperlink" Target="https://contrataciondelestado.es/FileSystem/servlet/GetDocumentByIdServlet?cifrado=QUC1GjXXSiLkydRHJBmbpw%3D%3D&amp;DocumentIdParam=XlVGDYtJZk%2BIIEcRpoXjJkLkQuz%2B/wMN9Yz4UD4AU1mpt2MmHuSZq9gPe1Jy7U6WfNPE%2BCGWHIXdJ0eDg9%2BKdV5kMJCRxEatBAJUSfEEZwvVTD3T98KC0nSgQFM0q%2B5s" TargetMode="External" Id="rId1976" /><Relationship Type="http://schemas.openxmlformats.org/officeDocument/2006/relationships/hyperlink" Target="https://contrataciondelestado.es/wps/poc?uri=deeplink:detalle_licitacion&amp;idEvl=UhjnYWFKFRfECtSnloz%2BZQ%3D%3D" TargetMode="External" Id="rId1977" /><Relationship Type="http://schemas.openxmlformats.org/officeDocument/2006/relationships/hyperlink" Target="https://contrataciondelestado.es/FileSystem/servlet/GetDocumentByIdServlet?cifrado=QUC1GjXXSiLkydRHJBmbpw%3D%3D&amp;DocumentIdParam=ILIyokYIIatMQPxF8wBAyPX96FzB0Klry3WoUxDkJ1RVZaS3n1yj0EVPlV8s0nJ9AnC/pbEZeg0BSFCqH9c5n%2BtCmN4q%2By18B5wTZrSuZWuCx2e6p7hqtlp2aFupgHMr" TargetMode="External" Id="rId1978" /><Relationship Type="http://schemas.openxmlformats.org/officeDocument/2006/relationships/hyperlink" Target="https://contrataciondelestado.es/wps/poc?uri=deeplink:detalle_licitacion&amp;idEvl=0MaHpUk2MtAS7pcxhTeWOg%3D%3D" TargetMode="External" Id="rId1979" /><Relationship Type="http://schemas.openxmlformats.org/officeDocument/2006/relationships/hyperlink" Target="https://contrataciondelestado.es/FileSystem/servlet/GetDocumentByIdServlet?cifrado=QUC1GjXXSiLkydRHJBmbpw%3D%3D&amp;DocumentIdParam=6QwORiL8YWZmzU2OyfexO1pYJrOxtzvz/FYnoUnLdaqM8Opop%2BQ9Fk7osYiF5wcFNIJ%2Bvir01prbXdJurE5ntnF6WlZLxnZNcT4EmRsJzq61aXEvq3KHa/AEHgtDrQw0" TargetMode="External" Id="rId1980" /><Relationship Type="http://schemas.openxmlformats.org/officeDocument/2006/relationships/hyperlink" Target="https://contrataciondelestado.es/wps/poc?uri=deeplink:detalle_licitacion&amp;idEvl=Lqqkgxv%2FU%2F9t5r0ngvMetA%3D%3D" TargetMode="External" Id="rId1981" /><Relationship Type="http://schemas.openxmlformats.org/officeDocument/2006/relationships/hyperlink" Target="https://contrataciondelestado.es/FileSystem/servlet/GetDocumentByIdServlet?cifrado=QUC1GjXXSiLkydRHJBmbpw%3D%3D&amp;DocumentIdParam=61bQDv1xhJsnMZApKUX%2BMeYYDzmrdtNpmUyA%2BFu7k6j074bWzzxhH9YbqwRSTgcePsTG%2BeHfhPcosdZmpOP0fGqZjhT4enzTUG0P0TOpsZGB0nvVKRzfe4rpHcnlPhSZ" TargetMode="External" Id="rId1982" /><Relationship Type="http://schemas.openxmlformats.org/officeDocument/2006/relationships/hyperlink" Target="https://contrataciondelestado.es/wps/poc?uri=deeplink:detalle_licitacion&amp;idEvl=FAVCBPyAMXIkJPJS%2BPS9vg%3D%3D" TargetMode="External" Id="rId1983" /><Relationship Type="http://schemas.openxmlformats.org/officeDocument/2006/relationships/hyperlink" Target="https://contrataciondelestado.es/FileSystem/servlet/GetDocumentByIdServlet?cifrado=QUC1GjXXSiLkydRHJBmbpw%3D%3D&amp;DocumentIdParam=aTvqM2DmRoIWAeHiTqSe09pUJlj3w0yM7VHRq4Ul/r88zGoXj4UNeFlZaCDUG7LHedBChCYnZfPHDgmyDWCK%2BK1K3noZjUGDDuG79D7FymX3GVhXrFFqN7yFncy7YfRK" TargetMode="External" Id="rId1984" /><Relationship Type="http://schemas.openxmlformats.org/officeDocument/2006/relationships/hyperlink" Target="https://contrataciondelestado.es/wps/poc?uri=deeplink:detalle_licitacion&amp;idEvl=f5N%2FKhgEWXPpxJFXpLZ%2B2A%3D%3D" TargetMode="External" Id="rId1985" /><Relationship Type="http://schemas.openxmlformats.org/officeDocument/2006/relationships/hyperlink" Target="https://contrataciondelestado.es/FileSystem/servlet/GetDocumentByIdServlet?cifrado=QUC1GjXXSiLkydRHJBmbpw%3D%3D&amp;DocumentIdParam=Pw1RmxoRMDcCanSS%2BtCgzJlnN9s4h93IlYjoaSyHmgHZ9bkvTvgFp9kkt1eXVmtWFWxNAjbD3dIvu/e96bjcVJQcWuZJNuefRRXgGXSPNyHfdyQgZAdTm3EfcUAC7CJ6" TargetMode="External" Id="rId1986" /><Relationship Type="http://schemas.openxmlformats.org/officeDocument/2006/relationships/hyperlink" Target="https://contrataciondelestado.es/wps/poc?uri=deeplink:detalle_licitacion&amp;idEvl=GFCJPN1yJFol5NjlNci%2BtA%3D%3D" TargetMode="External" Id="rId1987" /><Relationship Type="http://schemas.openxmlformats.org/officeDocument/2006/relationships/hyperlink" Target="https://contrataciondelestado.es/FileSystem/servlet/GetDocumentByIdServlet?cifrado=QUC1GjXXSiLkydRHJBmbpw%3D%3D&amp;DocumentIdParam=3RNkPENTQmkZQLQ8AkGSt4YEnghae0oYBsivM7sHlRiUkNQxCuX3KkBw/aC2SlHX1Ri%2BLGJo46Lea63XbSR%2BveNegL9KwCEbPdwVjVIYCfB45ClyWkoJ44mKM70IFcOu" TargetMode="External" Id="rId1988" /><Relationship Type="http://schemas.openxmlformats.org/officeDocument/2006/relationships/hyperlink" Target="https://contrataciondelestado.es/wps/poc?uri=deeplink:detalle_licitacion&amp;idEvl=bLoMUlpvgqHL1rX3q%2FMAPA%3D%3D" TargetMode="External" Id="rId1989" /><Relationship Type="http://schemas.openxmlformats.org/officeDocument/2006/relationships/hyperlink" Target="https://contrataciondelestado.es/FileSystem/servlet/GetDocumentByIdServlet?cifrado=QUC1GjXXSiLkydRHJBmbpw%3D%3D&amp;DocumentIdParam=CPDVB48xB2rtg4/mI/hhtq6/QjYa4OUvc7mUxCXf40sKJXW%2Bw3N7L%2BgQtd1CTYykIVBOkV5S6VSZAyYU39VUdt7K5/DgJ/6t2j8x6BKTQUH6CYyL7SIrUOBFfNf52ZqA" TargetMode="External" Id="rId1990" /><Relationship Type="http://schemas.openxmlformats.org/officeDocument/2006/relationships/hyperlink" Target="https://contrataciondelestado.es/wps/poc?uri=deeplink:detalle_licitacion&amp;idEvl=dAyk%2FS3k%2FRoZDGvgaZEVxQ%3D%3D" TargetMode="External" Id="rId1991" /><Relationship Type="http://schemas.openxmlformats.org/officeDocument/2006/relationships/hyperlink" Target="https://contrataciondelestado.es/FileSystem/servlet/GetDocumentByIdServlet?cifrado=QUC1GjXXSiLkydRHJBmbpw%3D%3D&amp;DocumentIdParam=3BjFbvv4BYsZVOUxPm9BdIhKS00F%2B%2BS34nOKi6USbPoEIsfBXm6unSkyBbZIyXTkfYbGXNWqusAiPppZbM2Djq06BNhXbYNeJ3gzZ0vP2mt7QB3HKyQaFUExmUVQCerk" TargetMode="External" Id="rId1992" /><Relationship Type="http://schemas.openxmlformats.org/officeDocument/2006/relationships/hyperlink" Target="https://contrataciondelestado.es/wps/poc?uri=deeplink:detalle_licitacion&amp;idEvl=MojrloyX1Ql6nTs9LZ9RhQ%3D%3D" TargetMode="External" Id="rId1993" /><Relationship Type="http://schemas.openxmlformats.org/officeDocument/2006/relationships/hyperlink" Target="https://contrataciondelestado.es/FileSystem/servlet/GetDocumentByIdServlet?cifrado=QUC1GjXXSiLkydRHJBmbpw%3D%3D&amp;DocumentIdParam=iBDKUxWq4c/9jKlEJNBQOiHXwAGhVAiXNfC9v5fjzc1w2RAWJ0dEty0mCQnPFC/kXx2swQXHNWo/0owPbIPHz%2B8Rp%2BkgjWvz3U8oIg5x0rgZyAJWGsSt0OzTSTyw9JAs" TargetMode="External" Id="rId1994" /><Relationship Type="http://schemas.openxmlformats.org/officeDocument/2006/relationships/hyperlink" Target="https://contrataciondelestado.es/wps/poc?uri=deeplink:detalle_licitacion&amp;idEvl=0%2FY4ao%2F2BGBVkTabT%2FRM8A%3D%3D" TargetMode="External" Id="rId1995" /><Relationship Type="http://schemas.openxmlformats.org/officeDocument/2006/relationships/hyperlink" Target="https://contrataciondelestado.es/FileSystem/servlet/GetDocumentByIdServlet?cifrado=QUC1GjXXSiLkydRHJBmbpw%3D%3D&amp;DocumentIdParam=k9JnHNurdbtWaH%2BI2%2Blrh1cyPgxSGDcN3RAKQGidqpHxnAZNSX5bBzTenZCPADhMA02sInY4Zsn/AB56PCdb66g9BGG/vkmI27WfuccY26I//q7NB2iMZvNyf0xrJmjt" TargetMode="External" Id="rId1996" /><Relationship Type="http://schemas.openxmlformats.org/officeDocument/2006/relationships/hyperlink" Target="https://contrataciondelestado.es/wps/poc?uri=deeplink:detalle_licitacion&amp;idEvl=c0TKNjbUlFxeKgd8LfVV9g%3D%3D" TargetMode="External" Id="rId1997" /><Relationship Type="http://schemas.openxmlformats.org/officeDocument/2006/relationships/hyperlink" Target="https://contrataciondelestado.es/wps/poc?uri=deeplink:detalle_licitacion&amp;idEvl=pwtwoOOJAtVVkTabT%2FRM8A%3D%3D" TargetMode="External" Id="rId1998" /><Relationship Type="http://schemas.openxmlformats.org/officeDocument/2006/relationships/hyperlink" Target="https://contrataciondelestado.es/FileSystem/servlet/GetDocumentByIdServlet?cifrado=QUC1GjXXSiLkydRHJBmbpw%3D%3D&amp;DocumentIdParam=BfLmcCzMcy7q4XwOUaBz7ESbRg8kW93F%2BlUvwCHotfVxpuZjXT4efqXykbTDNnMmrRfoPmOeUDrrcoGiiLgOjMFSAPGIgUkKncqdY6bJ5757QB3HKyQaFUExmUVQCerk" TargetMode="External" Id="rId1999" /><Relationship Type="http://schemas.openxmlformats.org/officeDocument/2006/relationships/hyperlink" Target="https://contrataciondelestado.es/wps/poc?uri=deeplink:detalle_licitacion&amp;idEvl=N8YRFcd9%2BAjyoM4us5k4vw%3D%3D" TargetMode="External" Id="rId2000" /><Relationship Type="http://schemas.openxmlformats.org/officeDocument/2006/relationships/hyperlink" Target="https://contrataciondelestado.es/FileSystem/servlet/GetDocumentByIdServlet?cifrado=QUC1GjXXSiLkydRHJBmbpw%3D%3D&amp;DocumentIdParam=wPsA76bwZXKFzTPBAiofepbqRARCJGlh4fEYBEwoJqVfZfPs5wa8WcT081WYthczQwMsoR0HbNx/%2B9IUiUzNNH1yxPmMlB%2BfFKJ6swQQEYD6CYyL7SIrUOBFfNf52ZqA" TargetMode="External" Id="rId2001" /><Relationship Type="http://schemas.openxmlformats.org/officeDocument/2006/relationships/hyperlink" Target="https://contrataciondelestado.es/wps/poc?uri=deeplink:detalle_licitacion&amp;idEvl=J5UKFxKyUn7ua%2Fi14w%2FPLA%3D%3D" TargetMode="External" Id="rId2002" /><Relationship Type="http://schemas.openxmlformats.org/officeDocument/2006/relationships/hyperlink" Target="https://contrataciondelestado.es/FileSystem/servlet/GetDocumentByIdServlet?cifrado=QUC1GjXXSiLkydRHJBmbpw%3D%3D&amp;DocumentIdParam=ZDp4I2Q65SyEHCs2Z2C1p60BKHkWgIDclKS4znGBpDXF7vjCfuBZokHTVYAPHL96jDJhbVnVAdf3VUljvN7uqAOgRkjJzAofN67BNQgT0ze1aXEvq3KHa/AEHgtDrQw0" TargetMode="External" Id="rId2003" /><Relationship Type="http://schemas.openxmlformats.org/officeDocument/2006/relationships/hyperlink" Target="https://contrataciondelestado.es/wps/poc?uri=deeplink:detalle_licitacion&amp;idEvl=NTNdk7z0fRZ70UvEyYJSGw%3D%3D" TargetMode="External" Id="rId2004" /><Relationship Type="http://schemas.openxmlformats.org/officeDocument/2006/relationships/hyperlink" Target="https://contrataciondelestado.es/FileSystem/servlet/GetDocumentByIdServlet?cifrado=QUC1GjXXSiLkydRHJBmbpw%3D%3D&amp;DocumentIdParam=83u/YwoFC24xNgFVH/k/MQUEuihEG%2BKqT9l%2BJLV5UhMxh8N1Jc0qiaQlOo58v7Md55LHTxfEQVRfa%2BnCzlaYoR7OgdDqEZiPm4wm/EXeNbK1aXEvq3KHa/AEHgtDrQw0" TargetMode="External" Id="rId2005" /><Relationship Type="http://schemas.openxmlformats.org/officeDocument/2006/relationships/hyperlink" Target="https://contrataciondelestado.es/wps/poc?uri=deeplink:detalle_licitacion&amp;idEvl=0SFTtoPssHecCF8sV%2BqtYA%3D%3D" TargetMode="External" Id="rId2006" /><Relationship Type="http://schemas.openxmlformats.org/officeDocument/2006/relationships/hyperlink" Target="https://contrataciondelestado.es/FileSystem/servlet/GetDocumentByIdServlet?cifrado=QUC1GjXXSiLkydRHJBmbpw%3D%3D&amp;DocumentIdParam=/GWdr23EmJAJuZQhO5NBV8HghamlaTlJpJiBwBPm%2BAAR%2BXAVT8Lk1aHnZSlnIBZrH2iwaQzchoRLeVKKikowHBylPvT4MNJcZIFCWgz5gnGB0nvVKRzfe4rpHcnlPhSZ" TargetMode="External" Id="rId2007" /><Relationship Type="http://schemas.openxmlformats.org/officeDocument/2006/relationships/hyperlink" Target="https://contrataciondelestado.es/wps/poc?uri=deeplink:detalle_licitacion&amp;idEvl=dHuV9oHu2B%2B9Hd5zqvq9cg%3D%3D" TargetMode="External" Id="rId2008" /><Relationship Type="http://schemas.openxmlformats.org/officeDocument/2006/relationships/hyperlink" Target="https://contrataciondelestado.es/FileSystem/servlet/GetDocumentByIdServlet?cifrado=QUC1GjXXSiLkydRHJBmbpw%3D%3D&amp;DocumentIdParam=xCLyg4/vLZqOkTj6bGY9gmL2%2BTM2Zw2xraa7L8i/Lsa17TU/KL4osb/t%2BSi3J30upVz4s0lvPx8JhGdqAtUUXhlGBUsfdhPB0wONhRHD86h7QB3HKyQaFUExmUVQCerk" TargetMode="External" Id="rId2009" /><Relationship Type="http://schemas.openxmlformats.org/officeDocument/2006/relationships/hyperlink" Target="https://contrataciondelestado.es/wps/poc?uri=deeplink:detalle_licitacion&amp;idEvl=HS0%2F2hJpXxsUqXM96WStVA%3D%3D" TargetMode="External" Id="rId2010" /><Relationship Type="http://schemas.openxmlformats.org/officeDocument/2006/relationships/hyperlink" Target="https://contrataciondelestado.es/FileSystem/servlet/GetDocumentByIdServlet?cifrado=QUC1GjXXSiLkydRHJBmbpw%3D%3D&amp;DocumentIdParam=AFau5acxGYk87gSoDoXXi05qqKOO2FZ1oYlL4f8WtzAfJDOaaf44TJ0TlE77pj3wVrbr9P3SoL%2B/FdDWEHgAJFF4iiKZbqBhOZHLnQjsyhV45ClyWkoJ44mKM70IFcOu" TargetMode="External" Id="rId2011" /><Relationship Type="http://schemas.openxmlformats.org/officeDocument/2006/relationships/hyperlink" Target="https://contrataciondelestado.es/wps/poc?uri=deeplink:detalle_licitacion&amp;idEvl=KLRka786VPYUqXM96WStVA%3D%3D" TargetMode="External" Id="rId2012" /><Relationship Type="http://schemas.openxmlformats.org/officeDocument/2006/relationships/hyperlink" Target="https://contrataciondelestado.es/FileSystem/servlet/GetDocumentByIdServlet?cifrado=QUC1GjXXSiLkydRHJBmbpw%3D%3D&amp;DocumentIdParam=KUgrB0W0jCkpfy0b7Z8Yz7muEYlvv8ZxeFmPytDIOh%2BW1p4abkFh6rjeD8UfOJ1%2B8vKz9jz%2B/3ie37BAqMYxD0zWN%2BJRJQtXZe5GSllQxgeCx2e6p7hqtlp2aFupgHMr" TargetMode="External" Id="rId2013" /><Relationship Type="http://schemas.openxmlformats.org/officeDocument/2006/relationships/hyperlink" Target="https://contrataciondelestado.es/wps/poc?uri=deeplink:detalle_licitacion&amp;idEvl=QdyeMdddW3BVkTabT%2FRM8A%3D%3D" TargetMode="External" Id="rId2014" /><Relationship Type="http://schemas.openxmlformats.org/officeDocument/2006/relationships/hyperlink" Target="https://contrataciondelestado.es/FileSystem/servlet/GetDocumentByIdServlet?cifrado=QUC1GjXXSiLkydRHJBmbpw%3D%3D&amp;DocumentIdParam=XiPJcRTTTfjfzemrW9qZkyjFAESzPyfWFit5139bYqWnwDrnik9pfRNwbE8jbxW9xjcXrAdoGvvH/RUtJeRyOm2GkLOxGSFHkFt1zN76yA145ClyWkoJ44mKM70IFcOu" TargetMode="External" Id="rId2015" /><Relationship Type="http://schemas.openxmlformats.org/officeDocument/2006/relationships/hyperlink" Target="https://contrataciondelestado.es/wps/poc?uri=deeplink:detalle_licitacion&amp;idEvl=9rbTTZaoPcs4NavIWzMcHA%3D%3D" TargetMode="External" Id="rId2016" /><Relationship Type="http://schemas.openxmlformats.org/officeDocument/2006/relationships/hyperlink" Target="https://contrataciondelestado.es/FileSystem/servlet/GetDocumentByIdServlet?cifrado=QUC1GjXXSiLkydRHJBmbpw%3D%3D&amp;DocumentIdParam=TFunwTPjTgAewV4BwdIWjcn6v4%2BsXkLsVsrl649giomQxCWzd7WQsPu0Oenzz3r2teiJG9CNjcpSopxXKcoNsQkdNxH6ulKukjk4W3nb1FFt/o8fNevwsujgRzaBbugn" TargetMode="External" Id="rId2017" /><Relationship Type="http://schemas.openxmlformats.org/officeDocument/2006/relationships/hyperlink" Target="https://contrataciondelestado.es/wps/poc?uri=deeplink:detalle_licitacion&amp;idEvl=%2F2Y2IQqfabhVYjgxA4nMUw%3D%3D" TargetMode="External" Id="rId2018" /><Relationship Type="http://schemas.openxmlformats.org/officeDocument/2006/relationships/hyperlink" Target="https://contrataciondelestado.es/FileSystem/servlet/GetDocumentByIdServlet?cifrado=QUC1GjXXSiLkydRHJBmbpw%3D%3D&amp;DocumentIdParam=rycX6DZCYyPPuvs9vQTEeGbpRGt6R1%2BgT%2BUD9WiZLSWDD1c8R52HOh69Bat3tjXDnUP9KQniuesP39aYiBWhVUlGO6l72tvzCNrfGGUqL73DdQD9RyhUmzT4jZ2In4zL" TargetMode="External" Id="rId2019" /><Relationship Type="http://schemas.openxmlformats.org/officeDocument/2006/relationships/hyperlink" Target="https://contrataciondelestado.es/wps/poc?uri=deeplink:detalle_licitacion&amp;idEvl=jxZIyyOMfW7E6P%2FuLemXRw%3D%3D" TargetMode="External" Id="rId2020" /><Relationship Type="http://schemas.openxmlformats.org/officeDocument/2006/relationships/hyperlink" Target="https://contrataciondelestado.es/FileSystem/servlet/GetDocumentByIdServlet?cifrado=QUC1GjXXSiLkydRHJBmbpw%3D%3D&amp;DocumentIdParam=hUTI%2BL8D6vpqkZl5foRSLwTnqXCzrkV/Dp92pMKVP3t6Y3qYBDcNNMdScUH204Pint3fCRKro7h4r6ORvYeVblSPl7hdUkCoBYf6N6l2lmXfdyQgZAdTm3EfcUAC7CJ6" TargetMode="External" Id="rId2021" /><Relationship Type="http://schemas.openxmlformats.org/officeDocument/2006/relationships/hyperlink" Target="https://contrataciondelestado.es/wps/poc?uri=deeplink:detalle_licitacion&amp;idEvl=YEFLcMCNm%2F9%2FP7lJ7Fu0SA%3D%3D" TargetMode="External" Id="rId2022" /><Relationship Type="http://schemas.openxmlformats.org/officeDocument/2006/relationships/hyperlink" Target="https://contrataciondelestado.es/FileSystem/servlet/GetDocumentByIdServlet?cifrado=QUC1GjXXSiLkydRHJBmbpw%3D%3D&amp;DocumentIdParam=%2B/SgxxG2o60Xdevz1DkVa1t3%2B2fP05xTZvg6dUzw1MY777ervOpKwDZXEvlOJaIJ/SLsNJ1eOwXlKyFPsm80qGxYR/d9/of50ZgBH7l7vPJJOVDbGCDM%2BMigrvuVS7Rv" TargetMode="External" Id="rId2023" /><Relationship Type="http://schemas.openxmlformats.org/officeDocument/2006/relationships/hyperlink" Target="https://contrataciondelestado.es/wps/poc?uri=deeplink:detalle_licitacion&amp;idEvl=qu4ezZIJRaNxseVhcqrkhw%3D%3D" TargetMode="External" Id="rId2024" /><Relationship Type="http://schemas.openxmlformats.org/officeDocument/2006/relationships/hyperlink" Target="https://contrataciondelestado.es/FileSystem/servlet/GetDocumentByIdServlet?cifrado=QUC1GjXXSiLkydRHJBmbpw%3D%3D&amp;DocumentIdParam=OwzKR1DvIUqy%2B1lYKYiVfGUmrEsq5INdY0PD4nib8J71pJbR1pSZqKF3VXAL7O1tRuuAeX%2BlfjmGLabt1V8wdFmDRSrUcJYcInXcOxvNYc4//q7NB2iMZvNyf0xrJmjt" TargetMode="External" Id="rId2025" /><Relationship Type="http://schemas.openxmlformats.org/officeDocument/2006/relationships/hyperlink" Target="https://contrataciondelestado.es/wps/poc?uri=deeplink:detalle_licitacion&amp;idEvl=3BGv8%2FTQdjbECtSnloz%2BZQ%3D%3D" TargetMode="External" Id="rId2026" /><Relationship Type="http://schemas.openxmlformats.org/officeDocument/2006/relationships/hyperlink" Target="https://contrataciondelestado.es/FileSystem/servlet/GetDocumentByIdServlet?cifrado=QUC1GjXXSiLkydRHJBmbpw%3D%3D&amp;DocumentIdParam=OSR98xYEA6YqXp42G8hAcJbEfY1wqqnoRvbkZKAY/4CRKegxBsDK2wJMdCF4SbG0/dx6Arj3zcP8AFzIeBfBkhb1PcTPVQQKELg1kDLHnE8//q7NB2iMZvNyf0xrJmjt" TargetMode="External" Id="rId2027" /><Relationship Type="http://schemas.openxmlformats.org/officeDocument/2006/relationships/hyperlink" Target="https://contrataciondelestado.es/wps/poc?uri=deeplink:detalle_licitacion&amp;idEvl=B1VETa1fqkdeKgd8LfVV9g%3D%3D" TargetMode="External" Id="rId2028" /><Relationship Type="http://schemas.openxmlformats.org/officeDocument/2006/relationships/hyperlink" Target="https://contrataciondelestado.es/FileSystem/servlet/GetDocumentByIdServlet?cifrado=QUC1GjXXSiLkydRHJBmbpw%3D%3D&amp;DocumentIdParam=A/eFyc2c3b4Elp60AwkrvXg%2BjOLVhmLq%2BGPTUGZysMq9IYUQRDoWlK39v/IcyG78IjRnIfwPDs9hGGwy0eg9Wby/bql4I3vJRMcC0dwUN%2BB45ClyWkoJ44mKM70IFcOu" TargetMode="External" Id="rId2029" /><Relationship Type="http://schemas.openxmlformats.org/officeDocument/2006/relationships/hyperlink" Target="https://contrataciondelestado.es/wps/poc?uri=deeplink:detalle_licitacion&amp;idEvl=tLOmoY%2Bz8sW7JOCXkOhcDg%3D%3D" TargetMode="External" Id="rId2030" /><Relationship Type="http://schemas.openxmlformats.org/officeDocument/2006/relationships/hyperlink" Target="https://contrataciondelestado.es/FileSystem/servlet/GetDocumentByIdServlet?cifrado=QUC1GjXXSiLkydRHJBmbpw%3D%3D&amp;DocumentIdParam=kPq3k6QtAo8nZHGT7jq9BOQah9Q9HI4XMJFZ5xiQ%2BvEeCXNWCaOglVY0JCnCUXnF1DHviPgcMend3vUsRhYbmWm/iUtvgdNGn/6qYy/eHJx45ClyWkoJ44mKM70IFcOu" TargetMode="External" Id="rId2031" /><Relationship Type="http://schemas.openxmlformats.org/officeDocument/2006/relationships/hyperlink" Target="https://contrataciondelestado.es/wps/poc?uri=deeplink:detalle_licitacion&amp;idEvl=eHO4VOr2lxB%2FP7lJ7Fu0SA%3D%3D" TargetMode="External" Id="rId2032" /><Relationship Type="http://schemas.openxmlformats.org/officeDocument/2006/relationships/hyperlink" Target="https://contrataciondelestado.es/FileSystem/servlet/GetDocumentByIdServlet?cifrado=QUC1GjXXSiLkydRHJBmbpw%3D%3D&amp;DocumentIdParam=6wt7Qk80iJWpGySgRvVZcCgBk8I5vXNlbLOSewUFEYSRUXppLlK256Vz1oZBF9k23GqXCqIDE2kwnmRgNf1Ph5YXh2zPNngM96BRgsocbBOHAj0WEJrB5sP7amrh2jBD" TargetMode="External" Id="rId2033" /><Relationship Type="http://schemas.openxmlformats.org/officeDocument/2006/relationships/hyperlink" Target="https://contrataciondelestado.es/wps/poc?uri=deeplink:detalle_licitacion&amp;idEvl=c5%2BOq99Ma4B%2BF6L2uCfUWg%3D%3D" TargetMode="External" Id="rId2034" /><Relationship Type="http://schemas.openxmlformats.org/officeDocument/2006/relationships/hyperlink" Target="https://contrataciondelestado.es/FileSystem/servlet/GetDocumentByIdServlet?cifrado=QUC1GjXXSiLkydRHJBmbpw%3D%3D&amp;DocumentIdParam=pPzc/9/hj6arlySgL/V/vy12/jFDMDPeZphpotliTQzG9AZ6vmdIXJVibqoHrfcX0mJ8GTkmYzzd1CiP1wTtzuHF%2BlBVS/H/GAA1zflD0fs//q7NB2iMZvNyf0xrJmjt" TargetMode="External" Id="rId2035" /><Relationship Type="http://schemas.openxmlformats.org/officeDocument/2006/relationships/hyperlink" Target="https://contrataciondelestado.es/wps/poc?uri=deeplink:detalle_licitacion&amp;idEvl=Xg8BRcG9V1BrSd8H4b2soA%3D%3D" TargetMode="External" Id="rId2036" /><Relationship Type="http://schemas.openxmlformats.org/officeDocument/2006/relationships/hyperlink" Target="https://contrataciondelestado.es/FileSystem/servlet/GetDocumentByIdServlet?cifrado=QUC1GjXXSiLkydRHJBmbpw%3D%3D&amp;DocumentIdParam=NjoCG5XoRR/6j%2BXiB42xy9cNDLFNN17BnkZHFmJO8WggkevAreYLjGuNG6UMhRCFZjrcfoccGMYDX00Nc3Af0TFX53wpf9C0fh2nXyCWeLOHAj0WEJrB5sP7amrh2jBD" TargetMode="External" Id="rId2037" /><Relationship Type="http://schemas.openxmlformats.org/officeDocument/2006/relationships/hyperlink" Target="https://contrataciondelestado.es/wps/poc?uri=deeplink:detalle_licitacion&amp;idEvl=jS0kMJOTapg%2FbjW6njtWLw%3D%3D" TargetMode="External" Id="rId2038" /><Relationship Type="http://schemas.openxmlformats.org/officeDocument/2006/relationships/hyperlink" Target="https://contrataciondelestado.es/FileSystem/servlet/GetDocumentByIdServlet?DocumentIdParam=jSFu/cMzx0hly7/5yvuHzbd3WRoNRDwUH3xbqzr%2BTx7/o8FY%2B0MC2Go4Jw4TJFeUym6IlUoyZXNr%2B7PYUKZHmwgH7wnzGWqH%2B92B9ADUujGHAj0WEJrB5sP7amrh2jBD&amp;cifrado=QUC1GjXXSiLkydRHJBmbpw%3D%3D" TargetMode="External" Id="rId2039" /><Relationship Type="http://schemas.openxmlformats.org/officeDocument/2006/relationships/hyperlink" Target="https://contrataciondelestado.es/wps/poc?uri=deeplink:detalle_licitacion&amp;idEvl=TKFw%2BHkuukr5Rey58Yagpg%3D%3D" TargetMode="External" Id="rId2040" /><Relationship Type="http://schemas.openxmlformats.org/officeDocument/2006/relationships/hyperlink" Target="https://contrataciondelestado.es/FileSystem/servlet/GetDocumentByIdServlet?cifrado=QUC1GjXXSiLkydRHJBmbpw%3D%3D&amp;DocumentIdParam=X%2BkzxSvmrfvwOQBgPoMhQiEhbtIXJCTOWwRjUbOlLNwBJ%2BqA63v7Tf/kLHJwZxApet2pR/LxZRtxoH15m5P2WjlWfNlUcGntYE6ikiSsUmj6CYyL7SIrUOBFfNf52ZqA" TargetMode="External" Id="rId2041" /><Relationship Type="http://schemas.openxmlformats.org/officeDocument/2006/relationships/hyperlink" Target="https://contrataciondelestado.es/wps/poc?uri=deeplink:detalle_licitacion&amp;idEvl=FcEltUXR6XgzjChw4z%2FXvw%3D%3D" TargetMode="External" Id="rId2042" /><Relationship Type="http://schemas.openxmlformats.org/officeDocument/2006/relationships/hyperlink" Target="https://contrataciondelestado.es/FileSystem/servlet/GetDocumentByIdServlet?cifrado=QUC1GjXXSiLkydRHJBmbpw%3D%3D&amp;DocumentIdParam=LLnxppnArHP6SVoQfd8eAApdxgHcOYcN32ULil0qrBkXNCFl5dag/al9MyBueTlKWgciv/U0KgO/G65LCUpHmqQorTDWccGQyIIyLGvdvdYZyAJWGsSt0OzTSTyw9JAs" TargetMode="External" Id="rId2043" /><Relationship Type="http://schemas.openxmlformats.org/officeDocument/2006/relationships/hyperlink" Target="https://contrataciondelestado.es/wps/poc?uri=deeplink:detalle_licitacion&amp;idEvl=9Qi6%2B2K2nFv9pbnDwlaUlg%3D%3D" TargetMode="External" Id="rId2044" /><Relationship Type="http://schemas.openxmlformats.org/officeDocument/2006/relationships/hyperlink" Target="https://contrataciondelestado.es/FileSystem/servlet/GetDocumentByIdServlet?cifrado=QUC1GjXXSiLkydRHJBmbpw%3D%3D&amp;DocumentIdParam=t73u7v8vk6ycINz2Z9JAHXzOYcJZQrBkREb0jhD%2BZUv/DCRM1KvOfY5kO%2BooBVaTIlRtRNkA%2BkeaVLxmKkJevFhx8hHgdpHYmUPfssVvv3QZyAJWGsSt0OzTSTyw9JAs" TargetMode="External" Id="rId2045" /><Relationship Type="http://schemas.openxmlformats.org/officeDocument/2006/relationships/hyperlink" Target="https://contrataciondelestado.es/wps/poc?uri=deeplink:detalle_licitacion&amp;idEvl=ER9gLZGa9%2B6FQ%2FlhRK79lA%3D%3D" TargetMode="External" Id="rId2046" /><Relationship Type="http://schemas.openxmlformats.org/officeDocument/2006/relationships/hyperlink" Target="https://contrataciondelestado.es/FileSystem/servlet/GetDocumentByIdServlet?cifrado=QUC1GjXXSiLkydRHJBmbpw%3D%3D&amp;DocumentIdParam=pYrKr0/LOUnvHDm9pFoKBUnisG57EyI2fjn0t/C4%2BDpq6D6rlaGW7RGn1FbnEqZcukwkwQn/A3sMt8rMWwHGLfEcAGckvxNtEbFPHQ0Q4wK1aXEvq3KHa/AEHgtDrQw0" TargetMode="External" Id="rId2047" /><Relationship Type="http://schemas.openxmlformats.org/officeDocument/2006/relationships/hyperlink" Target="https://contrataciondelestado.es/wps/poc?uri=deeplink:detalle_licitacion&amp;idEvl=xT3yqYnJTk5rSd8H4b2soA%3D%3D" TargetMode="External" Id="rId2048" /><Relationship Type="http://schemas.openxmlformats.org/officeDocument/2006/relationships/hyperlink" Target="https://contrataciondelestado.es/FileSystem/servlet/GetDocumentByIdServlet?cifrado=QUC1GjXXSiLkydRHJBmbpw%3D%3D&amp;DocumentIdParam=kSHlL6NMfsFhGF42fAGIvaTCzlFKvaT%2BMj4xV0HSPxlxARq3tMUQkmZpZcF5J9Ta2Q9SzSE8B8ur7PxU2MteK9fIoJPY2xESWaUrKFgGW7fDdQD9RyhUmzT4jZ2In4zL" TargetMode="External" Id="rId2049" /><Relationship Type="http://schemas.openxmlformats.org/officeDocument/2006/relationships/hyperlink" Target="https://contrataciondelestado.es/wps/poc?uri=deeplink:detalle_licitacion&amp;idEvl=nPeI4M4zbcjXOjazN1Dw9Q%3D%3D" TargetMode="External" Id="rId2050" /><Relationship Type="http://schemas.openxmlformats.org/officeDocument/2006/relationships/hyperlink" Target="https://contrataciondelestado.es/FileSystem/servlet/GetDocumentByIdServlet?cifrado=QUC1GjXXSiLkydRHJBmbpw%3D%3D&amp;DocumentIdParam=HfOL2PcH4GbDimqQz2n4h6VDtQe8gAXHXUc/i0MwT60%2B3urUwBse%2B%2B3%2B5QIw5ISmqaacFo8R1Drf7m/%2B/orF/IvPIeLnj76SkrOzx8VI9fH6CYyL7SIrUOBFfNf52ZqA" TargetMode="External" Id="rId2051" /><Relationship Type="http://schemas.openxmlformats.org/officeDocument/2006/relationships/hyperlink" Target="https://contrataciondelestado.es/wps/poc?uri=deeplink:detalle_licitacion&amp;idEvl=F5uI03PBriyP66GS%2BONYvQ%3D%3D" TargetMode="External" Id="rId2052" /><Relationship Type="http://schemas.openxmlformats.org/officeDocument/2006/relationships/hyperlink" Target="https://contrataciondelestado.es/FileSystem/servlet/GetDocumentByIdServlet?cifrado=QUC1GjXXSiLkydRHJBmbpw%3D%3D&amp;DocumentIdParam=y96985Yx8vuxPRvW5Q9vhm1w526OGSJaS699k3EIASszzfy6wt%2BK/Einso63k/wTI1wpvrRdJNsqeLJcIhNPVnCbmmVbuosO/DL7XxPbMm2HAj0WEJrB5sP7amrh2jBD" TargetMode="External" Id="rId2053" /><Relationship Type="http://schemas.openxmlformats.org/officeDocument/2006/relationships/hyperlink" Target="https://contrataciondelestado.es/wps/poc?uri=deeplink:detalle_licitacion&amp;idEvl=CteVvhZ8MOiGCFcHcNGIlQ%3D%3D" TargetMode="External" Id="rId2054" /><Relationship Type="http://schemas.openxmlformats.org/officeDocument/2006/relationships/hyperlink" Target="https://contrataciondelestado.es/FileSystem/servlet/GetDocumentByIdServlet?cifrado=QUC1GjXXSiLkydRHJBmbpw%3D%3D&amp;DocumentIdParam=%2BB3YDJXBVDYSkebzZuXtQIfHigCnfTJecm/EqamaKwums5qzGomi2n%2BrkInyK0TMH8ADQBjAEOqDCJLtYmMJshGeI%2BOv8E1XGYGDkC%2BX9rQZyAJWGsSt0OzTSTyw9JAs" TargetMode="External" Id="rId2055" /><Relationship Type="http://schemas.openxmlformats.org/officeDocument/2006/relationships/hyperlink" Target="https://contrataciondelestado.es/wps/poc?uri=deeplink:detalle_licitacion&amp;idEvl=aRIdqffKCsteKgd8LfVV9g%3D%3D" TargetMode="External" Id="rId2056" /><Relationship Type="http://schemas.openxmlformats.org/officeDocument/2006/relationships/hyperlink" Target="https://contrataciondelestado.es/FileSystem/servlet/GetDocumentByIdServlet?cifrado=QUC1GjXXSiLkydRHJBmbpw%3D%3D&amp;DocumentIdParam=e3DdtjMwO3Ruf4Ze2gc%2BIRKH6hw5/LxKsRA4PxgTW0O0/RbNAYawuTtHLOj7vbkYkg0SCcQKS3opc2MdID09Q7Ehh%2BJlqZWtJV9/C60fFKMC1/zDIE0Kw/PWNnLS0Z0z" TargetMode="External" Id="rId2057" /><Relationship Type="http://schemas.openxmlformats.org/officeDocument/2006/relationships/hyperlink" Target="https://contrataciondelestado.es/wps/poc?uri=deeplink:detalle_licitacion&amp;idEvl=VarVBDNovqr%2B3JAijKO%2Bkg%3D%3D" TargetMode="External" Id="rId2058" /><Relationship Type="http://schemas.openxmlformats.org/officeDocument/2006/relationships/hyperlink" Target="https://contrataciondelestado.es/FileSystem/servlet/GetDocumentByIdServlet?cifrado=QUC1GjXXSiLkydRHJBmbpw%3D%3D&amp;DocumentIdParam=JhawvpfkCWU2N4hMgR2ZlPZCWiPyy0SGH0%2BERMzKm%2BiX39u7LfsK3XrzYW5ANDysrPS%2BKKt%2Bi6b%2B2qb3QL278lhYkuR51PK4CWmyawqo9x/DdQD9RyhUmzT4jZ2In4zL" TargetMode="External" Id="rId2059" /><Relationship Type="http://schemas.openxmlformats.org/officeDocument/2006/relationships/hyperlink" Target="https://contrataciondelestado.es/wps/poc?uri=deeplink:detalle_licitacion&amp;idEvl=DsZFOhOipSs2wEhQbcAqug%3D%3D" TargetMode="External" Id="rId2060" /><Relationship Type="http://schemas.openxmlformats.org/officeDocument/2006/relationships/hyperlink" Target="https://contrataciondelestado.es/FileSystem/servlet/GetDocumentByIdServlet?cifrado=QUC1GjXXSiLkydRHJBmbpw%3D%3D&amp;DocumentIdParam=79vMjxttSp4kGZRrm8rw3KFWhY4TYy1MGk2kENtyqgDN3KC8O9WYi5ytFVAJu1w7Q%2Bj0bQcKsv/fDQ8fHljntdZiYV0bc32SnLtLji7qy7FJOVDbGCDM%2BMigrvuVS7Rv" TargetMode="External" Id="rId2061" /><Relationship Type="http://schemas.openxmlformats.org/officeDocument/2006/relationships/hyperlink" Target="https://contrataciondelestado.es/wps/poc?uri=deeplink:detalle_licitacion&amp;idEvl=h9v6qzJPV5cmMOlAXxDEjw%3D%3D" TargetMode="External" Id="rId2062" /><Relationship Type="http://schemas.openxmlformats.org/officeDocument/2006/relationships/hyperlink" Target="https://contrataciondelestado.es/FileSystem/servlet/GetDocumentByIdServlet?cifrado=QUC1GjXXSiLkydRHJBmbpw%3D%3D&amp;DocumentIdParam=E%2B2PqfSm98lilsICUGV2Q9ik33E%2B8L1dnq3I4VSlKijdVxlDKyL7O4oK2jv8uxnaeHhy3kox%2BsbXFQ6LzaKd2ynO1RMRK%2B/v/aL7ZNIgpOLVTD3T98KC0nSgQFM0q%2B5s" TargetMode="External" Id="rId2063" /><Relationship Type="http://schemas.openxmlformats.org/officeDocument/2006/relationships/hyperlink" Target="https://contrataciondelestado.es/wps/poc?uri=deeplink:detalle_licitacion&amp;idEvl=b7ppxqHXcGkaF6cS8TCh%2FA%3D%3D" TargetMode="External" Id="rId2064" /><Relationship Type="http://schemas.openxmlformats.org/officeDocument/2006/relationships/hyperlink" Target="https://contrataciondelestado.es/FileSystem/servlet/GetDocumentByIdServlet?cifrado=QUC1GjXXSiLkydRHJBmbpw%3D%3D&amp;DocumentIdParam=GSpgfLtFv9gUO22Gy2L32fEC9WOCw51XJVOCy%2BKFwBawy%2BeUj6W3qgyy2x2s2dCRB2vsfnIf28dEiz9lJn2LOzIzTwcY0xnvOAyoNNE4qzmHAj0WEJrB5sP7amrh2jBD" TargetMode="External" Id="rId2065" /><Relationship Type="http://schemas.openxmlformats.org/officeDocument/2006/relationships/hyperlink" Target="https://contrataciondelestado.es/wps/poc?uri=deeplink:detalle_licitacion&amp;idEvl=v70CObmcVw%2Bzz8fXU2i3eQ%3D%3D" TargetMode="External" Id="rId2066" /><Relationship Type="http://schemas.openxmlformats.org/officeDocument/2006/relationships/hyperlink" Target="https://contrataciondelestado.es/FileSystem/servlet/GetDocumentByIdServlet?cifrado=QUC1GjXXSiLkydRHJBmbpw%3D%3D&amp;DocumentIdParam=GV4tI/BOdFM1V5WCWPEFkHeMauH2NIhA/ZEtxc1QECMPLofrdNOVYbw%2BWqpgKMP3gWceUT3FEzsXDHJ/RTyds6mbVkDfOLrNogGUvyi85ZyCx2e6p7hqtlp2aFupgHMr" TargetMode="External" Id="rId2067" /><Relationship Type="http://schemas.openxmlformats.org/officeDocument/2006/relationships/hyperlink" Target="https://contrataciondelestado.es/wps/poc?uri=deeplink:detalle_licitacion&amp;idEvl=OTEvKtlHcanIGlsa0Wad%2Bw%3D%3D" TargetMode="External" Id="rId2068" /><Relationship Type="http://schemas.openxmlformats.org/officeDocument/2006/relationships/hyperlink" Target="https://contrataciondelestado.es/FileSystem/servlet/GetDocumentByIdServlet?cifrado=QUC1GjXXSiLkydRHJBmbpw%3D%3D&amp;DocumentIdParam=7aPlznb%2BbF9lDUqM/Ud18IhfBbdXrCwNFyhFmcWjoVJgzGwC3XTSI2bR9TcVksin8wrej4pUTPDSaU2JmqKy2Ht1%2BdaOaSvw3N60JQsj96a1aXEvq3KHa/AEHgtDrQw0" TargetMode="External" Id="rId2069" /><Relationship Type="http://schemas.openxmlformats.org/officeDocument/2006/relationships/hyperlink" Target="https://contrataciondelestado.es/wps/poc?uri=deeplink:detalle_licitacion&amp;idEvl=lM7oUo9MaSUaF6cS8TCh%2FA%3D%3D" TargetMode="External" Id="rId2070" /><Relationship Type="http://schemas.openxmlformats.org/officeDocument/2006/relationships/hyperlink" Target="https://contrataciondelestado.es/FileSystem/servlet/GetDocumentByIdServlet?cifrado=QUC1GjXXSiLkydRHJBmbpw%3D%3D&amp;DocumentIdParam=0gijwjDX0iFzx5Zc0Ak%2BE5bq5id9b1LbsW4%2Bq4uERvXUPaWcGuDBh1V88neblFE3NF171CNA8/0/zQWunQE4Sp49C6xuPk9Cgr1HGgozuSe1aXEvq3KHa/AEHgtDrQw0" TargetMode="External" Id="rId2071" /><Relationship Type="http://schemas.openxmlformats.org/officeDocument/2006/relationships/hyperlink" Target="https://contrataciondelestado.es/wps/poc?uri=deeplink:detalle_licitacion&amp;idEvl=x3FPHt2oeZdxseVhcqrkhw%3D%3D" TargetMode="External" Id="rId2072" /><Relationship Type="http://schemas.openxmlformats.org/officeDocument/2006/relationships/hyperlink" Target="https://contrataciondelestado.es/FileSystem/servlet/GetDocumentByIdServlet?cifrado=QUC1GjXXSiLkydRHJBmbpw%3D%3D&amp;DocumentIdParam=2ucb6KCsJOou/CsGIeaUa1d4fwxAmQcSMJJ%2BYjDWYe/E6L%2BDNMkSQBYIhZUV5cayqgTbVrY6tqM1E9K36CtNpHTNEIPuF4jGr4f0fbzPqXb6CYyL7SIrUOBFfNf52ZqA" TargetMode="External" Id="rId2073" /><Relationship Type="http://schemas.openxmlformats.org/officeDocument/2006/relationships/hyperlink" Target="https://contrataciondelestado.es/wps/poc?uri=deeplink:detalle_licitacion&amp;idEvl=Z9PF7iPMc%2FE7%2B9FIQYNjeQ%3D%3D" TargetMode="External" Id="rId2074" /><Relationship Type="http://schemas.openxmlformats.org/officeDocument/2006/relationships/hyperlink" Target="https://contrataciondelestado.es/FileSystem/servlet/GetDocumentByIdServlet?cifrado=QUC1GjXXSiLkydRHJBmbpw%3D%3D&amp;DocumentIdParam=xtY/jSEHZAjQHikDUEUzhxigxRdTMwRxToCOXbeN%2BgJtVYGaHadS90Wdf3/1Ma9YrmKbgdcX1AFYVNWJwjG3QzI4hh9RnFLmW2DycpPkk8M//q7NB2iMZvNyf0xrJmjt" TargetMode="External" Id="rId2075" /><Relationship Type="http://schemas.openxmlformats.org/officeDocument/2006/relationships/hyperlink" Target="https://contrataciondelestado.es/wps/poc?uri=deeplink:detalle_licitacion&amp;idEvl=ccPXEIPsUDB4zIRvjBVCSw%3D%3D" TargetMode="External" Id="rId2076" /><Relationship Type="http://schemas.openxmlformats.org/officeDocument/2006/relationships/hyperlink" Target="https://contrataciondelestado.es/FileSystem/servlet/GetDocumentByIdServlet?cifrado=QUC1GjXXSiLkydRHJBmbpw%3D%3D&amp;DocumentIdParam=9u3B3tW8Ps1YhLND%2BzQ377wpf0W1mx0%2BJeqwUPeOdP2PMCFevs1NtfPgMbU5rblCVmo%2BxUzlvlO%2BGSQZAyx5dO0QP9Qtp4Mx%2BgQ7b14hX2z3GVhXrFFqN7yFncy7YfRK" TargetMode="External" Id="rId2077" /><Relationship Type="http://schemas.openxmlformats.org/officeDocument/2006/relationships/hyperlink" Target="https://contrataciondelestado.es/wps/poc?uri=deeplink:detalle_licitacion&amp;idEvl=CoEHWzskbMr%2Fa9DgO%2BoYKQ%3D%3D" TargetMode="External" Id="rId2078" /><Relationship Type="http://schemas.openxmlformats.org/officeDocument/2006/relationships/hyperlink" Target="https://contrataciondelestado.es/FileSystem/servlet/GetDocumentByIdServlet?cifrado=QUC1GjXXSiLkydRHJBmbpw%3D%3D&amp;DocumentIdParam=vjjVzWodNeAzM7V3HXtCGP7Vj%2B1dpkqnIa2CGregj/lIfbCbciiiI4UUCS8tWSxR/538xYLH8WvcE7d5buiUaH18XQvUSZ9skc2x3ys0d6Vt/o8fNevwsujgRzaBbugn" TargetMode="External" Id="rId2079" /><Relationship Type="http://schemas.openxmlformats.org/officeDocument/2006/relationships/hyperlink" Target="https://contrataciondelestado.es/wps/poc?uri=deeplink:detalle_licitacion&amp;idEvl=uKuEy0o1%2FjDCfVQHDepjGQ%3D%3D" TargetMode="External" Id="rId2080" /><Relationship Type="http://schemas.openxmlformats.org/officeDocument/2006/relationships/hyperlink" Target="https://contrataciondelestado.es/FileSystem/servlet/GetDocumentByIdServlet?cifrado=QUC1GjXXSiLkydRHJBmbpw%3D%3D&amp;DocumentIdParam=ymwUhSzv7nY9LpNNAxIKJWNKalcCwTmTWHsLlVKglKTs2OddMGQEa3qp3R0mqKNbBT/Yp1KxbnsJNGV2QA4Zwjqbh2rxQH8M7b1nG21LHnBt/o8fNevwsujgRzaBbugn" TargetMode="External" Id="rId2081" /><Relationship Type="http://schemas.openxmlformats.org/officeDocument/2006/relationships/hyperlink" Target="https://contrataciondelestado.es/wps/poc?uri=deeplink:detalle_licitacion&amp;idEvl=vQVQfFrmSdGGCFcHcNGIlQ%3D%3D" TargetMode="External" Id="rId2082" /><Relationship Type="http://schemas.openxmlformats.org/officeDocument/2006/relationships/hyperlink" Target="https://contrataciondelestado.es/FileSystem/servlet/GetDocumentByIdServlet?cifrado=QUC1GjXXSiLkydRHJBmbpw%3D%3D&amp;DocumentIdParam=iSfJEF4aWHxpIo5AKmfRdwgeAKVjHJ9MGHGau6IagkVDpTpFRz7zKLdmbOjAL0Mfu2viQ7jcZkkg9rsSrHi3yRsP/uH4Ettphai9PSKhVI945ClyWkoJ44mKM70IFcOu" TargetMode="External" Id="rId2083" /><Relationship Type="http://schemas.openxmlformats.org/officeDocument/2006/relationships/hyperlink" Target="https://contrataciondelestado.es/wps/poc?uri=deeplink:detalle_licitacion&amp;idEvl=r9GJnBWtsdG2gkLQ8TeYKA%3D%3D" TargetMode="External" Id="rId2084" /><Relationship Type="http://schemas.openxmlformats.org/officeDocument/2006/relationships/hyperlink" Target="https://contrataciondelestado.es/FileSystem/servlet/GetDocumentByIdServlet?cifrado=QUC1GjXXSiLkydRHJBmbpw%3D%3D&amp;DocumentIdParam=eN75c8pRMEB4gkyjyfmPuJbGJiwBHhoV52yF8TE74xqvpQtaNWMdYEDs3bNYVDhb7ZAEq8Davbmk3MqTeFVIOtNXV2a3CpRdidgW/jwpFubfdyQgZAdTm3EfcUAC7CJ6" TargetMode="External" Id="rId2085" /><Relationship Type="http://schemas.openxmlformats.org/officeDocument/2006/relationships/hyperlink" Target="https://contrataciondelestado.es/wps/poc?uri=deeplink:detalle_licitacion&amp;idEvl=pzCdyhnFs1%2BFlFRHfEzEaw%3D%3D" TargetMode="External" Id="rId2086" /><Relationship Type="http://schemas.openxmlformats.org/officeDocument/2006/relationships/hyperlink" Target="https://contrataciondelestado.es/FileSystem/servlet/GetDocumentByIdServlet?cifrado=QUC1GjXXSiLkydRHJBmbpw%3D%3D&amp;DocumentIdParam=XrZNRS%2Bpb9%2Bhk4YEfiXZdrVisRmkNU6suJstDTraP%2B6b09M6HEUHvMFKR70T8Q%2BhCufbBkz7hRISconkZHI%2B8xaoefhc6/IAD2EKVIR3wKXfdyQgZAdTm3EfcUAC7CJ6" TargetMode="External" Id="rId2087" /><Relationship Type="http://schemas.openxmlformats.org/officeDocument/2006/relationships/hyperlink" Target="https://contrataciondelestado.es/wps/poc?uri=deeplink:detalle_licitacion&amp;idEvl=JN0PIfi%2FU3DzAq95uGTrDQ%3D%3D" TargetMode="External" Id="rId2088" /><Relationship Type="http://schemas.openxmlformats.org/officeDocument/2006/relationships/hyperlink" Target="https://contrataciondelestado.es/FileSystem/servlet/GetDocumentByIdServlet?DocumentIdParam=h93VrhgCa9TCHYnFfJvWwGITJkOv7vre7FJR9EhqM1m8EufRdR3uAshNZPxnn17NQzRtm9nahOZB4NFx3lbw%2B2d6w/H9MVO9aWIXoNiKxpH3GVhXrFFqN7yFncy7YfRK&amp;cifrado=QUC1GjXXSiLkydRHJBmbpw%3D%3D" TargetMode="External" Id="rId2089" /><Relationship Type="http://schemas.openxmlformats.org/officeDocument/2006/relationships/hyperlink" Target="https://contrataciondelestado.es/wps/poc?uri=deeplink:detalle_licitacion&amp;idEvl=jhGatSM5l76qb7rCcv76BA%3D%3D" TargetMode="External" Id="rId2090" /><Relationship Type="http://schemas.openxmlformats.org/officeDocument/2006/relationships/hyperlink" Target="https://contrataciondelestado.es/FileSystem/servlet/GetDocumentByIdServlet?cifrado=QUC1GjXXSiLkydRHJBmbpw%3D%3D&amp;DocumentIdParam=ZvzirCYmy56NMUCsnKla%2BswhD2kg9paM8z4CnyiWcB7DOQAQu/PsiFk9f5OCP3mEvWB/lLj6l12/Yw8QDJsYBqpTrj0EzgYMOygEzSCF8dl45ClyWkoJ44mKM70IFcOu" TargetMode="External" Id="rId2091" /><Relationship Type="http://schemas.openxmlformats.org/officeDocument/2006/relationships/hyperlink" Target="https://contrataciondelestado.es/wps/poc?uri=deeplink:detalle_licitacion&amp;idEvl=xDUFrYrM%2FxaKeVWTb9Scog%3D%3D" TargetMode="External" Id="rId2092" /><Relationship Type="http://schemas.openxmlformats.org/officeDocument/2006/relationships/hyperlink" Target="https://contrataciondelestado.es/FileSystem/servlet/GetDocumentByIdServlet?cifrado=QUC1GjXXSiLkydRHJBmbpw%3D%3D&amp;DocumentIdParam=oRGnIavLZodRlh93G8gnpc7tQSg1jFHr/1Jid4v9CHG0c6oc1vwBAkaQs2RFIwErOwFjXlT3V5glUzpSispp9R74tNeOPztYsNOP9tB0M/945ClyWkoJ44mKM70IFcOu" TargetMode="External" Id="rId2093" /><Relationship Type="http://schemas.openxmlformats.org/officeDocument/2006/relationships/hyperlink" Target="https://contrataciondelestado.es/wps/poc?uri=deeplink:detalle_licitacion&amp;idEvl=%2FGIOVvPjbHCkU02jNGj1Fw%3D%3D" TargetMode="External" Id="rId2094" /><Relationship Type="http://schemas.openxmlformats.org/officeDocument/2006/relationships/hyperlink" Target="https://contrataciondelestado.es/FileSystem/servlet/GetDocumentByIdServlet?cifrado=QUC1GjXXSiLkydRHJBmbpw%3D%3D&amp;DocumentIdParam=nWdW7Kt%2BHT689y5Sv19ngTzNkd5OAlcJ0foDcafp1XETyoWGe5IeFZEzMOwWGMqUt1HhEkuXpVSTo9IKfiPOyjcy6cdyySiQpWhYB99HJImHAj0WEJrB5sP7amrh2jBD" TargetMode="External" Id="rId2095" /><Relationship Type="http://schemas.openxmlformats.org/officeDocument/2006/relationships/hyperlink" Target="https://contrataciondelestado.es/wps/poc?uri=deeplink:detalle_licitacion&amp;idEvl=AwYekIxdEUEkJPJS%2BPS9vg%3D%3D" TargetMode="External" Id="rId2096" /><Relationship Type="http://schemas.openxmlformats.org/officeDocument/2006/relationships/hyperlink" Target="https://contrataciondelestado.es/FileSystem/servlet/GetDocumentByIdServlet?cifrado=QUC1GjXXSiLkydRHJBmbpw%3D%3D&amp;DocumentIdParam=91Dl9qwCIhVnB6uiVEu/wC77HH6RR3tneDVOM9yowBEjv8K46SydwZi/nm0mOuPP2SXzDydrAfZHG%2B0JbLjnQPqjzJEdwe3zBgGGuiE8uA2HAj0WEJrB5sP7amrh2jBD" TargetMode="External" Id="rId2097" /><Relationship Type="http://schemas.openxmlformats.org/officeDocument/2006/relationships/hyperlink" Target="https://contrataciondelestado.es/wps/poc?uri=deeplink:detalle_licitacion&amp;idEvl=IO79yqPVq5zjHF5qKI4aaw%3D%3D" TargetMode="External" Id="rId2098" /><Relationship Type="http://schemas.openxmlformats.org/officeDocument/2006/relationships/hyperlink" Target="https://contrataciondelestado.es/FileSystem/servlet/GetDocumentByIdServlet?cifrado=QUC1GjXXSiLkydRHJBmbpw%3D%3D&amp;DocumentIdParam=li9ICb7PHXN6mYyu/aWS3HhQvjBrXosrmRTxWWlz8q4k8eN9M/PX1aiQG8lVZuE8ivdeU8aCERT7PA%2BmV9g2Te7ayfEL6FrRGHh/lYlT/YHVTD3T98KC0nSgQFM0q%2B5s" TargetMode="External" Id="rId2099" /><Relationship Type="http://schemas.openxmlformats.org/officeDocument/2006/relationships/hyperlink" Target="https://contrataciondelestado.es/wps/poc?uri=deeplink:detalle_licitacion&amp;idEvl=JUJ5T7FbS8akU02jNGj1Fw%3D%3D" TargetMode="External" Id="rId2100" /><Relationship Type="http://schemas.openxmlformats.org/officeDocument/2006/relationships/hyperlink" Target="https://contrataciondelestado.es/FileSystem/servlet/GetDocumentByIdServlet?cifrado=QUC1GjXXSiLkydRHJBmbpw%3D%3D&amp;DocumentIdParam=5LaaCWm5RMLBqXHiPOgvt8VKm/gwaIEB7TZAK26hWaWz4L0AN6fARI7A8yYIZeGvPa2ZysW3BH02kRGtXbDRA791cd8TvUnOKHZfHWiDVZ%2BB0nvVKRzfe4rpHcnlPhSZ" TargetMode="External" Id="rId2101" /><Relationship Type="http://schemas.openxmlformats.org/officeDocument/2006/relationships/hyperlink" Target="https://contrataciondelestado.es/wps/poc?uri=deeplink:detalle_licitacion&amp;idEvl=CO5g60cAhrNVkTabT%2FRM8A%3D%3D" TargetMode="External" Id="rId2102" /><Relationship Type="http://schemas.openxmlformats.org/officeDocument/2006/relationships/hyperlink" Target="https://contrataciondelestado.es/FileSystem/servlet/GetDocumentByIdServlet?cifrado=QUC1GjXXSiLkydRHJBmbpw%3D%3D&amp;DocumentIdParam=KqdVeoilEmM%2B4vM6li8pUWNRpm8uxwWOTT/5psPRqHqPdJwhgzXAKK93kBJfPCI0bv4gWYk0Mo4drp67NNiG6wZvFl7mZoSNjj5Zpekht/nfdyQgZAdTm3EfcUAC7CJ6" TargetMode="External" Id="rId2103" /><Relationship Type="http://schemas.openxmlformats.org/officeDocument/2006/relationships/hyperlink" Target="https://contrataciondelestado.es/wps/poc?uri=deeplink:detalle_licitacion&amp;idEvl=9MXsBLVABnh70UvEyYJSGw%3D%3D" TargetMode="External" Id="rId2104" /><Relationship Type="http://schemas.openxmlformats.org/officeDocument/2006/relationships/hyperlink" Target="https://contrataciondelestado.es/FileSystem/servlet/GetDocumentByIdServlet?cifrado=QUC1GjXXSiLkydRHJBmbpw%3D%3D&amp;DocumentIdParam=4gZ4w824Unh/nNA1gEehN54R%2BJuGtXx/6EivPmw7BCDJvOM7agYTRg5cToWWxVHuY1kDFuEwvFSbQkpSI6EouIa4MLj3QAt893qHRmUvnhu1aXEvq3KHa/AEHgtDrQw0" TargetMode="External" Id="rId2105" /><Relationship Type="http://schemas.openxmlformats.org/officeDocument/2006/relationships/hyperlink" Target="https://contrataciondelestado.es/wps/poc?uri=deeplink:detalle_licitacion&amp;idEvl=6gu87tf19ALIGlsa0Wad%2Bw%3D%3D" TargetMode="External" Id="rId2106" /><Relationship Type="http://schemas.openxmlformats.org/officeDocument/2006/relationships/hyperlink" Target="https://contrataciondelestado.es/FileSystem/servlet/GetDocumentByIdServlet?cifrado=QUC1GjXXSiLkydRHJBmbpw%3D%3D&amp;DocumentIdParam=MQctQlMdz83d5HaeBsigzQUEakyGOyDLCa0RrkjoxZ07rOBWM3rs1QV046a8z0XkjiX6crYP0g6AFUSJsqMQagPffKW13cz1bUGN%2B7NkeBGB0nvVKRzfe4rpHcnlPhSZ" TargetMode="External" Id="rId2107" /><Relationship Type="http://schemas.openxmlformats.org/officeDocument/2006/relationships/hyperlink" Target="https://contrataciondelestado.es/wps/poc?uri=deeplink:detalle_licitacion&amp;idEvl=XGFjlXQrRw%2FkY6rls5tG9A%3D%3D" TargetMode="External" Id="rId2108" /><Relationship Type="http://schemas.openxmlformats.org/officeDocument/2006/relationships/hyperlink" Target="https://contrataciondelestado.es/FileSystem/servlet/GetDocumentByIdServlet?cifrado=QUC1GjXXSiLkydRHJBmbpw%3D%3D&amp;DocumentIdParam=n6SbPrwn2l8b1ua0RlMm49NMfZzO9EQabvMy5CTPhcDQnrENJ3PMCfCgtbRUDvUYo%2BeUdGwa8Zju3kJii1gTOwpJN/4UbuaBo0XTW7%2B8303fdyQgZAdTm3EfcUAC7CJ6" TargetMode="External" Id="rId2109" /><Relationship Type="http://schemas.openxmlformats.org/officeDocument/2006/relationships/hyperlink" Target="https://contrataciondelestado.es/wps/poc?uri=deeplink:detalle_licitacion&amp;idEvl=4JvCyFRh4sm2gkLQ8TeYKA%3D%3D" TargetMode="External" Id="rId2110" /><Relationship Type="http://schemas.openxmlformats.org/officeDocument/2006/relationships/hyperlink" Target="https://contrataciondelestado.es/FileSystem/servlet/GetDocumentByIdServlet?cifrado=QUC1GjXXSiLkydRHJBmbpw%3D%3D&amp;DocumentIdParam=r76Z3IR0fxFzTlrjjdMtiYLSGlvDx3E7Avqus6Zg0ujI8YmiuezFvEO8cThoFcj8dKUresQF09JEdp1PoEdI0H3uWs3OxF6pMnpzn/WbOv4//q7NB2iMZvNyf0xrJmjt" TargetMode="External" Id="rId2111" /><Relationship Type="http://schemas.openxmlformats.org/officeDocument/2006/relationships/hyperlink" Target="https://contrataciondelestado.es/wps/poc?uri=deeplink:detalle_licitacion&amp;idEvl=deFWKoTsazN%2FR5QFTlaM4A%3D%3D" TargetMode="External" Id="rId2112" /><Relationship Type="http://schemas.openxmlformats.org/officeDocument/2006/relationships/hyperlink" Target="https://contrataciondelestado.es/FileSystem/servlet/GetDocumentByIdServlet?cifrado=QUC1GjXXSiLkydRHJBmbpw%3D%3D&amp;DocumentIdParam=Iat3DNOSOPIUuViVEJDDAccU0Q65ZHgdriBnvKRS%2B0UUhnkyX5wxIRDPoSI48%2BHeVwhe0Y2D27HnnEZotnybc5Rd/si/sAsQLeQw2apA4BFt/o8fNevwsujgRzaBbugn" TargetMode="External" Id="rId2113" /><Relationship Type="http://schemas.openxmlformats.org/officeDocument/2006/relationships/hyperlink" Target="https://contrataciondelestado.es/wps/poc?uri=deeplink:detalle_licitacion&amp;idEvl=uz3YrEXl2sk%2B1TMyIiZmzw%3D%3D" TargetMode="External" Id="rId2114" /><Relationship Type="http://schemas.openxmlformats.org/officeDocument/2006/relationships/hyperlink" Target="https://contrataciondelestado.es/FileSystem/servlet/GetDocumentByIdServlet?cifrado=QUC1GjXXSiLkydRHJBmbpw%3D%3D&amp;DocumentIdParam=bgmEka5OVDYpLrbo8W/NVdWwAwSBbmV7Vpj3L/%2BDzXwbQ8mRwk3anddSvjQ/3LKIl1t12%2Buv51W2Mr6bCYDDWdAFmgoofZhmxXxdYE63Ko61aXEvq3KHa/AEHgtDrQw0" TargetMode="External" Id="rId2115" /><Relationship Type="http://schemas.openxmlformats.org/officeDocument/2006/relationships/hyperlink" Target="https://contrataciondelestado.es/wps/poc?uri=deeplink:detalle_licitacion&amp;idEvl=%2BFXYkmZcSTu2gkLQ8TeYKA%3D%3D" TargetMode="External" Id="rId2116" /><Relationship Type="http://schemas.openxmlformats.org/officeDocument/2006/relationships/hyperlink" Target="https://contrataciondelestado.es/FileSystem/servlet/GetDocumentByIdServlet?cifrado=QUC1GjXXSiLkydRHJBmbpw%3D%3D&amp;DocumentIdParam=dvUCvb/UGjblzxPv2wPsEngDOk6o%2BW6Oy5c7Fy2Cm2RbYSw4UUIOZgT2wQJGWQ6zaZDPqpLva3L/vPSPM7uYoVyHuk2FnaRQZDJLEVDPoj2Cx2e6p7hqtlp2aFupgHMr" TargetMode="External" Id="rId2117" /><Relationship Type="http://schemas.openxmlformats.org/officeDocument/2006/relationships/hyperlink" Target="https://contrataciondelestado.es/wps/poc?uri=deeplink:detalle_licitacion&amp;idEvl=XXDVauzsEq%2BFlFRHfEzEaw%3D%3D" TargetMode="External" Id="rId2118" /><Relationship Type="http://schemas.openxmlformats.org/officeDocument/2006/relationships/hyperlink" Target="https://contrataciondelestado.es/FileSystem/servlet/GetDocumentByIdServlet?cifrado=QUC1GjXXSiLkydRHJBmbpw%3D%3D&amp;DocumentIdParam=PH8ZJgKb4f5k8FzaHmghI7FU15XpKxqxjNrnt8suV8vxECSkPAXP/xWop85VNwf4Js7pSWHFQn4NbqHRLdY4j6m1NHXu5apUPbICtEhk1J%2BCx2e6p7hqtlp2aFupgHMr" TargetMode="External" Id="rId2119" /><Relationship Type="http://schemas.openxmlformats.org/officeDocument/2006/relationships/hyperlink" Target="https://contrataciondelestado.es/wps/poc?uri=deeplink:detalle_licitacion&amp;idEvl=XOmf6pKCBXycCF8sV%2BqtYA%3D%3D" TargetMode="External" Id="rId2120" /><Relationship Type="http://schemas.openxmlformats.org/officeDocument/2006/relationships/hyperlink" Target="https://contrataciondelestado.es/FileSystem/servlet/GetDocumentByIdServlet?cifrado=QUC1GjXXSiLkydRHJBmbpw%3D%3D&amp;DocumentIdParam=0G0KDjIGGED6JPWuOivdt/QYuKxLl8QYNoSKD/HNypzIt09W6LN7hojLJM4aI6jNyyEywPS%2BSCrL1iMqioIApDJfkDkOWaxKjsR6N3X3ug33GVhXrFFqN7yFncy7YfRK" TargetMode="External" Id="rId2121" /><Relationship Type="http://schemas.openxmlformats.org/officeDocument/2006/relationships/hyperlink" Target="https://contrataciondelestado.es/wps/poc?uri=deeplink:detalle_licitacion&amp;idEvl=zubfnAjzB1y9Hd5zqvq9cg%3D%3D" TargetMode="External" Id="rId2122" /><Relationship Type="http://schemas.openxmlformats.org/officeDocument/2006/relationships/hyperlink" Target="https://contrataciondelestado.es/FileSystem/servlet/GetDocumentByIdServlet?cifrado=QUC1GjXXSiLkydRHJBmbpw%3D%3D&amp;DocumentIdParam=YubAZFT9PznjTPYBrB70/%2Bcu7Ckb8hTTb6BkrSaV/XR1kkFxRKcxKqPWeQQIshHHFzbTTsB/oJRfXEerbJRV8Dhu/qIovgESQ/y0PLJMJlCB0nvVKRzfe4rpHcnlPhSZ" TargetMode="External" Id="rId2123" /><Relationship Type="http://schemas.openxmlformats.org/officeDocument/2006/relationships/hyperlink" Target="https://contrataciondelestado.es/wps/poc?uri=deeplink:detalle_licitacion&amp;idEvl=0PhAgVTYczMkJPJS%2BPS9vg%3D%3D" TargetMode="External" Id="rId2124" /><Relationship Type="http://schemas.openxmlformats.org/officeDocument/2006/relationships/hyperlink" Target="https://contrataciondelestado.es/FileSystem/servlet/GetDocumentByIdServlet?cifrado=QUC1GjXXSiLkydRHJBmbpw%3D%3D&amp;DocumentIdParam=EusjWkK8BQL%2BszPRVaDgiD/6zdamGRawhTRwYAnLNkLqopWeYhPdv1iJ%2BtEmEQidIJWxNLAYX2VF%2B9GqFQ7c1tlObUz5bwi6Kyr/M1ynzyt7QB3HKyQaFUExmUVQCerk" TargetMode="External" Id="rId2125" /><Relationship Type="http://schemas.openxmlformats.org/officeDocument/2006/relationships/hyperlink" Target="https://contrataciondelestado.es/wps/poc?uri=deeplink:detalle_licitacion&amp;idEvl=3sb8Hw6EHzZt5r0ngvMetA%3D%3D" TargetMode="External" Id="rId2126" /><Relationship Type="http://schemas.openxmlformats.org/officeDocument/2006/relationships/hyperlink" Target="https://contrataciondelestado.es/FileSystem/servlet/GetDocumentByIdServlet?cifrado=QUC1GjXXSiLkydRHJBmbpw%3D%3D&amp;DocumentIdParam=vVeG24YZ89UvlVbprwIbo5TdvDY3xV2D6vIu7V6Wo7bE9%2BO0FPzr09YyGK7TKt0q4Ktdu6/blBKBSBXOMXtjUPbLZV5qhspoGyVNcBREW7JJOVDbGCDM%2BMigrvuVS7Rv" TargetMode="External" Id="rId2127" /><Relationship Type="http://schemas.openxmlformats.org/officeDocument/2006/relationships/hyperlink" Target="https://contrataciondelestado.es/wps/poc?uri=deeplink:detalle_licitacion&amp;idEvl=MT8KavYFfWf10HRJw8TEnQ%3D%3D" TargetMode="External" Id="rId2128" /><Relationship Type="http://schemas.openxmlformats.org/officeDocument/2006/relationships/hyperlink" Target="https://contrataciondelestado.es/FileSystem/servlet/GetDocumentByIdServlet?cifrado=QUC1GjXXSiLkydRHJBmbpw%3D%3D&amp;DocumentIdParam=IgvtAwTSXKMwfaCad3V7V%2Bd8bebCQe/eGb5KMa6aVUOL5G7BP1C%2Bs1Vuxm36SlMT3FHaDQEbbkudtBLIbq%2BZsU686MaD6MMCrWkURl5R0DZt/o8fNevwsujgRzaBbugn" TargetMode="External" Id="rId2129" /><Relationship Type="http://schemas.openxmlformats.org/officeDocument/2006/relationships/hyperlink" Target="https://contrataciondelestado.es/wps/poc?uri=deeplink:detalle_licitacion&amp;idEvl=h0DFwdiR5GxLAIVZdUs8KA%3D%3D" TargetMode="External" Id="rId2130" /><Relationship Type="http://schemas.openxmlformats.org/officeDocument/2006/relationships/hyperlink" Target="https://contrataciondelestado.es/FileSystem/servlet/GetDocumentByIdServlet?cifrado=QUC1GjXXSiLkydRHJBmbpw%3D%3D&amp;DocumentIdParam=HcOy0qNOhIqRwNDVV8j4JjkU5yMUwEYl6AzAoq/6wn9tPDiIBf9aI5wMcNy8aa%2BeCxapsz41OzUGkzhaP13Id9/x%2Bwq2DHZF14zbyeFWYs57QB3HKyQaFUExmUVQCerk" TargetMode="External" Id="rId2131" /><Relationship Type="http://schemas.openxmlformats.org/officeDocument/2006/relationships/hyperlink" Target="https://contrataciondelestado.es/wps/poc?uri=deeplink:detalle_licitacion&amp;idEvl=1QpUgbF4h%2FIzjChw4z%2FXvw%3D%3D" TargetMode="External" Id="rId2132" /><Relationship Type="http://schemas.openxmlformats.org/officeDocument/2006/relationships/hyperlink" Target="https://contrataciondelestado.es/FileSystem/servlet/GetDocumentByIdServlet?cifrado=QUC1GjXXSiLkydRHJBmbpw%3D%3D&amp;DocumentIdParam=mijoR6FJT0PwkPQO3eY6dzRO%2Bu4MovQ58v4X8BY5U2/tjoyAViH0P4WZFB%2BWYCSBMdrq%2B2ugdzlxffucGSGe4VzZqlH7BWogGmaWkc%2ByOZy1aXEvq3KHa/AEHgtDrQw0" TargetMode="External" Id="rId2133" /><Relationship Type="http://schemas.openxmlformats.org/officeDocument/2006/relationships/hyperlink" Target="https://contrataciondelestado.es/wps/poc?uri=deeplink:detalle_licitacion&amp;idEvl=ILc928TOCvpLAIVZdUs8KA%3D%3D" TargetMode="External" Id="rId2134" /><Relationship Type="http://schemas.openxmlformats.org/officeDocument/2006/relationships/hyperlink" Target="https://contrataciondelestado.es/FileSystem/servlet/GetDocumentByIdServlet?cifrado=QUC1GjXXSiLkydRHJBmbpw%3D%3D&amp;DocumentIdParam=IstZs6JVV5zqjJMnqSPA1Ph8GL/1Mv81dr5wBmR3QxYkIq81JRwvToF67pezDHyCToq3i2wmmu5NiRw8RlC0/MAzRTSSUZ7VAHgCjvetVmXVTD3T98KC0nSgQFM0q%2B5s" TargetMode="External" Id="rId2135" /><Relationship Type="http://schemas.openxmlformats.org/officeDocument/2006/relationships/hyperlink" Target="https://contrataciondelestado.es/wps/poc?uri=deeplink:detalle_licitacion&amp;idEvl=yFbq%2F4Grs3MeIBJRHQiPkQ%3D%3D" TargetMode="External" Id="rId2136" /><Relationship Type="http://schemas.openxmlformats.org/officeDocument/2006/relationships/hyperlink" Target="https://contrataciondelestado.es/FileSystem/servlet/GetDocumentByIdServlet?cifrado=QUC1GjXXSiLkydRHJBmbpw%3D%3D&amp;DocumentIdParam=ii6SDDx6IdkBd6g/WOvbyMVFaSN5yP1uluJLkQJw5/OugIy96zlzcsHmeZ%2BUJWG4ZUn9zuNBUebmF2L%2BbjzKPetkMHwfasjha7yRPyU0ZIm1aXEvq3KHa/AEHgtDrQw0" TargetMode="External" Id="rId2137" /><Relationship Type="http://schemas.openxmlformats.org/officeDocument/2006/relationships/hyperlink" Target="https://contrataciondelestado.es/wps/poc?uri=deeplink:detalle_licitacion&amp;idEvl=T698BUUViS7I8aL3PRS10Q%3D%3D" TargetMode="External" Id="rId2138" /><Relationship Type="http://schemas.openxmlformats.org/officeDocument/2006/relationships/hyperlink" Target="https://contrataciondelestado.es/FileSystem/servlet/GetDocumentByIdServlet?cifrado=QUC1GjXXSiLkydRHJBmbpw%3D%3D&amp;DocumentIdParam=zABafUEdb8aIEeqdMBtKoVeT/t4kIa3h2VP1uk%2Bhc%2BIiZnODN661IQy1nf03sEjuFJs2v3dQR4aRg0esu4yt2x8jWoJdUg4Y1Lfa4nAzxJF7QB3HKyQaFUExmUVQCerk" TargetMode="External" Id="rId2139" /><Relationship Type="http://schemas.openxmlformats.org/officeDocument/2006/relationships/hyperlink" Target="https://contrataciondelestado.es/wps/poc?uri=deeplink:detalle_licitacion&amp;idEvl=WKtjqds8AziopEMYCmrbmw%3D%3D" TargetMode="External" Id="rId2140" /><Relationship Type="http://schemas.openxmlformats.org/officeDocument/2006/relationships/hyperlink" Target="https://contrataciondelestado.es/FileSystem/servlet/GetDocumentByIdServlet?cifrado=QUC1GjXXSiLkydRHJBmbpw%3D%3D&amp;DocumentIdParam=5jSLWkmoyla8YHnSe7d1nqOaV5o%2BylvOmwNcG90GXM7xvjmW6bwjaLybQ809b4AyIXB36TyHUOnbt8/%2BbdYCcYHfvDD36VcEJ0LaoKVUEI945ClyWkoJ44mKM70IFcOu" TargetMode="External" Id="rId2141" /><Relationship Type="http://schemas.openxmlformats.org/officeDocument/2006/relationships/hyperlink" Target="https://contrataciondelestado.es/wps/poc?uri=deeplink:detalle_licitacion&amp;idEvl=2Mf%2FeoNIOaiGCFcHcNGIlQ%3D%3D" TargetMode="External" Id="rId2142" /><Relationship Type="http://schemas.openxmlformats.org/officeDocument/2006/relationships/hyperlink" Target="https://contrataciondelestado.es/FileSystem/servlet/GetDocumentByIdServlet?cifrado=QUC1GjXXSiLkydRHJBmbpw%3D%3D&amp;DocumentIdParam=YxDWNCaihLGOPV26QgBNRYa%2BYf2NMRtqeWg5QWgZoPWeveu4xM/GrM4WOFzrcUTFqJ8e4P4h1na90kNGyFDcyMgJgbScDk0RK7v5ysdKLI61aXEvq3KHa/AEHgtDrQw0" TargetMode="External" Id="rId2143" /><Relationship Type="http://schemas.openxmlformats.org/officeDocument/2006/relationships/hyperlink" Target="https://contrataciondelestado.es/wps/poc?uri=deeplink:detalle_licitacion&amp;idEvl=Inez%2BhqP80RrSd8H4b2soA%3D%3D" TargetMode="External" Id="rId2144" /><Relationship Type="http://schemas.openxmlformats.org/officeDocument/2006/relationships/hyperlink" Target="https://contrataciondelestado.es/FileSystem/servlet/GetDocumentByIdServlet?cifrado=QUC1GjXXSiLkydRHJBmbpw%3D%3D&amp;DocumentIdParam=PfYAxv8YLCsKFEKVGBNZapJMRybZNAJYmhcEHtFs5oab2WNDLcq0rftLhXI2PlJ1UQOgzOOsJj6IOk/ZiwqqKQAiTfj1tP/sL2RdwdtBpV0//q7NB2iMZvNyf0xrJmjt" TargetMode="External" Id="rId2145" /><Relationship Type="http://schemas.openxmlformats.org/officeDocument/2006/relationships/hyperlink" Target="https://contrataciondelestado.es/wps/poc?uri=deeplink:detalle_licitacion&amp;idEvl=P4GBHIyE%2BkAwYTJJ03sHog%3D%3D" TargetMode="External" Id="rId2146" /><Relationship Type="http://schemas.openxmlformats.org/officeDocument/2006/relationships/hyperlink" Target="https://contrataciondelestado.es/FileSystem/servlet/GetDocumentByIdServlet?cifrado=QUC1GjXXSiLkydRHJBmbpw%3D%3D&amp;DocumentIdParam=1EFnSxFvKewA9fVY4eZ5/1hW82mQAHzbfEBWHd2WqwW7n4xuhp0fI5xFOu2WAyKDdZ0scGSYdWv84UqOT3ePs8j1HRWVcxF%2BO8AMXWW5li61aXEvq3KHa/AEHgtDrQw0" TargetMode="External" Id="rId2147" /><Relationship Type="http://schemas.openxmlformats.org/officeDocument/2006/relationships/hyperlink" Target="https://contrataciondelestado.es/wps/poc?uri=deeplink:detalle_licitacion&amp;idEvl=ds04qql6DEqTylGzYmBF9Q%3D%3D" TargetMode="External" Id="rId2148" /><Relationship Type="http://schemas.openxmlformats.org/officeDocument/2006/relationships/hyperlink" Target="https://contrataciondelestado.es/FileSystem/servlet/GetDocumentByIdServlet?cifrado=QUC1GjXXSiLkydRHJBmbpw%3D%3D&amp;DocumentIdParam=i7yaKjPCa9zHs3/55QRuNLk%2BnZLdwnWjd5shwO6u6HUV7kLa50UNv0lJ88zgtjP2Joe5yBJ9LwIc0U9S7avdTE4kgP2Xz02nqNbIHu7DS5B45ClyWkoJ44mKM70IFcOu" TargetMode="External" Id="rId2149" /><Relationship Type="http://schemas.openxmlformats.org/officeDocument/2006/relationships/hyperlink" Target="https://contrataciondelestado.es/wps/poc?uri=deeplink:detalle_licitacion&amp;idEvl=ciNcKuogNH4%2Bk2oCbDosIw%3D%3D" TargetMode="External" Id="rId2150" /><Relationship Type="http://schemas.openxmlformats.org/officeDocument/2006/relationships/hyperlink" Target="https://contrataciondelestado.es/FileSystem/servlet/GetDocumentByIdServlet?cifrado=QUC1GjXXSiLkydRHJBmbpw%3D%3D&amp;DocumentIdParam=9wuCl1eb6aE1FOuIyYZ6z1C3Q48gV2FunYVETPAMlTU47YYLTQpNkFMUBqPr10mcLMaYgGy5l13QBn3M05k7%2BQU60gfo%2BlLcaL6C%2BDhPe%2BLDdQD9RyhUmzT4jZ2In4zL" TargetMode="External" Id="rId2151" /><Relationship Type="http://schemas.openxmlformats.org/officeDocument/2006/relationships/hyperlink" Target="https://contrataciondelestado.es/wps/poc?uri=deeplink:detalle_licitacion&amp;idEvl=5ENLM42C%2Bec%2FbjW6njtWLw%3D%3D" TargetMode="External" Id="rId2152" /><Relationship Type="http://schemas.openxmlformats.org/officeDocument/2006/relationships/hyperlink" Target="https://contrataciondelestado.es/FileSystem/servlet/GetDocumentByIdServlet?cifrado=QUC1GjXXSiLkydRHJBmbpw%3D%3D&amp;DocumentIdParam=/Bh0vBsrm%2BX6Veml%2BnDnS1hcAfDZoQaLXjqOnTrh73KpgzzmlLSLaW12hzf%2BetiSFePbhGvh4UHKRnHHa1arIA24CG2t2E40qlwVU5qlGBR45ClyWkoJ44mKM70IFcOu" TargetMode="External" Id="rId2153" /><Relationship Type="http://schemas.openxmlformats.org/officeDocument/2006/relationships/hyperlink" Target="https://contrataciondelestado.es/wps/poc?uri=deeplink:detalle_licitacion&amp;idEvl=ItvjtKoc8pvE6P%2FuLemXRw%3D%3D" TargetMode="External" Id="rId2154" /><Relationship Type="http://schemas.openxmlformats.org/officeDocument/2006/relationships/hyperlink" Target="https://contrataciondelestado.es/FileSystem/servlet/GetDocumentByIdServlet?DocumentIdParam=dbYIN2iWqExJuPTXJxq7pTk6p%2BADz%2BU8Zw65QLEjkwu/ZpZn4smL/rbKGuxe0u9oRF1lu43NBuQSAZDf0cKzRf8OEgA%2BO59Ag%2Bj71UnFq8wZyAJWGsSt0OzTSTyw9JAs&amp;cifrado=QUC1GjXXSiLkydRHJBmbpw%3D%3D" TargetMode="External" Id="rId2155" /><Relationship Type="http://schemas.openxmlformats.org/officeDocument/2006/relationships/hyperlink" Target="https://contrataciondelestado.es/wps/poc?uri=deeplink:detalle_licitacion&amp;idEvl=INsuP8TZ9wQXhk1FZxEyvw%3D%3D" TargetMode="External" Id="rId2156" /><Relationship Type="http://schemas.openxmlformats.org/officeDocument/2006/relationships/hyperlink" Target="https://contrataciondelestado.es/FileSystem/servlet/GetDocumentByIdServlet?cifrado=QUC1GjXXSiLkydRHJBmbpw%3D%3D&amp;DocumentIdParam=7fH8jdJlzm211RnOVcsIegJCTxvEAJ34bMC1egEZ5TINpj/teW6p7THFR8m%2Bu7KGqGnJT3Ld%2BNkSIicHZRm7ze/Weu6n8yfiR3O770el38gZyAJWGsSt0OzTSTyw9JAs" TargetMode="External" Id="rId2157" /><Relationship Type="http://schemas.openxmlformats.org/officeDocument/2006/relationships/hyperlink" Target="https://contrataciondelestado.es/wps/poc?uri=deeplink:detalle_licitacion&amp;idEvl=x%2BjD2mslfxfL1rX3q%2FMAPA%3D%3D" TargetMode="External" Id="rId2158" /><Relationship Type="http://schemas.openxmlformats.org/officeDocument/2006/relationships/hyperlink" Target="https://contrataciondelestado.es/FileSystem/servlet/GetDocumentByIdServlet?cifrado=QUC1GjXXSiLkydRHJBmbpw%3D%3D&amp;DocumentIdParam=pDGVJBqAo3fvRjmbNgXuvk9LxPOHoYySZZRDw93/gYZsAUb1tLmAlb3nq5zOXc3fMou/Sp%2BMX92kjLh6l1QIhVGvEW7l9OImVtNWKx718TO1aXEvq3KHa/AEHgtDrQw0" TargetMode="External" Id="rId2159" /><Relationship Type="http://schemas.openxmlformats.org/officeDocument/2006/relationships/hyperlink" Target="https://contrataciondelestado.es/wps/poc?uri=deeplink:detalle_licitacion&amp;idEvl=0qcuBo8%2FjMo7u6%2B%2FR7DUoA%3D%3D" TargetMode="External" Id="rId2160" /><Relationship Type="http://schemas.openxmlformats.org/officeDocument/2006/relationships/hyperlink" Target="https://contrataciondelestado.es/FileSystem/servlet/GetDocumentByIdServlet?cifrado=QUC1GjXXSiLkydRHJBmbpw%3D%3D&amp;DocumentIdParam=5WbM/ecQoYXtc/2w8%2B0wOCqgMzvHAkdyjbzHFIRxGdezTno0TXjQeFO5JAkJeqrwoHayP6twUQgzIRDdYUQE5mtRp8Q9aZ2nO1RBzQyot9/VTD3T98KC0nSgQFM0q%2B5s" TargetMode="External" Id="rId2161" /><Relationship Type="http://schemas.openxmlformats.org/officeDocument/2006/relationships/hyperlink" Target="https://contrataciondelestado.es/wps/poc?uri=deeplink:detalle_licitacion&amp;idEvl=tPatNENN%2BVqcCF8sV%2BqtYA%3D%3D" TargetMode="External" Id="rId2162" /><Relationship Type="http://schemas.openxmlformats.org/officeDocument/2006/relationships/hyperlink" Target="https://contrataciondelestado.es/FileSystem/servlet/GetDocumentByIdServlet?cifrado=QUC1GjXXSiLkydRHJBmbpw%3D%3D&amp;DocumentIdParam=OD1%2B6R5FcNn2liN/uwj9RC94mzgJjMclY8U2cXsy1AtX1TeOLwdWGKIKI%2BzsXffxaEOgnXk7eRshYgkMFX8BHaD6sDG8SBRVzgzIuhaUmkx7QB3HKyQaFUExmUVQCerk" TargetMode="External" Id="rId2163" /><Relationship Type="http://schemas.openxmlformats.org/officeDocument/2006/relationships/hyperlink" Target="https://contrataciondelestado.es/wps/poc?uri=deeplink:detalle_licitacion&amp;idEvl=9eAWhj05zJ6HCIsjvJ3rhQ%3D%3D" TargetMode="External" Id="rId2164" /><Relationship Type="http://schemas.openxmlformats.org/officeDocument/2006/relationships/hyperlink" Target="https://contrataciondelestado.es/FileSystem/servlet/GetDocumentByIdServlet?cifrado=QUC1GjXXSiLkydRHJBmbpw%3D%3D&amp;DocumentIdParam=eIxFHzKrZJu4Ocu8tunqb3HUCTuX2PrNvnfTl0aKOojyiBGDDzPNXHNITaodGTmcAS64Sa8QF1Uq7r6gh%2BipTvYDsapmV1wHUH1uePUIMc4C1/zDIE0Kw/PWNnLS0Z0z" TargetMode="External" Id="rId2165" /><Relationship Type="http://schemas.openxmlformats.org/officeDocument/2006/relationships/hyperlink" Target="https://contrataciondelestado.es/wps/poc?uri=deeplink:detalle_licitacion&amp;idEvl=T7tV90x00UzXOjazN1Dw9Q%3D%3D" TargetMode="External" Id="rId2166" /><Relationship Type="http://schemas.openxmlformats.org/officeDocument/2006/relationships/hyperlink" Target="https://contrataciondelestado.es/FileSystem/servlet/GetDocumentByIdServlet?cifrado=QUC1GjXXSiLkydRHJBmbpw%3D%3D&amp;DocumentIdParam=CQnuc7AsmucwztGxVsNWXIOUO8s5Xf1tJvWIEmnOMO8uikODiYXtHIhRdUBHtgu6QNtaTlXqbtNjeiqc7KQqXVthg4v//EgXOHvd6FgBUYHDdQD9RyhUmzT4jZ2In4zL" TargetMode="External" Id="rId2167" /><Relationship Type="http://schemas.openxmlformats.org/officeDocument/2006/relationships/hyperlink" Target="https://contrataciondelestado.es/wps/poc?uri=deeplink:detalle_licitacion&amp;idEvl=t2xGqkZDsPr%2Fa9DgO%2BoYKQ%3D%3D" TargetMode="External" Id="rId2168" /><Relationship Type="http://schemas.openxmlformats.org/officeDocument/2006/relationships/hyperlink" Target="https://contrataciondelestado.es/FileSystem/servlet/GetDocumentByIdServlet?cifrado=QUC1GjXXSiLkydRHJBmbpw%3D%3D&amp;DocumentIdParam=OdEOnQSRxiruZ5bB8QBUJ0Nwq2DKYZiOw4S3EjnTmfMsStICXtDHq9pLkw1quZNe8ZPjf2jJzHHlUIfBfyqo6DDPjG2iBlqzPfTaRopJGuoZyAJWGsSt0OzTSTyw9JAs" TargetMode="External" Id="rId2169" /><Relationship Type="http://schemas.openxmlformats.org/officeDocument/2006/relationships/hyperlink" Target="https://contrataciondelestado.es/wps/poc?uri=deeplink:detalle_licitacion&amp;idEvl=JOYvBxxXA68aF6cS8TCh%2FA%3D%3D" TargetMode="External" Id="rId2170" /><Relationship Type="http://schemas.openxmlformats.org/officeDocument/2006/relationships/hyperlink" Target="https://contrataciondelestado.es/FileSystem/servlet/GetDocumentByIdServlet?cifrado=QUC1GjXXSiLkydRHJBmbpw%3D%3D&amp;DocumentIdParam=6rw2lo5l8gLT1OvcAbNpgyYz4UDyrOWoesMQ8RsrqBvBFhM2hU7gqScEbpyjrzpeV8cfFiloSjf%2Bh1Fb4w5FsThkgTE%2BDmEVvK4q6Vmwl7V45ClyWkoJ44mKM70IFcOu" TargetMode="External" Id="rId2171" /><Relationship Type="http://schemas.openxmlformats.org/officeDocument/2006/relationships/hyperlink" Target="https://contrataciondelestado.es/wps/poc?uri=deeplink:detalle_licitacion&amp;idEvl=r8ZECqwDeJsUqXM96WStVA%3D%3D" TargetMode="External" Id="rId2172" /><Relationship Type="http://schemas.openxmlformats.org/officeDocument/2006/relationships/hyperlink" Target="https://contrataciondelestado.es/FileSystem/servlet/GetDocumentByIdServlet?cifrado=QUC1GjXXSiLkydRHJBmbpw%3D%3D&amp;DocumentIdParam=O0iPQxCsBbFTyB0U9SC3TQ%2BfuFZVvFsAlHGmSNrPMA%2B8t6s8qy6aMXvK4c/2W5wVr2KRPdKc3YBjARgXu3LTAvghXuZMk8DS3WIZ0fnsgFs//q7NB2iMZvNyf0xrJmjt" TargetMode="External" Id="rId2173" /><Relationship Type="http://schemas.openxmlformats.org/officeDocument/2006/relationships/hyperlink" Target="https://contrataciondelestado.es/wps/poc?uri=deeplink:detalle_licitacion&amp;idEvl=Nor%2BsqkJOnmExvMJXBMHHQ%3D%3D" TargetMode="External" Id="rId2174" /><Relationship Type="http://schemas.openxmlformats.org/officeDocument/2006/relationships/hyperlink" Target="https://contrataciondelestado.es/wps/wcm/connect/PLACE_es/Site/area/docAccCmpnt?srv=cmpnt&amp;cmpntname=GetDocumentsById&amp;source=library&amp;DocumentIdParam=9ffad2f2-e6c7-452e-a5d7-474ebc31ab6e" TargetMode="External" Id="rId2175" /><Relationship Type="http://schemas.openxmlformats.org/officeDocument/2006/relationships/hyperlink" Target="https://contrataciondelestado.es/wps/poc?uri=deeplink:detalle_licitacion&amp;idEvl=jagO6%2Bk%2BpsweIBJRHQiPkQ%3D%3D" TargetMode="External" Id="rId2176" /><Relationship Type="http://schemas.openxmlformats.org/officeDocument/2006/relationships/hyperlink" Target="https://contrataciondelestado.es/FileSystem/servlet/GetDocumentByIdServlet?cifrado=QUC1GjXXSiLkydRHJBmbpw%3D%3D&amp;DocumentIdParam=tzZxXws4rE8RCOFDlH1B9mHVG1%2Bos6lgp9DEwJOksUxhDK43zbjCIV0t5g5SDE%2BHE5kwQ%2B0N4rgYbnTdlGWB3uR1rE9l/R2Eh/9ahRTGzoRt/o8fNevwsujgRzaBbugn" TargetMode="External" Id="rId2177" /><Relationship Type="http://schemas.openxmlformats.org/officeDocument/2006/relationships/hyperlink" Target="https://contrataciondelestado.es/wps/poc?uri=deeplink:detalle_licitacion&amp;idEvl=AiudTCIi5tEl5NjlNci%2BtA%3D%3D" TargetMode="External" Id="rId2178" /><Relationship Type="http://schemas.openxmlformats.org/officeDocument/2006/relationships/hyperlink" Target="https://contrataciondelestado.es/FileSystem/servlet/GetDocumentByIdServlet?cifrado=QUC1GjXXSiLkydRHJBmbpw%3D%3D&amp;DocumentIdParam=7TfK8lTH8PngsEy7Eu%2BJRWv1knfu0xYaWLzeT5aQuasPQbiOgz/HMjeql71TJgPHwabTV5g0tIpx9THYtqbDfQr7/EO0%2B/iajzbF0MPM6ndJOVDbGCDM%2BMigrvuVS7Rv" TargetMode="External" Id="rId2179" /><Relationship Type="http://schemas.openxmlformats.org/officeDocument/2006/relationships/hyperlink" Target="https://contrataciondelestado.es/wps/poc?uri=deeplink:detalle_licitacion&amp;idEvl=xOULlD%2FyuK%2FkY6rls5tG9A%3D%3D" TargetMode="External" Id="rId2180" /><Relationship Type="http://schemas.openxmlformats.org/officeDocument/2006/relationships/hyperlink" Target="https://contrataciondelestado.es/FileSystem/servlet/GetDocumentByIdServlet?cifrado=QUC1GjXXSiLkydRHJBmbpw%3D%3D&amp;DocumentIdParam=28LCpDtIK%2Bv2YUVOfnCQLCmh/3doKyPC8oiS6qzJoL6%2BL0ViEjSLX%2BWg6Yr4jxRdlpkz4efUsUDVliEgC5EfZTzyAFER/vvtGZ66niq8FWeCx2e6p7hqtlp2aFupgHMr" TargetMode="External" Id="rId2181" /><Relationship Type="http://schemas.openxmlformats.org/officeDocument/2006/relationships/hyperlink" Target="https://contrataciondelestado.es/wps/poc?uri=deeplink:detalle_licitacion&amp;idEvl=L%2B9H71d386MeIBJRHQiPkQ%3D%3D" TargetMode="External" Id="rId2182" /><Relationship Type="http://schemas.openxmlformats.org/officeDocument/2006/relationships/hyperlink" Target="https://contrataciondelestado.es/FileSystem/servlet/GetDocumentByIdServlet?DocumentIdParam=yCaBSnDSciQU4yVYIvrWOk1FUlZNm9B4%2BCMBuOCluDSoiHQW1roPidGbmxAJu4piO%2BRxPkvcKhklNOA8wPhd3R28Kidix4/TwG9Sw98rY8A//q7NB2iMZvNyf0xrJmjt&amp;cifrado=QUC1GjXXSiLkydRHJBmbpw%3D%3D" TargetMode="External" Id="rId2183" /><Relationship Type="http://schemas.openxmlformats.org/officeDocument/2006/relationships/hyperlink" Target="https://contrataciondelestado.es/wps/poc?uri=deeplink:detalle_licitacion&amp;idEvl=se3UoeFA55YzjChw4z%2FXvw%3D%3D" TargetMode="External" Id="rId2184" /><Relationship Type="http://schemas.openxmlformats.org/officeDocument/2006/relationships/hyperlink" Target="https://contrataciondelestado.es/FileSystem/servlet/GetDocumentByIdServlet?cifrado=QUC1GjXXSiLkydRHJBmbpw%3D%3D&amp;DocumentIdParam=fNTGgTo6gqkAeg8vmnImZ3ZaAcBjdUUembczyU4az28PKzRxHYzmwJV4MqypqIX71PlrEBAPMqhHtFuDalcUJTITYnpgCOAsdC0mP/bibhL3GVhXrFFqN7yFncy7YfRK" TargetMode="External" Id="rId2185" /><Relationship Type="http://schemas.openxmlformats.org/officeDocument/2006/relationships/hyperlink" Target="https://contrataciondelestado.es/wps/poc?uri=deeplink:detalle_licitacion&amp;idEvl=wEykuJKfhgXs%2BnLj3vAg5A%3D%3D" TargetMode="External" Id="rId2186" /><Relationship Type="http://schemas.openxmlformats.org/officeDocument/2006/relationships/hyperlink" Target="https://contrataciondelestado.es/FileSystem/servlet/GetDocumentByIdServlet?cifrado=QUC1GjXXSiLkydRHJBmbpw%3D%3D&amp;DocumentIdParam=QCbgS1nOULIoaHW4KMB/SNpl8JPG0yzbNTm1DSD92WVxfpRkOlKJc/6O3y09MCqVIB1xh7AWQwEUp9QnLH5VWoNbwiy3Ij76zAmj0aWsMYht/o8fNevwsujgRzaBbugn" TargetMode="External" Id="rId2187" /><Relationship Type="http://schemas.openxmlformats.org/officeDocument/2006/relationships/hyperlink" Target="https://contrataciondelestado.es/wps/poc?uri=deeplink:detalle_licitacion&amp;idEvl=KXV5Q%2BC%2Bm9BVq4S9zvaQpQ%3D%3D" TargetMode="External" Id="rId2188" /><Relationship Type="http://schemas.openxmlformats.org/officeDocument/2006/relationships/hyperlink" Target="https://contrataciondelestado.es/FileSystem/servlet/GetDocumentByIdServlet?cifrado=QUC1GjXXSiLkydRHJBmbpw%3D%3D&amp;DocumentIdParam=QmMdYvotoeeNpMfcWiLz03UnkLCofroqkAItSD38t9gI0KQUU85iEl5TOsDCnfpQXtyXzQY8xxr%2B851qP/RgIB58x6E%2Bks/XWoLJ0UInv/jfdyQgZAdTm3EfcUAC7CJ6" TargetMode="External" Id="rId2189" /><Relationship Type="http://schemas.openxmlformats.org/officeDocument/2006/relationships/hyperlink" Target="https://contrataciondelestado.es/wps/poc?uri=deeplink:detalle_licitacion&amp;idEvl=ANSoETM7H7MIYE3ZiZ%2BxmQ%3D%3D" TargetMode="External" Id="rId2190" /><Relationship Type="http://schemas.openxmlformats.org/officeDocument/2006/relationships/hyperlink" Target="https://contrataciondelestado.es/FileSystem/servlet/GetDocumentByIdServlet?cifrado=QUC1GjXXSiLkydRHJBmbpw%3D%3D&amp;DocumentIdParam=nu5dLNgK6ahC2MS8/ZKoyXDqdV4oorg7u2znwCffnnihdPN3LnehlL7LyDu5XiEg/pwLM7afY/h4%2BEjU48lqCNI8tcNocVrcVWL6CDuJQAN7QB3HKyQaFUExmUVQCerk" TargetMode="External" Id="rId2191" /><Relationship Type="http://schemas.openxmlformats.org/officeDocument/2006/relationships/hyperlink" Target="https://contrataciondelestado.es/wps/poc?uri=deeplink:detalle_licitacion&amp;idEvl=QR840W%2BwtWv%2Fa9DgO%2BoYKQ%3D%3D" TargetMode="External" Id="rId2192" /><Relationship Type="http://schemas.openxmlformats.org/officeDocument/2006/relationships/hyperlink" Target="https://contrataciondelestado.es/FileSystem/servlet/GetDocumentByIdServlet?cifrado=QUC1GjXXSiLkydRHJBmbpw%3D%3D&amp;DocumentIdParam=8VGGJCj/6FPrKmV%2BVBxjVORfxkPybzm/0GiV01Nckgv2SjskXNk7ZZ6PR1oYahRSzyFa8qRkK/RmXg2HIcgzJqqZQnC/rVh8UtAeuBWKCwwC1/zDIE0Kw/PWNnLS0Z0z" TargetMode="External" Id="rId2193" /><Relationship Type="http://schemas.openxmlformats.org/officeDocument/2006/relationships/hyperlink" Target="https://contrataciondelestado.es/wps/poc?uri=deeplink:detalle_licitacion&amp;idEvl=HpYj3PKwkH8l5NjlNci%2BtA%3D%3D" TargetMode="External" Id="rId2194" /><Relationship Type="http://schemas.openxmlformats.org/officeDocument/2006/relationships/hyperlink" Target="https://contrataciondelestado.es/FileSystem/servlet/GetDocumentByIdServlet?cifrado=QUC1GjXXSiLkydRHJBmbpw%3D%3D&amp;DocumentIdParam=DjvZUzBewIKC13vX5PSBi8OCnMBzAIhjJFeY84jNUpslnPMtpr/XeYP6gn3pb4yUPGWCwSqWgyxWJAFsjHdG5mynF1XH8MrGm%2Bg7194E/kQZyAJWGsSt0OzTSTyw9JAs" TargetMode="External" Id="rId2195" /><Relationship Type="http://schemas.openxmlformats.org/officeDocument/2006/relationships/hyperlink" Target="https://contrataciondelestado.es/wps/poc?uri=deeplink:detalle_licitacion&amp;idEvl=CKpTP%2BnPBmZ9Zh%2FyRJgM8w%3D%3D" TargetMode="External" Id="rId2196" /><Relationship Type="http://schemas.openxmlformats.org/officeDocument/2006/relationships/hyperlink" Target="https://contrataciondelestado.es/FileSystem/servlet/GetDocumentByIdServlet?cifrado=QUC1GjXXSiLkydRHJBmbpw%3D%3D&amp;DocumentIdParam=4gzGgYrK6fATfm8/VPrmNKhMoOCMZaIcnDNvon//vTc5eYa0sW8PkJltT9dHrzYASFGaYv6/j%2BpcfjNsBQJd5tpNNUM3sXyXeD5AlzYlcFT6CYyL7SIrUOBFfNf52ZqA" TargetMode="External" Id="rId2197" /><Relationship Type="http://schemas.openxmlformats.org/officeDocument/2006/relationships/hyperlink" Target="https://contrataciondelestado.es/wps/poc?uri=deeplink:detalle_licitacion&amp;idEvl=3WyJrIMnNEvua%2Fi14w%2FPLA%3D%3D" TargetMode="External" Id="rId2198" /><Relationship Type="http://schemas.openxmlformats.org/officeDocument/2006/relationships/hyperlink" Target="https://contrataciondelestado.es/FileSystem/servlet/GetDocumentByIdServlet?cifrado=QUC1GjXXSiLkydRHJBmbpw%3D%3D&amp;DocumentIdParam=6PXrmDQmlmSbGutbnpLA3ZU7vlCCA2GJS7RsW5x2SE4xeiKHNPrwnOhiABi%2BdxBxsfg61H3NorazRJ3vfHowf99vW1jwYsu%2B7et/qAtPUNsC1/zDIE0Kw/PWNnLS0Z0z" TargetMode="External" Id="rId2199" /><Relationship Type="http://schemas.openxmlformats.org/officeDocument/2006/relationships/hyperlink" Target="https://contrataciondelestado.es/wps/poc?uri=deeplink:detalle_licitacion&amp;idEvl=KKpAO9EDQmkzjChw4z%2FXvw%3D%3D" TargetMode="External" Id="rId2200" /><Relationship Type="http://schemas.openxmlformats.org/officeDocument/2006/relationships/hyperlink" Target="https://contrataciondelestado.es/FileSystem/servlet/GetDocumentByIdServlet?DocumentIdParam=XhwYzA%2B6brHxdJrzWp2s4bVEdTipgwedDGD5ftRaRaTY4783YYd29nfOvxC9vQsxejl85NYe%2B9c5gAc%2BvqRetqXWn/CPPlqQUMqFTXPWFf%2BHAj0WEJrB5sP7amrh2jBD&amp;cifrado=QUC1GjXXSiLkydRHJBmbpw%3D%3D" TargetMode="External" Id="rId2201" /><Relationship Type="http://schemas.openxmlformats.org/officeDocument/2006/relationships/hyperlink" Target="https://contrataciondelestado.es/wps/poc?uri=deeplink:detalle_licitacion&amp;idEvl=X7JWMYN0AafIGlsa0Wad%2Bw%3D%3D" TargetMode="External" Id="rId2202" /><Relationship Type="http://schemas.openxmlformats.org/officeDocument/2006/relationships/hyperlink" Target="https://contrataciondelestado.es/FileSystem/servlet/GetDocumentByIdServlet?cifrado=QUC1GjXXSiLkydRHJBmbpw%3D%3D&amp;DocumentIdParam=SMpTTRNBSZUUqa1BKBqunlGMF3bqgkvPOP7dsf77PcFCWYTskTur8B2gRKNu%2BeGYWkmnxaFUHqSMQO1WfsEC0DO062fvKdNr3hA2qB6mzajVTD3T98KC0nSgQFM0q%2B5s" TargetMode="External" Id="rId2203" /><Relationship Type="http://schemas.openxmlformats.org/officeDocument/2006/relationships/hyperlink" Target="https://contrataciondelestado.es/wps/poc?uri=deeplink:detalle_licitacion&amp;idEvl=qth9afnT2sOdkQsA7ROvsg%3D%3D" TargetMode="External" Id="rId2204" /><Relationship Type="http://schemas.openxmlformats.org/officeDocument/2006/relationships/hyperlink" Target="https://contrataciondelestado.es/FileSystem/servlet/GetDocumentByIdServlet?cifrado=QUC1GjXXSiLkydRHJBmbpw%3D%3D&amp;DocumentIdParam=G6TtM3zlVLh4iBt0rco2IzZd1uzojnZW7vvHhUauriafzgQiGK2Il/EICuWNtutgOglPyxgNj%2B/Xw99oZ6Nte/Xz8Vx4iYB80FUgZehQKvKB0nvVKRzfe4rpHcnlPhSZ" TargetMode="External" Id="rId2205" /><Relationship Type="http://schemas.openxmlformats.org/officeDocument/2006/relationships/hyperlink" Target="https://contrataciondelestado.es/wps/poc?uri=deeplink:detalle_licitacion&amp;idEvl=B9Svf9HjW3AZDGvgaZEVxQ%3D%3D" TargetMode="External" Id="rId2206" /><Relationship Type="http://schemas.openxmlformats.org/officeDocument/2006/relationships/hyperlink" Target="https://contrataciondelestado.es/FileSystem/servlet/GetDocumentByIdServlet?cifrado=QUC1GjXXSiLkydRHJBmbpw%3D%3D&amp;DocumentIdParam=/RU%2BFkfWBDARImMdG16CWwsLMB39zWP6OJB4oPBHnLrvQ7EBak0fXblPc8CeDMhElN8ejRPvJkttCUYwITnVfMuwJNvdtrhjkc9sRopDTAqCx2e6p7hqtlp2aFupgHMr" TargetMode="External" Id="rId2207" /><Relationship Type="http://schemas.openxmlformats.org/officeDocument/2006/relationships/hyperlink" Target="https://contrataciondelestado.es/wps/poc?uri=deeplink:detalle_licitacion&amp;idEvl=CNTnoo6CY2rI8aL3PRS10Q%3D%3D" TargetMode="External" Id="rId2208" /><Relationship Type="http://schemas.openxmlformats.org/officeDocument/2006/relationships/hyperlink" Target="https://contrataciondelestado.es/FileSystem/servlet/GetDocumentByIdServlet?cifrado=QUC1GjXXSiLkydRHJBmbpw%3D%3D&amp;DocumentIdParam=l6O3eUyawHooRh3IrR9dCBGts8Iefhpz/X7rPfotPkLWrkNrx8TKe2puWClO7vkFHmxW6vzbwPSEYmnoCk6um%2B6dlllGui64605yyeC4GDQZyAJWGsSt0OzTSTyw9JAs" TargetMode="External" Id="rId2209" /><Relationship Type="http://schemas.openxmlformats.org/officeDocument/2006/relationships/hyperlink" Target="https://contrataciondelestado.es/wps/poc?uri=deeplink:detalle_licitacion&amp;idEvl=yYPQjO%2FqIeQadbH3CysQuQ%3D%3D" TargetMode="External" Id="rId2210" /><Relationship Type="http://schemas.openxmlformats.org/officeDocument/2006/relationships/hyperlink" Target="https://contrataciondelestado.es/FileSystem/servlet/GetDocumentByIdServlet?cifrado=QUC1GjXXSiLkydRHJBmbpw%3D%3D&amp;DocumentIdParam=xvxK6/YpkEeklaA9fYZQeoGqL3v2zVLUkL15XLaQFTEkveWqNU2DZ3ysIWjYUXAY4VxSilYXrYuGatVNV6YhgvTUZhR3nD6awRICkxHuj38//q7NB2iMZvNyf0xrJmjt" TargetMode="External" Id="rId2211" /><Relationship Type="http://schemas.openxmlformats.org/officeDocument/2006/relationships/hyperlink" Target="https://contrataciondelestado.es/wps/poc?uri=deeplink:detalle_licitacion&amp;idEvl=5mNjMIk93ogUqXM96WStVA%3D%3D" TargetMode="External" Id="rId2212" /><Relationship Type="http://schemas.openxmlformats.org/officeDocument/2006/relationships/hyperlink" Target="https://contrataciondelestado.es/FileSystem/servlet/GetDocumentByIdServlet?cifrado=QUC1GjXXSiLkydRHJBmbpw%3D%3D&amp;DocumentIdParam=cRBngpEPA4msFQPJD5EN7G9zrJwTlZz32WBBqYeevNCP0YXf4E4S8LooeiWvW0ePZ5Emh4fpXxtgh%2B7l8LGNYO%2BEGHtoNAsVmqfono/r94R45ClyWkoJ44mKM70IFcOu" TargetMode="External" Id="rId2213" /><Relationship Type="http://schemas.openxmlformats.org/officeDocument/2006/relationships/hyperlink" Target="https://contrataciondelestado.es/wps/poc?uri=deeplink:detalle_licitacion&amp;idEvl=fkCZd%2B0aeFmdkQsA7ROvsg%3D%3D" TargetMode="External" Id="rId2214" /><Relationship Type="http://schemas.openxmlformats.org/officeDocument/2006/relationships/hyperlink" Target="https://contrataciondelestado.es/FileSystem/servlet/GetDocumentByIdServlet?cifrado=QUC1GjXXSiLkydRHJBmbpw%3D%3D&amp;DocumentIdParam=Lz02EZApWJgUl6Xv4RN/7iRzfYTYvNqn%2Bgsn2NPn2nBGm%2BfDZ7s7Wgrqp2XdydM7vwKHrjpJCzITQL4vfgZ9YLVnfmypBjC%2BnYwIa6j5y6aHAj0WEJrB5sP7amrh2jBD" TargetMode="External" Id="rId2215" /><Relationship Type="http://schemas.openxmlformats.org/officeDocument/2006/relationships/hyperlink" Target="https://contrataciondelestado.es/wps/poc?uri=deeplink:detalle_licitacion&amp;idEvl=x7cM%2BCGZPp2opEMYCmrbmw%3D%3D" TargetMode="External" Id="rId2216" /><Relationship Type="http://schemas.openxmlformats.org/officeDocument/2006/relationships/hyperlink" Target="https://contrataciondelestado.es/FileSystem/servlet/GetDocumentByIdServlet?cifrado=QUC1GjXXSiLkydRHJBmbpw%3D%3D&amp;DocumentIdParam=cDc1LRD4N0EDFIFlscSz3vxR0KXDt9r0WdDXAYqFOVTUC70x/LqGy5CQ5tOMlmq6f2GTaqc9B815WO8%2BSycRTnqiHV96JozVD1yWFzAZ4sSB0nvVKRzfe4rpHcnlPhSZ" TargetMode="External" Id="rId2217" /><Relationship Type="http://schemas.openxmlformats.org/officeDocument/2006/relationships/hyperlink" Target="https://contrataciondelestado.es/wps/poc?uri=deeplink:detalle_licitacion&amp;idEvl=NLS%2BSUMVpfmFQ%2FlhRK79lA%3D%3D" TargetMode="External" Id="rId2218" /><Relationship Type="http://schemas.openxmlformats.org/officeDocument/2006/relationships/hyperlink" Target="https://contrataciondelestado.es/FileSystem/servlet/GetDocumentByIdServlet?cifrado=QUC1GjXXSiLkydRHJBmbpw%3D%3D&amp;DocumentIdParam=uYOhjTBwEA6Vc%2BFuOa%2Bg9%2BtKyCAKstsgystn87KP2NCgbHHN9/AvUVxCYjOmOxg%2BnEfmp9oP/mwPXWpv0bFzAJZdU/tgLQ%2B//ACJ/I57TEoC1/zDIE0Kw/PWNnLS0Z0z" TargetMode="External" Id="rId2219" /><Relationship Type="http://schemas.openxmlformats.org/officeDocument/2006/relationships/hyperlink" Target="https://contrataciondelestado.es/wps/poc?uri=deeplink:detalle_licitacion&amp;idEvl=DUSVXG%2BpwU4%2Bk2oCbDosIw%3D%3D" TargetMode="External" Id="rId2220" /><Relationship Type="http://schemas.openxmlformats.org/officeDocument/2006/relationships/hyperlink" Target="https://contrataciondelestado.es/FileSystem/servlet/GetDocumentByIdServlet?cifrado=QUC1GjXXSiLkydRHJBmbpw%3D%3D&amp;DocumentIdParam=Hpsc5jfAXjKP2FupxHufT3IwglBNdD2oRPjhMLjfHAEWEMLNf57b8j02z484VZ1sIfCNSnNnkPT6Xj414UnHQ534SYKknEAnUouFZlJFzEv3GVhXrFFqN7yFncy7YfRK" TargetMode="External" Id="rId2221" /><Relationship Type="http://schemas.openxmlformats.org/officeDocument/2006/relationships/hyperlink" Target="https://contrataciondelestado.es/wps/poc?uri=deeplink:detalle_licitacion&amp;idEvl=KnY9p8DYXuL9pbnDwlaUlg%3D%3D" TargetMode="External" Id="rId2222" /><Relationship Type="http://schemas.openxmlformats.org/officeDocument/2006/relationships/hyperlink" Target="https://contrataciondelestado.es/FileSystem/servlet/GetDocumentByIdServlet?cifrado=QUC1GjXXSiLkydRHJBmbpw%3D%3D&amp;DocumentIdParam=btXSpFC1oiInmetBzPx4c0A3QH72JZWivMw84Q2aKXEzfsurnPY0pcyJeH2WrAX78Kg1pz16rq/CSeA%2Br4n9gCIOTSAp0FDZZryTE8Bahxht/o8fNevwsujgRzaBbugn" TargetMode="External" Id="rId2223" /><Relationship Type="http://schemas.openxmlformats.org/officeDocument/2006/relationships/hyperlink" Target="https://contrataciondelestado.es/wps/poc?uri=deeplink:detalle_licitacion&amp;idEvl=opf6oGNE2qUl5NjlNci%2BtA%3D%3D" TargetMode="External" Id="rId2224" /><Relationship Type="http://schemas.openxmlformats.org/officeDocument/2006/relationships/hyperlink" Target="https://contrataciondelestado.es/FileSystem/servlet/GetDocumentByIdServlet?cifrado=QUC1GjXXSiLkydRHJBmbpw%3D%3D&amp;DocumentIdParam=49jqAC5Bs%2BtaMbUdM9gcJ1b75LRz0XvnloeHwc0x8yBkL%2BAT29XD5VQLUED32cVkB/8tUXh9PX%2BEuvfL16sztCVlqP344F8dcuNdfBTlmRWHAj0WEJrB5sP7amrh2jBD" TargetMode="External" Id="rId2225" /><Relationship Type="http://schemas.openxmlformats.org/officeDocument/2006/relationships/hyperlink" Target="https://contrataciondelestado.es/wps/poc?uri=deeplink:detalle_licitacion&amp;idEvl=yE%2BolyT5PTNPpzdqOdhuWg%3D%3D" TargetMode="External" Id="rId2226" /><Relationship Type="http://schemas.openxmlformats.org/officeDocument/2006/relationships/hyperlink" Target="https://contrataciondelestado.es/wps/wcm/connect/PLACE_es/Site/area/docAccCmpnt?srv=cmpnt&amp;cmpntname=GetDocumentsById&amp;source=library&amp;DocumentIdParam=8e3f7490-8319-4332-88c4-7b8c7209c58a" TargetMode="External" Id="rId2227" /><Relationship Type="http://schemas.openxmlformats.org/officeDocument/2006/relationships/hyperlink" Target="https://contrataciondelestado.es/wps/poc?uri=deeplink:detalle_licitacion&amp;idEvl=oZykyHz5K26S81gZFETWmA%3D%3D" TargetMode="External" Id="rId2228" /><Relationship Type="http://schemas.openxmlformats.org/officeDocument/2006/relationships/hyperlink" Target="https://contrataciondelestado.es/FileSystem/servlet/GetDocumentByIdServlet?cifrado=QUC1GjXXSiLkydRHJBmbpw%3D%3D&amp;DocumentIdParam=YxJx8OrqRv9vADcOyOaOGZHcznuU5mBXFfdR0b2dpzSPZe3lSJ1vbhszYqXV9wUeKSSNRwJn1AelLpgKT0%2BENb09xsJmbtVTlOpoBs3LCott/o8fNevwsujgRzaBbugn" TargetMode="External" Id="rId2229" /><Relationship Type="http://schemas.openxmlformats.org/officeDocument/2006/relationships/hyperlink" Target="https://contrataciondelestado.es/wps/poc?uri=deeplink:detalle_licitacion&amp;idEvl=%2B6hwOHFt1aScCF8sV%2BqtYA%3D%3D" TargetMode="External" Id="rId2230" /><Relationship Type="http://schemas.openxmlformats.org/officeDocument/2006/relationships/hyperlink" Target="https://contrataciondelestado.es/FileSystem/servlet/GetDocumentByIdServlet?cifrado=QUC1GjXXSiLkydRHJBmbpw%3D%3D&amp;DocumentIdParam=GvOio/sIQMyHoIv4f1gWQDH0TqW%2BZv2HfEpMI36qhA6Xe8gHVT5gR%2BtKQi9H5j8sdTmt%2BUq704%2BoAznv/vwNIxEOgWozxtUmAJyMUyU6Hxh45ClyWkoJ44mKM70IFcOu" TargetMode="External" Id="rId2231" /><Relationship Type="http://schemas.openxmlformats.org/officeDocument/2006/relationships/hyperlink" Target="https://contrataciondelestado.es/wps/poc?uri=deeplink:detalle_licitacion&amp;idEvl=hIqwJpV3W4rCfVQHDepjGQ%3D%3D" TargetMode="External" Id="rId2232" /><Relationship Type="http://schemas.openxmlformats.org/officeDocument/2006/relationships/hyperlink" Target="https://contrataciondelestado.es/FileSystem/servlet/GetDocumentByIdServlet?cifrado=QUC1GjXXSiLkydRHJBmbpw%3D%3D&amp;DocumentIdParam=aP1qg2GCmMg/ap/3ml8xW%2BvzEbdW1oEn%2B4IMpb3tF5U4YBqCpB4oYpwll%2BGiQFKGkJrymAEPZ55GQRgSvRD/4bamiko82N8xtfyIc5EQk9%2B1aXEvq3KHa/AEHgtDrQw0" TargetMode="External" Id="rId2233" /><Relationship Type="http://schemas.openxmlformats.org/officeDocument/2006/relationships/hyperlink" Target="https://contrataciondelestado.es/wps/poc?uri=deeplink:detalle_licitacion&amp;idEvl=YmdCOi9L%2BOGGCFcHcNGIlQ%3D%3D" TargetMode="External" Id="rId2234" /><Relationship Type="http://schemas.openxmlformats.org/officeDocument/2006/relationships/hyperlink" Target="https://contrataciondelestado.es/FileSystem/servlet/GetDocumentByIdServlet?cifrado=QUC1GjXXSiLkydRHJBmbpw%3D%3D&amp;DocumentIdParam=4evTGkTXH4O6ZeT9odNBGE12lmKP%2BxHioxOKVkKMJdaUCdqGCR6MMoxhhAxEN2GpCSdE7Z2kys5roUd80P%2BZniMiUFp6DkZnwRlODkHN1f/3GVhXrFFqN7yFncy7YfRK" TargetMode="External" Id="rId2235" /><Relationship Type="http://schemas.openxmlformats.org/officeDocument/2006/relationships/hyperlink" Target="https://contrataciondelestado.es/wps/poc?uri=deeplink:detalle_licitacion&amp;idEvl=pnt3afb7EjRrSd8H4b2soA%3D%3D" TargetMode="External" Id="rId2236" /><Relationship Type="http://schemas.openxmlformats.org/officeDocument/2006/relationships/hyperlink" Target="https://contrataciondelestado.es/FileSystem/servlet/GetDocumentByIdServlet?cifrado=QUC1GjXXSiLkydRHJBmbpw%3D%3D&amp;DocumentIdParam=ZkUA4jKTv3GbDBhaFS3N0oV3rMBhqe68wdV2BK3iajs0vzeDTzhcTHNO6UqI2P/UPeAt%2BYgBPO%2BzQkdhYlB%2BMRY3/fLO%2BlZd/vsjEptDelPDdQD9RyhUmzT4jZ2In4zL" TargetMode="External" Id="rId2237" /><Relationship Type="http://schemas.openxmlformats.org/officeDocument/2006/relationships/hyperlink" Target="https://contrataciondelestado.es/wps/poc?uri=deeplink:detalle_licitacion&amp;idEvl=50BvjyQwpB9Vq4S9zvaQpQ%3D%3D" TargetMode="External" Id="rId2238" /><Relationship Type="http://schemas.openxmlformats.org/officeDocument/2006/relationships/hyperlink" Target="https://contrataciondelestado.es/FileSystem/servlet/GetDocumentByIdServlet?cifrado=QUC1GjXXSiLkydRHJBmbpw%3D%3D&amp;DocumentIdParam=7EthrW6SZ1C11/z1ug79pyYHEFFrrr%2BU/yiWgBX7gbycDLMzI5QTaJJ2SWVuS/BCrJpcBbEW7jFywAR2NfBR6Q5FMWDwpWudVqz8g2jy1VaCx2e6p7hqtlp2aFupgHMr" TargetMode="External" Id="rId2239" /><Relationship Type="http://schemas.openxmlformats.org/officeDocument/2006/relationships/hyperlink" Target="https://contrataciondelestado.es/wps/poc?uri=deeplink:detalle_licitacion&amp;idEvl=Hg1cXZCt5j5%2BF6L2uCfUWg%3D%3D" TargetMode="External" Id="rId2240" /><Relationship Type="http://schemas.openxmlformats.org/officeDocument/2006/relationships/hyperlink" Target="https://contrataciondelestado.es/FileSystem/servlet/GetDocumentByIdServlet?cifrado=QUC1GjXXSiLkydRHJBmbpw%3D%3D&amp;DocumentIdParam=HZ6KcV1Hp1olRrk3jczQ4xsu33T009%2BmZCKy5ccivYwRt2muHzY9aayBJsN5GXMMy9evM6YGAyr19%2BwKfvsE3gliakq5l8HHVu%2B48sS7xMyHAj0WEJrB5sP7amrh2jBD" TargetMode="External" Id="rId2241" /><Relationship Type="http://schemas.openxmlformats.org/officeDocument/2006/relationships/hyperlink" Target="https://contrataciondelestado.es/wps/poc?uri=deeplink:detalle_licitacion&amp;idEvl=Gj%2Fj8nxrMctq1DdmE7eaXg%3D%3D" TargetMode="External" Id="rId2242" /><Relationship Type="http://schemas.openxmlformats.org/officeDocument/2006/relationships/hyperlink" Target="https://contrataciondelestado.es/FileSystem/servlet/GetDocumentByIdServlet?cifrado=QUC1GjXXSiLkydRHJBmbpw%3D%3D&amp;DocumentIdParam=7o5nqgrGKD60SGDVMeqclqO6%2BW1zTdtrhxtwG/ameLYscez0SfFVu3eCO9rCOueORRp7uIq0wLWTdNXbEVMSoRFBbox3jRU4sN5pvv1tR7YC1/zDIE0Kw/PWNnLS0Z0z" TargetMode="External" Id="rId2243" /><Relationship Type="http://schemas.openxmlformats.org/officeDocument/2006/relationships/hyperlink" Target="https://contrataciondelestado.es/wps/poc?uri=deeplink:detalle_licitacion&amp;idEvl=ZQzoD5bPI5bXOjazN1Dw9Q%3D%3D" TargetMode="External" Id="rId2244" /><Relationship Type="http://schemas.openxmlformats.org/officeDocument/2006/relationships/hyperlink" Target="https://contrataciondelestado.es/FileSystem/servlet/GetDocumentByIdServlet?cifrado=QUC1GjXXSiLkydRHJBmbpw%3D%3D&amp;DocumentIdParam=lPC5hPSrU88j47FyZXXQvOYbLTWKTQZFwUDO5te0ZoIBZ7aUpFeyNz9lpaJ3XYqVh5qXxV4us9z%2BwYx2lj/59Kl4TDBL02TdgkJt%2BnFgwn4C1/zDIE0Kw/PWNnLS0Z0z" TargetMode="External" Id="rId2245" /><Relationship Type="http://schemas.openxmlformats.org/officeDocument/2006/relationships/hyperlink" Target="https://contrataciondelestado.es/wps/poc?uri=deeplink:detalle_licitacion&amp;idEvl=5DOY5hh8UKykU02jNGj1Fw%3D%3D" TargetMode="External" Id="rId2246" /><Relationship Type="http://schemas.openxmlformats.org/officeDocument/2006/relationships/hyperlink" Target="https://contrataciondelestado.es/FileSystem/servlet/GetDocumentByIdServlet?DocumentIdParam=WeLyR9Id6s9TCoG6Mg%2B4PbuVVCCCN8wmnT8LC6X2PGdOEcGi3Fo2Vod4B3kNYZxCE2Hwq4Geh2MGUfi7GR3EEGdWY9MEGBYevIGjkE/muHAZyAJWGsSt0OzTSTyw9JAs&amp;cifrado=QUC1GjXXSiLkydRHJBmbpw%3D%3D" TargetMode="External" Id="rId2247" /><Relationship Type="http://schemas.openxmlformats.org/officeDocument/2006/relationships/hyperlink" Target="https://contrataciondelestado.es/wps/poc?uri=deeplink:detalle_licitacion&amp;idEvl=3EVC%2Bw16IsAkJPJS%2BPS9vg%3D%3D" TargetMode="External" Id="rId2248" /><Relationship Type="http://schemas.openxmlformats.org/officeDocument/2006/relationships/hyperlink" Target="https://contrataciondelestado.es/FileSystem/servlet/GetDocumentByIdServlet?cifrado=QUC1GjXXSiLkydRHJBmbpw%3D%3D&amp;DocumentIdParam=5X7lOCvKPCoakYpRSS3I3aOeS8ZeAqVBWLbumUXXW7nMOUBMYbRC9ROvDL0getqRKGg2cLFTi%2BFRPFl1GkNL1VHfXtYXiywTNCU1W3w/9kq1aXEvq3KHa/AEHgtDrQw0" TargetMode="External" Id="rId2249" /><Relationship Type="http://schemas.openxmlformats.org/officeDocument/2006/relationships/hyperlink" Target="https://contrataciondelestado.es/wps/poc?uri=deeplink:detalle_licitacion&amp;idEvl=bHwjzkCQ6e%2BIzo3LHNPGcQ%3D%3D" TargetMode="External" Id="rId2250" /><Relationship Type="http://schemas.openxmlformats.org/officeDocument/2006/relationships/hyperlink" Target="https://contrataciondelestado.es/FileSystem/servlet/GetDocumentByIdServlet?cifrado=QUC1GjXXSiLkydRHJBmbpw%3D%3D&amp;DocumentIdParam=qV2NcXxNqv0VAPMj%2BHSPInd4CsKdolsq06Zp9Nustup0vtHD/Aq%2Bjo5rk94d0WKXV1xfrcb4CTFNzAgNtE8erJecwVnAB4dndhJ%2BfspOwD4//q7NB2iMZvNyf0xrJmjt" TargetMode="External" Id="rId2251" /><Relationship Type="http://schemas.openxmlformats.org/officeDocument/2006/relationships/hyperlink" Target="https://contrataciondelestado.es/wps/poc?uri=deeplink:detalle_licitacion&amp;idEvl=FU3l0XS47RU2wEhQbcAqug%3D%3D" TargetMode="External" Id="rId2252" /><Relationship Type="http://schemas.openxmlformats.org/officeDocument/2006/relationships/hyperlink" Target="https://contrataciondelestado.es/FileSystem/servlet/GetDocumentByIdServlet?cifrado=QUC1GjXXSiLkydRHJBmbpw%3D%3D&amp;DocumentIdParam=EHf5r/ELUUgJYsfMoY1yzVIZ5PS%2BaPKG01VniEEVDOgL0ewoaVlhqp7QPn4tjLwDnQbPE4/Zewadi4VLbU9pW9ZwQLq/N0oMXiSq9JrY1smCx2e6p7hqtlp2aFupgHMr" TargetMode="External" Id="rId2253" /><Relationship Type="http://schemas.openxmlformats.org/officeDocument/2006/relationships/hyperlink" Target="https://contrataciondelestado.es/wps/poc?uri=deeplink:detalle_licitacion&amp;idEvl=LyLLwR2wOmA4NavIWzMcHA%3D%3D" TargetMode="External" Id="rId2254" /><Relationship Type="http://schemas.openxmlformats.org/officeDocument/2006/relationships/hyperlink" Target="https://contrataciondelestado.es/FileSystem/servlet/GetDocumentByIdServlet?cifrado=QUC1GjXXSiLkydRHJBmbpw%3D%3D&amp;DocumentIdParam=648IKg2gDnqoPJpzw8QIBklnB1i%2BVx/YpEbqjJIo07hhiJw1xiPr2GNTAvs6n0B38PJx6FMTAe61HSZbXYw%2Bt0DPrQs21FLHRi91IxOfXtJJOVDbGCDM%2BMigrvuVS7Rv" TargetMode="External" Id="rId2255" /><Relationship Type="http://schemas.openxmlformats.org/officeDocument/2006/relationships/hyperlink" Target="https://contrataciondelestado.es/wps/poc?uri=deeplink:detalle_licitacion&amp;idEvl=1OL531dJSsfLIx6q1oPaMg%3D%3D" TargetMode="External" Id="rId2256" /><Relationship Type="http://schemas.openxmlformats.org/officeDocument/2006/relationships/hyperlink" Target="https://contrataciondelestado.es/FileSystem/servlet/GetDocumentByIdServlet?cifrado=QUC1GjXXSiLkydRHJBmbpw%3D%3D&amp;DocumentIdParam=qjSaYjKxYNXxYhXF61BOTZv4DFtGt77AAOIrWuUxVNou2XRN9zuEmtA71rDtCfGgK/mOFISrQRsD6s6NqR96tPtJCUNs9Y5N8ISl2udyiXa1aXEvq3KHa/AEHgtDrQw0" TargetMode="External" Id="rId2257" /><Relationship Type="http://schemas.openxmlformats.org/officeDocument/2006/relationships/hyperlink" Target="https://contrataciondelestado.es/wps/poc?uri=deeplink:detalle_licitacion&amp;idEvl=ZEF%2BNv71%2FcXN3k3tjedSGw%3D%3D" TargetMode="External" Id="rId2258" /><Relationship Type="http://schemas.openxmlformats.org/officeDocument/2006/relationships/hyperlink" Target="https://contrataciondelestado.es/FileSystem/servlet/GetDocumentByIdServlet?DocumentIdParam=SlPk%2B1tf53BD0wmaavFCj8H88WLgcILhbBacSszH6k2iOxkPOYhFYxrU/m4COXEE/1RMRO9/CTAMvYO18f14PHUeOk%2BAWPFXvQ1RCRzqjR5t/o8fNevwsujgRzaBbugn&amp;cifrado=QUC1GjXXSiLkydRHJBmbpw%3D%3D" TargetMode="External" Id="rId2259" /><Relationship Type="http://schemas.openxmlformats.org/officeDocument/2006/relationships/hyperlink" Target="https://contrataciondelestado.es/wps/poc?uri=deeplink:detalle_licitacion&amp;idEvl=n8WInzjdL2PLIx6q1oPaMg%3D%3D" TargetMode="External" Id="rId2260" /><Relationship Type="http://schemas.openxmlformats.org/officeDocument/2006/relationships/hyperlink" Target="https://contrataciondelestado.es/FileSystem/servlet/GetDocumentByIdServlet?cifrado=QUC1GjXXSiLkydRHJBmbpw%3D%3D&amp;DocumentIdParam=ZIlGc4i5d%2B542CcdiuQGQ6/PqZWsCq1v1rfdCB0Qgi3c7n2WEExNueDUG0nV013gzP8ShVw/jag03tci6fEH4FC4IOnOaOon1IwqVCcWYMm1aXEvq3KHa/AEHgtDrQw0" TargetMode="External" Id="rId2261" /><Relationship Type="http://schemas.openxmlformats.org/officeDocument/2006/relationships/hyperlink" Target="https://contrataciondelestado.es/wps/poc?uri=deeplink:detalle_licitacion&amp;idEvl=TqNW%2FPxNacE7%2B9FIQYNjeQ%3D%3D" TargetMode="External" Id="rId2262" /><Relationship Type="http://schemas.openxmlformats.org/officeDocument/2006/relationships/hyperlink" Target="https://contrataciondelestado.es/FileSystem/servlet/GetDocumentByIdServlet?cifrado=QUC1GjXXSiLkydRHJBmbpw%3D%3D&amp;DocumentIdParam=2WJUbN%2BTHl4snvKetqNDptG1duQONb7GKKbZXjsthztSB2XCvMPF9pKLyu3MVWYpM0NxRzCnGywE1YwFmP9vg9QM6bWmooJymCtrQFT1vxX6CYyL7SIrUOBFfNf52ZqA" TargetMode="External" Id="rId2263" /><Relationship Type="http://schemas.openxmlformats.org/officeDocument/2006/relationships/hyperlink" Target="https://contrataciondelestado.es/wps/poc?uri=deeplink:detalle_licitacion&amp;idEvl=lZm5mMPSh1aS81gZFETWmA%3D%3D" TargetMode="External" Id="rId2264" /><Relationship Type="http://schemas.openxmlformats.org/officeDocument/2006/relationships/hyperlink" Target="https://contrataciondelestado.es/FileSystem/servlet/GetDocumentByIdServlet?cifrado=QUC1GjXXSiLkydRHJBmbpw%3D%3D&amp;DocumentIdParam=DDbQ9KJRqT/PtT6jOkQOZ%2BUXwqXOvPn3xB%2BSO9bwHIL1Kmei80gTk5f2V8XJNk98EmHdOs1NvJ2u2W%2BV9EBTTr2zqmKQGQ1YLiFBcWYvEhf6CYyL7SIrUOBFfNf52ZqA" TargetMode="External" Id="rId2265" /><Relationship Type="http://schemas.openxmlformats.org/officeDocument/2006/relationships/hyperlink" Target="https://contrataciondelestado.es/wps/poc?uri=deeplink:detalle_licitacion&amp;idEvl=kFvRLFr3b0%2FECtSnloz%2BZQ%3D%3D" TargetMode="External" Id="rId2266" /><Relationship Type="http://schemas.openxmlformats.org/officeDocument/2006/relationships/hyperlink" Target="https://contrataciondelestado.es/FileSystem/servlet/GetDocumentByIdServlet?cifrado=QUC1GjXXSiLkydRHJBmbpw%3D%3D&amp;DocumentIdParam=XbT7T/NcV4evzrloWtDXf0ApbqZC9fDLCerSL3Rwv/eWR5%2BO%2BZpVXlEwF/Rjj/5s0JFkWJHuDUTLthg44va9259/OfRFCUrooo3eGx%2BanSb3GVhXrFFqN7yFncy7YfRK" TargetMode="External" Id="rId2267" /><Relationship Type="http://schemas.openxmlformats.org/officeDocument/2006/relationships/hyperlink" Target="https://contrataciondelestado.es/wps/poc?uri=deeplink:detalle_licitacion&amp;idEvl=5jtdhiVzeprN3k3tjedSGw%3D%3D" TargetMode="External" Id="rId2268" /><Relationship Type="http://schemas.openxmlformats.org/officeDocument/2006/relationships/hyperlink" Target="https://contrataciondelestado.es/FileSystem/servlet/GetDocumentByIdServlet?cifrado=QUC1GjXXSiLkydRHJBmbpw%3D%3D&amp;DocumentIdParam=dukR42F0Q0IGYpoBq1SxA3yMRfVXEMOhk%2BG7KGOQA5%2BTRkVy99YcKrmTm2nbXt0h3DWROX6493xPixYfwylh4GHKSZLMpqMEfhJAg6JNU/73GVhXrFFqN7yFncy7YfRK" TargetMode="External" Id="rId2269" /><Relationship Type="http://schemas.openxmlformats.org/officeDocument/2006/relationships/hyperlink" Target="https://contrataciondelestado.es/wps/poc?uri=deeplink:detalle_licitacion&amp;idEvl=LFWbhewS5yT5Rey58Yagpg%3D%3D" TargetMode="External" Id="rId2270" /><Relationship Type="http://schemas.openxmlformats.org/officeDocument/2006/relationships/hyperlink" Target="https://contrataciondelestado.es/FileSystem/servlet/GetDocumentByIdServlet?cifrado=QUC1GjXXSiLkydRHJBmbpw%3D%3D&amp;DocumentIdParam=GRzyl4UMABZEOQwJjhOXCBxJBUmk/z1x%2BlfAlmrxqud1A3wXpZykpRNQkEPFVkGvp1X6jKGBEmfoVmhK1y0B6s%2BA6PEzUt8dLYRBaZTFK6p45ClyWkoJ44mKM70IFcOu" TargetMode="External" Id="rId2271" /><Relationship Type="http://schemas.openxmlformats.org/officeDocument/2006/relationships/hyperlink" Target="https://contrataciondelestado.es/wps/poc?uri=deeplink:detalle_licitacion&amp;idEvl=H93RFF9%2F2dlq1DdmE7eaXg%3D%3D" TargetMode="External" Id="rId2272" /><Relationship Type="http://schemas.openxmlformats.org/officeDocument/2006/relationships/hyperlink" Target="https://contrataciondelestado.es/FileSystem/servlet/GetDocumentByIdServlet?cifrado=QUC1GjXXSiLkydRHJBmbpw%3D%3D&amp;DocumentIdParam=CAI6Ufe7NPY3HelkQ2blyvIoC4ahbZaABn7b2Orxsi7PHk3OrmPEWosBcGNZKprfxxwAKLDBBCU8y78Qnt76MPhLjKcoNyE1qL3E8kpzW4AC1/zDIE0Kw/PWNnLS0Z0z" TargetMode="External" Id="rId2273" /><Relationship Type="http://schemas.openxmlformats.org/officeDocument/2006/relationships/hyperlink" Target="https://contrataciondelestado.es/wps/poc?uri=deeplink:detalle_licitacion&amp;idEvl=7tNpshwHz2wtm4eBPtV6eQ%3D%3D" TargetMode="External" Id="rId2274" /><Relationship Type="http://schemas.openxmlformats.org/officeDocument/2006/relationships/hyperlink" Target="https://contrataciondelestado.es/FileSystem/servlet/GetDocumentByIdServlet?cifrado=QUC1GjXXSiLkydRHJBmbpw%3D%3D&amp;DocumentIdParam=omdxRB9FC2MwpQcypY5WQgErNy/BnUGs6g1vrTgWhIEJ8ublg2SXayTHofdrMtDTuoedCkZNyYvk77MjtMCZPmf5p2qgBTOr380f4UpjpnAC1/zDIE0Kw/PWNnLS0Z0z" TargetMode="External" Id="rId2275" /><Relationship Type="http://schemas.openxmlformats.org/officeDocument/2006/relationships/hyperlink" Target="https://contrataciondelestado.es/wps/poc?uri=deeplink:detalle_licitacion&amp;idEvl=sTHGcLcWlaCOUi78BmzhOQ%3D%3D" TargetMode="External" Id="rId2276" /><Relationship Type="http://schemas.openxmlformats.org/officeDocument/2006/relationships/hyperlink" Target="https://contrataciondelestado.es/FileSystem/servlet/GetDocumentByIdServlet?cifrado=QUC1GjXXSiLkydRHJBmbpw%3D%3D&amp;DocumentIdParam=xr5EjQIYf7zRQAyWylEz21BpJ5AAGoYtM4srPehb62MHmgNP89FYPFr5iGz85QBRrJLx63oWPQHnbhIP9xj2FYX/3CsKCxt9NQuch2UmgT61aXEvq3KHa/AEHgtDrQw0" TargetMode="External" Id="rId2277" /><Relationship Type="http://schemas.openxmlformats.org/officeDocument/2006/relationships/hyperlink" Target="https://contrataciondelestado.es/wps/poc?uri=deeplink:detalle_licitacion&amp;idEvl=J0O%2B9zWkNfeKeVWTb9Scog%3D%3D" TargetMode="External" Id="rId2278" /><Relationship Type="http://schemas.openxmlformats.org/officeDocument/2006/relationships/hyperlink" Target="https://contrataciondelestado.es/FileSystem/servlet/GetDocumentByIdServlet?cifrado=QUC1GjXXSiLkydRHJBmbpw%3D%3D&amp;DocumentIdParam=tdVEjGO9ZX5azg0inUeo/k1EJDrY/nNc7xRlI2WZkxMWBYrufZFe9fnynTzYI/zxZln5TUC2dRp6cjriB4GVrzfzdkeJcji5IPMFBTFTZRe1aXEvq3KHa/AEHgtDrQw0" TargetMode="External" Id="rId2279" /><Relationship Type="http://schemas.openxmlformats.org/officeDocument/2006/relationships/hyperlink" Target="https://contrataciondelestado.es/wps/poc?uri=deeplink:detalle_licitacion&amp;idEvl=a7e7k8jIjMzLIx6q1oPaMg%3D%3D" TargetMode="External" Id="rId2280" /><Relationship Type="http://schemas.openxmlformats.org/officeDocument/2006/relationships/hyperlink" Target="https://contrataciondelestado.es/FileSystem/servlet/GetDocumentByIdServlet?cifrado=QUC1GjXXSiLkydRHJBmbpw%3D%3D&amp;DocumentIdParam=fWh/oFEtvOL4fshOilgm6KLBBY22ed7V6ZdBsX3jcB3zQfBQ6rRsTpFC21ImlkUgCpXkJWjxwjJdQeiwH9ma2eaS0awAnwFN7oED4Wnw1j61aXEvq3KHa/AEHgtDrQw0" TargetMode="External" Id="rId2281" /><Relationship Type="http://schemas.openxmlformats.org/officeDocument/2006/relationships/hyperlink" Target="https://contrataciondelestado.es/wps/poc?uri=deeplink:detalle_licitacion&amp;idEvl=geaWBSdXhc%2B9Hd5zqvq9cg%3D%3D" TargetMode="External" Id="rId2282" /><Relationship Type="http://schemas.openxmlformats.org/officeDocument/2006/relationships/hyperlink" Target="https://contrataciondelestado.es/FileSystem/servlet/GetDocumentByIdServlet?cifrado=QUC1GjXXSiLkydRHJBmbpw%3D%3D&amp;DocumentIdParam=0HmXqVb8aJWKG%2BYX9VjsGunr0iMLOlCPOcK2ELef4dAEjCND/hgpzTva1gCSjhtGRDyUP0MVPQmpHC2H0ryusMxgzUwvqTJUhDwXWrofZA%2BCx2e6p7hqtlp2aFupgHMr" TargetMode="External" Id="rId2283" /><Relationship Type="http://schemas.openxmlformats.org/officeDocument/2006/relationships/hyperlink" Target="https://contrataciondelestado.es/wps/poc?uri=deeplink:detalle_licitacion&amp;idEvl=Qbzjcewh68hQFSeKCRun4Q%3D%3D" TargetMode="External" Id="rId2284" /><Relationship Type="http://schemas.openxmlformats.org/officeDocument/2006/relationships/hyperlink" Target="https://contrataciondelestado.es/wps/poc?uri=deeplink:detalle_licitacion&amp;idEvl=oVrjEuSAJ%2Ftt5r0ngvMetA%3D%3D" TargetMode="External" Id="rId2285" /><Relationship Type="http://schemas.openxmlformats.org/officeDocument/2006/relationships/hyperlink" Target="https://contrataciondelestado.es/FileSystem/servlet/GetDocumentByIdServlet?cifrado=QUC1GjXXSiLkydRHJBmbpw%3D%3D&amp;DocumentIdParam=DFCYUgBjCWKG/EBkv65eMgG8oe5WIoUetf79S3L710tWaLP/uRvGQAorrR/gOWm851iZG2ZSHpSSaxpoHhhSs5mPW/bkboqvNOduNT4Y6mo//q7NB2iMZvNyf0xrJmjt" TargetMode="External" Id="rId2286" /><Relationship Type="http://schemas.openxmlformats.org/officeDocument/2006/relationships/hyperlink" Target="https://contrataciondelestado.es/wps/poc?uri=deeplink:detalle_licitacion&amp;idEvl=%2FVjxxFcy5JHN3k3tjedSGw%3D%3D" TargetMode="External" Id="rId2287" /><Relationship Type="http://schemas.openxmlformats.org/officeDocument/2006/relationships/hyperlink" Target="https://contrataciondelestado.es/FileSystem/servlet/GetDocumentByIdServlet?cifrado=QUC1GjXXSiLkydRHJBmbpw%3D%3D&amp;DocumentIdParam=TdEdQ8mATOU0EyplisrlMmKr9s4%2BoNFH92y8oPaIJV3xLIrx6t4G6sd85fxy1wvADwoQH3RlF%2BCDxBSzidQQWQHqs%2BXZo/W4%2BA5Ji6KbZHgZyAJWGsSt0OzTSTyw9JAs" TargetMode="External" Id="rId2288" /><Relationship Type="http://schemas.openxmlformats.org/officeDocument/2006/relationships/hyperlink" Target="https://contrataciondelestado.es/wps/poc?uri=deeplink:detalle_licitacion&amp;idEvl=FviNQSTAAGnnSoTX3z%2F7wA%3D%3D" TargetMode="External" Id="rId2289" /><Relationship Type="http://schemas.openxmlformats.org/officeDocument/2006/relationships/hyperlink" Target="https://contrataciondelestado.es/wps/wcm/connect/PLACE_es/Site/area/docAccCmpnt?srv=cmpnt&amp;cmpntname=GetDocumentsById&amp;source=library&amp;DocumentIdParam=4d0e4061-f6be-42a4-900b-d8762119a79f" TargetMode="External" Id="rId2290" /><Relationship Type="http://schemas.openxmlformats.org/officeDocument/2006/relationships/hyperlink" Target="https://contrataciondelestado.es/wps/poc?uri=deeplink:detalle_licitacion&amp;idEvl=%2BidhNo8LY3CFlFRHfEzEaw%3D%3D" TargetMode="External" Id="rId2291" /><Relationship Type="http://schemas.openxmlformats.org/officeDocument/2006/relationships/hyperlink" Target="https://contrataciondelestado.es/FileSystem/servlet/GetDocumentByIdServlet?cifrado=QUC1GjXXSiLkydRHJBmbpw%3D%3D&amp;DocumentIdParam=qljKrMEFsyA7ZXhHWl0EXqNMbZX0swXNnBjBVhPqYri9/TktwjBem2c7zghc4tVSJhC2iR/AqUsQx14by2kc%2BXe1zDnxwTJLFSC0y5oOJACHAj0WEJrB5sP7amrh2jBD" TargetMode="External" Id="rId2292" /><Relationship Type="http://schemas.openxmlformats.org/officeDocument/2006/relationships/hyperlink" Target="https://contrataciondelestado.es/wps/poc?uri=deeplink:detalle_licitacion&amp;idEvl=JO9W0DSqCNzLIx6q1oPaMg%3D%3D" TargetMode="External" Id="rId2293" /><Relationship Type="http://schemas.openxmlformats.org/officeDocument/2006/relationships/hyperlink" Target="https://contrataciondelestado.es/FileSystem/servlet/GetDocumentByIdServlet?cifrado=QUC1GjXXSiLkydRHJBmbpw%3D%3D&amp;DocumentIdParam=fH9pDb7k5GgatnYKp64ChA9Z9ZQn/ZK4807jmZhY4gBwzx0YxpyYzyJb0hd2Pd8iXyxRcjCfF7MYK2UbO0R%2BZLsbfhKpMPtNHuGAGwKsCdrfdyQgZAdTm3EfcUAC7CJ6" TargetMode="External" Id="rId2294" /><Relationship Type="http://schemas.openxmlformats.org/officeDocument/2006/relationships/hyperlink" Target="https://contrataciondelestado.es/wps/poc?uri=deeplink:detalle_licitacion&amp;idEvl=vS4JbbcN12wXhk1FZxEyvw%3D%3D" TargetMode="External" Id="rId2295" /><Relationship Type="http://schemas.openxmlformats.org/officeDocument/2006/relationships/hyperlink" Target="https://contrataciondelestado.es/FileSystem/servlet/GetDocumentByIdServlet?cifrado=QUC1GjXXSiLkydRHJBmbpw%3D%3D&amp;DocumentIdParam=%2BGdwto51xHGoWagwVyb9Ne3QMcatdQ7ugKYrpZI1Qb4fvgTOA1VXak0ZNB5UggMsoQoM%2BEEGY4ilWJ0hdEULjYLey%2BSDV2ya3OKiSFHlbtP3GVhXrFFqN7yFncy7YfRK" TargetMode="External" Id="rId2296" /><Relationship Type="http://schemas.openxmlformats.org/officeDocument/2006/relationships/hyperlink" Target="https://contrataciondelestado.es/wps/poc?uri=deeplink:detalle_licitacion&amp;idEvl=mf1bc4aRDXnLIx6q1oPaMg%3D%3D" TargetMode="External" Id="rId2297" /><Relationship Type="http://schemas.openxmlformats.org/officeDocument/2006/relationships/hyperlink" Target="https://contrataciondelestado.es/FileSystem/servlet/GetDocumentByIdServlet?cifrado=QUC1GjXXSiLkydRHJBmbpw%3D%3D&amp;DocumentIdParam=%2BER9qi0fXzMidwT7fsQh7t/Nnd8RuyHuBguTw937Jp6Bck8IlmSesHvisz/mRmact/4KFI1LbwbzoDXB6bIaATXfzG7mLbiw2Aqj06nuxofVTD3T98KC0nSgQFM0q%2B5s" TargetMode="External" Id="rId2298" /><Relationship Type="http://schemas.openxmlformats.org/officeDocument/2006/relationships/hyperlink" Target="https://contrataciondelestado.es/wps/poc?uri=deeplink:detalle_licitacion&amp;idEvl=yd3JTkTpYtZ9PLkba5eRog%3D%3D" TargetMode="External" Id="rId2299" /><Relationship Type="http://schemas.openxmlformats.org/officeDocument/2006/relationships/hyperlink" Target="https://contrataciondelestado.es/FileSystem/servlet/GetDocumentByIdServlet?cifrado=QUC1GjXXSiLkydRHJBmbpw%3D%3D&amp;DocumentIdParam=HQm2unoulnvXPgjAkH64iIfBQcNI1Gs3tnWmaXWb/IH1e67in74o725mVfCgWUs85s5Jg6BYBpTv/xyhScqjyuPgaHFGB4q1nlKNut6PxPZ45ClyWkoJ44mKM70IFcOu" TargetMode="External" Id="rId2300" /><Relationship Type="http://schemas.openxmlformats.org/officeDocument/2006/relationships/hyperlink" Target="https://contrataciondelestado.es/wps/poc?uri=deeplink:detalle_licitacion&amp;idEvl=8ITqUJEHCxJPpzdqOdhuWg%3D%3D" TargetMode="External" Id="rId2301" /><Relationship Type="http://schemas.openxmlformats.org/officeDocument/2006/relationships/hyperlink" Target="https://contrataciondelestado.es/FileSystem/servlet/GetDocumentByIdServlet?cifrado=QUC1GjXXSiLkydRHJBmbpw%3D%3D&amp;DocumentIdParam=TtQgQ3TuxHLvYrRpElkSPEsFYtwY3JRbeNTrXi6/YXqU8fvQdVoQtxgvHIKiXqBwDLeg0y4tUl7rjw5u4JOoVRqjmoZ3ntOhZ8odg0hy7vB45ClyWkoJ44mKM70IFcOu" TargetMode="External" Id="rId2302" /><Relationship Type="http://schemas.openxmlformats.org/officeDocument/2006/relationships/hyperlink" Target="https://contrataciondelestado.es/wps/poc?uri=deeplink:detalle_licitacion&amp;idEvl=hfIYWg3xoL0IYE3ZiZ%2BxmQ%3D%3D" TargetMode="External" Id="rId2303" /><Relationship Type="http://schemas.openxmlformats.org/officeDocument/2006/relationships/hyperlink" Target="https://contrataciondelestado.es/FileSystem/servlet/GetDocumentByIdServlet?cifrado=QUC1GjXXSiLkydRHJBmbpw%3D%3D&amp;DocumentIdParam=S2TpWP5lrkMmABP7SgS73Ul8JxNgctLiywbhnNLv05jKOObXFIVkNvpQXwlHutS8zTG4tD2p%2BFOSeC%2BhpX1/4P4DmGH7wbs0dk%2ByM4iZaSG1aXEvq3KHa/AEHgtDrQw0" TargetMode="External" Id="rId2304" /><Relationship Type="http://schemas.openxmlformats.org/officeDocument/2006/relationships/hyperlink" Target="https://contrataciondelestado.es/wps/poc?uri=deeplink:detalle_licitacion&amp;idEvl=nuUCyza7kdcadbH3CysQuQ%3D%3D" TargetMode="External" Id="rId2305" /><Relationship Type="http://schemas.openxmlformats.org/officeDocument/2006/relationships/hyperlink" Target="https://contrataciondelestado.es/FileSystem/servlet/GetDocumentByIdServlet?cifrado=QUC1GjXXSiLkydRHJBmbpw%3D%3D&amp;DocumentIdParam=R4BI6V1vuivWPzx8JnYY9HhrxiE77YXmYoKdYfRgnMonXvesNrv/64hN273XkvwJI4h%2BT9guwCwl0Tx4xJ4kGVPsCdmSMsD%2B%2B5t5vo210U8//q7NB2iMZvNyf0xrJmjt" TargetMode="External" Id="rId2306" /><Relationship Type="http://schemas.openxmlformats.org/officeDocument/2006/relationships/hyperlink" Target="https://contrataciondelestado.es/wps/poc?uri=deeplink:detalle_licitacion&amp;idEvl=e7iM0rtC49wl5NjlNci%2BtA%3D%3D" TargetMode="External" Id="rId2307" /><Relationship Type="http://schemas.openxmlformats.org/officeDocument/2006/relationships/hyperlink" Target="https://contrataciondelestado.es/FileSystem/servlet/GetDocumentByIdServlet?cifrado=QUC1GjXXSiLkydRHJBmbpw%3D%3D&amp;DocumentIdParam=B2vli8OCFDF0p/nccWXKYzcaJkvmdnZJtJGYaveEZz%2Ba2EWK7g78inWxMNsLf3GHZwRdNg6wMgAdXY5v7AgYmWP8Tol3fUG7EqH2lELFPI5t/o8fNevwsujgRzaBbugn" TargetMode="External" Id="rId2308" /><Relationship Type="http://schemas.openxmlformats.org/officeDocument/2006/relationships/hyperlink" Target="https://contrataciondelestado.es/wps/poc?uri=deeplink:detalle_licitacion&amp;idEvl=OssyHRKD4wSTylGzYmBF9Q%3D%3D" TargetMode="External" Id="rId2309" /><Relationship Type="http://schemas.openxmlformats.org/officeDocument/2006/relationships/hyperlink" Target="https://contrataciondelestado.es/FileSystem/servlet/GetDocumentByIdServlet?cifrado=QUC1GjXXSiLkydRHJBmbpw%3D%3D&amp;DocumentIdParam=n0ufzPGLNe%2BYj/vP/2h/GxNpuO6stTLVs%2BuA4u9SyB8DHgsqKX0f6Vnc6aqhm3p3ywMaHJpAfk1yJ/6UOwWp0353sDkunWvSYr3kpYeOD621aXEvq3KHa/AEHgtDrQw0" TargetMode="External" Id="rId2310" /><Relationship Type="http://schemas.openxmlformats.org/officeDocument/2006/relationships/hyperlink" Target="https://contrataciondelestado.es/wps/poc?uri=deeplink:detalle_licitacion&amp;idEvl=6e7b5NskBwK2gkLQ8TeYKA%3D%3D" TargetMode="External" Id="rId2311" /><Relationship Type="http://schemas.openxmlformats.org/officeDocument/2006/relationships/hyperlink" Target="https://contrataciondelestado.es/FileSystem/servlet/GetDocumentByIdServlet?cifrado=QUC1GjXXSiLkydRHJBmbpw%3D%3D&amp;DocumentIdParam=lMExIRdlbKAsRLe/HnfLpVkVnyy%2Biimo7ckZMU6M1qer6MRVckObRwYzBb3wDakX/e/ft0BfTzR8CcmHEi3g%2BitD/8ODLgZjF%2BcoCOK5mzrVTD3T98KC0nSgQFM0q%2B5s" TargetMode="External" Id="rId2312" /><Relationship Type="http://schemas.openxmlformats.org/officeDocument/2006/relationships/hyperlink" Target="https://contrataciondelestado.es/wps/poc?uri=deeplink:detalle_licitacion&amp;idEvl=MWuKP9IHnhjLIx6q1oPaMg%3D%3D" TargetMode="External" Id="rId2313" /><Relationship Type="http://schemas.openxmlformats.org/officeDocument/2006/relationships/hyperlink" Target="https://contrataciondelestado.es/FileSystem/servlet/GetDocumentByIdServlet?cifrado=QUC1GjXXSiLkydRHJBmbpw%3D%3D&amp;DocumentIdParam=pKon2Sbq15PtOSGFx2eIWkOK4rbmywADPqN7QcPTqYmhqfIOjfQNGWM5Ur7fBch30pP0Il3%2BUNUkOwJxCU3nE%2B7%2BHOqRpplDN20xJtrjgult/o8fNevwsujgRzaBbugn" TargetMode="External" Id="rId2314" /><Relationship Type="http://schemas.openxmlformats.org/officeDocument/2006/relationships/hyperlink" Target="https://contrataciondelestado.es/wps/poc?uri=deeplink:detalle_licitacion&amp;idEvl=HspvsNIRVvIQyBAnWzHfCg%3D%3D" TargetMode="External" Id="rId2315" /><Relationship Type="http://schemas.openxmlformats.org/officeDocument/2006/relationships/hyperlink" Target="https://contrataciondelestado.es/FileSystem/servlet/GetDocumentByIdServlet?cifrado=QUC1GjXXSiLkydRHJBmbpw%3D%3D&amp;DocumentIdParam=Y6ubI3H8qyy9DrtIpwpDyQ4JyKPohws1Jw5bzDBoYUdD6UdyFqjVV6EftzM6HJ0DhoXEeSQjB8tyCW7wCXUUchMnr%2BEwYdwLL1zlCeRegpVt/o8fNevwsujgRzaBbugn" TargetMode="External" Id="rId2316" /><Relationship Type="http://schemas.openxmlformats.org/officeDocument/2006/relationships/hyperlink" Target="https://contrataciondelestado.es/wps/poc?uri=deeplink:detalle_licitacion&amp;idEvl=Tpq1utGtj9J%2FR5QFTlaM4A%3D%3D" TargetMode="External" Id="rId2317" /><Relationship Type="http://schemas.openxmlformats.org/officeDocument/2006/relationships/hyperlink" Target="https://contrataciondelestado.es/FileSystem/servlet/GetDocumentByIdServlet?cifrado=QUC1GjXXSiLkydRHJBmbpw%3D%3D&amp;DocumentIdParam=VXbJPpTZhnpuJzPXCf0VI55y2iUoiLlj0Xd/EIruA8uGB%2BQFtFogsHg8m5rTNb9JpBUjcaCobBdKA1ou4pFePK5yKoRVw0xVTSYpx4qiFyzVTD3T98KC0nSgQFM0q%2B5s" TargetMode="External" Id="rId2318" /><Relationship Type="http://schemas.openxmlformats.org/officeDocument/2006/relationships/hyperlink" Target="https://contrataciondelestado.es/wps/poc?uri=deeplink:detalle_licitacion&amp;idEvl=LjTiPqZ8uMlrSd8H4b2soA%3D%3D" TargetMode="External" Id="rId2319" /><Relationship Type="http://schemas.openxmlformats.org/officeDocument/2006/relationships/hyperlink" Target="https://contrataciondelestado.es/FileSystem/servlet/GetDocumentByIdServlet?cifrado=QUC1GjXXSiLkydRHJBmbpw%3D%3D&amp;DocumentIdParam=VUKqo7OifTj2hf7R%2BSe0yf0ljycDm0AxCwOMbDrOM6QxAnsoOOaiZQoQNOX6nR8L07yzPAAQ6xOEqKCgeTmwxBnH/GRAOeChVywpr%2B/ohgV7QB3HKyQaFUExmUVQCerk" TargetMode="External" Id="rId2320" /><Relationship Type="http://schemas.openxmlformats.org/officeDocument/2006/relationships/hyperlink" Target="https://contrataciondelestado.es/wps/poc?uri=deeplink:detalle_licitacion&amp;idEvl=jrxNsLMcUUw%2B1TMyIiZmzw%3D%3D" TargetMode="External" Id="rId2321" /><Relationship Type="http://schemas.openxmlformats.org/officeDocument/2006/relationships/hyperlink" Target="https://contrataciondelestado.es/FileSystem/servlet/GetDocumentByIdServlet?cifrado=QUC1GjXXSiLkydRHJBmbpw%3D%3D&amp;DocumentIdParam=/k6WLb5rC2dyuyAM839%2BVTyIfnr34BB29YLpKMxp5j53xBqNhO3BAfA85rljKydMrvQQ1Zzexh%2B1UzKNpSsCNJHZ5lOs8hJNi28g/7s6CUb6CYyL7SIrUOBFfNf52ZqA" TargetMode="External" Id="rId2322" /><Relationship Type="http://schemas.openxmlformats.org/officeDocument/2006/relationships/hyperlink" Target="https://contrataciondelestado.es/wps/poc?uri=deeplink:detalle_licitacion&amp;idEvl=pKb9raoHBwrzAq95uGTrDQ%3D%3D" TargetMode="External" Id="rId2323" /><Relationship Type="http://schemas.openxmlformats.org/officeDocument/2006/relationships/hyperlink" Target="https://contrataciondelestado.es/FileSystem/servlet/GetDocumentByIdServlet?cifrado=QUC1GjXXSiLkydRHJBmbpw%3D%3D&amp;DocumentIdParam=C08xJkcnNDeNtpp4ZmmGerM9yDr6UDP%2BcJK0Zdfj9RbIfjyDydXyTgXpEBfp89O9RJlVCMAdvL6on8/nhESBFWbVVWNN6GVfJQnDqF2aGriB0nvVKRzfe4rpHcnlPhSZ" TargetMode="External" Id="rId2324" /><Relationship Type="http://schemas.openxmlformats.org/officeDocument/2006/relationships/hyperlink" Target="https://contrataciondelestado.es/wps/poc?uri=deeplink:detalle_licitacion&amp;idEvl=x%2BtWzaKQRWlVq4S9zvaQpQ%3D%3D" TargetMode="External" Id="rId2325" /><Relationship Type="http://schemas.openxmlformats.org/officeDocument/2006/relationships/hyperlink" Target="https://contrataciondelestado.es/FileSystem/servlet/GetDocumentByIdServlet?cifrado=QUC1GjXXSiLkydRHJBmbpw%3D%3D&amp;DocumentIdParam=cIr5RU0R1EbcbmzwM2EhPSocQx57yrplRj6xnEUqyrBAKv9YjebO8bwPbGMg5mTr/8PIPw2ScZ1pq8KffdXbMyO%2B3QivNpwsVngv9g0KxdV7QB3HKyQaFUExmUVQCerk" TargetMode="External" Id="rId2326" /><Relationship Type="http://schemas.openxmlformats.org/officeDocument/2006/relationships/hyperlink" Target="https://contrataciondelestado.es/wps/poc?uri=deeplink:detalle_licitacion&amp;idEvl=9OqkWFMmntc%2B1TMyIiZmzw%3D%3D" TargetMode="External" Id="rId2327" /><Relationship Type="http://schemas.openxmlformats.org/officeDocument/2006/relationships/hyperlink" Target="https://contrataciondelestado.es/FileSystem/servlet/GetDocumentByIdServlet?cifrado=QUC1GjXXSiLkydRHJBmbpw%3D%3D&amp;DocumentIdParam=EASDRDeESEfuZ0saLmsc/YTo/oqfAX4IywGaSRTRhMySNjX58zHTHrV6xh6AT/Ygtnlnk2dXdb/Q2JyFpFV066jo1jS170VA3pyB1Ehd4Ip45ClyWkoJ44mKM70IFcOu" TargetMode="External" Id="rId2328" /><Relationship Type="http://schemas.openxmlformats.org/officeDocument/2006/relationships/hyperlink" Target="https://contrataciondelestado.es/wps/poc?uri=deeplink:detalle_licitacion&amp;idEvl=D8CBZy0QQT436J9Lctlsuw%3D%3D" TargetMode="External" Id="rId2329" /><Relationship Type="http://schemas.openxmlformats.org/officeDocument/2006/relationships/hyperlink" Target="https://contrataciondelestado.es/FileSystem/servlet/GetDocumentByIdServlet?cifrado=QUC1GjXXSiLkydRHJBmbpw%3D%3D&amp;DocumentIdParam=h8wvjhxW6FK02AMFG8GajGLFMEDeHtDZPiP/eNGU7fLwqZ0O2RetYmLHEVS2DQMqJ22nhKUZUNjW3LOf2GqaPgC6on2bwvFmwTtXuYuAG473GVhXrFFqN7yFncy7YfRK" TargetMode="External" Id="rId2330" /><Relationship Type="http://schemas.openxmlformats.org/officeDocument/2006/relationships/hyperlink" Target="https://contrataciondelestado.es/wps/poc?uri=deeplink:detalle_licitacion&amp;idEvl=PChg%2BCKjFXOOUi78BmzhOQ%3D%3D" TargetMode="External" Id="rId2331" /><Relationship Type="http://schemas.openxmlformats.org/officeDocument/2006/relationships/hyperlink" Target="https://contrataciondelestado.es/FileSystem/servlet/GetDocumentByIdServlet?cifrado=QUC1GjXXSiLkydRHJBmbpw%3D%3D&amp;DocumentIdParam=BAgmsciVN%2BHCGodZ6FBY00y/5xa4iQTevQrt1e6NDeyIL1ETy8swM6FT2aNXFEOzhss83J4NsIffs/oiQ5uc/W6s1sEr/H6mYGOb8iJ%2BeV5t/o8fNevwsujgRzaBbugn" TargetMode="External" Id="rId2332" /><Relationship Type="http://schemas.openxmlformats.org/officeDocument/2006/relationships/hyperlink" Target="https://contrataciondelestado.es/wps/poc?uri=deeplink:detalle_licitacion&amp;idEvl=uAccvpWIHypWhbmkna2nXQ%3D%3D" TargetMode="External" Id="rId2333" /><Relationship Type="http://schemas.openxmlformats.org/officeDocument/2006/relationships/hyperlink" Target="https://contrataciondelestado.es/FileSystem/servlet/GetDocumentByIdServlet?cifrado=QUC1GjXXSiLkydRHJBmbpw%3D%3D&amp;DocumentIdParam=ZVaNcRefYO8aEVqpaXfAn2Pm7T7zLWZGOx8KDvaOS7ek9i86K6VIyU8eJn3eLCEsTCnc%2BTWAkhwrTTF%2BD3kkgqxVyKJjOaHc4TFu8q1xfA/3GVhXrFFqN7yFncy7YfRK" TargetMode="External" Id="rId2334" /><Relationship Type="http://schemas.openxmlformats.org/officeDocument/2006/relationships/hyperlink" Target="https://contrataciondelestado.es/wps/poc?uri=deeplink:detalle_licitacion&amp;idEvl=YlKAwDTQEi%2B2gkLQ8TeYKA%3D%3D" TargetMode="External" Id="rId2335" /><Relationship Type="http://schemas.openxmlformats.org/officeDocument/2006/relationships/hyperlink" Target="https://contrataciondelestado.es/FileSystem/servlet/GetDocumentByIdServlet?cifrado=QUC1GjXXSiLkydRHJBmbpw%3D%3D&amp;DocumentIdParam=Z96kejSL7PtIJOPYDtVt/bB/PVj10MUtiu/2WSF8pgwB9/w1D8mEOeWKQittrljHBx22gZf6ExuPjxEvZmkHastINZpVct9Go/suXfAQ4RX3GVhXrFFqN7yFncy7YfRK" TargetMode="External" Id="rId2336" /><Relationship Type="http://schemas.openxmlformats.org/officeDocument/2006/relationships/hyperlink" Target="https://contrataciondelestado.es/wps/poc?uri=deeplink:detalle_licitacion&amp;idEvl=OZM%2Fp9QKMwIkJPJS%2BPS9vg%3D%3D" TargetMode="External" Id="rId2337" /><Relationship Type="http://schemas.openxmlformats.org/officeDocument/2006/relationships/hyperlink" Target="https://contrataciondelestado.es/FileSystem/servlet/GetDocumentByIdServlet?cifrado=QUC1GjXXSiLkydRHJBmbpw%3D%3D&amp;DocumentIdParam=reuLSwu4nefALtEZYBTiuUHkt0Iz/R9rLDES7l0LMGKeK%2BYRBlj5qyYE32hKKlzJWVWyytcDXnxzZwVbDpMrGZZJFFq0r%2BmXC25QbSugXSNJOVDbGCDM%2BMigrvuVS7Rv" TargetMode="External" Id="rId2338" /><Relationship Type="http://schemas.openxmlformats.org/officeDocument/2006/relationships/hyperlink" Target="https://contrataciondelestado.es/wps/poc?uri=deeplink:detalle_licitacion&amp;idEvl=H6HyKZAUGWY3vLk2DU2Ddg%3D%3D" TargetMode="External" Id="rId2339" /><Relationship Type="http://schemas.openxmlformats.org/officeDocument/2006/relationships/hyperlink" Target="https://contrataciondelestado.es/FileSystem/servlet/GetDocumentByIdServlet?cifrado=QUC1GjXXSiLkydRHJBmbpw%3D%3D&amp;DocumentIdParam=GSpgfLtFv9gUO22Gy2L32RvQD/gSdZdkM6NY4%2Bz6PQa4KeJZxfXOZdnLHN5Bh0kmVOH8YaDCdwskQnf8JsAhhKd3kGt8xKXt5%2BJ3Wr4eCux7QB3HKyQaFUExmUVQCerk" TargetMode="External" Id="rId2340" /><Relationship Type="http://schemas.openxmlformats.org/officeDocument/2006/relationships/hyperlink" Target="https://contrataciondelestado.es/wps/poc?uri=deeplink:detalle_licitacion&amp;idEvl=UIalDUca%2Bwx4zIRvjBVCSw%3D%3D" TargetMode="External" Id="rId2341" /><Relationship Type="http://schemas.openxmlformats.org/officeDocument/2006/relationships/hyperlink" Target="https://contrataciondelestado.es/FileSystem/servlet/GetDocumentByIdServlet?cifrado=QUC1GjXXSiLkydRHJBmbpw%3D%3D&amp;DocumentIdParam=utbGGia6h5KrYEsV6OjAM2SEm3XSg7dbFYgKUbDGsZ/B5C/KtNKsovpsnjaQtdZ/Oa8H8bjsbDNt3hGASSwVN8AkyTPI4/BrAB%2BPFrHwxYEZyAJWGsSt0OzTSTyw9JAs" TargetMode="External" Id="rId2342" /><Relationship Type="http://schemas.openxmlformats.org/officeDocument/2006/relationships/hyperlink" Target="https://contrataciondelestado.es/wps/poc?uri=deeplink:detalle_licitacion&amp;idEvl=R5qiXYufqSctm4eBPtV6eQ%3D%3D" TargetMode="External" Id="rId2343" /><Relationship Type="http://schemas.openxmlformats.org/officeDocument/2006/relationships/hyperlink" Target="https://contrataciondelestado.es/FileSystem/servlet/GetDocumentByIdServlet?cifrado=QUC1GjXXSiLkydRHJBmbpw%3D%3D&amp;DocumentIdParam=a7d20LhEGc8ne33%2BkjR31313H8p9SB9MbGpqRH59FpNnZeiR6Yr3KdDgZJDOyNW7%2BA8jKKOyW8rmSu2KyfS9h0xxAochxb%2BjKqq1mzh/lgvVTD3T98KC0nSgQFM0q%2B5s" TargetMode="External" Id="rId2344" /><Relationship Type="http://schemas.openxmlformats.org/officeDocument/2006/relationships/hyperlink" Target="https://contrataciondelestado.es/wps/poc?uri=deeplink:detalle_licitacion&amp;idEvl=yCzCMVWYJH43vLk2DU2Ddg%3D%3D" TargetMode="External" Id="rId2345" /><Relationship Type="http://schemas.openxmlformats.org/officeDocument/2006/relationships/hyperlink" Target="https://contrataciondelestado.es/wps/poc?uri=deeplink:detalle_licitacion&amp;idEvl=HSWt1mn1KSgQyBAnWzHfCg%3D%3D" TargetMode="External" Id="rId2346" /><Relationship Type="http://schemas.openxmlformats.org/officeDocument/2006/relationships/hyperlink" Target="https://contrataciondelestado.es/FileSystem/servlet/GetDocumentByIdServlet?cifrado=QUC1GjXXSiLkydRHJBmbpw%3D%3D&amp;DocumentIdParam=1kv5DRPGKqfD2uI4IQV3UZrxfbaBm07Uc5quZ8QW1DsbIloR26LQ2Sg/jdfo1G2jb6ms3RueU11/oW4/L%2BHaEr4wrvY/fvTrWcbR8gLiwCpt/o8fNevwsujgRzaBbugn" TargetMode="External" Id="rId2347" /><Relationship Type="http://schemas.openxmlformats.org/officeDocument/2006/relationships/hyperlink" Target="https://contrataciondelestado.es/wps/poc?uri=deeplink:detalle_licitacion&amp;idEvl=Fb7D6oScwJOFlFRHfEzEaw%3D%3D" TargetMode="External" Id="rId2348" /><Relationship Type="http://schemas.openxmlformats.org/officeDocument/2006/relationships/hyperlink" Target="https://contrataciondelestado.es/FileSystem/servlet/GetDocumentByIdServlet?cifrado=QUC1GjXXSiLkydRHJBmbpw%3D%3D&amp;DocumentIdParam=pvM0o4FUAeB3TyN1q370l6Czyg2nwm1KXONcZJEJUjVmbSYSIbBjAS8U5cHty8jbfG9TOYb3pDbAqLz9O7vVDoLRnnhkVI8j1LF2Jxg96XnDdQD9RyhUmzT4jZ2In4zL" TargetMode="External" Id="rId2349" /><Relationship Type="http://schemas.openxmlformats.org/officeDocument/2006/relationships/hyperlink" Target="https://contrataciondelestado.es/wps/poc?uri=deeplink:detalle_licitacion&amp;idEvl=gb0qo3MEguF9Zh%2FyRJgM8w%3D%3D" TargetMode="External" Id="rId2350" /><Relationship Type="http://schemas.openxmlformats.org/officeDocument/2006/relationships/hyperlink" Target="https://contrataciondelestado.es/FileSystem/servlet/GetDocumentByIdServlet?cifrado=QUC1GjXXSiLkydRHJBmbpw%3D%3D&amp;DocumentIdParam=zVBuD2aaQEfywhUAA21AZxhbZtkOe6ZaKZ29/Ze8KhfMYAWQuUjiFsReluF/ZuWNpaqN0NbrDyLjmSsIWbj22PErbKWc6MYJ%2Bxcf/Sc1NUW1aXEvq3KHa/AEHgtDrQw0" TargetMode="External" Id="rId2351" /><Relationship Type="http://schemas.openxmlformats.org/officeDocument/2006/relationships/hyperlink" Target="https://contrataciondelestado.es/wps/poc?uri=deeplink:detalle_licitacion&amp;idEvl=BbyRdPbdrNVPpzdqOdhuWg%3D%3D" TargetMode="External" Id="rId2352" /><Relationship Type="http://schemas.openxmlformats.org/officeDocument/2006/relationships/hyperlink" Target="https://contrataciondelestado.es/wps/poc?uri=deeplink:detalle_licitacion&amp;idEvl=3Cq27b1GidXjHF5qKI4aaw%3D%3D" TargetMode="External" Id="rId2353" /><Relationship Type="http://schemas.openxmlformats.org/officeDocument/2006/relationships/hyperlink" Target="https://contrataciondelestado.es/FileSystem/servlet/GetDocumentByIdServlet?cifrado=QUC1GjXXSiLkydRHJBmbpw%3D%3D&amp;DocumentIdParam=zqhodZsqaiP%2Bknkwz9h5JpHoHFFZSNQygMW7AcxnDlnL%2BvyRsxyQ3HEnod/pl1KalZdl2AdgsMQZ2xoHSfSXdidvRPg0EHyHIhw9qO7TW6e1aXEvq3KHa/AEHgtDrQw0" TargetMode="External" Id="rId2354" /><Relationship Type="http://schemas.openxmlformats.org/officeDocument/2006/relationships/hyperlink" Target="https://contrataciondelestado.es/wps/poc?uri=deeplink:detalle_licitacion&amp;idEvl=694kvRXCPBmFQ%2FlhRK79lA%3D%3D" TargetMode="External" Id="rId2355" /><Relationship Type="http://schemas.openxmlformats.org/officeDocument/2006/relationships/hyperlink" Target="https://contrataciondelestado.es/FileSystem/servlet/GetDocumentByIdServlet?cifrado=QUC1GjXXSiLkydRHJBmbpw%3D%3D&amp;DocumentIdParam=6tvyDzB4UurWQEw1VhhAJTxAwHfkKqnwYcXvCJDfytIqEquL5lOiARgXcr7AjfNFqwArwV6Sj5vA/aYbF0GnT5YtquH/bwnIReAsGPDIzCbVTD3T98KC0nSgQFM0q%2B5s" TargetMode="External" Id="rId2356" /><Relationship Type="http://schemas.openxmlformats.org/officeDocument/2006/relationships/hyperlink" Target="https://contrataciondelestado.es/wps/poc?uri=deeplink:detalle_licitacion&amp;idEvl=PQRweQrdByGKeVWTb9Scog%3D%3D" TargetMode="External" Id="rId2357" /><Relationship Type="http://schemas.openxmlformats.org/officeDocument/2006/relationships/hyperlink" Target="https://contrataciondelestado.es/FileSystem/servlet/GetDocumentByIdServlet?cifrado=QUC1GjXXSiLkydRHJBmbpw%3D%3D&amp;DocumentIdParam=YqtJnEmBhQAYj79LH/IgxdJhzmt1A36IdJRONTHdxCQ2cQ7S4cvcKUSv6K3FLj/GGdz9QS0dYUO0zdZowfx7cn6PR43Io2nU8Q55qdnUbfj6CYyL7SIrUOBFfNf52ZqA" TargetMode="External" Id="rId2358" /><Relationship Type="http://schemas.openxmlformats.org/officeDocument/2006/relationships/hyperlink" Target="https://contrataciondelestado.es/wps/poc?uri=deeplink:detalle_licitacion&amp;idEvl=%2F1bBIt%2F8wRlJ8Trn0ZPzLw%3D%3D" TargetMode="External" Id="rId2359" /><Relationship Type="http://schemas.openxmlformats.org/officeDocument/2006/relationships/hyperlink" Target="https://contrataciondelestado.es/FileSystem/servlet/GetDocumentByIdServlet?cifrado=QUC1GjXXSiLkydRHJBmbpw%3D%3D&amp;DocumentIdParam=9ID7ebX5ypAjPdG2Zu6CrC03k4KAkdTzmkAkOmjbGss3aKmN7DBLLiASh9S17wanaLAy55KjB/BT/VE56g/rc6de7fQjh3NpRyV9%2BFQT3eDVTD3T98KC0nSgQFM0q%2B5s" TargetMode="External" Id="rId2360" /><Relationship Type="http://schemas.openxmlformats.org/officeDocument/2006/relationships/hyperlink" Target="https://contrataciondelestado.es/wps/poc?uri=deeplink:detalle_licitacion&amp;idEvl=SxZpJ77U0OTVGIpKDxgsAQ%3D%3D" TargetMode="External" Id="rId2361" /><Relationship Type="http://schemas.openxmlformats.org/officeDocument/2006/relationships/hyperlink" Target="https://contrataciondelestado.es/FileSystem/servlet/GetDocumentByIdServlet?cifrado=QUC1GjXXSiLkydRHJBmbpw%3D%3D&amp;DocumentIdParam=KiBC93F31C1olyI5llrsqUbswqIuXaAwkR80ZviIQgw%2B1ZjeVeAeGCB3SKbKTcycI8Pew8MbgaqC5AWIwnsQlvMCgnujzZEaV7wLba7J3r97QB3HKyQaFUExmUVQCerk" TargetMode="External" Id="rId2362" /><Relationship Type="http://schemas.openxmlformats.org/officeDocument/2006/relationships/hyperlink" Target="https://contrataciondelestado.es/wps/poc?uri=deeplink:detalle_licitacion&amp;idEvl=MXYeJxNmTnlVkTabT%2FRM8A%3D%3D" TargetMode="External" Id="rId2363" /><Relationship Type="http://schemas.openxmlformats.org/officeDocument/2006/relationships/hyperlink" Target="https://contrataciondelestado.es/FileSystem/servlet/GetDocumentByIdServlet?cifrado=QUC1GjXXSiLkydRHJBmbpw%3D%3D&amp;DocumentIdParam=AT13M8SsN6SRgxeOxzi5qcg2tx86FT2qzWm7O0dQHIFh3TBfUQPunHnpPmNxM4%2BIKQ9bwUY4FjUc4jJrJnFE5I0fYhjK7NN%2BhkINvR3M8qDfdyQgZAdTm3EfcUAC7CJ6" TargetMode="External" Id="rId2364" /><Relationship Type="http://schemas.openxmlformats.org/officeDocument/2006/relationships/hyperlink" Target="https://contrataciondelestado.es/wps/poc?uri=deeplink:detalle_licitacion&amp;idEvl=p3nSL0kjEDoadbH3CysQuQ%3D%3D" TargetMode="External" Id="rId2365" /><Relationship Type="http://schemas.openxmlformats.org/officeDocument/2006/relationships/hyperlink" Target="https://contrataciondelestado.es/FileSystem/servlet/GetDocumentByIdServlet?cifrado=QUC1GjXXSiLkydRHJBmbpw%3D%3D&amp;DocumentIdParam=jeJLxlq1SJ3X2N1GWal2Ipy6eQR4JB9VqHmvfX6lkurgoWY%2BDouBqjFi4wZjEgPjC8vsEC%2BqNZsTVN%2BGrw59ufUpuFrK4offCgegiifGKjNJOVDbGCDM%2BMigrvuVS7Rv" TargetMode="External" Id="rId2366" /><Relationship Type="http://schemas.openxmlformats.org/officeDocument/2006/relationships/hyperlink" Target="https://contrataciondelestado.es/wps/poc?uri=deeplink:detalle_licitacion&amp;idEvl=KG2rTIhhZUkZDGvgaZEVxQ%3D%3D" TargetMode="External" Id="rId2367" /><Relationship Type="http://schemas.openxmlformats.org/officeDocument/2006/relationships/hyperlink" Target="https://contrataciondelestado.es/FileSystem/servlet/GetDocumentByIdServlet?cifrado=QUC1GjXXSiLkydRHJBmbpw%3D%3D&amp;DocumentIdParam=VE18lrT9hYR%2B5i0sDxw6yJ9pv8stQcgvYEbmVx90fMTfOIRNhMhbM8jwX5R8VGLc9oW1RdKjybR%2B5JNWT3fP9yz35mPDshZIPZlLOauUYej6CYyL7SIrUOBFfNf52ZqA" TargetMode="External" Id="rId2368" /><Relationship Type="http://schemas.openxmlformats.org/officeDocument/2006/relationships/hyperlink" Target="https://contrataciondelestado.es/wps/poc?uri=deeplink:detalle_licitacion&amp;idEvl=PXccbwUM7hT10HRJw8TEnQ%3D%3D" TargetMode="External" Id="rId2369" /><Relationship Type="http://schemas.openxmlformats.org/officeDocument/2006/relationships/hyperlink" Target="https://contrataciondelestado.es/FileSystem/servlet/GetDocumentByIdServlet?cifrado=QUC1GjXXSiLkydRHJBmbpw%3D%3D&amp;DocumentIdParam=M7iYSnSPdxdke5c5koE4wnMgjmBvkxbuRfwXlnZIa%2BBtKQHdNNTR5/bs8waj6sSgzwc3Mmz3KMpxa3leZKpCAgMQcL8uauUf93mxVG3VBabfdyQgZAdTm3EfcUAC7CJ6" TargetMode="External" Id="rId2370" /><Relationship Type="http://schemas.openxmlformats.org/officeDocument/2006/relationships/hyperlink" Target="https://contrataciondelestado.es/wps/poc?uri=deeplink:detalle_licitacion&amp;idEvl=Opnepgj74rWzz8fXU2i3eQ%3D%3D" TargetMode="External" Id="rId2371" /><Relationship Type="http://schemas.openxmlformats.org/officeDocument/2006/relationships/hyperlink" Target="https://contrataciondelestado.es/FileSystem/servlet/GetDocumentByIdServlet?cifrado=QUC1GjXXSiLkydRHJBmbpw%3D%3D&amp;DocumentIdParam=RR3l8PqZ3868FEoVrlBs9qxPNLnhFhXaPUZrdfggio30xeofMvGm3CfN4JIG9JP1%2BzCKA%2BA0Y4/NtbyTnU5/gUaCoFFjCN79BG6CRantMoQZyAJWGsSt0OzTSTyw9JAs" TargetMode="External" Id="rId2372" /><Relationship Type="http://schemas.openxmlformats.org/officeDocument/2006/relationships/hyperlink" Target="https://contrataciondelestado.es/wps/poc?uri=deeplink:detalle_licitacion&amp;idEvl=gl9Q%2FOyVxpvCfVQHDepjGQ%3D%3D" TargetMode="External" Id="rId2373" /><Relationship Type="http://schemas.openxmlformats.org/officeDocument/2006/relationships/hyperlink" Target="https://contrataciondelestado.es/FileSystem/servlet/GetDocumentByIdServlet?cifrado=QUC1GjXXSiLkydRHJBmbpw%3D%3D&amp;DocumentIdParam=roJwOsn2ugwzjWEA38zVkoR6Nxp9nANqlmyVjWZ5eIt1Bae5VGWhVe9cfMuBlukqiq6yO4S%2B67fzyVwJH7LW8znHHkQJXk0A0rdddO9F9P7fdyQgZAdTm3EfcUAC7CJ6" TargetMode="External" Id="rId2374" /><Relationship Type="http://schemas.openxmlformats.org/officeDocument/2006/relationships/hyperlink" Target="https://contrataciondelestado.es/wps/poc?uri=deeplink:detalle_licitacion&amp;idEvl=%2FEb1Luj8AhqAAM7L03kM8A%3D%3D" TargetMode="External" Id="rId2375" /><Relationship Type="http://schemas.openxmlformats.org/officeDocument/2006/relationships/hyperlink" Target="https://contrataciondelestado.es/FileSystem/servlet/GetDocumentByIdServlet?cifrado=QUC1GjXXSiLkydRHJBmbpw%3D%3D&amp;DocumentIdParam=Bx18rYa6XfDqlJwDo7aL9sdo%2BbBhxp2lZEQt9vBXQzh59rhcuhiO9h3v7eoGdrJHaFAhmhE6VVCb/zE%2Bzqjas1BkO2I5JWVG/YcML7zdDDlJOVDbGCDM%2BMigrvuVS7Rv" TargetMode="External" Id="rId2376" /><Relationship Type="http://schemas.openxmlformats.org/officeDocument/2006/relationships/hyperlink" Target="https://contrataciondelestado.es/wps/poc?uri=deeplink:detalle_licitacion&amp;idEvl=Dhe4UVgrmH%2FIGlsa0Wad%2Bw%3D%3D" TargetMode="External" Id="rId2377" /><Relationship Type="http://schemas.openxmlformats.org/officeDocument/2006/relationships/hyperlink" Target="https://contrataciondelestado.es/FileSystem/servlet/GetDocumentByIdServlet?cifrado=QUC1GjXXSiLkydRHJBmbpw%3D%3D&amp;DocumentIdParam=i5vrl3%2BBemxrEqyHiQRL8L7q%2Bh2X1DNrgVRFSwx02QE8F%2Bi9vTjz9QmwilYDXjFLIUDo1UG5grAIZ0WzBsWs4NHAZ362FRsOUY2HQ2PGyIwZyAJWGsSt0OzTSTyw9JAs" TargetMode="External" Id="rId2378" /><Relationship Type="http://schemas.openxmlformats.org/officeDocument/2006/relationships/hyperlink" Target="https://contrataciondelestado.es/wps/poc?uri=deeplink:detalle_licitacion&amp;idEvl=WKndKZfW0pTI8aL3PRS10Q%3D%3D" TargetMode="External" Id="rId2379" /><Relationship Type="http://schemas.openxmlformats.org/officeDocument/2006/relationships/hyperlink" Target="https://contrataciondelestado.es/FileSystem/servlet/GetDocumentByIdServlet?cifrado=QUC1GjXXSiLkydRHJBmbpw%3D%3D&amp;DocumentIdParam=itNGahx%2BtvM1bOQ0htpVJCJqrABs7jEoa18Jhawtut/w0C%2BwGiJmAea1FPQkVpGJ6woiMOCfps0cocBlDy5XPhMfsg6UWfhuXRWtQJLmMe/6CYyL7SIrUOBFfNf52ZqA" TargetMode="External" Id="rId2380" /><Relationship Type="http://schemas.openxmlformats.org/officeDocument/2006/relationships/hyperlink" Target="https://contrataciondelestado.es/wps/poc?uri=deeplink:detalle_licitacion&amp;idEvl=8uflHYnZX7l9Zh%2FyRJgM8w%3D%3D" TargetMode="External" Id="rId2381" /><Relationship Type="http://schemas.openxmlformats.org/officeDocument/2006/relationships/hyperlink" Target="https://contrataciondelestado.es/FileSystem/servlet/GetDocumentByIdServlet?cifrado=QUC1GjXXSiLkydRHJBmbpw%3D%3D&amp;DocumentIdParam=7RFcWWWqgRXsvqpoxm4kBheV0vkPvWkluP3U7GJSlk8z8ZFluNfO3Gz6hTQsJ10NCUgbXOMfhOE77u9W1jphoEK9IN5djNrMfaA%2BdABDGILfdyQgZAdTm3EfcUAC7CJ6" TargetMode="External" Id="rId2382" /><Relationship Type="http://schemas.openxmlformats.org/officeDocument/2006/relationships/hyperlink" Target="https://contrataciondelestado.es/wps/poc?uri=deeplink:detalle_licitacion&amp;idEvl=ljRSpp5IktmFQ%2FlhRK79lA%3D%3D" TargetMode="External" Id="rId2383" /><Relationship Type="http://schemas.openxmlformats.org/officeDocument/2006/relationships/hyperlink" Target="https://contrataciondelestado.es/FileSystem/servlet/GetDocumentByIdServlet?cifrado=QUC1GjXXSiLkydRHJBmbpw%3D%3D&amp;DocumentIdParam=HlncCamdSZpi4cmnbfNEmz1qTEHr3s35plwDXIfOsUsj355iO/SgCw6M/1BkMSlHyCgIHlr8Nq/Y2%2BXWZpGuOW9RiiKgDW4kV4GzhC3PrD73GVhXrFFqN7yFncy7YfRK" TargetMode="External" Id="rId2384" /><Relationship Type="http://schemas.openxmlformats.org/officeDocument/2006/relationships/hyperlink" Target="https://contrataciondelestado.es/wps/poc?uri=deeplink:detalle_licitacion&amp;idEvl=OOwyfZDyT4E2wEhQbcAqug%3D%3D" TargetMode="External" Id="rId2385" /><Relationship Type="http://schemas.openxmlformats.org/officeDocument/2006/relationships/hyperlink" Target="https://contrataciondelestado.es/FileSystem/servlet/GetDocumentByIdServlet?cifrado=QUC1GjXXSiLkydRHJBmbpw%3D%3D&amp;DocumentIdParam=T0b5BfBAwHdBBnWUIAnH0%2BNUK07hy8/C1m2Z8A9HbgrlBvExOcqAdOYy/A9l6fxVu16sQpcusKXrJcZFFgg4gazC7ygLOBIwfUm3JmPpE10ZyAJWGsSt0OzTSTyw9JAs" TargetMode="External" Id="rId2386" /><Relationship Type="http://schemas.openxmlformats.org/officeDocument/2006/relationships/hyperlink" Target="https://contrataciondelestado.es/wps/poc?uri=deeplink:detalle_licitacion&amp;idEvl=SYV5ewcw2%2BokJPJS%2BPS9vg%3D%3D" TargetMode="External" Id="rId2387" /><Relationship Type="http://schemas.openxmlformats.org/officeDocument/2006/relationships/hyperlink" Target="https://contrataciondelestado.es/FileSystem/servlet/GetDocumentByIdServlet?cifrado=QUC1GjXXSiLkydRHJBmbpw%3D%3D&amp;DocumentIdParam=FN%2BR%2Bzwk9gRXkQHKqQ0HqpVrBtzsM67NqAEPjdC0wUs7cAIBQQBo2L0YXddzfXkjjgWkbg9LasMpIVtVc/4H20s5sCwv8Fe5pOIuIf0/nuD6CYyL7SIrUOBFfNf52ZqA" TargetMode="External" Id="rId2388" /><Relationship Type="http://schemas.openxmlformats.org/officeDocument/2006/relationships/hyperlink" Target="https://contrataciondelestado.es/wps/poc?uri=deeplink:detalle_licitacion&amp;idEvl=dJwdgO1GacYzjChw4z%2FXvw%3D%3D" TargetMode="External" Id="rId2389" /><Relationship Type="http://schemas.openxmlformats.org/officeDocument/2006/relationships/hyperlink" Target="https://contrataciondelestado.es/FileSystem/servlet/GetDocumentByIdServlet?cifrado=QUC1GjXXSiLkydRHJBmbpw%3D%3D&amp;DocumentIdParam=wAssGkqB8KeRfUMFbu/ORk48hMGBgi7xs0J4l3VBuVuYG8pFngHafSmejifZ%2BqN4LdfoMex8wVOSQcoLztZEscoKrxnyH/zRVDrUtZ%2BGA817QB3HKyQaFUExmUVQCerk" TargetMode="External" Id="rId2390" /><Relationship Type="http://schemas.openxmlformats.org/officeDocument/2006/relationships/hyperlink" Target="https://contrataciondelestado.es/wps/poc?uri=deeplink:detalle_licitacion&amp;idEvl=KTb2wrCrof%2F%2B3JAijKO%2Bkg%3D%3D" TargetMode="External" Id="rId2391" /><Relationship Type="http://schemas.openxmlformats.org/officeDocument/2006/relationships/hyperlink" Target="https://contrataciondelestado.es/FileSystem/servlet/GetDocumentByIdServlet?cifrado=QUC1GjXXSiLkydRHJBmbpw%3D%3D&amp;DocumentIdParam=wvNNxtFJA6ysEMm0iSyJKBfPoV9tYJwAU9oIKvvfzp85hvaxyJwjvsxFkPiW9OKQ0LWKf7N/FdjHnCOv8EtJtHWbXAoVfPvuy7Up60xopenDdQD9RyhUmzT4jZ2In4zL" TargetMode="External" Id="rId2392" /><Relationship Type="http://schemas.openxmlformats.org/officeDocument/2006/relationships/hyperlink" Target="https://contrataciondelestado.es/wps/poc?uri=deeplink:detalle_licitacion&amp;idEvl=piQMaJLFrKFrhBlEHQFSKA%3D%3D" TargetMode="External" Id="rId2393" /><Relationship Type="http://schemas.openxmlformats.org/officeDocument/2006/relationships/hyperlink" Target="https://contrataciondelestado.es/FileSystem/servlet/GetDocumentByIdServlet?cifrado=QUC1GjXXSiLkydRHJBmbpw%3D%3D&amp;DocumentIdParam=l8YF%2B52B0E/1fzBD73E4iWwR3iujTmYQ0EKcbqWZD9b7OaNFLZCgp4qDexDu4R8oQsQgb5hE58xEACQve/P0UHxYkAp5dqkZj2TcdHv%2Bxt%2BHAj0WEJrB5sP7amrh2jBD" TargetMode="External" Id="rId2394" /><Relationship Type="http://schemas.openxmlformats.org/officeDocument/2006/relationships/hyperlink" Target="https://contrataciondelestado.es/wps/poc?uri=deeplink:detalle_licitacion&amp;idEvl=fARoqzLn1tPN3k3tjedSGw%3D%3D" TargetMode="External" Id="rId2395" /><Relationship Type="http://schemas.openxmlformats.org/officeDocument/2006/relationships/hyperlink" Target="https://contrataciondelestado.es/FileSystem/servlet/GetDocumentByIdServlet?cifrado=QUC1GjXXSiLkydRHJBmbpw%3D%3D&amp;DocumentIdParam=bgmEka5OVDYpLrbo8W/NVRa71j%2B178HiP8fSd2jKYavsZKDYawfB1Y7AgZQfc6PAPz9d0VWpNbGenHu9kb0WGRQyfqDEClTiEAlQYB%2B6msv6CYyL7SIrUOBFfNf52ZqA" TargetMode="External" Id="rId2396" /><Relationship Type="http://schemas.openxmlformats.org/officeDocument/2006/relationships/hyperlink" Target="https://contrataciondelestado.es/wps/poc?uri=deeplink:detalle_licitacion&amp;idEvl=Sdy06ig0DtceC9GJQOEBkQ%3D%3D" TargetMode="External" Id="rId2397" /><Relationship Type="http://schemas.openxmlformats.org/officeDocument/2006/relationships/hyperlink" Target="https://contrataciondelestado.es/FileSystem/servlet/GetDocumentByIdServlet?cifrado=QUC1GjXXSiLkydRHJBmbpw%3D%3D&amp;DocumentIdParam=WfwgT1SSeEdGZaRufoMdN1YL7LWKIM7IiBwk5ps5fGt4mGHMsB58O%2Bt1e1wTTfEImoKhn7Gy%2BLF24MsUxGbEtPdGMYW/eLFlzZ0i1xW4BeZJOVDbGCDM%2BMigrvuVS7Rv" TargetMode="External" Id="rId2398" /><Relationship Type="http://schemas.openxmlformats.org/officeDocument/2006/relationships/hyperlink" Target="https://contrataciondelestado.es/wps/poc?uri=deeplink:detalle_licitacion&amp;idEvl=cuCWWqhRuzvmnwcj%2BxbdTg%3D%3D" TargetMode="External" Id="rId2399" /><Relationship Type="http://schemas.openxmlformats.org/officeDocument/2006/relationships/hyperlink" Target="https://contrataciondelestado.es/FileSystem/servlet/GetDocumentByIdServlet?cifrado=QUC1GjXXSiLkydRHJBmbpw%3D%3D&amp;DocumentIdParam=w3OX99oF79BVfebzuQ4Cz/a7sZC9qWTuf7Nkbn%2BdELOfxUtRk0u5Co1ILJr97eUFQTZF64/pnCB80cLma/4qQKAXrvNBji8isOIm%2B1HA1YJ45ClyWkoJ44mKM70IFcOu" TargetMode="External" Id="rId2400" /><Relationship Type="http://schemas.openxmlformats.org/officeDocument/2006/relationships/hyperlink" Target="https://contrataciondelestado.es/wps/poc?uri=deeplink:detalle_licitacion&amp;idEvl=rCZXugBJBg0l5NjlNci%2BtA%3D%3D" TargetMode="External" Id="rId2401" /><Relationship Type="http://schemas.openxmlformats.org/officeDocument/2006/relationships/hyperlink" Target="https://contrataciondelestado.es/FileSystem/servlet/GetDocumentByIdServlet?cifrado=QUC1GjXXSiLkydRHJBmbpw%3D%3D&amp;DocumentIdParam=6BMLMmxDqmgL2yvFd3bBZdMd1MZ6WslBEwDrTCh8IGoeP8KlGEtIgYTteovCIWIoggMNZCc/%2BaG7rcJCi4gJ7STSysNcPmUH8W2ELmqkf%2BhJOVDbGCDM%2BMigrvuVS7Rv" TargetMode="External" Id="rId2402" /><Relationship Type="http://schemas.openxmlformats.org/officeDocument/2006/relationships/hyperlink" Target="https://contrataciondelestado.es/wps/poc?uri=deeplink:detalle_licitacion&amp;idEvl=NZXcKU8A0A7IGlsa0Wad%2Bw%3D%3D" TargetMode="External" Id="rId2403" /><Relationship Type="http://schemas.openxmlformats.org/officeDocument/2006/relationships/hyperlink" Target="https://contrataciondelestado.es/FileSystem/servlet/GetDocumentByIdServlet?cifrado=QUC1GjXXSiLkydRHJBmbpw%3D%3D&amp;DocumentIdParam=YX4Pak5WDPkJgMDwyXiNmhi67Z8UqRs8h78yZ4Xy36I9sb%2BbltVCX4LdcZf5lA2Om1YQl596pW6eKD43g1wSt%2B77Vi6TOEyLnp5oIaIFMD6Cx2e6p7hqtlp2aFupgHMr" TargetMode="External" Id="rId2404" /><Relationship Type="http://schemas.openxmlformats.org/officeDocument/2006/relationships/hyperlink" Target="https://contrataciondelestado.es/wps/poc?uri=deeplink:detalle_licitacion&amp;idEvl=m%2BeQxLzq0P5%2FR5QFTlaM4A%3D%3D" TargetMode="External" Id="rId2405" /><Relationship Type="http://schemas.openxmlformats.org/officeDocument/2006/relationships/hyperlink" Target="https://contrataciondelestado.es/FileSystem/servlet/GetDocumentByIdServlet?cifrado=QUC1GjXXSiLkydRHJBmbpw%3D%3D&amp;DocumentIdParam=ek7aEIFFpx65a4LI6Yc5HKcZRXt1r%2BrJRAI/DCqRi3ncpKJ4BWuxLCjKi5ywdvxBiog0b0DN06pj8bqkyqP/S1UQZDQHG%2BVQQIMKbuPu730ZyAJWGsSt0OzTSTyw9JAs" TargetMode="External" Id="rId2406" /><Relationship Type="http://schemas.openxmlformats.org/officeDocument/2006/relationships/hyperlink" Target="https://contrataciondelestado.es/wps/poc?uri=deeplink:detalle_licitacion&amp;idEvl=mfpX67tUswF9PLkba5eRog%3D%3D" TargetMode="External" Id="rId2407" /><Relationship Type="http://schemas.openxmlformats.org/officeDocument/2006/relationships/hyperlink" Target="https://contrataciondelestado.es/FileSystem/servlet/GetDocumentByIdServlet?cifrado=QUC1GjXXSiLkydRHJBmbpw%3D%3D&amp;DocumentIdParam=Kss5siiMTykS8mjas8b1sqUJMmnKNlVm1vfTTosgRCO1yTvjzd1Go21OP/uYATtfD4j2COoxXyGV1byVBc6K2udKmqzwb4HYUlHja9dPs7sZyAJWGsSt0OzTSTyw9JAs" TargetMode="External" Id="rId2408" /><Relationship Type="http://schemas.openxmlformats.org/officeDocument/2006/relationships/hyperlink" Target="https://contrataciondelestado.es/wps/poc?uri=deeplink:detalle_licitacion&amp;idEvl=Y1DjExvRJ056nTs9LZ9RhQ%3D%3D" TargetMode="External" Id="rId2409" /><Relationship Type="http://schemas.openxmlformats.org/officeDocument/2006/relationships/hyperlink" Target="https://contrataciondelestado.es/FileSystem/servlet/GetDocumentByIdServlet?cifrado=QUC1GjXXSiLkydRHJBmbpw%3D%3D&amp;DocumentIdParam=Jxus2S103E9ZBWDhCg1qUTtCPlXVpm7WSLypUYWQvZr5WsYNaCTX9999fWbFIsr2cEs6B21Ql%2BcBCYt/0f%2BNfOgMoWDmgPL7ov2yCi4Rt6uHAj0WEJrB5sP7amrh2jBD" TargetMode="External" Id="rId2410" /><Relationship Type="http://schemas.openxmlformats.org/officeDocument/2006/relationships/hyperlink" Target="https://contrataciondelestado.es/wps/poc?uri=deeplink:detalle_licitacion&amp;idEvl=rUGtqXzsmjDXOjazN1Dw9Q%3D%3D" TargetMode="External" Id="rId2411" /><Relationship Type="http://schemas.openxmlformats.org/officeDocument/2006/relationships/hyperlink" Target="https://contrataciondelestado.es/FileSystem/servlet/GetDocumentByIdServlet?cifrado=QUC1GjXXSiLkydRHJBmbpw%3D%3D&amp;DocumentIdParam=f9RSvAqnpnJ%2Bl2BUwi9w5X6zuhBWmb6GewVtgrJlZcmdAzrIAhJX%2BVOPdcrwFSsCuCUni8g9zDgFlz8TJPdzif%2BO6P7uhwfCUPB0SDgH7B76CYyL7SIrUOBFfNf52ZqA" TargetMode="External" Id="rId2412" /><Relationship Type="http://schemas.openxmlformats.org/officeDocument/2006/relationships/hyperlink" Target="https://contrataciondelestado.es/wps/poc?uri=deeplink:detalle_licitacion&amp;idEvl=sqnj4b6qoR2cCF8sV%2BqtYA%3D%3D" TargetMode="External" Id="rId2413" /><Relationship Type="http://schemas.openxmlformats.org/officeDocument/2006/relationships/hyperlink" Target="https://contrataciondelestado.es/FileSystem/servlet/GetDocumentByIdServlet?cifrado=QUC1GjXXSiLkydRHJBmbpw%3D%3D&amp;DocumentIdParam=qwt6jeFPuWGOAVNoy0d%2Bcwq90Z4eyfNktTsS8DmfW2VG8lVhSvFFYqGQC6WauK%2B65bReULUKbnDW5RonCAo62LL2IRcmVI/V5gjgdIVGqbi1aXEvq3KHa/AEHgtDrQw0" TargetMode="External" Id="rId2414" /><Relationship Type="http://schemas.openxmlformats.org/officeDocument/2006/relationships/hyperlink" Target="https://contrataciondelestado.es/wps/poc?uri=deeplink:detalle_licitacion&amp;idEvl=d80S3g1uf5C5HQrHoP3G5A%3D%3D" TargetMode="External" Id="rId2415" /><Relationship Type="http://schemas.openxmlformats.org/officeDocument/2006/relationships/hyperlink" Target="https://contrataciondelestado.es/FileSystem/servlet/GetDocumentByIdServlet?cifrado=QUC1GjXXSiLkydRHJBmbpw%3D%3D&amp;DocumentIdParam=r4yEk5ux7LvrY8HuU/m1I6oac5NpE9cL5ovULG06uUdA8KpCInTAn3uk/8Hm9HUotMuQrgLIqE9hi9wZcxkHf8bsa2NF/5MhfXlQrooZW/GHAj0WEJrB5sP7amrh2jBD" TargetMode="External" Id="rId2416" /><Relationship Type="http://schemas.openxmlformats.org/officeDocument/2006/relationships/hyperlink" Target="https://contrataciondelestado.es/wps/poc?uri=deeplink:detalle_licitacion&amp;idEvl=vAWtL8PBxqAeC9GJQOEBkQ%3D%3D" TargetMode="External" Id="rId2417" /><Relationship Type="http://schemas.openxmlformats.org/officeDocument/2006/relationships/hyperlink" Target="https://contrataciondelestado.es/FileSystem/servlet/GetDocumentByIdServlet?cifrado=QUC1GjXXSiLkydRHJBmbpw%3D%3D&amp;DocumentIdParam=lz69W0Y1BhlXO6j4FVeQ1jCxI/ptpL7AdJyX%2BPo6X3RzLD1brwAQAPIXDMjtc7uy7j92h927LvHOPVUDl8R9UmBkWP/acXFwWSSW10CZjAYZyAJWGsSt0OzTSTyw9JAs" TargetMode="External" Id="rId2418" /><Relationship Type="http://schemas.openxmlformats.org/officeDocument/2006/relationships/hyperlink" Target="https://contrataciondelestado.es/wps/poc?uri=deeplink:detalle_licitacion&amp;idEvl=j%2BYVcI5xBsrE6P%2FuLemXRw%3D%3D" TargetMode="External" Id="rId2419" /><Relationship Type="http://schemas.openxmlformats.org/officeDocument/2006/relationships/hyperlink" Target="https://contrataciondelestado.es/FileSystem/servlet/GetDocumentByIdServlet?cifrado=QUC1GjXXSiLkydRHJBmbpw%3D%3D&amp;DocumentIdParam=vS9I8OIuSUt6XBdE81ml65v79b5eLIoP7yseWTiuETHh5eaoDp%2BoOyf0ICt%2Bic8YsABfUsXs2XCX4XkbZS0kPVdziqtjnFvILKS8IBbwT6X3GVhXrFFqN7yFncy7YfRK" TargetMode="External" Id="rId2420" /><Relationship Type="http://schemas.openxmlformats.org/officeDocument/2006/relationships/hyperlink" Target="https://contrataciondelestado.es/wps/poc?uri=deeplink:detalle_licitacion&amp;idEvl=7rwCIMNAmgJ4zIRvjBVCSw%3D%3D" TargetMode="External" Id="rId2421" /><Relationship Type="http://schemas.openxmlformats.org/officeDocument/2006/relationships/hyperlink" Target="https://contrataciondelestado.es/FileSystem/servlet/GetDocumentByIdServlet?cifrado=QUC1GjXXSiLkydRHJBmbpw%3D%3D&amp;DocumentIdParam=40IYUjEOg1JsiBNNjCYWQHs8DJWlPrRd0kcKMhCNx/VoMQ5fM0ohDd4smNwmytrJE7%2BBvvMg%2BBv9umkA%2Bpv%2BTYjOhW8o354JJL628ubpE5W1aXEvq3KHa/AEHgtDrQw0" TargetMode="External" Id="rId2422" /><Relationship Type="http://schemas.openxmlformats.org/officeDocument/2006/relationships/hyperlink" Target="https://contrataciondelestado.es/wps/poc?uri=deeplink:detalle_licitacion&amp;idEvl=rlCidys7kT5SYrkJkLlFdw%3D%3D" TargetMode="External" Id="rId2423" /><Relationship Type="http://schemas.openxmlformats.org/officeDocument/2006/relationships/hyperlink" Target="https://contrataciondelestado.es/FileSystem/servlet/GetDocumentByIdServlet?cifrado=QUC1GjXXSiLkydRHJBmbpw%3D%3D&amp;DocumentIdParam=HUCabT85PSuASOYFznUFb3c94aS5Yo%2ByO4eR0VD%2BuV12s4h6JpCs3FZjt1aq7r5rUdkWelbpyaeiUlHdlaHLo0aFnXV5x%2BV5Z0squVTc1%2Bb3GVhXrFFqN7yFncy7YfRK" TargetMode="External" Id="rId2424" /><Relationship Type="http://schemas.openxmlformats.org/officeDocument/2006/relationships/hyperlink" Target="https://contrataciondelestado.es/wps/poc?uri=deeplink:detalle_licitacion&amp;idEvl=9ubCFyWuKwQmMOlAXxDEjw%3D%3D" TargetMode="External" Id="rId2425" /><Relationship Type="http://schemas.openxmlformats.org/officeDocument/2006/relationships/hyperlink" Target="https://contrataciondelestado.es/FileSystem/servlet/GetDocumentByIdServlet?cifrado=QUC1GjXXSiLkydRHJBmbpw%3D%3D&amp;DocumentIdParam=HXyUOb/XfVCVwgqOGkmjkBK8vTFIX2gaiXcgawLmOSjJfZQ3Q4KWqpYjIYSVnpkrap0ngt7oytuZz2MbQsKFCIZR3o2t8fw3Wc/eQ06biTqHAj0WEJrB5sP7amrh2jBD" TargetMode="External" Id="rId2426" /><Relationship Type="http://schemas.openxmlformats.org/officeDocument/2006/relationships/hyperlink" Target="https://contrataciondelestado.es/wps/poc?uri=deeplink:detalle_licitacion&amp;idEvl=7tvI3RNBdoJ70UvEyYJSGw%3D%3D" TargetMode="External" Id="rId2427" /><Relationship Type="http://schemas.openxmlformats.org/officeDocument/2006/relationships/hyperlink" Target="https://contrataciondelestado.es/FileSystem/servlet/GetDocumentByIdServlet?cifrado=QUC1GjXXSiLkydRHJBmbpw%3D%3D&amp;DocumentIdParam=fisZLOX2QOeNGCulQWPyMERcdVYW0IhM9gvnv49KLOANVhkwkQTiwUd0qJQhTun%2BW4o4%2BdILGR87BULmmUvcbI5xkJ8Zm39c1MBE0va7xZ2HAj0WEJrB5sP7amrh2jBD" TargetMode="External" Id="rId2428" /><Relationship Type="http://schemas.openxmlformats.org/officeDocument/2006/relationships/hyperlink" Target="https://contrataciondelestado.es/wps/poc?uri=deeplink:detalle_licitacion&amp;idEvl=AkmziTT2Wyotm4eBPtV6eQ%3D%3D" TargetMode="External" Id="rId2429" /><Relationship Type="http://schemas.openxmlformats.org/officeDocument/2006/relationships/hyperlink" Target="https://contrataciondelestado.es/FileSystem/servlet/GetDocumentByIdServlet?cifrado=QUC1GjXXSiLkydRHJBmbpw%3D%3D&amp;DocumentIdParam=ezppluGR6ASZP91ja1qSgvuaM1EB8dFCpPuZTEOFpoxAW1dwpPqcvpYsxJIOtGIvXmJMcyCWmbBrOGbEiUMbDkoWPbMxaVZJdjyghibzupqHAj0WEJrB5sP7amrh2jBD" TargetMode="External" Id="rId2430" /><Relationship Type="http://schemas.openxmlformats.org/officeDocument/2006/relationships/hyperlink" Target="https://contrataciondelestado.es/wps/poc?uri=deeplink:detalle_licitacion&amp;idEvl=OozDsAmdLF%2BHCIsjvJ3rhQ%3D%3D" TargetMode="External" Id="rId2431" /><Relationship Type="http://schemas.openxmlformats.org/officeDocument/2006/relationships/hyperlink" Target="https://contrataciondelestado.es/FileSystem/servlet/GetDocumentByIdServlet?cifrado=QUC1GjXXSiLkydRHJBmbpw%3D%3D&amp;DocumentIdParam=DL0oQnlVBmYEu5MOdoO%2B7Rtwoegu9RHu8e6oYX2vo21IIVMfbVp5hCqNFb4s1tkMNjPAkyr0TCIC7Fxu0z3qPHh6cNwCyHuZDitv50hF435t/o8fNevwsujgRzaBbugn" TargetMode="External" Id="rId2432" /><Relationship Type="http://schemas.openxmlformats.org/officeDocument/2006/relationships/hyperlink" Target="https://contrataciondelestado.es/wps/poc?uri=deeplink:detalle_licitacion&amp;idEvl=SaKLIG7TZUYtm4eBPtV6eQ%3D%3D" TargetMode="External" Id="rId2433" /><Relationship Type="http://schemas.openxmlformats.org/officeDocument/2006/relationships/hyperlink" Target="https://contrataciondelestado.es/FileSystem/servlet/GetDocumentByIdServlet?cifrado=QUC1GjXXSiLkydRHJBmbpw%3D%3D&amp;DocumentIdParam=lXQbr72dWr/RTRlIvjhc88cXuAI9xRUlzgDScA3c3I0yNpRz2dIxdLG9vxPPPVfVbdt//LzIUIq0nrShJ3gUCkxFYzypt19HYJ44NkVgDEuHAj0WEJrB5sP7amrh2jBD" TargetMode="External" Id="rId2434" /><Relationship Type="http://schemas.openxmlformats.org/officeDocument/2006/relationships/hyperlink" Target="https://contrataciondelestado.es/wps/poc?uri=deeplink:detalle_licitacion&amp;idEvl=tSgoLuUEh%2FWLAncw3qdZkA%3D%3D" TargetMode="External" Id="rId2435" /><Relationship Type="http://schemas.openxmlformats.org/officeDocument/2006/relationships/hyperlink" Target="https://contrataciondelestado.es/FileSystem/servlet/GetDocumentByIdServlet?cifrado=QUC1GjXXSiLkydRHJBmbpw%3D%3D&amp;DocumentIdParam=dUoFZz9k7CzQCpHIRQ4K8SY3hLu7ki6OWWsOlP/Y8VMBw1No/HxCFqItegyagEUzTh4WhD0UcsG%2Bs7TU3Ks3aD8pRi%2Bzq56svCUaWAfpxarVTD3T98KC0nSgQFM0q%2B5s" TargetMode="External" Id="rId2436" /><Relationship Type="http://schemas.openxmlformats.org/officeDocument/2006/relationships/hyperlink" Target="https://contrataciondelestado.es/wps/poc?uri=deeplink:detalle_licitacion&amp;idEvl=d1ag8jA9%2BqWAAM7L03kM8A%3D%3D" TargetMode="External" Id="rId2437" /><Relationship Type="http://schemas.openxmlformats.org/officeDocument/2006/relationships/hyperlink" Target="https://contrataciondelestado.es/FileSystem/servlet/GetDocumentByIdServlet?cifrado=QUC1GjXXSiLkydRHJBmbpw%3D%3D&amp;DocumentIdParam=GtTMJFr7WI2mEX9kdhaOVb%2BCGCjrBoHiK7Jch%2BF01z8atd5n0wzlV7w%2BROdPGYhq9YqOcon1JrXWhLx1gVIQhimABVdjUIGcoI8QmQQSN9YC1/zDIE0Kw/PWNnLS0Z0z" TargetMode="External" Id="rId2438" /><Relationship Type="http://schemas.openxmlformats.org/officeDocument/2006/relationships/hyperlink" Target="https://contrataciondelestado.es/wps/poc?uri=deeplink:detalle_licitacion&amp;idEvl=ZcuzqAJLNACP%2Bo96UAV7cQ%3D%3D" TargetMode="External" Id="rId2439" /><Relationship Type="http://schemas.openxmlformats.org/officeDocument/2006/relationships/hyperlink" Target="https://contrataciondelestado.es/FileSystem/servlet/GetDocumentByIdServlet?cifrado=QUC1GjXXSiLkydRHJBmbpw%3D%3D&amp;DocumentIdParam=P%2BxyV4fsHfGGYdWfgEFVjzWCQERZf4h%2BwvarTuAR6vpv1qCHjIKoz2gi0HN/IUUId5/03Hh/ylExM8SMdVdA%2B9bdXGxUFMxnWbjztyO1DMbDdQD9RyhUmzT4jZ2In4zL" TargetMode="External" Id="rId2440" /><Relationship Type="http://schemas.openxmlformats.org/officeDocument/2006/relationships/hyperlink" Target="https://contrataciondelestado.es/wps/poc?uri=deeplink:detalle_licitacion&amp;idEvl=yciBeWPH0A%2FgL1BHd3qjQA%3D%3D" TargetMode="External" Id="rId2441" /><Relationship Type="http://schemas.openxmlformats.org/officeDocument/2006/relationships/hyperlink" Target="https://contrataciondelestado.es/FileSystem/servlet/GetDocumentByIdServlet?cifrado=QUC1GjXXSiLkydRHJBmbpw%3D%3D&amp;DocumentIdParam=/%2BNhtIbkvyV2tiJpGRE1T3fQqgka0r%2BzlKdbXAJZYjrIta3dBFmyhKMZtVd0/wZ2XZboWfkrD6xJ5U66I3ECl/4uXDwzUWQEj1eAB1sZq72Cx2e6p7hqtlp2aFupgHMr" TargetMode="External" Id="rId2442" /><Relationship Type="http://schemas.openxmlformats.org/officeDocument/2006/relationships/hyperlink" Target="https://contrataciondelestado.es/wps/poc?uri=deeplink:detalle_licitacion&amp;idEvl=nsHwSLYLMaTmnwcj%2BxbdTg%3D%3D" TargetMode="External" Id="rId2443" /><Relationship Type="http://schemas.openxmlformats.org/officeDocument/2006/relationships/hyperlink" Target="https://contrataciondelestado.es/FileSystem/servlet/GetDocumentByIdServlet?cifrado=QUC1GjXXSiLkydRHJBmbpw%3D%3D&amp;DocumentIdParam=yGJfVzgrRPba00HX2XLDxOk/vZx6oUN0vVEcuGQgmNsTQiNYAJ9iVgcMUJe%2BzJVfTaanPaonQwdNfq1UGiWOcDwuXdwGPnX3yvabOPkZo0CB0nvVKRzfe4rpHcnlPhSZ" TargetMode="External" Id="rId2444" /><Relationship Type="http://schemas.openxmlformats.org/officeDocument/2006/relationships/hyperlink" Target="https://contrataciondelestado.es/wps/poc?uri=deeplink:detalle_licitacion&amp;idEvl=nUrNn1lYbIVt5r0ngvMetA%3D%3D" TargetMode="External" Id="rId2445" /><Relationship Type="http://schemas.openxmlformats.org/officeDocument/2006/relationships/hyperlink" Target="https://contrataciondelestado.es/FileSystem/servlet/GetDocumentByIdServlet?cifrado=QUC1GjXXSiLkydRHJBmbpw%3D%3D&amp;DocumentIdParam=mXy1q4Uo/XWi5tg%2BgVHhHB9PYpSNCQ%2BusdEZ2inZTVdO/UyNxIVqw/4FDR1XeXPkcVFO%2BfjtT9MfOp0RAzOIEAMdworPa499NG8poN2Bxu5t/o8fNevwsujgRzaBbugn" TargetMode="External" Id="rId2446" /><Relationship Type="http://schemas.openxmlformats.org/officeDocument/2006/relationships/hyperlink" Target="https://contrataciondelestado.es/wps/poc?uri=deeplink:detalle_licitacion&amp;idEvl=T7eHdF3Weg%2B9Hd5zqvq9cg%3D%3D" TargetMode="External" Id="rId2447" /><Relationship Type="http://schemas.openxmlformats.org/officeDocument/2006/relationships/hyperlink" Target="https://contrataciondelestado.es/FileSystem/servlet/GetDocumentByIdServlet?cifrado=QUC1GjXXSiLkydRHJBmbpw%3D%3D&amp;DocumentIdParam=HVMnAvwJJ4G9CovJgEhLy%2BdmiK9Gil6tRumL0sIYm1jJ8jT/5TLzP5X6fHy2/WmTPYtRS6Ocsazhdxbcx3pBj7Egh66NqR4XOPs8gCSR3leCx2e6p7hqtlp2aFupgHMr" TargetMode="External" Id="rId2448" /><Relationship Type="http://schemas.openxmlformats.org/officeDocument/2006/relationships/hyperlink" Target="https://contrataciondelestado.es/wps/poc?uri=deeplink:detalle_licitacion&amp;idEvl=hPHdaXcM4T6zz8fXU2i3eQ%3D%3D" TargetMode="External" Id="rId2449" /><Relationship Type="http://schemas.openxmlformats.org/officeDocument/2006/relationships/hyperlink" Target="https://contrataciondelestado.es/FileSystem/servlet/GetDocumentByIdServlet?cifrado=QUC1GjXXSiLkydRHJBmbpw%3D%3D&amp;DocumentIdParam=/DDRi/Bzx0peYPGO6ysLvAnOaeuXNxJ4NDA9nf9sncp%2BvTQfgn2jb2n7hssM21d1SIHr6k%2BBwjCon/ii5/f8S2PTtGAFSJqfKNjX4hNn27vfdyQgZAdTm3EfcUAC7CJ6" TargetMode="External" Id="rId2450" /><Relationship Type="http://schemas.openxmlformats.org/officeDocument/2006/relationships/hyperlink" Target="https://contrataciondelestado.es/wps/poc?uri=deeplink:detalle_licitacion&amp;idEvl=FmNzdB5omY6KeVWTb9Scog%3D%3D" TargetMode="External" Id="rId2451" /><Relationship Type="http://schemas.openxmlformats.org/officeDocument/2006/relationships/hyperlink" Target="https://contrataciondelestado.es/FileSystem/servlet/GetDocumentByIdServlet?cifrado=QUC1GjXXSiLkydRHJBmbpw%3D%3D&amp;DocumentIdParam=czdQ9lSRc6AYvq0eIWVpSKb8UUuQLk6hGrY42dMa8YkBslcRXJzDpisSaVqQdPFkcpnTs4qWLLKWVzUgx1eILFjGUSAAlTsfbyJ4TeE9R6Jt/o8fNevwsujgRzaBbugn" TargetMode="External" Id="rId2452" /><Relationship Type="http://schemas.openxmlformats.org/officeDocument/2006/relationships/hyperlink" Target="https://contrataciondelestado.es/wps/poc?uri=deeplink:detalle_licitacion&amp;idEvl=ohSmQ4QC1gceIBJRHQiPkQ%3D%3D" TargetMode="External" Id="rId2453" /><Relationship Type="http://schemas.openxmlformats.org/officeDocument/2006/relationships/hyperlink" Target="https://contrataciondelestado.es/FileSystem/servlet/GetDocumentByIdServlet?cifrado=QUC1GjXXSiLkydRHJBmbpw%3D%3D&amp;DocumentIdParam=tIpzzNDql23rPOFPTI%2Bf8mVOoe6Zo8IEHB9VTZWNlRAqLaMORZONWsdUQOkQ3Rge/FbbTE/aBjBVwRZ59n4gwHd5YZBjpxAh82rWL7rWLhj6CYyL7SIrUOBFfNf52ZqA" TargetMode="External" Id="rId2454" /><Relationship Type="http://schemas.openxmlformats.org/officeDocument/2006/relationships/hyperlink" Target="https://contrataciondelestado.es/wps/poc?uri=deeplink:detalle_licitacion&amp;idEvl=Wrxl0EgFSjK9Hd5zqvq9cg%3D%3D" TargetMode="External" Id="rId2455" /><Relationship Type="http://schemas.openxmlformats.org/officeDocument/2006/relationships/hyperlink" Target="https://contrataciondelestado.es/FileSystem/servlet/GetDocumentByIdServlet?cifrado=QUC1GjXXSiLkydRHJBmbpw%3D%3D&amp;DocumentIdParam=5d27Fy6PN2NayzE5XHnz%2B2tfim2WZXtGwY5rhZagQgSK9JRpf9u5hYXyiyGuh4mw8wOt5Dhituoy4ZqWCKf5P7NzuVls/A6ZuPJLWmYgqGqB0nvVKRzfe4rpHcnlPhSZ" TargetMode="External" Id="rId2456" /><Relationship Type="http://schemas.openxmlformats.org/officeDocument/2006/relationships/hyperlink" Target="https://contrataciondelestado.es/wps/poc?uri=deeplink:detalle_licitacion&amp;idEvl=pAIEME7RW4qLAncw3qdZkA%3D%3D" TargetMode="External" Id="rId2457" /><Relationship Type="http://schemas.openxmlformats.org/officeDocument/2006/relationships/hyperlink" Target="https://contrataciondelestado.es/FileSystem/servlet/GetDocumentByIdServlet?cifrado=QUC1GjXXSiLkydRHJBmbpw%3D%3D&amp;DocumentIdParam=5TnW6LkgSoy%2BNB4ILoIzPiSD0qp4s/Erlf4pdr%2BiyA3dwZt/62NNoJpcxnQiNj92pwmr8XA4vHweQa6jUYtcpEhLiBVJiJnmxT3wcXHLryL6CYyL7SIrUOBFfNf52ZqA" TargetMode="External" Id="rId2458" /><Relationship Type="http://schemas.openxmlformats.org/officeDocument/2006/relationships/hyperlink" Target="https://contrataciondelestado.es/wps/poc?uri=deeplink:detalle_licitacion&amp;idEvl=cyWmr%2By%2Fi0710HRJw8TEnQ%3D%3D" TargetMode="External" Id="rId2459" /><Relationship Type="http://schemas.openxmlformats.org/officeDocument/2006/relationships/hyperlink" Target="https://contrataciondelestado.es/FileSystem/servlet/GetDocumentByIdServlet?cifrado=QUC1GjXXSiLkydRHJBmbpw%3D%3D&amp;DocumentIdParam=V0U%2BlN0xqCUr6y8zOiFemccr4mvUNTZvCyxS3Lhr60pRk7bqOg4smEeCdjCm6NifXVqCjFJJX1%2BF%2BK1fiPLpdQu/hWV5yuht4O3lE/85y8s//q7NB2iMZvNyf0xrJmjt" TargetMode="External" Id="rId2460" /><Relationship Type="http://schemas.openxmlformats.org/officeDocument/2006/relationships/hyperlink" Target="https://contrataciondelestado.es/wps/poc?uri=deeplink:detalle_licitacion&amp;idEvl=FrBWFEkl8iL9pbnDwlaUlg%3D%3D" TargetMode="External" Id="rId2461" /><Relationship Type="http://schemas.openxmlformats.org/officeDocument/2006/relationships/hyperlink" Target="https://contrataciondelestado.es/FileSystem/servlet/GetDocumentByIdServlet?cifrado=QUC1GjXXSiLkydRHJBmbpw%3D%3D&amp;DocumentIdParam=t58IGXl1DioAbi78WHuKzvD98i6lWk6aRDAUTTUr2MuaXjHk2ByMbQg8utyapxrZbIssDEjgYI%2BYABDUXynLjHJ9UEJr3Zq0h27So3QE4%2BEZyAJWGsSt0OzTSTyw9JAs" TargetMode="External" Id="rId2462" /><Relationship Type="http://schemas.openxmlformats.org/officeDocument/2006/relationships/hyperlink" Target="https://contrataciondelestado.es/wps/poc?uri=deeplink:detalle_licitacion&amp;idEvl=Ww7vwz6ExHr%2B3JAijKO%2Bkg%3D%3D" TargetMode="External" Id="rId2463" /><Relationship Type="http://schemas.openxmlformats.org/officeDocument/2006/relationships/hyperlink" Target="https://contrataciondelestado.es/FileSystem/servlet/GetDocumentByIdServlet?cifrado=QUC1GjXXSiLkydRHJBmbpw%3D%3D&amp;DocumentIdParam=wqlOwr5yJTSdUVi4Qde1eCmPlL2KkBooOSWZKRrX%2BL6iothkddelROaGNvXH1YntZ38aLvbkSBbt3/V8iW0Vwu40kWGm6cwW6lKjzFd4mGFJOVDbGCDM%2BMigrvuVS7Rv" TargetMode="External" Id="rId2464" /><Relationship Type="http://schemas.openxmlformats.org/officeDocument/2006/relationships/hyperlink" Target="https://contrataciondelestado.es/wps/poc?uri=deeplink:detalle_licitacion&amp;idEvl=JGSyn9tK5QnpxJFXpLZ%2B2A%3D%3D" TargetMode="External" Id="rId2465" /><Relationship Type="http://schemas.openxmlformats.org/officeDocument/2006/relationships/hyperlink" Target="https://contrataciondelestado.es/FileSystem/servlet/GetDocumentByIdServlet?cifrado=QUC1GjXXSiLkydRHJBmbpw%3D%3D&amp;DocumentIdParam=QOXm2O5CDAu%2BIemTumNkjnqgYNf/LGczTdp4A3/Xf0Olo8MKqhcbAQxIDoiGZ1uHw0Z/wcMHTVe1wsexkGxmnpizLvWsh5vyhBRk5XYVHGQC1/zDIE0Kw/PWNnLS0Z0z" TargetMode="External" Id="rId2466" /><Relationship Type="http://schemas.openxmlformats.org/officeDocument/2006/relationships/hyperlink" Target="https://contrataciondelestado.es/wps/poc?uri=deeplink:detalle_licitacion&amp;idEvl=g4rtWQ2lC4jL1rX3q%2FMAPA%3D%3D" TargetMode="External" Id="rId2467" /><Relationship Type="http://schemas.openxmlformats.org/officeDocument/2006/relationships/hyperlink" Target="https://contrataciondelestado.es/FileSystem/servlet/GetDocumentByIdServlet?cifrado=QUC1GjXXSiLkydRHJBmbpw%3D%3D&amp;DocumentIdParam=%2ByRnY6I4M82gp5Nd8KbUAWzyeYL29BshOGhO8bgKZbE64CiGKztQ9CmJTEkStrGWkKOFrMWASx1zOmLz5zkB00LsCziN83aF8hHCvfvbLgffdyQgZAdTm3EfcUAC7CJ6" TargetMode="External" Id="rId2468" /><Relationship Type="http://schemas.openxmlformats.org/officeDocument/2006/relationships/hyperlink" Target="https://contrataciondelestado.es/wps/poc?uri=deeplink:detalle_licitacion&amp;idEvl=F%2F2zB0IVgI07%2B9FIQYNjeQ%3D%3D" TargetMode="External" Id="rId2469" /><Relationship Type="http://schemas.openxmlformats.org/officeDocument/2006/relationships/hyperlink" Target="https://contrataciondelestado.es/FileSystem/servlet/GetDocumentByIdServlet?cifrado=QUC1GjXXSiLkydRHJBmbpw%3D%3D&amp;DocumentIdParam=2XUsAwKMa6y3uWVk7iy8BtUXfHIrDny2mvoxOHvzfBjktth8ichAyZiU4W0mLQQfi/2UAeTkC3%2BaJABEl933tU0YnPfqDpmiWoQIA9DdfhqB0nvVKRzfe4rpHcnlPhSZ" TargetMode="External" Id="rId2470" /><Relationship Type="http://schemas.openxmlformats.org/officeDocument/2006/relationships/hyperlink" Target="https://contrataciondelestado.es/wps/poc?uri=deeplink:detalle_licitacion&amp;idEvl=JV2Y%2FI7YtNcl5NjlNci%2BtA%3D%3D" TargetMode="External" Id="rId2471" /><Relationship Type="http://schemas.openxmlformats.org/officeDocument/2006/relationships/hyperlink" Target="https://contrataciondelestado.es/FileSystem/servlet/GetDocumentByIdServlet?cifrado=QUC1GjXXSiLkydRHJBmbpw%3D%3D&amp;DocumentIdParam=ffCUWh/BB05kqCcJ63fhpQdvjUwHMAJq/rKmMmHN6vcFDZVpZ3Lnq9Ks7oO4QElntMOxGXU6Z6DBnNsrw/D1dE8e9xVQzdfvcYcExwm13p5JOVDbGCDM%2BMigrvuVS7Rv" TargetMode="External" Id="rId2472" /><Relationship Type="http://schemas.openxmlformats.org/officeDocument/2006/relationships/hyperlink" Target="https://contrataciondelestado.es/wps/poc?uri=deeplink:detalle_licitacion&amp;idEvl=lBfM56FxMz310HRJw8TEnQ%3D%3D" TargetMode="External" Id="rId2473" /><Relationship Type="http://schemas.openxmlformats.org/officeDocument/2006/relationships/hyperlink" Target="https://contrataciondelestado.es/FileSystem/servlet/GetDocumentByIdServlet?cifrado=QUC1GjXXSiLkydRHJBmbpw%3D%3D&amp;DocumentIdParam=u7H7/a3c5wq7OJKlp8jNJF2C/%2B50V15vaZzFAmv9rEsoRiwBbLy7jbpG%2BY3Upiz4DZvrZgc/DY/TZV9vg5Yr66TwLfhk64dz9rGvs0StI7SCx2e6p7hqtlp2aFupgHMr" TargetMode="External" Id="rId2474" /><Relationship Type="http://schemas.openxmlformats.org/officeDocument/2006/relationships/hyperlink" Target="https://contrataciondelestado.es/wps/poc?uri=deeplink:detalle_licitacion&amp;idEvl=AGS%2BWfY9YGvs%2BnLj3vAg5A%3D%3D" TargetMode="External" Id="rId2475" /><Relationship Type="http://schemas.openxmlformats.org/officeDocument/2006/relationships/hyperlink" Target="https://contrataciondelestado.es/FileSystem/servlet/GetDocumentByIdServlet?DocumentIdParam=mC2hMd5WqpVdPNsdU95MVV6Ey7QhO55h5cBlFpWZaSWxODhgqGf9eJ16nlk92plH43aWya/fRdcf2iMgErasqdqBje172YEl%2Bkw8sDq%2BApLfdyQgZAdTm3EfcUAC7CJ6&amp;cifrado=QUC1GjXXSiLkydRHJBmbpw%3D%3D" TargetMode="External" Id="rId2476" /><Relationship Type="http://schemas.openxmlformats.org/officeDocument/2006/relationships/hyperlink" Target="https://contrataciondelestado.es/wps/poc?uri=deeplink:detalle_licitacion&amp;idEvl=vQW6S4bEywSrz3GQd5r6SQ%3D%3D" TargetMode="External" Id="rId2477" /><Relationship Type="http://schemas.openxmlformats.org/officeDocument/2006/relationships/hyperlink" Target="https://contrataciondelestado.es/wps/wcm/connect/PLACE_es/Site/area/docAccCmpnt?srv=cmpnt&amp;cmpntname=GetDocumentsById&amp;source=library&amp;DocumentIdParam=5f563ebe-7df5-44b5-b90c-bcc24397693d" TargetMode="External" Id="rId2478" /><Relationship Type="http://schemas.openxmlformats.org/officeDocument/2006/relationships/hyperlink" Target="https://contrataciondelestado.es/wps/poc?uri=deeplink:detalle_licitacion&amp;idEvl=FC6NjBJiH5g36J9Lctlsuw%3D%3D" TargetMode="External" Id="rId2479" /><Relationship Type="http://schemas.openxmlformats.org/officeDocument/2006/relationships/hyperlink" Target="https://contrataciondelestado.es/wps/poc?uri=deeplink:detalle_licitacion&amp;idEvl=CXaik5v%2F%2FGrLIx6q1oPaMg%3D%3D" TargetMode="External" Id="rId2480" /><Relationship Type="http://schemas.openxmlformats.org/officeDocument/2006/relationships/hyperlink" Target="https://contrataciondelestado.es/FileSystem/servlet/GetDocumentByIdServlet?cifrado=QUC1GjXXSiLkydRHJBmbpw%3D%3D&amp;DocumentIdParam=DjPw73wMgJuAAq9Za%2BzFl9xNnrZPpuiPNjijC9dFDJ%2B3PY4Ia7nno2hl8MX/lGqT7mG7j4Xu%2ButeJYbC7WJceTWoqgbj6EKpWGd89FcbAIhJOVDbGCDM%2BMigrvuVS7Rv" TargetMode="External" Id="rId2481" /><Relationship Type="http://schemas.openxmlformats.org/officeDocument/2006/relationships/hyperlink" Target="https://contrataciondelestado.es/wps/poc?uri=deeplink:detalle_licitacion&amp;idEvl=FA3vWLATt8azz8fXU2i3eQ%3D%3D" TargetMode="External" Id="rId2482" /><Relationship Type="http://schemas.openxmlformats.org/officeDocument/2006/relationships/hyperlink" Target="https://contrataciondelestado.es/FileSystem/servlet/GetDocumentByIdServlet?cifrado=QUC1GjXXSiLkydRHJBmbpw%3D%3D&amp;DocumentIdParam=sa9/%2B/yfghqWjsYIG9cTR4hwL9vqpZd2Ys5Wh6nvXDRA78XSg5R7Og7Wxb1QvSQIVCWG6AiRGR4WbUJHaSdPKcXXUPXxqgndBQMA4/gygz%2BB0nvVKRzfe4rpHcnlPhSZ" TargetMode="External" Id="rId2483" /><Relationship Type="http://schemas.openxmlformats.org/officeDocument/2006/relationships/hyperlink" Target="https://contrataciondelestado.es/wps/poc?uri=deeplink:detalle_licitacion&amp;idEvl=PxwtSfDhw7GIzo3LHNPGcQ%3D%3D" TargetMode="External" Id="rId2484" /><Relationship Type="http://schemas.openxmlformats.org/officeDocument/2006/relationships/hyperlink" Target="https://contrataciondelestado.es/FileSystem/servlet/GetDocumentByIdServlet?cifrado=QUC1GjXXSiLkydRHJBmbpw%3D%3D&amp;DocumentIdParam=dzE%2BmfcwsJgmSWnvn16pjZ1p8luM5KxjnoK0%2BQGeST/iAdLZ06n6MQafnHS1txjkpbPIXZhFWtxUBSF7EXqC7PAZVr4dk9hnzD2sTW4RdtzVTD3T98KC0nSgQFM0q%2B5s" TargetMode="External" Id="rId2485" /><Relationship Type="http://schemas.openxmlformats.org/officeDocument/2006/relationships/hyperlink" Target="https://contrataciondelestado.es/wps/poc?uri=deeplink:detalle_licitacion&amp;idEvl=UmmFdvb8hGrmnwcj%2BxbdTg%3D%3D" TargetMode="External" Id="rId2486" /><Relationship Type="http://schemas.openxmlformats.org/officeDocument/2006/relationships/hyperlink" Target="https://contrataciondelestado.es/FileSystem/servlet/GetDocumentByIdServlet?cifrado=QUC1GjXXSiLkydRHJBmbpw%3D%3D&amp;DocumentIdParam=O2X2wvaVdax63WHcYV%2BvqWoFJU1qkYXygnH6XqSwpEM14GMFLHVa%2BvCUrxdiKFwZIR0tO4mNnMgSQfHvG54vh%2Br4L%2BfHQGKhrd2AYyazoeB45ClyWkoJ44mKM70IFcOu" TargetMode="External" Id="rId2487" /><Relationship Type="http://schemas.openxmlformats.org/officeDocument/2006/relationships/hyperlink" Target="https://contrataciondelestado.es/wps/poc?uri=deeplink:detalle_licitacion&amp;idEvl=eZ5aQ11JYVmOUi78BmzhOQ%3D%3D" TargetMode="External" Id="rId2488" /><Relationship Type="http://schemas.openxmlformats.org/officeDocument/2006/relationships/hyperlink" Target="https://contrataciondelestado.es/FileSystem/servlet/GetDocumentByIdServlet?cifrado=QUC1GjXXSiLkydRHJBmbpw%3D%3D&amp;DocumentIdParam=2OLTpLHS0C10ZxEecqYgmxVMqiQ8KXAQO4wFqBJ8n7bNJ5TdLnj/2O9ALKucjostzkROmapCK7EJoMraCdMrWXpnyEArAcGvdbS9gPsaJdz6CYyL7SIrUOBFfNf52ZqA" TargetMode="External" Id="rId2489" /><Relationship Type="http://schemas.openxmlformats.org/officeDocument/2006/relationships/hyperlink" Target="https://contrataciondelestado.es/wps/poc?uri=deeplink:detalle_licitacion&amp;idEvl=%2BBxKwprdo7GTylGzYmBF9Q%3D%3D" TargetMode="External" Id="rId2490" /><Relationship Type="http://schemas.openxmlformats.org/officeDocument/2006/relationships/hyperlink" Target="https://contrataciondelestado.es/FileSystem/servlet/GetDocumentByIdServlet?cifrado=QUC1GjXXSiLkydRHJBmbpw%3D%3D&amp;DocumentIdParam=ILIyokYIIatMQPxF8wBAyPJOXJDB9bwIEQ1p/Ojsxu26/s6BgVPV0BnoLcp1CDmoq3fMHSJj9VRwBk7Kj5aMWu7To36IWQbJiywkJHVsISR7QB3HKyQaFUExmUVQCerk" TargetMode="External" Id="rId2491" /><Relationship Type="http://schemas.openxmlformats.org/officeDocument/2006/relationships/hyperlink" Target="https://contrataciondelestado.es/wps/poc?uri=deeplink:detalle_licitacion&amp;idEvl=n5Xl626%2BbwE%2FbjW6njtWLw%3D%3D" TargetMode="External" Id="rId2492" /><Relationship Type="http://schemas.openxmlformats.org/officeDocument/2006/relationships/hyperlink" Target="https://contrataciondelestado.es/FileSystem/servlet/GetDocumentByIdServlet?cifrado=QUC1GjXXSiLkydRHJBmbpw%3D%3D&amp;DocumentIdParam=eTWX4LxBKCNggSFY/MFoxNNuZ2F0yoqSNwW4w6MCyI68k7oIEJr9sUJCM6IWNZbfCPxlHeUCAh3UUhB/zsF9UltWxAdtddLhV2%2BuPL7LUc6B0nvVKRzfe4rpHcnlPhSZ" TargetMode="External" Id="rId2493" /><Relationship Type="http://schemas.openxmlformats.org/officeDocument/2006/relationships/hyperlink" Target="https://contrataciondelestado.es/wps/poc?uri=deeplink:detalle_licitacion&amp;idEvl=KoGzOnocmta9Hd5zqvq9cg%3D%3D" TargetMode="External" Id="rId2494" /><Relationship Type="http://schemas.openxmlformats.org/officeDocument/2006/relationships/hyperlink" Target="https://contrataciondelestado.es/FileSystem/servlet/GetDocumentByIdServlet?cifrado=QUC1GjXXSiLkydRHJBmbpw%3D%3D&amp;DocumentIdParam=ShTHsllbsRT8JWlMc9zCJyoVnP8t3HpLxfJ88U3f%2B0XYRXYP6mC2HlKytNo3IwDGAvV235vqGygEpWS6fQ3JUUshbtzjQ8V6y%2BAE/R4OxwTDdQD9RyhUmzT4jZ2In4zL" TargetMode="External" Id="rId2495" /><Relationship Type="http://schemas.openxmlformats.org/officeDocument/2006/relationships/hyperlink" Target="https://contrataciondelestado.es/wps/poc?uri=deeplink:detalle_licitacion&amp;idEvl=4kSJW5lFiFlVYjgxA4nMUw%3D%3D" TargetMode="External" Id="rId2496" /><Relationship Type="http://schemas.openxmlformats.org/officeDocument/2006/relationships/hyperlink" Target="https://contrataciondelestado.es/FileSystem/servlet/GetDocumentByIdServlet?cifrado=QUC1GjXXSiLkydRHJBmbpw%3D%3D&amp;DocumentIdParam=BGOr8FsHKdWWQ77MyDrR7H89TUGZxZHtwU%2BMIajt6GycmS90re0hQXLqvTsHCN5oZdAEKKmqhWf7utmiQsWYKnHcrVeOJv7jDIovv4TwL%2BE//q7NB2iMZvNyf0xrJmjt" TargetMode="External" Id="rId2497" /><Relationship Type="http://schemas.openxmlformats.org/officeDocument/2006/relationships/hyperlink" Target="https://contrataciondelestado.es/wps/poc?uri=deeplink:detalle_licitacion&amp;idEvl=inw0ndhCO5aXQV0WE7lYPw%3D%3D" TargetMode="External" Id="rId2498" /><Relationship Type="http://schemas.openxmlformats.org/officeDocument/2006/relationships/hyperlink" Target="https://contrataciondelestado.es/wps/wcm/connect/PLACE_es/Site/area/docAccCmpnt?srv=cmpnt&amp;cmpntname=GetDocumentsById&amp;source=library&amp;DocumentIdParam=573a3e96-4b49-462f-823d-148331794265" TargetMode="External" Id="rId2499" /><Relationship Type="http://schemas.openxmlformats.org/officeDocument/2006/relationships/hyperlink" Target="https://contrataciondelestado.es/wps/poc?uri=deeplink:detalle_licitacion&amp;idEvl=y2sOo0Ib7Uc4NavIWzMcHA%3D%3D" TargetMode="External" Id="rId2500" /><Relationship Type="http://schemas.openxmlformats.org/officeDocument/2006/relationships/hyperlink" Target="https://contrataciondelestado.es/FileSystem/servlet/GetDocumentByIdServlet?cifrado=QUC1GjXXSiLkydRHJBmbpw%3D%3D&amp;DocumentIdParam=u0iSu/9Wo9GIscCDz8LrxezKyrySij/mLi3AtpFNcWUWEa2VfpHNWw%2BPVI%2BNEzFfBmXBeqfV/DySsRVKMAnIb5WxxcH/5QaRga2bGOc9BvTfdyQgZAdTm3EfcUAC7CJ6" TargetMode="External" Id="rId2501" /><Relationship Type="http://schemas.openxmlformats.org/officeDocument/2006/relationships/hyperlink" Target="https://contrataciondelestado.es/wps/poc?uri=deeplink:detalle_licitacion&amp;idEvl=hcE9I6Q8wRhVq4S9zvaQpQ%3D%3D" TargetMode="External" Id="rId2502" /><Relationship Type="http://schemas.openxmlformats.org/officeDocument/2006/relationships/hyperlink" Target="https://contrataciondelestado.es/FileSystem/servlet/GetDocumentByIdServlet?cifrado=QUC1GjXXSiLkydRHJBmbpw%3D%3D&amp;DocumentIdParam=cu0ZjbwUau8x/ecLmW4YGZhw9oAkPpzUHjW8QtG9U75UwuH5Lx1D7HxhxVCwc57dJ5sU1538nPeJZD8G6VhSPbOIudvzuL1tDYHlB0y%2Bq%2B/VTD3T98KC0nSgQFM0q%2B5s" TargetMode="External" Id="rId2503" /><Relationship Type="http://schemas.openxmlformats.org/officeDocument/2006/relationships/hyperlink" Target="https://contrataciondelestado.es/wps/poc?uri=deeplink:detalle_licitacion&amp;idEvl=g8KxJV%2BYRz7CfVQHDepjGQ%3D%3D" TargetMode="External" Id="rId2504" /><Relationship Type="http://schemas.openxmlformats.org/officeDocument/2006/relationships/hyperlink" Target="https://contrataciondelestado.es/FileSystem/servlet/GetDocumentByIdServlet?cifrado=QUC1GjXXSiLkydRHJBmbpw%3D%3D&amp;DocumentIdParam=1uzAViQGq71KxYaWhraCKUCTQ3PxoEzvqUYRN4XRQa3iKxtURZfKg8GArFfHoYVrI6pjvma16o4g/HGmm6OqK3HArchAKtGZUKVBsBhnHb0C1/zDIE0Kw/PWNnLS0Z0z" TargetMode="External" Id="rId2505" /><Relationship Type="http://schemas.openxmlformats.org/officeDocument/2006/relationships/hyperlink" Target="https://contrataciondelestado.es/wps/poc?uri=deeplink:detalle_licitacion&amp;idEvl=w03ZYjjW3pNxseVhcqrkhw%3D%3D" TargetMode="External" Id="rId2506" /><Relationship Type="http://schemas.openxmlformats.org/officeDocument/2006/relationships/hyperlink" Target="https://contrataciondelestado.es/FileSystem/servlet/GetDocumentByIdServlet?cifrado=QUC1GjXXSiLkydRHJBmbpw%3D%3D&amp;DocumentIdParam=%2Bl0bg3tkbr33KSyq1vY4dFmNcckziKjCwazyijVHsYo/PM%2BDA5mEuDRQp468m6OWEuub/4EPdNwPQbqmKcHt5CGHdtF2o6RIJ5ScF%2BWY9BTDdQD9RyhUmzT4jZ2In4zL" TargetMode="External" Id="rId2507" /><Relationship Type="http://schemas.openxmlformats.org/officeDocument/2006/relationships/hyperlink" Target="https://contrataciondelestado.es/wps/poc?uri=deeplink:detalle_licitacion&amp;idEvl=OX0z3e74oC4ZDGvgaZEVxQ%3D%3D" TargetMode="External" Id="rId2508" /><Relationship Type="http://schemas.openxmlformats.org/officeDocument/2006/relationships/hyperlink" Target="https://contrataciondelestado.es/FileSystem/servlet/GetDocumentByIdServlet?cifrado=QUC1GjXXSiLkydRHJBmbpw%3D%3D&amp;DocumentIdParam=ytX%2BrL7pPXhbxK7cnb6UDexPafbPSVswPgLzXt/gCP7MUfkMK7e1SUQ4R0Xj4AfpzOlHHYZVe6RaTc9skceSJZhwK8kiBN7DRbuLGQPMDtaCx2e6p7hqtlp2aFupgHMr" TargetMode="External" Id="rId2509" /><Relationship Type="http://schemas.openxmlformats.org/officeDocument/2006/relationships/hyperlink" Target="https://contrataciondelestado.es/wps/poc?uri=deeplink:detalle_licitacion&amp;idEvl=xKQ3XwR8lt2TylGzYmBF9Q%3D%3D" TargetMode="External" Id="rId2510" /><Relationship Type="http://schemas.openxmlformats.org/officeDocument/2006/relationships/hyperlink" Target="https://contrataciondelestado.es/FileSystem/servlet/GetDocumentByIdServlet?cifrado=QUC1GjXXSiLkydRHJBmbpw%3D%3D&amp;DocumentIdParam=gyHkBpmyVoS/bUQsQIMiimiFPEmf/FPY7CkW5ZQvIdMy2wREXK6djlMjFnUTkV6ZL%2Bx5LjlnSW92PngqvdiMiRViE0GBymTc80WC6cLKb0Zt/o8fNevwsujgRzaBbugn" TargetMode="External" Id="rId2511" /><Relationship Type="http://schemas.openxmlformats.org/officeDocument/2006/relationships/hyperlink" Target="https://contrataciondelestado.es/wps/poc?uri=deeplink:detalle_licitacion&amp;idEvl=OTphGj8qiOgXhk1FZxEyvw%3D%3D" TargetMode="External" Id="rId2512" /><Relationship Type="http://schemas.openxmlformats.org/officeDocument/2006/relationships/hyperlink" Target="https://contrataciondelestado.es/FileSystem/servlet/GetDocumentByIdServlet?cifrado=QUC1GjXXSiLkydRHJBmbpw%3D%3D&amp;DocumentIdParam=XBnODeFTW7x/WgUKXSZ/Ezx2xGIu6lXAF/QjONdOp1ihElZjQLFQK6Mk4FlvBDEtjNwMe04R3Lco1VzHKnemPdJY4iDHv0YgUbH%2BEH2s8qBJOVDbGCDM%2BMigrvuVS7Rv" TargetMode="External" Id="rId2513" /><Relationship Type="http://schemas.openxmlformats.org/officeDocument/2006/relationships/hyperlink" Target="https://contrataciondelestado.es/wps/poc?uri=deeplink:detalle_licitacion&amp;idEvl=tmp%2FWDb6wYfVGIpKDxgsAQ%3D%3D" TargetMode="External" Id="rId2514" /><Relationship Type="http://schemas.openxmlformats.org/officeDocument/2006/relationships/hyperlink" Target="https://contrataciondelestado.es/FileSystem/servlet/GetDocumentByIdServlet?cifrado=QUC1GjXXSiLkydRHJBmbpw%3D%3D&amp;DocumentIdParam=YxJx8OrqRv9vADcOyOaOGSEjou6i9KF0vZzISJQM7snohRieXIJbYfeS3MJuZZG7CbICIuNf4bSL1pGqPFfM1Fw/WNVMdEQlwNklvT81jhJ45ClyWkoJ44mKM70IFcOu" TargetMode="External" Id="rId2515" /><Relationship Type="http://schemas.openxmlformats.org/officeDocument/2006/relationships/hyperlink" Target="https://contrataciondelestado.es/wps/poc?uri=deeplink:detalle_licitacion&amp;idEvl=ex5pThvwStFxseVhcqrkhw%3D%3D" TargetMode="External" Id="rId2516" /><Relationship Type="http://schemas.openxmlformats.org/officeDocument/2006/relationships/hyperlink" Target="https://contrataciondelestado.es/FileSystem/servlet/GetDocumentByIdServlet?cifrado=QUC1GjXXSiLkydRHJBmbpw%3D%3D&amp;DocumentIdParam=kbDlAbAfJjR0poAtv%2BrGkfqtVqrV3HieGgNWfQJ71imPKVIAP/NynRtifM4xBiKbt87qYoCTKM7VJnvvyjSsmdPA2zjCyayyhH45tS5IpKcC1/zDIE0Kw/PWNnLS0Z0z" TargetMode="External" Id="rId2517" /><Relationship Type="http://schemas.openxmlformats.org/officeDocument/2006/relationships/hyperlink" Target="https://contrataciondelestado.es/wps/poc?uri=deeplink:detalle_licitacion&amp;idEvl=yIKWbglVHAYkJPJS%2BPS9vg%3D%3D" TargetMode="External" Id="rId2518" /><Relationship Type="http://schemas.openxmlformats.org/officeDocument/2006/relationships/hyperlink" Target="https://contrataciondelestado.es/FileSystem/servlet/GetDocumentByIdServlet?cifrado=QUC1GjXXSiLkydRHJBmbpw%3D%3D&amp;DocumentIdParam=EW%2BvYOk/kcqWGKG7QmIUh4dc8y5z27KhI5MX7fVdzvewvmic7yeH3U9Y%2BenKKTye9zce75OPB8EMZAa1WlSBmu20uipdyzTRJ6NXJqgDCA0C1/zDIE0Kw/PWNnLS0Z0z" TargetMode="External" Id="rId2519" /><Relationship Type="http://schemas.openxmlformats.org/officeDocument/2006/relationships/hyperlink" Target="https://contrataciondelestado.es/wps/poc?uri=deeplink:detalle_licitacion&amp;idEvl=H9JqPzERxOO7JOCXkOhcDg%3D%3D" TargetMode="External" Id="rId2520" /><Relationship Type="http://schemas.openxmlformats.org/officeDocument/2006/relationships/hyperlink" Target="https://contrataciondelestado.es/FileSystem/servlet/GetDocumentByIdServlet?cifrado=QUC1GjXXSiLkydRHJBmbpw%3D%3D&amp;DocumentIdParam=Y0T0xMB6mBc/D42kg%2B916lNowHxWKfklOQ%2B1blrwwXu3TFZTa3q2bIIdhb9D2ICuaKPRmTvqLpq4b/xeJG1sSpzJKbstbakhB3HxugxZhVe1aXEvq3KHa/AEHgtDrQw0" TargetMode="External" Id="rId2521" /><Relationship Type="http://schemas.openxmlformats.org/officeDocument/2006/relationships/hyperlink" Target="https://contrataciondelestado.es/wps/poc?uri=deeplink:detalle_licitacion&amp;idEvl=tgDwsGTYAO8eIBJRHQiPkQ%3D%3D" TargetMode="External" Id="rId2522" /><Relationship Type="http://schemas.openxmlformats.org/officeDocument/2006/relationships/hyperlink" Target="https://contrataciondelestado.es/FileSystem/servlet/GetDocumentByIdServlet?cifrado=QUC1GjXXSiLkydRHJBmbpw%3D%3D&amp;DocumentIdParam=BjGPPJVMaLhuuVM05xcLlPI2JMImPFIqjxXwMIQ8GPi5QNYKj8N52fEZoCk8Tonv5p9hp7XRC0D3%2BpDsYymhWtztA7Yd8FAZqktxiPdjyfSHAj0WEJrB5sP7amrh2jBD" TargetMode="External" Id="rId2523" /><Relationship Type="http://schemas.openxmlformats.org/officeDocument/2006/relationships/hyperlink" Target="https://contrataciondelestado.es/wps/poc?uri=deeplink:detalle_licitacion&amp;idEvl=juA3nitDfNUSugstABGr5A%3D%3D" TargetMode="External" Id="rId2524" /><Relationship Type="http://schemas.openxmlformats.org/officeDocument/2006/relationships/hyperlink" Target="https://contrataciondelestado.es/wps/wcm/connect/PLACE_es/Site/area/docAccCmpnt?srv=cmpnt&amp;cmpntname=GetDocumentsById&amp;source=library&amp;DocumentIdParam=4b7efdf9-f0f5-4193-8b9d-73ccb2120d7d" TargetMode="External" Id="rId2525" /><Relationship Type="http://schemas.openxmlformats.org/officeDocument/2006/relationships/hyperlink" Target="https://contrataciondelestado.es/wps/poc?uri=deeplink:detalle_licitacion&amp;idEvl=ncaQor%2BHQFhVYjgxA4nMUw%3D%3D" TargetMode="External" Id="rId2526" /><Relationship Type="http://schemas.openxmlformats.org/officeDocument/2006/relationships/hyperlink" Target="https://contrataciondelestado.es/wps/poc?uri=deeplink:detalle_licitacion&amp;idEvl=zUm0d6%2FXS8ceIBJRHQiPkQ%3D%3D" TargetMode="External" Id="rId2527" /><Relationship Type="http://schemas.openxmlformats.org/officeDocument/2006/relationships/hyperlink" Target="https://contrataciondelestado.es/FileSystem/servlet/GetDocumentByIdServlet?cifrado=QUC1GjXXSiLkydRHJBmbpw%3D%3D&amp;DocumentIdParam=C08xJkcnNDeNtpp4ZmmGei9ceHOBiF2azicRRx9XcWYViF6gtdkK13lc9vCGEAE3z2LYXcx7UYtYiJxH4nj9KYyADX8HowtCc7fYk/vmu/Q//q7NB2iMZvNyf0xrJmjt" TargetMode="External" Id="rId2528" /><Relationship Type="http://schemas.openxmlformats.org/officeDocument/2006/relationships/hyperlink" Target="https://contrataciondelestado.es/wps/poc?uri=deeplink:detalle_licitacion&amp;idEvl=YYVxrRLiDQ%2F9pbnDwlaUlg%3D%3D" TargetMode="External" Id="rId2529" /><Relationship Type="http://schemas.openxmlformats.org/officeDocument/2006/relationships/hyperlink" Target="https://contrataciondelestado.es/FileSystem/servlet/GetDocumentByIdServlet?cifrado=QUC1GjXXSiLkydRHJBmbpw%3D%3D&amp;DocumentIdParam=tvY2o3o5NhN5N0SeeyRcbwWHi3UZFrIluJLwn1lSUHea/aEeRoWFT/sRlWzVfBdUlqD2G8feuxEl4tUA1aIBrrsruFhysoorC66Z%2B9soR5p7QB3HKyQaFUExmUVQCerk" TargetMode="External" Id="rId2530" /><Relationship Type="http://schemas.openxmlformats.org/officeDocument/2006/relationships/hyperlink" Target="https://contrataciondelestado.es/wps/poc?uri=deeplink:detalle_licitacion&amp;idEvl=MgjOjzuhKWPECtSnloz%2BZQ%3D%3D" TargetMode="External" Id="rId2531" /><Relationship Type="http://schemas.openxmlformats.org/officeDocument/2006/relationships/hyperlink" Target="https://contrataciondelestado.es/FileSystem/servlet/GetDocumentByIdServlet?cifrado=QUC1GjXXSiLkydRHJBmbpw%3D%3D&amp;DocumentIdParam=fza%2BANc6WpxPRuo9Ms6spciUYxt8UfXPpgEL0ColYgEm8znRQgdJlIZNMuEAxtipA%2BGXY3diDdtMYJ5RJoC16uha6lg6S5fwiZCrEAum%2B6f6CYyL7SIrUOBFfNf52ZqA" TargetMode="External" Id="rId2532" /><Relationship Type="http://schemas.openxmlformats.org/officeDocument/2006/relationships/hyperlink" Target="https://contrataciondelestado.es/wps/poc?uri=deeplink:detalle_licitacion&amp;idEvl=ho%2FTS0NcFcBVkTabT%2FRM8A%3D%3D" TargetMode="External" Id="rId2533" /><Relationship Type="http://schemas.openxmlformats.org/officeDocument/2006/relationships/hyperlink" Target="https://contrataciondelestado.es/FileSystem/servlet/GetDocumentByIdServlet?cifrado=QUC1GjXXSiLkydRHJBmbpw%3D%3D&amp;DocumentIdParam=QfnWCtNd95E2MinC6QUdtp2UeKKxx4fW5l7RAZEKUZi2ZJ5hEDmfb7pzccFtb/HZiPoziJ%2BeafDEkjC1%2BEPEthIoPXrbW/k%2B/pkrPGop795JOVDbGCDM%2BMigrvuVS7Rv" TargetMode="External" Id="rId2534" /><Relationship Type="http://schemas.openxmlformats.org/officeDocument/2006/relationships/hyperlink" Target="https://contrataciondelestado.es/wps/poc?uri=deeplink:detalle_licitacion&amp;idEvl=c71Yhy4K%2FF436J9Lctlsuw%3D%3D" TargetMode="External" Id="rId2535" /><Relationship Type="http://schemas.openxmlformats.org/officeDocument/2006/relationships/hyperlink" Target="https://contrataciondelestado.es/FileSystem/servlet/GetDocumentByIdServlet?cifrado=QUC1GjXXSiLkydRHJBmbpw%3D%3D&amp;DocumentIdParam=aruGrDyvkEVY49jqLW%2BNCcZkWQz/PGDfncVJh5HOzB2V8R%2BjlymlgaLWhqfJWsN%2B9ehUJueybfwhERe7DEhPO5d8BUsFy%2BBky%2BYZqMzN0yGB0nvVKRzfe4rpHcnlPhSZ" TargetMode="External" Id="rId2536" /><Relationship Type="http://schemas.openxmlformats.org/officeDocument/2006/relationships/hyperlink" Target="https://contrataciondelestado.es/wps/poc?uri=deeplink:detalle_licitacion&amp;idEvl=0TF1X0GFm3N%2BF6L2uCfUWg%3D%3D" TargetMode="External" Id="rId2537" /><Relationship Type="http://schemas.openxmlformats.org/officeDocument/2006/relationships/hyperlink" Target="https://contrataciondelestado.es/FileSystem/servlet/GetDocumentByIdServlet?cifrado=QUC1GjXXSiLkydRHJBmbpw%3D%3D&amp;DocumentIdParam=Gsd9lgBhHR0TEkwmw8SaYqdRIVcR24hZPUzeIAuaL89Mo/aCW7bRBFKNJO6frHI4fyDTLbO7bekcLJb/ayaqgH9pZlHarpe9R3QSaYTcIQfDdQD9RyhUmzT4jZ2In4zL" TargetMode="External" Id="rId2538" /><Relationship Type="http://schemas.openxmlformats.org/officeDocument/2006/relationships/hyperlink" Target="https://contrataciondelestado.es/wps/poc?uri=deeplink:detalle_licitacion&amp;idEvl=SZl2LtxnbMB9Zh%2FyRJgM8w%3D%3D" TargetMode="External" Id="rId2539" /><Relationship Type="http://schemas.openxmlformats.org/officeDocument/2006/relationships/hyperlink" Target="https://contrataciondelestado.es/FileSystem/servlet/GetDocumentByIdServlet?cifrado=QUC1GjXXSiLkydRHJBmbpw%3D%3D&amp;DocumentIdParam=GfYQqCo9pQo0CIacKaCNstpNA2B3hWGod9Eft5m/PXB2zDyPEPhHkZRl/ndMESmuxj55NQwVczPj5U8HEWzXhEzkS1Uu/MhNbtuHJMGY1bTfdyQgZAdTm3EfcUAC7CJ6" TargetMode="External" Id="rId2540" /><Relationship Type="http://schemas.openxmlformats.org/officeDocument/2006/relationships/hyperlink" Target="https://contrataciondelestado.es/wps/poc?uri=deeplink:detalle_licitacion&amp;idEvl=2giZWkfwCBLVGIpKDxgsAQ%3D%3D" TargetMode="External" Id="rId2541" /><Relationship Type="http://schemas.openxmlformats.org/officeDocument/2006/relationships/hyperlink" Target="https://contrataciondelestado.es/FileSystem/servlet/GetDocumentByIdServlet?cifrado=QUC1GjXXSiLkydRHJBmbpw%3D%3D&amp;DocumentIdParam=UDxdIHtkcAbTBJ79eXQRHnSQzZuFSPewCF/8FNQDHG1ZyODNY1Gu%2B2e%2BSspiuQRRDX/PMa/E%2BSFRCXYdDkuF1zyvsi62r3FUC9gZNZREwLp7QB3HKyQaFUExmUVQCerk" TargetMode="External" Id="rId2542" /><Relationship Type="http://schemas.openxmlformats.org/officeDocument/2006/relationships/hyperlink" Target="https://contrataciondelestado.es/wps/poc?uri=deeplink:detalle_licitacion&amp;idEvl=j58ZF42XAHhxseVhcqrkhw%3D%3D" TargetMode="External" Id="rId2543" /><Relationship Type="http://schemas.openxmlformats.org/officeDocument/2006/relationships/hyperlink" Target="https://contrataciondelestado.es/FileSystem/servlet/GetDocumentByIdServlet?cifrado=QUC1GjXXSiLkydRHJBmbpw%3D%3D&amp;DocumentIdParam=M8q1PrJPgtDTgx/mH6jaq1iSX7z/Dl2buVM4C07ahipQtU0/NnggL%2BWCOUZe07J5otqfWWsRfU8aD1RYhcLaw4ZJjSXzV2MsZj4s4dZ7UtJJOVDbGCDM%2BMigrvuVS7Rv" TargetMode="External" Id="rId2544" /><Relationship Type="http://schemas.openxmlformats.org/officeDocument/2006/relationships/hyperlink" Target="https://contrataciondelestado.es/wps/poc?uri=deeplink:detalle_licitacion&amp;idEvl=7FuXNH%2FEi3y5HQrHoP3G5A%3D%3D" TargetMode="External" Id="rId2545" /><Relationship Type="http://schemas.openxmlformats.org/officeDocument/2006/relationships/hyperlink" Target="https://contrataciondelestado.es/FileSystem/servlet/GetDocumentByIdServlet?cifrado=QUC1GjXXSiLkydRHJBmbpw%3D%3D&amp;DocumentIdParam=B9La4HDVeleszJ1lSsxVV4oM0Hc4nCey7mDRrj53fGo30JV%2B4QokpWoHyyQfx%2BsQF81wSLslZfEOKn4hzhgSjDR3f5o3mmYq3/t8bB4UE00ZyAJWGsSt0OzTSTyw9JAs" TargetMode="External" Id="rId2546" /><Relationship Type="http://schemas.openxmlformats.org/officeDocument/2006/relationships/hyperlink" Target="https://contrataciondelestado.es/wps/poc?uri=deeplink:detalle_licitacion&amp;idEvl=9pxD01nIKJsUqXM96WStVA%3D%3D" TargetMode="External" Id="rId2547" /><Relationship Type="http://schemas.openxmlformats.org/officeDocument/2006/relationships/hyperlink" Target="https://contrataciondelestado.es/FileSystem/servlet/GetDocumentByIdServlet?cifrado=QUC1GjXXSiLkydRHJBmbpw%3D%3D&amp;DocumentIdParam=RXFl27AmNBLScbAwWhRWbG6YX1OmCQl76JJED158TSylpxkkURY54rCzu7D%2BLxch8uzN6u/5r0j99zXFL6XbV0wv3Pg8R3RD3gujEakQ7Hj6CYyL7SIrUOBFfNf52ZqA" TargetMode="External" Id="rId2548" /><Relationship Type="http://schemas.openxmlformats.org/officeDocument/2006/relationships/hyperlink" Target="https://contrataciondelestado.es/wps/poc?uri=deeplink:detalle_licitacion&amp;idEvl=L9ReCqYRR1%2BKeVWTb9Scog%3D%3D" TargetMode="External" Id="rId2549" /><Relationship Type="http://schemas.openxmlformats.org/officeDocument/2006/relationships/hyperlink" Target="https://contrataciondelestado.es/wps/poc?uri=deeplink:detalle_licitacion&amp;idEvl=9fqUJRSYgQt70UvEyYJSGw%3D%3D" TargetMode="External" Id="rId2550" /><Relationship Type="http://schemas.openxmlformats.org/officeDocument/2006/relationships/hyperlink" Target="https://contrataciondelestado.es/FileSystem/servlet/GetDocumentByIdServlet?cifrado=QUC1GjXXSiLkydRHJBmbpw%3D%3D&amp;DocumentIdParam=rb3PA871L9uZlTCiGLuv1wzoAaec5qHeXzdFI3vcjwIeyOn/IeYNsuZbYVMOhnAgtVRIT%2Ba2J4roU7qmetQLjyGcC1Fhpr5K04SfE95PR297QB3HKyQaFUExmUVQCerk" TargetMode="External" Id="rId2551" /><Relationship Type="http://schemas.openxmlformats.org/officeDocument/2006/relationships/hyperlink" Target="https://contrataciondelestado.es/wps/poc?uri=deeplink:detalle_licitacion&amp;idEvl=%2FqE9T5PvEV8ZDGvgaZEVxQ%3D%3D" TargetMode="External" Id="rId2552" /><Relationship Type="http://schemas.openxmlformats.org/officeDocument/2006/relationships/hyperlink" Target="https://contrataciondelestado.es/FileSystem/servlet/GetDocumentByIdServlet?cifrado=QUC1GjXXSiLkydRHJBmbpw%3D%3D&amp;DocumentIdParam=raMLookpMJn/u1osoJqcmXbnV9tHfgATfIVHIdEURht541%2BzW37Dc/TKFE3ZwwYkK35Nt8ignD%2BQalilwlbsOq2U4qhszC7ijp50NR42KAB7QB3HKyQaFUExmUVQCerk" TargetMode="External" Id="rId2553" /><Relationship Type="http://schemas.openxmlformats.org/officeDocument/2006/relationships/hyperlink" Target="https://contrataciondelestado.es/wps/poc?uri=deeplink:detalle_licitacion&amp;idEvl=LlpSZLG1A1nyoM4us5k4vw%3D%3D" TargetMode="External" Id="rId2554" /><Relationship Type="http://schemas.openxmlformats.org/officeDocument/2006/relationships/hyperlink" Target="https://contrataciondelestado.es/FileSystem/servlet/GetDocumentByIdServlet?cifrado=QUC1GjXXSiLkydRHJBmbpw%3D%3D&amp;DocumentIdParam=JgsY1J6kp66dTzdItyBqQhqCDMJBf2v6YB4ri8fU2IwHskUSzUTYntpsw5HgjEkiTN27Jo7n8gK2pfr7CDBhixYi8aMeZKECJ0Zw0ikunfnfdyQgZAdTm3EfcUAC7CJ6" TargetMode="External" Id="rId2555" /><Relationship Type="http://schemas.openxmlformats.org/officeDocument/2006/relationships/hyperlink" Target="https://contrataciondelestado.es/wps/poc?uri=deeplink:detalle_licitacion&amp;idEvl=sBQc9IoQ2ysS7pcxhTeWOg%3D%3D" TargetMode="External" Id="rId2556" /><Relationship Type="http://schemas.openxmlformats.org/officeDocument/2006/relationships/hyperlink" Target="https://contrataciondelestado.es/FileSystem/servlet/GetDocumentByIdServlet?cifrado=QUC1GjXXSiLkydRHJBmbpw%3D%3D&amp;DocumentIdParam=c99HuIC3cAnwsHH9FE7F5Ip%2BHn9rvbLSG%2BR97FGgOucib0ruOVXKomr5Mo8Wu1w6Ho3Pj8f4bpe1hSHEFaxkC/ipIAOHQ/dFebi1dQIVw87DdQD9RyhUmzT4jZ2In4zL" TargetMode="External" Id="rId2557" /><Relationship Type="http://schemas.openxmlformats.org/officeDocument/2006/relationships/hyperlink" Target="https://contrataciondelestado.es/wps/poc?uri=deeplink:detalle_licitacion&amp;idEvl=hT8CHqOAUjuP66GS%2BONYvQ%3D%3D" TargetMode="External" Id="rId2558" /><Relationship Type="http://schemas.openxmlformats.org/officeDocument/2006/relationships/hyperlink" Target="https://contrataciondelestado.es/FileSystem/servlet/GetDocumentByIdServlet?cifrado=QUC1GjXXSiLkydRHJBmbpw%3D%3D&amp;DocumentIdParam=NWffnacyQGtRG0DH/Nt0xBo2KQ4ezKWESShKDrzSWCeg7hlEPVX%2B1di/VqFfmELtx7ePcwmehqZMdvuG7HZI4FtZChzlLXiqTRbbjdlxBKOCx2e6p7hqtlp2aFupgHMr" TargetMode="External" Id="rId2559" /><Relationship Type="http://schemas.openxmlformats.org/officeDocument/2006/relationships/hyperlink" Target="https://contrataciondelestado.es/wps/poc?uri=deeplink:detalle_licitacion&amp;idEvl=%2Bpg35S2bI9WP66GS%2BONYvQ%3D%3D" TargetMode="External" Id="rId2560" /><Relationship Type="http://schemas.openxmlformats.org/officeDocument/2006/relationships/hyperlink" Target="https://contrataciondelestado.es/FileSystem/servlet/GetDocumentByIdServlet?cifrado=QUC1GjXXSiLkydRHJBmbpw%3D%3D&amp;DocumentIdParam=uCOX0UjUjlqhf3QpWVxXi5seIgBzL/aSBfgZQT181J1rMwkq9ptF3yIVHx7z526xaThGinN2EVYL1vDUkMbeRIw9wlzPW8Hc%2Bxd%2B7x/Nw/LVTD3T98KC0nSgQFM0q%2B5s" TargetMode="External" Id="rId2561" /><Relationship Type="http://schemas.openxmlformats.org/officeDocument/2006/relationships/hyperlink" Target="https://contrataciondelestado.es/wps/poc?uri=deeplink:detalle_licitacion&amp;idEvl=ywikeNCnSclWhbmkna2nXQ%3D%3D" TargetMode="External" Id="rId2562" /><Relationship Type="http://schemas.openxmlformats.org/officeDocument/2006/relationships/hyperlink" Target="https://contrataciondelestado.es/FileSystem/servlet/GetDocumentByIdServlet?cifrado=QUC1GjXXSiLkydRHJBmbpw%3D%3D&amp;DocumentIdParam=DT/317gkyqqH5i1BnSHL8/s8kAb8iIgK9c97Lh6H/%2B6vUpOVhlyEBBkfW5RdtS6R/4NAQeicjtAMeWRgxZiefDrWnZvnJlEv6eBeileIu/L3GVhXrFFqN7yFncy7YfRK" TargetMode="External" Id="rId2563" /><Relationship Type="http://schemas.openxmlformats.org/officeDocument/2006/relationships/hyperlink" Target="https://contrataciondelestado.es/wps/poc?uri=deeplink:detalle_licitacion&amp;idEvl=vIoKxtgM%2Be%2BIzo3LHNPGcQ%3D%3D" TargetMode="External" Id="rId2564" /><Relationship Type="http://schemas.openxmlformats.org/officeDocument/2006/relationships/hyperlink" Target="https://contrataciondelestado.es/FileSystem/servlet/GetDocumentByIdServlet?cifrado=QUC1GjXXSiLkydRHJBmbpw%3D%3D&amp;DocumentIdParam=rYkPP0xUxOP9qh/5LPz8zKkEVurssThhuXIkZRIRlVzUDjKvcQ/3JvbkczXpyoC6RAHL/B9jfXMY3Yccwlu2ciFOkwC5lZ79ebSu6QeDazTfdyQgZAdTm3EfcUAC7CJ6" TargetMode="External" Id="rId2565" /><Relationship Type="http://schemas.openxmlformats.org/officeDocument/2006/relationships/hyperlink" Target="https://contrataciondelestado.es/wps/poc?uri=deeplink:detalle_licitacion&amp;idEvl=fwSsiaXj%2FNO2gkLQ8TeYKA%3D%3D" TargetMode="External" Id="rId2566" /><Relationship Type="http://schemas.openxmlformats.org/officeDocument/2006/relationships/hyperlink" Target="https://contrataciondelestado.es/FileSystem/servlet/GetDocumentByIdServlet?cifrado=QUC1GjXXSiLkydRHJBmbpw%3D%3D&amp;DocumentIdParam=XRQGtAD5idIIv7bnrMnyUI/pE5FjZBSNcJjNUWndPc6HMDD2cpMzmRfS6%2BmCTpM0UKcoG7RSfhMmxN7vB8YVivoO7owTKwsAUdphLYRuUJffdyQgZAdTm3EfcUAC7CJ6" TargetMode="External" Id="rId2567" /><Relationship Type="http://schemas.openxmlformats.org/officeDocument/2006/relationships/hyperlink" Target="https://contrataciondelestado.es/wps/poc?uri=deeplink:detalle_licitacion&amp;idEvl=yUFC3zPYwI0aF6cS8TCh%2FA%3D%3D" TargetMode="External" Id="rId2568" /><Relationship Type="http://schemas.openxmlformats.org/officeDocument/2006/relationships/hyperlink" Target="https://contrataciondelestado.es/FileSystem/servlet/GetDocumentByIdServlet?cifrado=QUC1GjXXSiLkydRHJBmbpw%3D%3D&amp;DocumentIdParam=tV8EqOuEkAO%2BHwFeXsVqVoNwsTQSV6YV18Iz2j256t1oMEuUYj8w2elJegXcOcKMxXJtcoYUG9tKKnjf1PYJgr0YAkkon8GLMkI5Qnn3OQOCx2e6p7hqtlp2aFupgHMr" TargetMode="External" Id="rId2569" /><Relationship Type="http://schemas.openxmlformats.org/officeDocument/2006/relationships/hyperlink" Target="https://contrataciondelestado.es/wps/poc?uri=deeplink:detalle_licitacion&amp;idEvl=7RmcFOllGzzmnwcj%2BxbdTg%3D%3D" TargetMode="External" Id="rId2570" /><Relationship Type="http://schemas.openxmlformats.org/officeDocument/2006/relationships/hyperlink" Target="https://contrataciondelestado.es/FileSystem/servlet/GetDocumentByIdServlet?cifrado=QUC1GjXXSiLkydRHJBmbpw%3D%3D&amp;DocumentIdParam=/%2BNhtIbkvyV2tiJpGRE1T%2B2uiRx1ob0ypzRDQvW%2B52By5mp//ZrvukIcoUyf/UDd/oj9CBr4qVyLvKwtRFjZHiiHMeYxI%2B5NewcdaraYr6SCx2e6p7hqtlp2aFupgHMr" TargetMode="External" Id="rId2571" /><Relationship Type="http://schemas.openxmlformats.org/officeDocument/2006/relationships/hyperlink" Target="https://contrataciondelestado.es/wps/poc?uri=deeplink:detalle_licitacion&amp;idEvl=M18PzIX7m2HXOjazN1Dw9Q%3D%3D" TargetMode="External" Id="rId2572" /><Relationship Type="http://schemas.openxmlformats.org/officeDocument/2006/relationships/hyperlink" Target="https://contrataciondelestado.es/FileSystem/servlet/GetDocumentByIdServlet?cifrado=QUC1GjXXSiLkydRHJBmbpw%3D%3D&amp;DocumentIdParam=xKXu1DotLlTO0CKcdYP9VVmwHh4PnJg8/l%2B5LId2DUSTKJya9x4UqhQIbUqrz1BygGbLIhgU9lT1IDMaSqCphzStv/qyiasBXyMrMZVmOORt/o8fNevwsujgRzaBbugn" TargetMode="External" Id="rId2573" /><Relationship Type="http://schemas.openxmlformats.org/officeDocument/2006/relationships/hyperlink" Target="https://contrataciondelestado.es/wps/poc?uri=deeplink:detalle_licitacion&amp;idEvl=%2BTJCc%2B4ToYgUqXM96WStVA%3D%3D" TargetMode="External" Id="rId2574" /><Relationship Type="http://schemas.openxmlformats.org/officeDocument/2006/relationships/hyperlink" Target="https://contrataciondelestado.es/FileSystem/servlet/GetDocumentByIdServlet?cifrado=QUC1GjXXSiLkydRHJBmbpw%3D%3D&amp;DocumentIdParam=5CAAEbue/BvrwWcQ9KVflICVQ/jig4ol8%2BHoo3G3Pp4Grf%2BzBDueMZ1L0f%2BtmHySUSY%2BLeDg64aBDOeqV1Qwl/zL9dFOwDan3dxYTX4ZSiaCx2e6p7hqtlp2aFupgHMr" TargetMode="External" Id="rId2575" /><Relationship Type="http://schemas.openxmlformats.org/officeDocument/2006/relationships/hyperlink" Target="https://contrataciondelestado.es/wps/poc?uri=deeplink:detalle_licitacion&amp;idEvl=986yaGfzy51SYrkJkLlFdw%3D%3D" TargetMode="External" Id="rId2576" /><Relationship Type="http://schemas.openxmlformats.org/officeDocument/2006/relationships/hyperlink" Target="https://contrataciondelestado.es/FileSystem/servlet/GetDocumentByIdServlet?cifrado=QUC1GjXXSiLkydRHJBmbpw%3D%3D&amp;DocumentIdParam=df1ARnpAR2uPPWJqKQX5GU0pFuCl77Eq1RYQhp2Ik%2BM2KyRJEPRcS%2BGyZjnVC6ZKJReHLG2nRhGYgT57%2BaKVQCng3FPuLAoaQbABBFEo31dJOVDbGCDM%2BMigrvuVS7Rv" TargetMode="External" Id="rId2577" /><Relationship Type="http://schemas.openxmlformats.org/officeDocument/2006/relationships/hyperlink" Target="https://contrataciondelestado.es/wps/poc?uri=deeplink:detalle_licitacion&amp;idEvl=RqUQmXRwP1fIGlsa0Wad%2Bw%3D%3D" TargetMode="External" Id="rId2578" /><Relationship Type="http://schemas.openxmlformats.org/officeDocument/2006/relationships/hyperlink" Target="https://contrataciondelestado.es/FileSystem/servlet/GetDocumentByIdServlet?cifrado=QUC1GjXXSiLkydRHJBmbpw%3D%3D&amp;DocumentIdParam=YyWdjUpYZX6YXQGm2OZiAzHM6FTU%2BlRQ/y4EWQlLHG6hGe5RJOmcoftpAgeO5CQZ3S0CWuYn0blscR9QKjNV%2BzQJb6lQxvh4646sUB%2BANUy1aXEvq3KHa/AEHgtDrQw0" TargetMode="External" Id="rId2579" /><Relationship Type="http://schemas.openxmlformats.org/officeDocument/2006/relationships/hyperlink" Target="https://contrataciondelestado.es/wps/poc?uri=deeplink:detalle_licitacion&amp;idEvl=TDsWprVukqcUqXM96WStVA%3D%3D" TargetMode="External" Id="rId2580" /><Relationship Type="http://schemas.openxmlformats.org/officeDocument/2006/relationships/hyperlink" Target="https://contrataciondelestado.es/FileSystem/servlet/GetDocumentByIdServlet?cifrado=QUC1GjXXSiLkydRHJBmbpw%3D%3D&amp;DocumentIdParam=/8W8HpH18G/lq4A7GuftOl9mH7RtEVpUiCUaChajGyQhQGkjTfIfmbn0w7R5vac7ggFCsA8l%2B7QN66rI8%2BUnxLWTt/UCYhBdkPd5q0ZNaGQ//q7NB2iMZvNyf0xrJmjt" TargetMode="External" Id="rId2581" /><Relationship Type="http://schemas.openxmlformats.org/officeDocument/2006/relationships/hyperlink" Target="https://contrataciondelestado.es/wps/poc?uri=deeplink:detalle_licitacion&amp;idEvl=JclQ1ymlgOf9pbnDwlaUlg%3D%3D" TargetMode="External" Id="rId2582" /><Relationship Type="http://schemas.openxmlformats.org/officeDocument/2006/relationships/hyperlink" Target="https://contrataciondelestado.es/FileSystem/servlet/GetDocumentByIdServlet?cifrado=QUC1GjXXSiLkydRHJBmbpw%3D%3D&amp;DocumentIdParam=BYnUQHAgPfr93Ahpbuz3Qlss%2BCHzRUmwojcoTz4/I2QeLV13vI4ScifVZpEbiBvfKq4W1g6hddHDHUX5eXsRg7xKiq2SVJpdv4%2BgfPisc1cZyAJWGsSt0OzTSTyw9JAs" TargetMode="External" Id="rId2583" /><Relationship Type="http://schemas.openxmlformats.org/officeDocument/2006/relationships/hyperlink" Target="https://contrataciondelestado.es/wps/poc?uri=deeplink:detalle_licitacion&amp;idEvl=7fWn%2Bd%2ByAU2FlFRHfEzEaw%3D%3D" TargetMode="External" Id="rId2584" /><Relationship Type="http://schemas.openxmlformats.org/officeDocument/2006/relationships/hyperlink" Target="https://contrataciondelestado.es/FileSystem/servlet/GetDocumentByIdServlet?cifrado=QUC1GjXXSiLkydRHJBmbpw%3D%3D&amp;DocumentIdParam=7TfK8lTH8PngsEy7Eu%2BJRZgJge%2BPgUeEFEXJKAUjJCnyIHurXugPLDzU7MBdwZSByhijuMF08JDmVGJcUqh1xIYgeE2oyNgroB77NC7pIq7DdQD9RyhUmzT4jZ2In4zL" TargetMode="External" Id="rId2585" /><Relationship Type="http://schemas.openxmlformats.org/officeDocument/2006/relationships/hyperlink" Target="https://contrataciondelestado.es/wps/poc?uri=deeplink:detalle_licitacion&amp;idEvl=e%2BRKE9OiGx7L1rX3q%2FMAPA%3D%3D" TargetMode="External" Id="rId2586" /><Relationship Type="http://schemas.openxmlformats.org/officeDocument/2006/relationships/hyperlink" Target="https://contrataciondelestado.es/FileSystem/servlet/GetDocumentByIdServlet?cifrado=QUC1GjXXSiLkydRHJBmbpw%3D%3D&amp;DocumentIdParam=u48p6fpOdf8xsnSCWH6ZWJywMqKQnNszCocZFmCnpf%2BSMuVOzvvm9GGCSkDsYTgYgUueLJ8mh6I/yysmjx7ujkqSNYnLTNrIdsOJCuhInFi1aXEvq3KHa/AEHgtDrQw0" TargetMode="External" Id="rId2587" /><Relationship Type="http://schemas.openxmlformats.org/officeDocument/2006/relationships/hyperlink" Target="https://contrataciondelestado.es/wps/poc?uri=deeplink:detalle_licitacion&amp;idEvl=S6BNsNx%2FbZmcCF8sV%2BqtYA%3D%3D" TargetMode="External" Id="rId2588" /><Relationship Type="http://schemas.openxmlformats.org/officeDocument/2006/relationships/hyperlink" Target="https://contrataciondelestado.es/FileSystem/servlet/GetDocumentByIdServlet?cifrado=QUC1GjXXSiLkydRHJBmbpw%3D%3D&amp;DocumentIdParam=YipJNl%2BbzF70900ZthhBrXPWhXeKk68h/Chux98cKKb%2Bxtfu2AEC%2BX%2BoEyp1kHsFFSQLzOSWZ8rfpB6/CMlNZoP7cGqdHoiWwcWTTwb8UzNJOVDbGCDM%2BMigrvuVS7Rv" TargetMode="External" Id="rId2589" /><Relationship Type="http://schemas.openxmlformats.org/officeDocument/2006/relationships/hyperlink" Target="https://contrataciondelestado.es/wps/poc?uri=deeplink:detalle_licitacion&amp;idEvl=1DLqx8D37CaHCIsjvJ3rhQ%3D%3D" TargetMode="External" Id="rId2590" /><Relationship Type="http://schemas.openxmlformats.org/officeDocument/2006/relationships/hyperlink" Target="https://contrataciondelestado.es/FileSystem/servlet/GetDocumentByIdServlet?cifrado=QUC1GjXXSiLkydRHJBmbpw%3D%3D&amp;DocumentIdParam=gy85dVkJ/UnVPVuT6joMp7vN3IMJoSWaJfHBC7BL/GoZKQVXmI/r%2BaUKpVkb0OQuXckIhlYO4esmVbWZuUlcGKSVxbPXCvhfhzW22MHxHvFt/o8fNevwsujgRzaBbugn" TargetMode="External" Id="rId2591" /><Relationship Type="http://schemas.openxmlformats.org/officeDocument/2006/relationships/hyperlink" Target="https://contrataciondelestado.es/wps/poc?uri=deeplink:detalle_licitacion&amp;idEvl=wX3jIghKBbFq1DdmE7eaXg%3D%3D" TargetMode="External" Id="rId2592" /><Relationship Type="http://schemas.openxmlformats.org/officeDocument/2006/relationships/hyperlink" Target="https://contrataciondelestado.es/FileSystem/servlet/GetDocumentByIdServlet?cifrado=QUC1GjXXSiLkydRHJBmbpw%3D%3D&amp;DocumentIdParam=Ya3KTQYjVjPKglA50W1H/If2YjPS00%2BFiZUEOUGs7yOyZ5PhI2cTf8%2BmXMAcxjug/zvDbjapMeriBksxwb0q6vvdChjZKAjQySgMgYKHBzTfdyQgZAdTm3EfcUAC7CJ6" TargetMode="External" Id="rId2593" /><Relationship Type="http://schemas.openxmlformats.org/officeDocument/2006/relationships/hyperlink" Target="https://contrataciondelestado.es/wps/poc?uri=deeplink:detalle_licitacion&amp;idEvl=AAOFqLCCcOnpxJFXpLZ%2B2A%3D%3D" TargetMode="External" Id="rId2594" /><Relationship Type="http://schemas.openxmlformats.org/officeDocument/2006/relationships/hyperlink" Target="https://contrataciondelestado.es/FileSystem/servlet/GetDocumentByIdServlet?cifrado=QUC1GjXXSiLkydRHJBmbpw%3D%3D&amp;DocumentIdParam=Mv8NfbgZfeLPv4MINwZA9Sbro9GkjWTBIElYjXor8xhNKi9Irezs4vGCu//hm1sfO97E8aG8/p2NaM7iWjpLu3xYn99NizSmWp2sN3ToA4GHAj0WEJrB5sP7amrh2jBD" TargetMode="External" Id="rId2595" /><Relationship Type="http://schemas.openxmlformats.org/officeDocument/2006/relationships/hyperlink" Target="https://contrataciondelestado.es/wps/poc?uri=deeplink:detalle_licitacion&amp;idEvl=369mLkN3dS6sNfRW6APEDw%3D%3D" TargetMode="External" Id="rId2596" /><Relationship Type="http://schemas.openxmlformats.org/officeDocument/2006/relationships/hyperlink" Target="https://contrataciondelestado.es/FileSystem/servlet/GetDocumentByIdServlet?cifrado=QUC1GjXXSiLkydRHJBmbpw%3D%3D&amp;DocumentIdParam=pJxeX4Qmd5K5%2BmpVXJ9/iFBAZAaLUR2hG5HtatgYEtNUIwz7xE7i4WaQ3i0QXrjLzJTQb7yUbezChaMtpG/HhBagGGK6Fi7oqe0IOazkp2vDdQD9RyhUmzT4jZ2In4zL" TargetMode="External" Id="rId2597" /><Relationship Type="http://schemas.openxmlformats.org/officeDocument/2006/relationships/hyperlink" Target="https://contrataciondelestado.es/wps/poc?uri=deeplink:detalle_licitacion&amp;idEvl=kYSKKOuUwE8aF6cS8TCh%2FA%3D%3D" TargetMode="External" Id="rId2598" /><Relationship Type="http://schemas.openxmlformats.org/officeDocument/2006/relationships/hyperlink" Target="https://contrataciondelestado.es/FileSystem/servlet/GetDocumentByIdServlet?cifrado=QUC1GjXXSiLkydRHJBmbpw%3D%3D&amp;DocumentIdParam=fza%2BANc6WpxPRuo9Ms6spWX7QDdG5liJzAH/nywwJu0RGm1XJ/c/B3yrhF/EFbq0u2Ibm7nM5iVpAvPIOi1ME5Qtr4HHccYJszrUAT/Ind5JOVDbGCDM%2BMigrvuVS7Rv" TargetMode="External" Id="rId2599" /><Relationship Type="http://schemas.openxmlformats.org/officeDocument/2006/relationships/hyperlink" Target="https://contrataciondelestado.es/wps/poc?uri=deeplink:detalle_licitacion&amp;idEvl=NMH%2BH0yQzKEUqXM96WStVA%3D%3D" TargetMode="External" Id="rId2600" /><Relationship Type="http://schemas.openxmlformats.org/officeDocument/2006/relationships/hyperlink" Target="https://contrataciondelestado.es/FileSystem/servlet/GetDocumentByIdServlet?cifrado=QUC1GjXXSiLkydRHJBmbpw%3D%3D&amp;DocumentIdParam=voi/MQBFoDxGA9iBbReOMlj13zN0M5ggwnIyhmWYQP2%2BCPlxFEzFSV0%2BQWYfXNlnGzo00pukdd4SDsRDa/AtNrNaQlWGeynOKPdPs16XlERt/o8fNevwsujgRzaBbugn" TargetMode="External" Id="rId2601" /><Relationship Type="http://schemas.openxmlformats.org/officeDocument/2006/relationships/hyperlink" Target="https://contrataciondelestado.es/wps/poc?uri=deeplink:detalle_licitacion&amp;idEvl=lwiaaeQFFNycCF8sV%2BqtYA%3D%3D" TargetMode="External" Id="rId2602" /><Relationship Type="http://schemas.openxmlformats.org/officeDocument/2006/relationships/hyperlink" Target="https://contrataciondelestado.es/FileSystem/servlet/GetDocumentByIdServlet?cifrado=QUC1GjXXSiLkydRHJBmbpw%3D%3D&amp;DocumentIdParam=9%2Bie0ip025YauHEwlaUvw1d0KyLSh9gMd1kTZKBkXllHztXvh0P7CDppC0o4Hp3uGBI1gzqt3UhvGHZtbGB%2BFbbrSHtwaS%2BcW49VY/V4kpd7QB3HKyQaFUExmUVQCerk" TargetMode="External" Id="rId2603" /><Relationship Type="http://schemas.openxmlformats.org/officeDocument/2006/relationships/hyperlink" Target="https://contrataciondelestado.es/wps/poc?uri=deeplink:detalle_licitacion&amp;idEvl=gOpKheyJTtrXOjazN1Dw9Q%3D%3D" TargetMode="External" Id="rId2604" /><Relationship Type="http://schemas.openxmlformats.org/officeDocument/2006/relationships/hyperlink" Target="https://contrataciondelestado.es/FileSystem/servlet/GetDocumentByIdServlet?cifrado=QUC1GjXXSiLkydRHJBmbpw%3D%3D&amp;DocumentIdParam=NBOzDiow0QKneVYmFsM%2BvgeOnBtUEHSHcfESlrRGaIL0G5tkLAl3Kut3Q5QkJ5m8DoESNHSNd1hPTyICsCKtanutC5ELmpClCWrp0M7brB76CYyL7SIrUOBFfNf52ZqA" TargetMode="External" Id="rId2605" /><Relationship Type="http://schemas.openxmlformats.org/officeDocument/2006/relationships/hyperlink" Target="https://contrataciondelestado.es/wps/poc?uri=deeplink:detalle_licitacion&amp;idEvl=xrzWVghuxpgaF6cS8TCh%2FA%3D%3D" TargetMode="External" Id="rId2606" /><Relationship Type="http://schemas.openxmlformats.org/officeDocument/2006/relationships/hyperlink" Target="https://contrataciondelestado.es/FileSystem/servlet/GetDocumentByIdServlet?cifrado=QUC1GjXXSiLkydRHJBmbpw%3D%3D&amp;DocumentIdParam=UkjvBVCXSlMI3T%2B2AR44R9IL0S3CjHnmwsDaf5w/Aa7CdxwDj4xCaqtvPQCd5bFjdDbzi5%2BEEU6dGoGV9mUgCXkCRR9Jd52R9HqD6%2BUHmJt45ClyWkoJ44mKM70IFcOu" TargetMode="External" Id="rId2607" /><Relationship Type="http://schemas.openxmlformats.org/officeDocument/2006/relationships/hyperlink" Target="https://contrataciondelestado.es/wps/poc?uri=deeplink:detalle_licitacion&amp;idEvl=R2VJliRWLe2S81gZFETWmA%3D%3D" TargetMode="External" Id="rId2608" /><Relationship Type="http://schemas.openxmlformats.org/officeDocument/2006/relationships/hyperlink" Target="https://contrataciondelestado.es/FileSystem/servlet/GetDocumentByIdServlet?cifrado=QUC1GjXXSiLkydRHJBmbpw%3D%3D&amp;DocumentIdParam=PV8Ed5jJhwpDV5Pw8JenJ3iE7bBXLmou35wC39pCdZBqddCY9tE0SgsyyJRsvJmixYfTsvs7FSUImYlcNeLOxBtQYoJj5NV4VKkaldjM0KyB0nvVKRzfe4rpHcnlPhSZ" TargetMode="External" Id="rId2609" /><Relationship Type="http://schemas.openxmlformats.org/officeDocument/2006/relationships/hyperlink" Target="https://contrataciondelestado.es/wps/poc?uri=deeplink:detalle_licitacion&amp;idEvl=4pqrkKl%2B0HFrSd8H4b2soA%3D%3D" TargetMode="External" Id="rId2610" /><Relationship Type="http://schemas.openxmlformats.org/officeDocument/2006/relationships/hyperlink" Target="https://contrataciondelestado.es/FileSystem/servlet/GetDocumentByIdServlet?cifrado=QUC1GjXXSiLkydRHJBmbpw%3D%3D&amp;DocumentIdParam=/i8EJMkUlwtj05M/Q16z7XZFsDg3OUDOueTqSr6ZvntEeoRradcZEy9TvN6eI6r4/DXb9N2izYoV9w4WWh93LgWbDvh2f5D2qVMFsgdjmy5JOVDbGCDM%2BMigrvuVS7Rv" TargetMode="External" Id="rId2611" /><Relationship Type="http://schemas.openxmlformats.org/officeDocument/2006/relationships/hyperlink" Target="https://contrataciondelestado.es/wps/poc?uri=deeplink:detalle_licitacion&amp;idEvl=t3UKGjaf8jdVYjgxA4nMUw%3D%3D" TargetMode="External" Id="rId2612" /><Relationship Type="http://schemas.openxmlformats.org/officeDocument/2006/relationships/hyperlink" Target="https://contrataciondelestado.es/FileSystem/servlet/GetDocumentByIdServlet?cifrado=QUC1GjXXSiLkydRHJBmbpw%3D%3D&amp;DocumentIdParam=8ZUtixPxrCSSWqNTJlyoi5%2ByANwhb3iPSVmxKrjpFiUzS2QZvGxLhuw0U3jkk96KA2t9SdkNgkG/lShj/lOaynzOkmKoNumJ/N9SE4dtZ3fDdQD9RyhUmzT4jZ2In4zL" TargetMode="External" Id="rId2613" /><Relationship Type="http://schemas.openxmlformats.org/officeDocument/2006/relationships/hyperlink" Target="https://contrataciondelestado.es/wps/poc?uri=deeplink:detalle_licitacion&amp;idEvl=oW0b9moZu08S7pcxhTeWOg%3D%3D" TargetMode="External" Id="rId2614" /><Relationship Type="http://schemas.openxmlformats.org/officeDocument/2006/relationships/hyperlink" Target="https://contrataciondelestado.es/FileSystem/servlet/GetDocumentByIdServlet?cifrado=QUC1GjXXSiLkydRHJBmbpw%3D%3D&amp;DocumentIdParam=pDwzB2fYByYwSTGgMzR1uYDNePD9ENUjP62cXv7aNoLy5wDAK8iYmLv0IebmdUlyg4PPSwrCsPpNGfGNMCZUfPCtjDC9WH0J8o98rfTjaBWHAj0WEJrB5sP7amrh2jBD" TargetMode="External" Id="rId2615" /><Relationship Type="http://schemas.openxmlformats.org/officeDocument/2006/relationships/hyperlink" Target="https://contrataciondelestado.es/wps/poc?uri=deeplink:detalle_licitacion&amp;idEvl=5ji%2B2MI9FIwzjChw4z%2FXvw%3D%3D" TargetMode="External" Id="rId2616" /><Relationship Type="http://schemas.openxmlformats.org/officeDocument/2006/relationships/hyperlink" Target="https://contrataciondelestado.es/FileSystem/servlet/GetDocumentByIdServlet?cifrado=QUC1GjXXSiLkydRHJBmbpw%3D%3D&amp;DocumentIdParam=rJWtL9eh9r5MXLkxZV7MD7zq75ni2U/L27La5YY%2BiV9QzvA5G7vkVZcWnugszwZMVty6voJdaIGCZVpCpO5t4v999hcvsblRyDFXA2JSMogC1/zDIE0Kw/PWNnLS0Z0z" TargetMode="External" Id="rId2617" /><Relationship Type="http://schemas.openxmlformats.org/officeDocument/2006/relationships/hyperlink" Target="https://contrataciondelestado.es/wps/poc?uri=deeplink:detalle_licitacion&amp;idEvl=yAbJE4hQOQjyoM4us5k4vw%3D%3D" TargetMode="External" Id="rId2618" /><Relationship Type="http://schemas.openxmlformats.org/officeDocument/2006/relationships/hyperlink" Target="https://contrataciondelestado.es/FileSystem/servlet/GetDocumentByIdServlet?cifrado=QUC1GjXXSiLkydRHJBmbpw%3D%3D&amp;DocumentIdParam=qR7KLtQJvwHWguHxUpPGRHx7dYJfy5fd/SOKkrZJQ8%2BgaacHg%2Bh54GfkfuEVRu2sqaCKFd/b6RFlh9dtlS7%2B7A9D0lBvvumNM1mOC0jFgwp7QB3HKyQaFUExmUVQCerk" TargetMode="External" Id="rId2619" /><Relationship Type="http://schemas.openxmlformats.org/officeDocument/2006/relationships/hyperlink" Target="https://contrataciondelestado.es/wps/poc?uri=deeplink:detalle_licitacion&amp;idEvl=Ric%2B2JhIhGUaF6cS8TCh%2FA%3D%3D" TargetMode="External" Id="rId2620" /><Relationship Type="http://schemas.openxmlformats.org/officeDocument/2006/relationships/hyperlink" Target="https://contrataciondelestado.es/FileSystem/servlet/GetDocumentByIdServlet?cifrado=QUC1GjXXSiLkydRHJBmbpw%3D%3D&amp;DocumentIdParam=ruVmm%2B4b0jeIJkHRpbruPZ57BPNO07QLtFio5%2BAJKJdAG33ENUY4dj2V0siWcKrUa8opmxhqvGMUK35OCGXxDYqZZ0OZcZxMmeb7ceTNXy4C1/zDIE0Kw/PWNnLS0Z0z" TargetMode="External" Id="rId2621" /><Relationship Type="http://schemas.openxmlformats.org/officeDocument/2006/relationships/hyperlink" Target="https://contrataciondelestado.es/wps/poc?uri=deeplink:detalle_licitacion&amp;idEvl=CzvSMHPBpbEl5NjlNci%2BtA%3D%3D" TargetMode="External" Id="rId2622" /><Relationship Type="http://schemas.openxmlformats.org/officeDocument/2006/relationships/hyperlink" Target="https://contrataciondelestado.es/FileSystem/servlet/GetDocumentByIdServlet?cifrado=QUC1GjXXSiLkydRHJBmbpw%3D%3D&amp;DocumentIdParam=Zx/IbvBZPIKiY/ksWwnwpZ558FXGXgj/AZmSo4UN9NVGxA8bPvvaE6bPRw6Al4cmlnqmNXV0ZSj9tm0jcHpa8hJd7Umofq9a1KjLKXf0KCJ7QB3HKyQaFUExmUVQCerk" TargetMode="External" Id="rId2623" /><Relationship Type="http://schemas.openxmlformats.org/officeDocument/2006/relationships/hyperlink" Target="https://contrataciondelestado.es/wps/poc?uri=deeplink:detalle_licitacion&amp;idEvl=HtouEKQBJ1dq1DdmE7eaXg%3D%3D" TargetMode="External" Id="rId2624" /><Relationship Type="http://schemas.openxmlformats.org/officeDocument/2006/relationships/hyperlink" Target="https://contrataciondelestado.es/FileSystem/servlet/GetDocumentByIdServlet?cifrado=QUC1GjXXSiLkydRHJBmbpw%3D%3D&amp;DocumentIdParam=jsw2fAT7VlsIoVeLoJ/zC2sc%2B3hao9g5Spc3WE/Gtec%2BzLMN8R/hXcy74bLd0EqKJ/2qrceMPhk1Y4pWR4FXWFVf9p4Kd0hqrC76aK4WATN7QB3HKyQaFUExmUVQCerk" TargetMode="External" Id="rId2625" /><Relationship Type="http://schemas.openxmlformats.org/officeDocument/2006/relationships/hyperlink" Target="https://contrataciondelestado.es/wps/poc?uri=deeplink:detalle_licitacion&amp;idEvl=uRz0Z1i20pO2gkLQ8TeYKA%3D%3D" TargetMode="External" Id="rId2626" /><Relationship Type="http://schemas.openxmlformats.org/officeDocument/2006/relationships/hyperlink" Target="https://contrataciondelestado.es/FileSystem/servlet/GetDocumentByIdServlet?cifrado=QUC1GjXXSiLkydRHJBmbpw%3D%3D&amp;DocumentIdParam=UZKfJ68W7IAvqiBGnCMXeygn/Q76Ii9T7pjGsGKSv5QTz8CnBdIazoVJnpIMr/LheAa6xU1/7iAnThVf86XNfpnqLxA9Ydh4SdjzMBMPs0EC1/zDIE0Kw/PWNnLS0Z0z" TargetMode="External" Id="rId2627" /><Relationship Type="http://schemas.openxmlformats.org/officeDocument/2006/relationships/hyperlink" Target="https://contrataciondelestado.es/wps/poc?uri=deeplink:detalle_licitacion&amp;idEvl=JxeoRffFfhBrSd8H4b2soA%3D%3D" TargetMode="External" Id="rId2628" /><Relationship Type="http://schemas.openxmlformats.org/officeDocument/2006/relationships/hyperlink" Target="https://contrataciondelestado.es/FileSystem/servlet/GetDocumentByIdServlet?cifrado=QUC1GjXXSiLkydRHJBmbpw%3D%3D&amp;DocumentIdParam=tlnNkDaZxcx2eBLwj8MwhotLMizB067WrjMGYGmflvRS0hVhi4beASlrtfp6YFYzLPhAgbjGNcmw7h70YgqEFm2P2/Ea0LcItE5BzWWjK2EZyAJWGsSt0OzTSTyw9JAs" TargetMode="External" Id="rId2629" /><Relationship Type="http://schemas.openxmlformats.org/officeDocument/2006/relationships/hyperlink" Target="https://contrataciondelestado.es/wps/poc?uri=deeplink:detalle_licitacion&amp;idEvl=0Odm88NhzcuTylGzYmBF9Q%3D%3D" TargetMode="External" Id="rId2630" /><Relationship Type="http://schemas.openxmlformats.org/officeDocument/2006/relationships/hyperlink" Target="https://contrataciondelestado.es/FileSystem/servlet/GetDocumentByIdServlet?cifrado=QUC1GjXXSiLkydRHJBmbpw%3D%3D&amp;DocumentIdParam=CZ9sQrBnEDc83v2kq80bVxThGINCURgLdpncJZVCea0mRg40zvocZLcQit/9cnLTX3BFj82GKe4PbauErgpJv6jlGy/2eYV7eVVKt26/eCf6CYyL7SIrUOBFfNf52ZqA" TargetMode="External" Id="rId2631" /><Relationship Type="http://schemas.openxmlformats.org/officeDocument/2006/relationships/hyperlink" Target="https://contrataciondelestado.es/wps/poc?uri=deeplink:detalle_licitacion&amp;idEvl=z9tMsh%2Fv9RES7pcxhTeWOg%3D%3D" TargetMode="External" Id="rId2632" /><Relationship Type="http://schemas.openxmlformats.org/officeDocument/2006/relationships/hyperlink" Target="https://contrataciondelestado.es/FileSystem/servlet/GetDocumentByIdServlet?cifrado=QUC1GjXXSiLkydRHJBmbpw%3D%3D&amp;DocumentIdParam=RXqj7hDZpYxUsuVB2vpiRfTVn917cezPZlflNMRo1XjYcWK59fWW/Q69ymGHtGA79J8cqN5t6NnPuwvdczTo%2ByxdFXUCFMWsajVUGpQOzixJOVDbGCDM%2BMigrvuVS7Rv" TargetMode="External" Id="rId2633" /><Relationship Type="http://schemas.openxmlformats.org/officeDocument/2006/relationships/hyperlink" Target="https://contrataciondelestado.es/wps/poc?uri=deeplink:detalle_licitacion&amp;idEvl=Eefd5CSnJFhVYjgxA4nMUw%3D%3D" TargetMode="External" Id="rId2634" /><Relationship Type="http://schemas.openxmlformats.org/officeDocument/2006/relationships/hyperlink" Target="https://contrataciondelestado.es/FileSystem/servlet/GetDocumentByIdServlet?cifrado=QUC1GjXXSiLkydRHJBmbpw%3D%3D&amp;DocumentIdParam=B1M6Qdp3n7/z/eitM5dtbGWHnGDBfliEpumNwnajzdlSdgj397MJGjTrgkZ8InKm3Sc1T2UYX%2ByntPT5iUx/OaVXJtGm7sAq37Mg9MFio8h7QB3HKyQaFUExmUVQCerk" TargetMode="External" Id="rId2635" /><Relationship Type="http://schemas.openxmlformats.org/officeDocument/2006/relationships/hyperlink" Target="https://contrataciondelestado.es/wps/poc?uri=deeplink:detalle_licitacion&amp;idEvl=UZYBRDMG%2BI836J9Lctlsuw%3D%3D" TargetMode="External" Id="rId2636" /><Relationship Type="http://schemas.openxmlformats.org/officeDocument/2006/relationships/hyperlink" Target="https://contrataciondelestado.es/FileSystem/servlet/GetDocumentByIdServlet?cifrado=QUC1GjXXSiLkydRHJBmbpw%3D%3D&amp;DocumentIdParam=YwteuSNti8/hN90pzC5U5JtWHvwrU8uvEYAgbT8stz8et82L9778OQ27t0QYfkACTY%2Bv4ZBQ8o/Zzw7xvyPOISS42fSXCyRjAnBqLooE2CcC1/zDIE0Kw/PWNnLS0Z0z" TargetMode="External" Id="rId2637" /><Relationship Type="http://schemas.openxmlformats.org/officeDocument/2006/relationships/hyperlink" Target="https://contrataciondelestado.es/wps/poc?uri=deeplink:detalle_licitacion&amp;idEvl=HlG%2BRpYnl9fmnwcj%2BxbdTg%3D%3D" TargetMode="External" Id="rId2638" /><Relationship Type="http://schemas.openxmlformats.org/officeDocument/2006/relationships/hyperlink" Target="https://contrataciondelestado.es/wps/poc?uri=deeplink:detalle_licitacion&amp;idEvl=9e2wSal9Zhotm4eBPtV6eQ%3D%3D" TargetMode="External" Id="rId2639" /><Relationship Type="http://schemas.openxmlformats.org/officeDocument/2006/relationships/hyperlink" Target="https://contrataciondelestado.es/wps/poc?uri=deeplink:detalle_licitacion&amp;idEvl=H%2Bs5A9jWHKAQyBAnWzHfCg%3D%3D" TargetMode="External" Id="rId2640" /><Relationship Type="http://schemas.openxmlformats.org/officeDocument/2006/relationships/hyperlink" Target="https://contrataciondelestado.es/FileSystem/servlet/GetDocumentByIdServlet?cifrado=QUC1GjXXSiLkydRHJBmbpw%3D%3D&amp;DocumentIdParam=CzsUPTqb5lkU7lajMg5lPR1iXlf3OvNF3t6MqWYcsd/qsiZUdpSpeAi65qACGdaw/OYWLOuKvvqjV8zy7ml1ItoEaFFknKuzY%2BVXneSIhFXfdyQgZAdTm3EfcUAC7CJ6" TargetMode="External" Id="rId2641" /><Relationship Type="http://schemas.openxmlformats.org/officeDocument/2006/relationships/hyperlink" Target="https://contrataciondelestado.es/wps/poc?uri=deeplink:detalle_licitacion&amp;idEvl=3EEosdaKkax%2FP7lJ7Fu0SA%3D%3D" TargetMode="External" Id="rId2642" /><Relationship Type="http://schemas.openxmlformats.org/officeDocument/2006/relationships/hyperlink" Target="https://contrataciondelestado.es/FileSystem/servlet/GetDocumentByIdServlet?cifrado=QUC1GjXXSiLkydRHJBmbpw%3D%3D&amp;DocumentIdParam=u48p6fpOdf8xsnSCWH6ZWFRC%2BrtbIUYVnigy%2B4wn/G7flmtp17EtF4KCF5qhxV23VWjU0cqtHbxzj7qWezN59vlErRlMkW6qs%2BvMwzYVLSB45ClyWkoJ44mKM70IFcOu" TargetMode="External" Id="rId2643" /><Relationship Type="http://schemas.openxmlformats.org/officeDocument/2006/relationships/hyperlink" Target="https://contrataciondelestado.es/wps/poc?uri=deeplink:detalle_licitacion&amp;idEvl=kD8ALMrCGubjHF5qKI4aaw%3D%3D" TargetMode="External" Id="rId2644" /><Relationship Type="http://schemas.openxmlformats.org/officeDocument/2006/relationships/hyperlink" Target="https://contrataciondelestado.es/wps/poc?uri=deeplink:detalle_licitacion&amp;idEvl=ARrEM%2F5tuZHs%2BnLj3vAg5A%3D%3D" TargetMode="External" Id="rId2645" /><Relationship Type="http://schemas.openxmlformats.org/officeDocument/2006/relationships/hyperlink" Target="https://contrataciondelestado.es/FileSystem/servlet/GetDocumentByIdServlet?cifrado=QUC1GjXXSiLkydRHJBmbpw%3D%3D&amp;DocumentIdParam=4qHEunMqk9bPIllLIYUDtONzXBXXpvtnTLkI8F39ypL%2B2XViF2HOd1XqlRbHBQmgbZOeXzczv2hQr3YY6Zk/J4OabFq9rqMO2iEq/tB8BF9t/o8fNevwsujgRzaBbugn" TargetMode="External" Id="rId2646" /><Relationship Type="http://schemas.openxmlformats.org/officeDocument/2006/relationships/hyperlink" Target="https://contrataciondelestado.es/wps/poc?uri=deeplink:detalle_licitacion&amp;idEvl=cvm%2BNhSqiiCGCFcHcNGIlQ%3D%3D" TargetMode="External" Id="rId2647" /><Relationship Type="http://schemas.openxmlformats.org/officeDocument/2006/relationships/hyperlink" Target="https://contrataciondelestado.es/FileSystem/servlet/GetDocumentByIdServlet?cifrado=QUC1GjXXSiLkydRHJBmbpw%3D%3D&amp;DocumentIdParam=v4VLq9HbR/uL8VtceWUSYujUgmZzq/2gS1vgj8wma7YkD50BW/BlivFdVsMOBoNVuIO/iTokkuWuYE0yNfHHXNt2NbsWgIg8DVH23UrN1gR45ClyWkoJ44mKM70IFcOu" TargetMode="External" Id="rId2648" /><Relationship Type="http://schemas.openxmlformats.org/officeDocument/2006/relationships/hyperlink" Target="https://contrataciondelestado.es/wps/poc?uri=deeplink:detalle_licitacion&amp;idEvl=zbG490Ml%2F10adbH3CysQuQ%3D%3D" TargetMode="External" Id="rId2649" /><Relationship Type="http://schemas.openxmlformats.org/officeDocument/2006/relationships/hyperlink" Target="https://contrataciondelestado.es/FileSystem/servlet/GetDocumentByIdServlet?cifrado=QUC1GjXXSiLkydRHJBmbpw%3D%3D&amp;DocumentIdParam=LKz5ssdfaQa6JJ6pqfOqfHB8AcW6H3YM2FAJUeW59F62FxjzTQ2IvIBlvd8baCz3m3UhHjF443SEptSI3Hi9GqvCjnX2Z6bnsfIkG4a9iLxJOVDbGCDM%2BMigrvuVS7Rv" TargetMode="External" Id="rId2650" /><Relationship Type="http://schemas.openxmlformats.org/officeDocument/2006/relationships/hyperlink" Target="https://contrataciondelestado.es/wps/poc?uri=deeplink:detalle_licitacion&amp;idEvl=4wVj%2B0n9Y90%2B1TMyIiZmzw%3D%3D" TargetMode="External" Id="rId2651" /><Relationship Type="http://schemas.openxmlformats.org/officeDocument/2006/relationships/hyperlink" Target="https://contrataciondelestado.es/FileSystem/servlet/GetDocumentByIdServlet?cifrado=QUC1GjXXSiLkydRHJBmbpw%3D%3D&amp;DocumentIdParam=2qjhJ%2BDrSZ63SbZfu/k/4oH%2BMNQKydBwpZd6POERdSVSSFMNHewxTpwG1ibJR19yIxGxHg50BawImfiMtIqj6QJD0BDzpVI4cRLrinARaf61aXEvq3KHa/AEHgtDrQw0" TargetMode="External" Id="rId2652" /><Relationship Type="http://schemas.openxmlformats.org/officeDocument/2006/relationships/hyperlink" Target="https://contrataciondelestado.es/wps/poc?uri=deeplink:detalle_licitacion&amp;idEvl=Us83gGQP3qb%2Fa9DgO%2BoYKQ%3D%3D" TargetMode="External" Id="rId2653" /><Relationship Type="http://schemas.openxmlformats.org/officeDocument/2006/relationships/hyperlink" Target="https://contrataciondelestado.es/FileSystem/servlet/GetDocumentByIdServlet?cifrado=QUC1GjXXSiLkydRHJBmbpw%3D%3D&amp;DocumentIdParam=QNRHYNsp8mGsjWQO%2B%2BMm9fMFSLOBMkbKdMnnctNl2DOet73vT6eyAe8r/QQLl5w1DjY2zl3viLFCcrkXNxkqSaxpakVNseeo9w7/F0MawrWHAj0WEJrB5sP7amrh2jBD" TargetMode="External" Id="rId2654" /><Relationship Type="http://schemas.openxmlformats.org/officeDocument/2006/relationships/hyperlink" Target="https://contrataciondelestado.es/wps/poc?uri=deeplink:detalle_licitacion&amp;idEvl=zVD8WVByWaZ%2FP7lJ7Fu0SA%3D%3D" TargetMode="External" Id="rId2655" /><Relationship Type="http://schemas.openxmlformats.org/officeDocument/2006/relationships/hyperlink" Target="https://contrataciondelestado.es/FileSystem/servlet/GetDocumentByIdServlet?cifrado=QUC1GjXXSiLkydRHJBmbpw%3D%3D&amp;DocumentIdParam=LjEnwjF0qrxMT/4mz1jt6472TiAgBe%2BCvWWb7FPUwQf8bCACKlJELVRAkJbop0wotUWs7/7E2rDQ23rgbF3Klx5bMnuaHpmb2c1Au3lMU1j6CYyL7SIrUOBFfNf52ZqA" TargetMode="External" Id="rId2656" /><Relationship Type="http://schemas.openxmlformats.org/officeDocument/2006/relationships/hyperlink" Target="https://contrataciondelestado.es/wps/poc?uri=deeplink:detalle_licitacion&amp;idEvl=IT4vRLUpKJ07u6%2B%2FR7DUoA%3D%3D" TargetMode="External" Id="rId2657" /><Relationship Type="http://schemas.openxmlformats.org/officeDocument/2006/relationships/hyperlink" Target="https://contrataciondelestado.es/FileSystem/servlet/GetDocumentByIdServlet?cifrado=QUC1GjXXSiLkydRHJBmbpw%3D%3D&amp;DocumentIdParam=PtbDiZQ2pn7hDIYX6Yy7oCr8TazBxi9aidm1r7fuhON679BvixlqODI6xUIBD/CQiJVVihy4AqeCbOosjqSdwnorMTicL84RB8lrcL1Irn36CYyL7SIrUOBFfNf52ZqA" TargetMode="External" Id="rId2658" /><Relationship Type="http://schemas.openxmlformats.org/officeDocument/2006/relationships/hyperlink" Target="https://contrataciondelestado.es/wps/poc?uri=deeplink:detalle_licitacion&amp;idEvl=lLsAhqFoPU6AAM7L03kM8A%3D%3D" TargetMode="External" Id="rId2659" /><Relationship Type="http://schemas.openxmlformats.org/officeDocument/2006/relationships/hyperlink" Target="https://contrataciondelestado.es/FileSystem/servlet/GetDocumentByIdServlet?cifrado=QUC1GjXXSiLkydRHJBmbpw%3D%3D&amp;DocumentIdParam=OUhPjG7cITf4N%2BdfTfk4rNLEnD%2BAJvt2NoE1vhm%2Bpc7mNrkBZ4eJTc2/G9pbNTOyFldKgSYctipywCba9Kw5cdn/1rJp/8OR7jaRd8hr6rJ45ClyWkoJ44mKM70IFcOu" TargetMode="External" Id="rId2660" /><Relationship Type="http://schemas.openxmlformats.org/officeDocument/2006/relationships/hyperlink" Target="https://contrataciondelestado.es/wps/poc?uri=deeplink:detalle_licitacion&amp;idEvl=O7h0OP51aL5t5r0ngvMetA%3D%3D" TargetMode="External" Id="rId2661" /><Relationship Type="http://schemas.openxmlformats.org/officeDocument/2006/relationships/hyperlink" Target="https://contrataciondelestado.es/FileSystem/servlet/GetDocumentByIdServlet?cifrado=QUC1GjXXSiLkydRHJBmbpw%3D%3D&amp;DocumentIdParam=cBUWnPPK/rKUMtXA38zVk557lWCwyhAIZakpS%2BlDRrkX1itWv3YNXFPPMpjgqr36z4QkS2E/K8F279NcgM3XEEY7mfWckC7Ip4/KLIomBQ6B0nvVKRzfe4rpHcnlPhSZ" TargetMode="External" Id="rId2662" /><Relationship Type="http://schemas.openxmlformats.org/officeDocument/2006/relationships/hyperlink" Target="https://contrataciondelestado.es/wps/poc?uri=deeplink:detalle_licitacion&amp;idEvl=Vj9Ypqj8j46P66GS%2BONYvQ%3D%3D" TargetMode="External" Id="rId2663" /><Relationship Type="http://schemas.openxmlformats.org/officeDocument/2006/relationships/hyperlink" Target="https://contrataciondelestado.es/wps/poc?uri=deeplink:detalle_licitacion&amp;idEvl=iwswG7Razf3ua%2Fi14w%2FPLA%3D%3D" TargetMode="External" Id="rId2664" /><Relationship Type="http://schemas.openxmlformats.org/officeDocument/2006/relationships/hyperlink" Target="https://contrataciondelestado.es/FileSystem/servlet/GetDocumentByIdServlet?cifrado=QUC1GjXXSiLkydRHJBmbpw%3D%3D&amp;DocumentIdParam=dmwGI6lTdApukd1xMj94T95y/5gtdOZ%2BNEUeyP0MbRYrlg1DULoqhDKIDYBGmCcXuft89RpWFkFkS5m1Hp8Y3eSjIXCjSDIY3RieeINBn5JJOVDbGCDM%2BMigrvuVS7Rv" TargetMode="External" Id="rId2665" /><Relationship Type="http://schemas.openxmlformats.org/officeDocument/2006/relationships/hyperlink" Target="https://contrataciondelestado.es/wps/poc?uri=deeplink:detalle_licitacion&amp;idEvl=dBbYY6HOW17LIx6q1oPaMg%3D%3D" TargetMode="External" Id="rId2666" /><Relationship Type="http://schemas.openxmlformats.org/officeDocument/2006/relationships/hyperlink" Target="https://contrataciondelestado.es/FileSystem/servlet/GetDocumentByIdServlet?cifrado=QUC1GjXXSiLkydRHJBmbpw%3D%3D&amp;DocumentIdParam=jkDWO0l9/jkDd9cgXWQYmXNowTo6g8pgqYqxI7VGneS6y8XZIzFB0YUBhCK%2BdSWFIw/6GJCUqKSM25iom9RxKEofuShMUEv8q%2BYu89%2BENxpJOVDbGCDM%2BMigrvuVS7Rv" TargetMode="External" Id="rId2667" /><Relationship Type="http://schemas.openxmlformats.org/officeDocument/2006/relationships/hyperlink" Target="https://contrataciondelestado.es/wps/poc?uri=deeplink:detalle_licitacion&amp;idEvl=tmydTRvlqNzs%2BnLj3vAg5A%3D%3D" TargetMode="External" Id="rId2668" /><Relationship Type="http://schemas.openxmlformats.org/officeDocument/2006/relationships/hyperlink" Target="https://contrataciondelestado.es/FileSystem/servlet/GetDocumentByIdServlet?cifrado=QUC1GjXXSiLkydRHJBmbpw%3D%3D&amp;DocumentIdParam=BIGjGjzYb4VH%2BrNTIgAJW//9NDWI7D1/UgYydfJ575SQavaeAZZI4WyeCw3qG4CjIhS/D6s7jFXvyd0RaJ3kIjlZ0fYV9CelOv%2Biie0LuAb6CYyL7SIrUOBFfNf52ZqA" TargetMode="External" Id="rId2669" /><Relationship Type="http://schemas.openxmlformats.org/officeDocument/2006/relationships/hyperlink" Target="https://contrataciondelestado.es/wps/poc?uri=deeplink:detalle_licitacion&amp;idEvl=PwiYOKoHOW8%2FbjW6njtWLw%3D%3D" TargetMode="External" Id="rId2670" /><Relationship Type="http://schemas.openxmlformats.org/officeDocument/2006/relationships/hyperlink" Target="https://contrataciondelestado.es/FileSystem/servlet/GetDocumentByIdServlet?cifrado=QUC1GjXXSiLkydRHJBmbpw%3D%3D&amp;DocumentIdParam=BbToS83j8XTku4meZ7io08WbU6I5JnGkcE03283s%2BEKeo1OhXsCli%2BQ1umBGsEdb3DlcnQ1EhuHaoPZ59ePuLR5EtUw5wfUwDmLLJ5aj9m9t/o8fNevwsujgRzaBbugn" TargetMode="External" Id="rId2671" /><Relationship Type="http://schemas.openxmlformats.org/officeDocument/2006/relationships/hyperlink" Target="https://contrataciondelestado.es/wps/poc?uri=deeplink:detalle_licitacion&amp;idEvl=xdcZCNyFdfnjHF5qKI4aaw%3D%3D" TargetMode="External" Id="rId2672" /><Relationship Type="http://schemas.openxmlformats.org/officeDocument/2006/relationships/hyperlink" Target="https://contrataciondelestado.es/FileSystem/servlet/GetDocumentByIdServlet?cifrado=QUC1GjXXSiLkydRHJBmbpw%3D%3D&amp;DocumentIdParam=IiFahnPSChD4O1W5rFN%2BhvKEmtgxRqwxSDhXRcl%2B05%2BT%2BWbWT3OZD8omIYtLubwF426fDCpwEEVwPDqkj4OuL8wOlyEXRa%2BIJj2ERKcO17rVTD3T98KC0nSgQFM0q%2B5s" TargetMode="External" Id="rId2673" /><Relationship Type="http://schemas.openxmlformats.org/officeDocument/2006/relationships/hyperlink" Target="https://contrataciondelestado.es/wps/poc?uri=deeplink:detalle_licitacion&amp;idEvl=DN%2BJvHvcQebE6P%2FuLemXRw%3D%3D" TargetMode="External" Id="rId2674" /><Relationship Type="http://schemas.openxmlformats.org/officeDocument/2006/relationships/hyperlink" Target="https://contrataciondelestado.es/FileSystem/servlet/GetDocumentByIdServlet?cifrado=QUC1GjXXSiLkydRHJBmbpw%3D%3D&amp;DocumentIdParam=PtbDiZQ2pn7hDIYX6Yy7oHIbXBVW9klQ2QO%2BBSBvLAlR%2BKjqu4hyOGOytoPDYDip1nc/I4jbrM3tIK1MIy5ZYPhxRldk10zQW6ih98r21d9t/o8fNevwsujgRzaBbugn" TargetMode="External" Id="rId2675" /><Relationship Type="http://schemas.openxmlformats.org/officeDocument/2006/relationships/hyperlink" Target="https://contrataciondelestado.es/wps/poc?uri=deeplink:detalle_licitacion&amp;idEvl=SeGaILImDPtQFSeKCRun4Q%3D%3D" TargetMode="External" Id="rId2676" /><Relationship Type="http://schemas.openxmlformats.org/officeDocument/2006/relationships/hyperlink" Target="https://contrataciondelestado.es/FileSystem/servlet/GetDocumentByIdServlet?cifrado=QUC1GjXXSiLkydRHJBmbpw%3D%3D&amp;DocumentIdParam=AMx5OUyqzfVuzFeIcX7K/STQIDIv7GqzSuhpzPNCuUPTyDqrHZKVQ9kl2sy9jB2ZjfCQWV0zsHBSXX%2Bp5ndOzyANvga5tTXTlilVq783HEI//q7NB2iMZvNyf0xrJmjt" TargetMode="External" Id="rId2677" /><Relationship Type="http://schemas.openxmlformats.org/officeDocument/2006/relationships/hyperlink" Target="https://contrataciondelestado.es/wps/poc?uri=deeplink:detalle_licitacion&amp;idEvl=HLupSxRM2QhrhBlEHQFSKA%3D%3D" TargetMode="External" Id="rId2678" /><Relationship Type="http://schemas.openxmlformats.org/officeDocument/2006/relationships/hyperlink" Target="https://contrataciondelestado.es/FileSystem/servlet/GetDocumentByIdServlet?cifrado=QUC1GjXXSiLkydRHJBmbpw%3D%3D&amp;DocumentIdParam=nUeFuhiksu6exeuxTiXIDo2ZvtiEeF2qf9KQ4w5WGsVjj/IWWnwzw6entBbit5jY02Yl4JnS1MGuEpmiaBKuRGR6941RN%2BJxlrWip2EzDmiB0nvVKRzfe4rpHcnlPhSZ" TargetMode="External" Id="rId2679" /><Relationship Type="http://schemas.openxmlformats.org/officeDocument/2006/relationships/hyperlink" Target="https://contrataciondelestado.es/wps/poc?uri=deeplink:detalle_licitacion&amp;idEvl=f%2BKLE3baAZGKeVWTb9Scog%3D%3D" TargetMode="External" Id="rId2680" /><Relationship Type="http://schemas.openxmlformats.org/officeDocument/2006/relationships/hyperlink" Target="https://contrataciondelestado.es/FileSystem/servlet/GetDocumentByIdServlet?cifrado=QUC1GjXXSiLkydRHJBmbpw%3D%3D&amp;DocumentIdParam=P58Z26Ns4HsL8qFLSC2g8SWMBdZHYov6xQK1Ws635pDvDuN9WU5a/8rOE7KxlE6aVLhC4lJeSJgm282v0oKLlcmbbb9ZLzdavGV3o2yi4u9JOVDbGCDM%2BMigrvuVS7Rv" TargetMode="External" Id="rId2681" /><Relationship Type="http://schemas.openxmlformats.org/officeDocument/2006/relationships/hyperlink" Target="https://contrataciondelestado.es/wps/poc?uri=deeplink:detalle_licitacion&amp;idEvl=fNK08PAee9stm4eBPtV6eQ%3D%3D" TargetMode="External" Id="rId2682" /><Relationship Type="http://schemas.openxmlformats.org/officeDocument/2006/relationships/hyperlink" Target="https://contrataciondelestado.es/FileSystem/servlet/GetDocumentByIdServlet?cifrado=QUC1GjXXSiLkydRHJBmbpw%3D%3D&amp;DocumentIdParam=xWv/BbZSBkUuFKl1WkHyfAcZfjS0ev7e3KqgzrNqTBXyTQgxEg3aSH3DYqBJTKI7RP4/7rlwQjJAz8XKe5JTZrcc9R6nagwCIGSfTPSJhuJt/o8fNevwsujgRzaBbugn" TargetMode="External" Id="rId2683" /><Relationship Type="http://schemas.openxmlformats.org/officeDocument/2006/relationships/hyperlink" Target="https://contrataciondelestado.es/wps/poc?uri=deeplink:detalle_licitacion&amp;idEvl=2OrlPddWc56TylGzYmBF9Q%3D%3D" TargetMode="External" Id="rId2684" /><Relationship Type="http://schemas.openxmlformats.org/officeDocument/2006/relationships/hyperlink" Target="https://contrataciondelestado.es/FileSystem/servlet/GetDocumentByIdServlet?cifrado=QUC1GjXXSiLkydRHJBmbpw%3D%3D&amp;DocumentIdParam=B/QTKqdpq4YQzyUdnBTNFuKowyQJo9gWlTQ2%2BO9czbl4stBe3RDSFuhtoURNbPN6qooso5mFy0HMpUj3yDYpBrvx4/aV%2BtbXkz52ZvJKTYCB0nvVKRzfe4rpHcnlPhSZ" TargetMode="External" Id="rId2685" /><Relationship Type="http://schemas.openxmlformats.org/officeDocument/2006/relationships/hyperlink" Target="https://contrataciondelestado.es/wps/poc?uri=deeplink:detalle_licitacion&amp;idEvl=G%2FuR1jUgTO83vLk2DU2Ddg%3D%3D" TargetMode="External" Id="rId2686" /><Relationship Type="http://schemas.openxmlformats.org/officeDocument/2006/relationships/hyperlink" Target="https://contrataciondelestado.es/FileSystem/servlet/GetDocumentByIdServlet?DocumentIdParam=SCJ7uOyX4l2sCAoVjgjTPKqubTdPzxjdzkZ0whfk8QhqkN%2BZd1i6yTPqValb4s13fim0%2BJOIIgVCg2lwkmvUiVHMDO/EoHThOONOQp9ThTZt/o8fNevwsujgRzaBbugn&amp;cifrado=QUC1GjXXSiLkydRHJBmbpw%3D%3D" TargetMode="External" Id="rId2687" /><Relationship Type="http://schemas.openxmlformats.org/officeDocument/2006/relationships/hyperlink" Target="https://contrataciondelestado.es/wps/poc?uri=deeplink:detalle_licitacion&amp;idEvl=K7HiJE4P6NPi0Kd8%2Brcp6w%3D%3D" TargetMode="External" Id="rId2688" /><Relationship Type="http://schemas.openxmlformats.org/officeDocument/2006/relationships/hyperlink" Target="https://contrataciondelestado.es/FileSystem/servlet/GetDocumentByIdServlet?cifrado=QUC1GjXXSiLkydRHJBmbpw%3D%3D&amp;DocumentIdParam=JhawvpfkCWU2N4hMgR2ZlNCUwfzfpH7GVKZQ7FOxZqS2y%2BxcHEZhNfZtRF8aATFDGydXrJy5sB9ixUqNhE3dy7ctqVta3Sr3KNPyEvnq69ffdyQgZAdTm3EfcUAC7CJ6" TargetMode="External" Id="rId2689" /><Relationship Type="http://schemas.openxmlformats.org/officeDocument/2006/relationships/hyperlink" Target="https://contrataciondelestado.es/wps/poc?uri=deeplink:detalle_licitacion&amp;idEvl=1yk6A%2BAfUtDzAq95uGTrDQ%3D%3D" TargetMode="External" Id="rId2690" /><Relationship Type="http://schemas.openxmlformats.org/officeDocument/2006/relationships/hyperlink" Target="https://contrataciondelestado.es/FileSystem/servlet/GetDocumentByIdServlet?cifrado=QUC1GjXXSiLkydRHJBmbpw%3D%3D&amp;DocumentIdParam=n8qLEhqiUMYxfAU/mOfMEkCFziQKFhUi2mz1bgfm7NIFVYyQ0SFOYEVujlfz%2BQuNdK1Ouj5LBRo/tJwb6EcG%2BeBInLu75xN5xOv5eaM5GmB45ClyWkoJ44mKM70IFcOu" TargetMode="External" Id="rId2691" /><Relationship Type="http://schemas.openxmlformats.org/officeDocument/2006/relationships/hyperlink" Target="https://contrataciondelestado.es/wps/poc?uri=deeplink:detalle_licitacion&amp;idEvl=FwcijBZWdMweC9GJQOEBkQ%3D%3D" TargetMode="External" Id="rId2692" /><Relationship Type="http://schemas.openxmlformats.org/officeDocument/2006/relationships/hyperlink" Target="https://contrataciondelestado.es/FileSystem/servlet/GetDocumentByIdServlet?cifrado=QUC1GjXXSiLkydRHJBmbpw%3D%3D&amp;DocumentIdParam=dZzm2LCU%2BhyQM/IdWrHgXBD%2BVc7iNc0gnrT0KCYNuw9mAJfPFhf9%2B2IjPDxqJuG0QhfrSLlZ9xBxmyhR4N5C0EdXXvN8tK9DsbqwUthAM0aHAj0WEJrB5sP7amrh2jBD" TargetMode="External" Id="rId2693" /><Relationship Type="http://schemas.openxmlformats.org/officeDocument/2006/relationships/hyperlink" Target="https://contrataciondelestado.es/wps/poc?uri=deeplink:detalle_licitacion&amp;idEvl=mVq8uFi87t7N3k3tjedSGw%3D%3D" TargetMode="External" Id="rId2694" /><Relationship Type="http://schemas.openxmlformats.org/officeDocument/2006/relationships/hyperlink" Target="https://contrataciondelestado.es/FileSystem/servlet/GetDocumentByIdServlet?cifrado=QUC1GjXXSiLkydRHJBmbpw%3D%3D&amp;DocumentIdParam=5R4IgpGrkvNtOlLdPmB9FlNOt0DCerfr%2Bvnufft6k7mJC2fUJJ6bTonw3Lpw0v51qd/k6UsLEwI1QshThKTaOqpoAlbda9WSlXM2x3zAvp0//q7NB2iMZvNyf0xrJmjt" TargetMode="External" Id="rId2695" /><Relationship Type="http://schemas.openxmlformats.org/officeDocument/2006/relationships/hyperlink" Target="https://contrataciondelestado.es/wps/poc?uri=deeplink:detalle_licitacion&amp;idEvl=msn4vT%2FXUOotm4eBPtV6eQ%3D%3D" TargetMode="External" Id="rId2696" /><Relationship Type="http://schemas.openxmlformats.org/officeDocument/2006/relationships/hyperlink" Target="https://contrataciondelestado.es/FileSystem/servlet/GetDocumentByIdServlet?cifrado=QUC1GjXXSiLkydRHJBmbpw%3D%3D&amp;DocumentIdParam=fT5MHVtoOjI2sjd2y3EOtwwKZrNwBFY2nDIE1BELY1CMiZQ%2BaQJrySlIDgTxMRTzEBAgiwKRIauX4O9Vn/xOEdWeQ6FHHOtml0tQVowLrKs//q7NB2iMZvNyf0xrJmjt" TargetMode="External" Id="rId2697" /><Relationship Type="http://schemas.openxmlformats.org/officeDocument/2006/relationships/hyperlink" Target="https://contrataciondelestado.es/wps/poc?uri=deeplink:detalle_licitacion&amp;idEvl=XNe%2FZY3OLWfL1rX3q%2FMAPA%3D%3D" TargetMode="External" Id="rId2698" /><Relationship Type="http://schemas.openxmlformats.org/officeDocument/2006/relationships/hyperlink" Target="https://contrataciondelestado.es/FileSystem/servlet/GetDocumentByIdServlet?cifrado=QUC1GjXXSiLkydRHJBmbpw%3D%3D&amp;DocumentIdParam=a%2BtDnjr4%2BKbGFjVX/j%2B4G99ejSpwhhZDHdYGbDycuv8Wyc8bgcd66FVaXLYJ8BHFGLEVj4d2QskkAPHReGDfcjtY5h4S91zmImKwh3lTm1J45ClyWkoJ44mKM70IFcOu" TargetMode="External" Id="rId2699" /><Relationship Type="http://schemas.openxmlformats.org/officeDocument/2006/relationships/hyperlink" Target="https://contrataciondelestado.es/wps/poc?uri=deeplink:detalle_licitacion&amp;idEvl=ouB54JpFDBJ70UvEyYJSGw%3D%3D" TargetMode="External" Id="rId2700" /><Relationship Type="http://schemas.openxmlformats.org/officeDocument/2006/relationships/hyperlink" Target="https://contrataciondelestado.es/FileSystem/servlet/GetDocumentByIdServlet?cifrado=QUC1GjXXSiLkydRHJBmbpw%3D%3D&amp;DocumentIdParam=/UenCrt1%2BgxIeomHUgwLAGYBiBLZsLsLzTV8BYfzHFZXE46gHJVaKuhbMhluXWDd3YY0iHqCAsDQe%2Bur4LthqPTORFQsCc7TcAieUIFeDIHVTD3T98KC0nSgQFM0q%2B5s" TargetMode="External" Id="rId2701" /><Relationship Type="http://schemas.openxmlformats.org/officeDocument/2006/relationships/hyperlink" Target="https://contrataciondelestado.es/wps/poc?uri=deeplink:detalle_licitacion&amp;idEvl=b9aOgEZZoE7%2Fa9DgO%2BoYKQ%3D%3D" TargetMode="External" Id="rId2702" /><Relationship Type="http://schemas.openxmlformats.org/officeDocument/2006/relationships/hyperlink" Target="https://contrataciondelestado.es/FileSystem/servlet/GetDocumentByIdServlet?cifrado=QUC1GjXXSiLkydRHJBmbpw%3D%3D&amp;DocumentIdParam=1CJeB324NzlhmTGcEVC39WDKjp65YVQMkf6yEotsWJzZUn7QarEyqDkk6SM7HPfA4R8/UsYMlyCaSeSj0CjI3vSQ/bdfLPtwPTsHumboekB7QB3HKyQaFUExmUVQCerk" TargetMode="External" Id="rId2703" /><Relationship Type="http://schemas.openxmlformats.org/officeDocument/2006/relationships/hyperlink" Target="https://contrataciondelestado.es/wps/poc?uri=deeplink:detalle_licitacion&amp;idEvl=cTciWhwV8bR70UvEyYJSGw%3D%3D" TargetMode="External" Id="rId2704" /><Relationship Type="http://schemas.openxmlformats.org/officeDocument/2006/relationships/hyperlink" Target="https://contrataciondelestado.es/FileSystem/servlet/GetDocumentByIdServlet?cifrado=QUC1GjXXSiLkydRHJBmbpw%3D%3D&amp;DocumentIdParam=lviZjkWBZi2EKKkUiYgHyMtzTCMsJVBZE5kymUtrXGOY9un9cQ0VuWRoo5FaoN2xjOxAE/QIYwnXZ8OKosidN3281QQdV%2B9KUfzGjdIV8nRt/o8fNevwsujgRzaBbugn" TargetMode="External" Id="rId2705" /><Relationship Type="http://schemas.openxmlformats.org/officeDocument/2006/relationships/hyperlink" Target="https://contrataciondelestado.es/wps/poc?uri=deeplink:detalle_licitacion&amp;idEvl=qXbE4a65vaI7u6%2B%2FR7DUoA%3D%3D" TargetMode="External" Id="rId2706" /><Relationship Type="http://schemas.openxmlformats.org/officeDocument/2006/relationships/hyperlink" Target="https://contrataciondelestado.es/wps/poc?uri=deeplink:detalle_licitacion&amp;idEvl=MlU%2Boh3A%2FDNt5r0ngvMetA%3D%3D" TargetMode="External" Id="rId2707" /><Relationship Type="http://schemas.openxmlformats.org/officeDocument/2006/relationships/hyperlink" Target="https://contrataciondelestado.es/FileSystem/servlet/GetDocumentByIdServlet?cifrado=QUC1GjXXSiLkydRHJBmbpw%3D%3D&amp;DocumentIdParam=jc/xXNChH/HOXak4s4FyTE1BmOT7KrsuD6fk5/B5smNjBzAb%2BHdVD7IaU4SOgbIHsCPdy0lw7ea15F6yME9VYBfGBfRGu9hhxMJME%2BVhpCiHAj0WEJrB5sP7amrh2jBD" TargetMode="External" Id="rId2708" /><Relationship Type="http://schemas.openxmlformats.org/officeDocument/2006/relationships/hyperlink" Target="https://contrataciondelestado.es/wps/poc?uri=deeplink:detalle_licitacion&amp;idEvl=hyPCgqRznveFQ%2FlhRK79lA%3D%3D" TargetMode="External" Id="rId2709" /><Relationship Type="http://schemas.openxmlformats.org/officeDocument/2006/relationships/hyperlink" Target="https://contrataciondelestado.es/FileSystem/servlet/GetDocumentByIdServlet?cifrado=QUC1GjXXSiLkydRHJBmbpw%3D%3D&amp;DocumentIdParam=hK5gTlmvvbO4czKQeEfT%2BPkpWc7tjuyf9Odvpl4/XqQMW3FTZVfjdMl4jJyfcS4tu6p1D3quxmgQyA0JJb%2BnjYHLgCVK2ZH75o%2B4jfdc/e7fdyQgZAdTm3EfcUAC7CJ6" TargetMode="External" Id="rId2710" /><Relationship Type="http://schemas.openxmlformats.org/officeDocument/2006/relationships/hyperlink" Target="https://contrataciondelestado.es/wps/poc?uri=deeplink:detalle_licitacion&amp;idEvl=vbJH2T9JGtPL1rX3q%2FMAPA%3D%3D" TargetMode="External" Id="rId2711" /><Relationship Type="http://schemas.openxmlformats.org/officeDocument/2006/relationships/hyperlink" Target="https://contrataciondelestado.es/FileSystem/servlet/GetDocumentByIdServlet?cifrado=QUC1GjXXSiLkydRHJBmbpw%3D%3D&amp;DocumentIdParam=dMumhkgDBGkTkpShTU0GK/ua0UkemPowwV0DcH/rwo3JkSpCgf%2BvYhvMC8tbx8kiHTmfqdWopVP9TQ4abQnB3V6vevjan%2BlgSHnextiR5dTDdQD9RyhUmzT4jZ2In4zL" TargetMode="External" Id="rId2712" /><Relationship Type="http://schemas.openxmlformats.org/officeDocument/2006/relationships/hyperlink" Target="https://contrataciondelestado.es/wps/poc?uri=deeplink:detalle_licitacion&amp;idEvl=YPLo24qZl8jE6P%2FuLemXRw%3D%3D" TargetMode="External" Id="rId2713" /><Relationship Type="http://schemas.openxmlformats.org/officeDocument/2006/relationships/hyperlink" Target="https://contrataciondelestado.es/FileSystem/servlet/GetDocumentByIdServlet?cifrado=QUC1GjXXSiLkydRHJBmbpw%3D%3D&amp;DocumentIdParam=qMQNX8JJPlQHJRT6hb/AV09ZuJeTVp416swQfk8b6YcYrWt242znbfZQ%2B43dohdn5jCl4YuDTuNCz05Z2S2gZMSkvRpsTAreAFfiZg9ajUzDdQD9RyhUmzT4jZ2In4zL" TargetMode="External" Id="rId2714" /><Relationship Type="http://schemas.openxmlformats.org/officeDocument/2006/relationships/hyperlink" Target="https://contrataciondelestado.es/wps/poc?uri=deeplink:detalle_licitacion&amp;idEvl=DThsT9N5yPoadbH3CysQuQ%3D%3D" TargetMode="External" Id="rId2715" /><Relationship Type="http://schemas.openxmlformats.org/officeDocument/2006/relationships/hyperlink" Target="https://contrataciondelestado.es/FileSystem/servlet/GetDocumentByIdServlet?DocumentIdParam=wwN40A4I6SjjqbDDau1uR5EYojQpw2XbNp9UmpO7zM4I3t5vxnAIcUPIi158X5AInTQJYQsrvXZby6brS1W/pYPhL6rnsDiLaTmcEMZFX4FJOVDbGCDM%2BMigrvuVS7Rv&amp;cifrado=QUC1GjXXSiLkydRHJBmbpw%3D%3D" TargetMode="External" Id="rId2716" /><Relationship Type="http://schemas.openxmlformats.org/officeDocument/2006/relationships/hyperlink" Target="https://contrataciondelestado.es/wps/poc?uri=deeplink:detalle_licitacion&amp;idEvl=R0Bb8SkWeZNq1DdmE7eaXg%3D%3D" TargetMode="External" Id="rId2717" /><Relationship Type="http://schemas.openxmlformats.org/officeDocument/2006/relationships/hyperlink" Target="https://contrataciondelestado.es/FileSystem/servlet/GetDocumentByIdServlet?cifrado=QUC1GjXXSiLkydRHJBmbpw%3D%3D&amp;DocumentIdParam=pzo/iv5WVVpa4WEcAjpuA7DATCl7J/sUoi8/8Gfw1oViCNnnn3ii37DXcBdOY%2BAD%2BKbApg55RgzQ1YyWzVHTIklR07SRuRIyiz7aTkOK7I4C1/zDIE0Kw/PWNnLS0Z0z" TargetMode="External" Id="rId2718" /><Relationship Type="http://schemas.openxmlformats.org/officeDocument/2006/relationships/hyperlink" Target="https://contrataciondelestado.es/wps/poc?uri=deeplink:detalle_licitacion&amp;idEvl=tKHDOERS%2FfKKeVWTb9Scog%3D%3D" TargetMode="External" Id="rId2719" /><Relationship Type="http://schemas.openxmlformats.org/officeDocument/2006/relationships/hyperlink" Target="https://contrataciondelestado.es/FileSystem/servlet/GetDocumentByIdServlet?cifrado=QUC1GjXXSiLkydRHJBmbpw%3D%3D&amp;DocumentIdParam=GfYQqCo9pQo0CIacKaCNsrZHhttK2laFnyMOz/XLZfKciXmL0XGEf6GO2o%2BYmuc5NfmaGF2eWjniWxGmpuGtSc5O3olJkTO7Q9%2BRr2QHjEffdyQgZAdTm3EfcUAC7CJ6" TargetMode="External" Id="rId2720" /><Relationship Type="http://schemas.openxmlformats.org/officeDocument/2006/relationships/hyperlink" Target="https://contrataciondelestado.es/wps/poc?uri=deeplink:detalle_licitacion&amp;idEvl=Ae73KLuIe%2BN6nTs9LZ9RhQ%3D%3D" TargetMode="External" Id="rId2721" /><Relationship Type="http://schemas.openxmlformats.org/officeDocument/2006/relationships/hyperlink" Target="https://contrataciondelestado.es/FileSystem/servlet/GetDocumentByIdServlet?cifrado=QUC1GjXXSiLkydRHJBmbpw%3D%3D&amp;DocumentIdParam=2tQk63KZRb7Df03%2BaajcbWV/Gof7aau33FySq0i4Y3NQHF2lCsoVBWFIZzHiGbQcTbWqfrI4yxNdRZ%2BO5qBwp/oSHMVhNC00MlIjTLcIeMB45ClyWkoJ44mKM70IFcOu" TargetMode="External" Id="rId2722" /><Relationship Type="http://schemas.openxmlformats.org/officeDocument/2006/relationships/hyperlink" Target="https://contrataciondelestado.es/wps/poc?uri=deeplink:detalle_licitacion&amp;idEvl=fkycVsnkQ4k%2Bk2oCbDosIw%3D%3D" TargetMode="External" Id="rId2723" /><Relationship Type="http://schemas.openxmlformats.org/officeDocument/2006/relationships/hyperlink" Target="https://contrataciondelestado.es/FileSystem/servlet/GetDocumentByIdServlet?cifrado=QUC1GjXXSiLkydRHJBmbpw%3D%3D&amp;DocumentIdParam=VyjYB44OB6KsSPkY46IYPdU/wN7KonyvwnwIAFRTkl8rdu28G%2BeKuTp44wcRjyEBV9S/eK5P49DI9AudMhCYhFMrdrjWWdDGrW5xag5anKXDdQD9RyhUmzT4jZ2In4zL" TargetMode="External" Id="rId2724" /><Relationship Type="http://schemas.openxmlformats.org/officeDocument/2006/relationships/hyperlink" Target="https://contrataciondelestado.es/wps/poc?uri=deeplink:detalle_licitacion&amp;idEvl=ujnDWDuOeiqP66GS%2BONYvQ%3D%3D" TargetMode="External" Id="rId2725" /><Relationship Type="http://schemas.openxmlformats.org/officeDocument/2006/relationships/hyperlink" Target="https://contrataciondelestado.es/FileSystem/servlet/GetDocumentByIdServlet?cifrado=QUC1GjXXSiLkydRHJBmbpw%3D%3D&amp;DocumentIdParam=yjGH9rRUDTNJKXaKtgMCRbla2JVoSHRAnvyW7ytMVS0qNq41kuftyKXXEUnEMV/zH1QAz3CXSHaDb9vUFkEenIvXqi5g8tl03wvWSGagmGw//q7NB2iMZvNyf0xrJmjt" TargetMode="External" Id="rId2726" /><Relationship Type="http://schemas.openxmlformats.org/officeDocument/2006/relationships/hyperlink" Target="https://contrataciondelestado.es/wps/poc?uri=deeplink:detalle_licitacion&amp;idEvl=Uoz1N733H2gIYE3ZiZ%2BxmQ%3D%3D" TargetMode="External" Id="rId2727" /><Relationship Type="http://schemas.openxmlformats.org/officeDocument/2006/relationships/hyperlink" Target="https://contrataciondelestado.es/FileSystem/servlet/GetDocumentByIdServlet?cifrado=QUC1GjXXSiLkydRHJBmbpw%3D%3D&amp;DocumentIdParam=/8rXeSlcVz86RfUrkNJRW8s/GZjtvxU5ekOnqZwMiyMZ1daswwSdViKASy22hn5zdO6uMbrQ8S5nryxCMiX49P4SwMWvRrlnTea%2BoIXm0/rfdyQgZAdTm3EfcUAC7CJ6" TargetMode="External" Id="rId2728" /><Relationship Type="http://schemas.openxmlformats.org/officeDocument/2006/relationships/hyperlink" Target="https://contrataciondelestado.es/wps/poc?uri=deeplink:detalle_licitacion&amp;idEvl=yjbHRoEr138QyBAnWzHfCg%3D%3D" TargetMode="External" Id="rId2729" /><Relationship Type="http://schemas.openxmlformats.org/officeDocument/2006/relationships/hyperlink" Target="https://contrataciondelestado.es/FileSystem/servlet/GetDocumentByIdServlet?cifrado=QUC1GjXXSiLkydRHJBmbpw%3D%3D&amp;DocumentIdParam=4YgoQ2DuMTI40m/FoW%2B7gDIfi0atC0N28nxt8ttzI0WjsXKwOxsCFCntWrv6stbZokT0TKv4JalylY0hWa0hlaLUkZ4k9uSS%2BjNYut97XQht/o8fNevwsujgRzaBbugn" TargetMode="External" Id="rId2730" /><Relationship Type="http://schemas.openxmlformats.org/officeDocument/2006/relationships/hyperlink" Target="https://contrataciondelestado.es/wps/poc?uri=deeplink:detalle_licitacion&amp;idEvl=hFlCrIgyjhWS81gZFETWmA%3D%3D" TargetMode="External" Id="rId2731" /><Relationship Type="http://schemas.openxmlformats.org/officeDocument/2006/relationships/hyperlink" Target="https://contrataciondelestado.es/FileSystem/servlet/GetDocumentByIdServlet?cifrado=QUC1GjXXSiLkydRHJBmbpw%3D%3D&amp;DocumentIdParam=8IESudsqKogUhmEZaZg6r7Mg4HNhiiaAs97r7Rna44J102GJ6YGeLVSwqerG%2BBDutO16dkC0udeFb1HZrKoiY9btPqC2IqSLEC1XCBMYhlaHAj0WEJrB5sP7amrh2jBD" TargetMode="External" Id="rId2732" /><Relationship Type="http://schemas.openxmlformats.org/officeDocument/2006/relationships/hyperlink" Target="https://contrataciondelestado.es/wps/poc?uri=deeplink:detalle_licitacion&amp;idEvl=hXakaQtyrNkmMOlAXxDEjw%3D%3D" TargetMode="External" Id="rId2733" /><Relationship Type="http://schemas.openxmlformats.org/officeDocument/2006/relationships/hyperlink" Target="https://contrataciondelestado.es/FileSystem/servlet/GetDocumentByIdServlet?cifrado=QUC1GjXXSiLkydRHJBmbpw%3D%3D&amp;DocumentIdParam=%2ByRnY6I4M82gp5Nd8KbUAa7PYJtpr8KAqGCSqfVR2xDOBjiI/UQ7lyxfH8h4JOKVkETu/Tm%2BmPNPRComFZM%2B0bTIAFlyIyAjMH6MxFx%2BDot45ClyWkoJ44mKM70IFcOu" TargetMode="External" Id="rId2734" /><Relationship Type="http://schemas.openxmlformats.org/officeDocument/2006/relationships/hyperlink" Target="https://contrataciondelestado.es/wps/poc?uri=deeplink:detalle_licitacion&amp;idEvl=bJ7RafCEkY6cCF8sV%2BqtYA%3D%3D" TargetMode="External" Id="rId2735" /><Relationship Type="http://schemas.openxmlformats.org/officeDocument/2006/relationships/hyperlink" Target="https://contrataciondelestado.es/FileSystem/servlet/GetDocumentByIdServlet?cifrado=QUC1GjXXSiLkydRHJBmbpw%3D%3D&amp;DocumentIdParam=rH7fUm1vbDB1bR4K4g5JdojducQR/GMnKD3QI2rKY2kl1IJyjMj5mHkVsAX6%2BS1mLpkHTg1Y/PSX%2BLamT4lNZe63AdCnUCX6uY7HeMAeXtE//q7NB2iMZvNyf0xrJmjt" TargetMode="External" Id="rId2736" /><Relationship Type="http://schemas.openxmlformats.org/officeDocument/2006/relationships/hyperlink" Target="https://contrataciondelestado.es/wps/poc?uri=deeplink:detalle_licitacion&amp;idEvl=ge8ExxufhqSopEMYCmrbmw%3D%3D" TargetMode="External" Id="rId2737" /><Relationship Type="http://schemas.openxmlformats.org/officeDocument/2006/relationships/hyperlink" Target="https://contrataciondelestado.es/FileSystem/servlet/GetDocumentByIdServlet?cifrado=QUC1GjXXSiLkydRHJBmbpw%3D%3D&amp;DocumentIdParam=4B0Iv609IsRfwMj%2BZADYWy9GrVBotUhGTVAQCXygVA4Umx%2BnrZVBMnfFJwUzeind3Nwfg137LkiGfCa7Dkq0ub/IUzD5SAg079pF9wykjUW1aXEvq3KHa/AEHgtDrQw0" TargetMode="External" Id="rId2738" /><Relationship Type="http://schemas.openxmlformats.org/officeDocument/2006/relationships/hyperlink" Target="https://contrataciondelestado.es/wps/poc?uri=deeplink:detalle_licitacion&amp;idEvl=YWgQEPL1ekZxseVhcqrkhw%3D%3D" TargetMode="External" Id="rId2739" /><Relationship Type="http://schemas.openxmlformats.org/officeDocument/2006/relationships/hyperlink" Target="https://contrataciondelestado.es/FileSystem/servlet/GetDocumentByIdServlet?cifrado=QUC1GjXXSiLkydRHJBmbpw%3D%3D&amp;DocumentIdParam=Pbiy6lT%2BCVpBpc48RYXelhL5X77M5OfEnWgWkjahQEXNrpYVLB2X5%2BlJ9p52%2BaCG%2BGaYnYXxs5sb5GYay7FQkmnwxGDOMDKvjjDgKWCyZ9uHAj0WEJrB5sP7amrh2jBD" TargetMode="External" Id="rId2740" /><Relationship Type="http://schemas.openxmlformats.org/officeDocument/2006/relationships/hyperlink" Target="https://contrataciondelestado.es/wps/poc?uri=deeplink:detalle_licitacion&amp;idEvl=ad1g%2Bq9rOCWkU02jNGj1Fw%3D%3D" TargetMode="External" Id="rId2741" /><Relationship Type="http://schemas.openxmlformats.org/officeDocument/2006/relationships/hyperlink" Target="https://contrataciondelestado.es/FileSystem/servlet/GetDocumentByIdServlet?cifrado=QUC1GjXXSiLkydRHJBmbpw%3D%3D&amp;DocumentIdParam=n/HkGZifc31ScVq6mTjsQXflGSfucdx5nToLW2KBV1fXHsmy%2BpUPL28LhCw5Pgr078FmlnH2L2nLCUFldRykime4vfjplGP9DqAmagtpz5h7QB3HKyQaFUExmUVQCerk" TargetMode="External" Id="rId2742" /><Relationship Type="http://schemas.openxmlformats.org/officeDocument/2006/relationships/hyperlink" Target="https://contrataciondelestado.es/wps/poc?uri=deeplink:detalle_licitacion&amp;idEvl=VsbZ9Ys7oH4eC9GJQOEBkQ%3D%3D" TargetMode="External" Id="rId2743" /><Relationship Type="http://schemas.openxmlformats.org/officeDocument/2006/relationships/hyperlink" Target="https://contrataciondelestado.es/FileSystem/servlet/GetDocumentByIdServlet?cifrado=QUC1GjXXSiLkydRHJBmbpw%3D%3D&amp;DocumentIdParam=MVGyWiHc3xqIadESIiRUEHzl3rjw06PqzpszA0UwfAUs6c5Ls8pX3yAtXtrD2ZFsfx5WEWiLD7o88wGmkmsPs8B2s2zvJxu3wP9rCU2L7iX6CYyL7SIrUOBFfNf52ZqA" TargetMode="External" Id="rId2744" /><Relationship Type="http://schemas.openxmlformats.org/officeDocument/2006/relationships/hyperlink" Target="https://contrataciondelestado.es/wps/poc?uri=deeplink:detalle_licitacion&amp;idEvl=Vt6pjW7ieHji0Kd8%2Brcp6w%3D%3D" TargetMode="External" Id="rId2745" /><Relationship Type="http://schemas.openxmlformats.org/officeDocument/2006/relationships/hyperlink" Target="https://contrataciondelestado.es/FileSystem/servlet/GetDocumentByIdServlet?cifrado=QUC1GjXXSiLkydRHJBmbpw%3D%3D&amp;DocumentIdParam=0kU%2BA4otzVJzgbnYQYD8QlppBhAEiUDcUzbRB0q71wx/T4GxQOP1RJ7vRO12MxXsRVEfdyfNXZbQOE8NjZ05fMI/XJ11oguBgSMxQ5qeuVv3GVhXrFFqN7yFncy7YfRK" TargetMode="External" Id="rId2746" /><Relationship Type="http://schemas.openxmlformats.org/officeDocument/2006/relationships/hyperlink" Target="https://contrataciondelestado.es/wps/poc?uri=deeplink:detalle_licitacion&amp;idEvl=dQaQWHUJEmbzAq95uGTrDQ%3D%3D" TargetMode="External" Id="rId2747" /><Relationship Type="http://schemas.openxmlformats.org/officeDocument/2006/relationships/hyperlink" Target="https://contrataciondelestado.es/FileSystem/servlet/GetDocumentByIdServlet?cifrado=QUC1GjXXSiLkydRHJBmbpw%3D%3D&amp;DocumentIdParam=1ESdVpr4qIZxbLs5w1JvYktynfAjcXLOwhJR0bGW4YUj%2BymOhwMZgwWE9r3/lnpGjfAwru2mJnNp7P2Ug4NOJxsBSErv95A2bK0nmbeigu/VTD3T98KC0nSgQFM0q%2B5s" TargetMode="External" Id="rId2748" /><Relationship Type="http://schemas.openxmlformats.org/officeDocument/2006/relationships/hyperlink" Target="https://contrataciondelestado.es/wps/poc?uri=deeplink:detalle_licitacion&amp;idEvl=NNpsipETf%2Fx70UvEyYJSGw%3D%3D" TargetMode="External" Id="rId2749" /><Relationship Type="http://schemas.openxmlformats.org/officeDocument/2006/relationships/hyperlink" Target="https://contrataciondelestado.es/FileSystem/servlet/GetDocumentByIdServlet?cifrado=QUC1GjXXSiLkydRHJBmbpw%3D%3D&amp;DocumentIdParam=6lqe4OIZJ2Ao46bJM/qVQ3hT5YWFKMDwgEPMqwy86r4Kb7HLpBqYhNB7gCjA7aW%2B%2B1p4NcDwCHQJK98wPLKatK/TDrbRFNvVT66fWlGPaS945ClyWkoJ44mKM70IFcOu" TargetMode="External" Id="rId2750" /><Relationship Type="http://schemas.openxmlformats.org/officeDocument/2006/relationships/hyperlink" Target="https://contrataciondelestado.es/wps/poc?uri=deeplink:detalle_licitacion&amp;idEvl=W%2B3woEfT0bL%2B3JAijKO%2Bkg%3D%3D" TargetMode="External" Id="rId2751" /><Relationship Type="http://schemas.openxmlformats.org/officeDocument/2006/relationships/hyperlink" Target="https://contrataciondelestado.es/FileSystem/servlet/GetDocumentByIdServlet?cifrado=QUC1GjXXSiLkydRHJBmbpw%3D%3D&amp;DocumentIdParam=GBwhb3kGmOeAuWlNz9whKLb3mdXZCZAyEVc3vACLZX9OHW2IfT6KDxshvDsVuaU/JumlYrBNVL1LJywkond/ph/uP13puChqWNx0RsuMnNPfdyQgZAdTm3EfcUAC7CJ6" TargetMode="External" Id="rId2752" /><Relationship Type="http://schemas.openxmlformats.org/officeDocument/2006/relationships/hyperlink" Target="https://contrataciondelestado.es/wps/poc?uri=deeplink:detalle_licitacion&amp;idEvl=w6OS8MCYZKd70UvEyYJSGw%3D%3D" TargetMode="External" Id="rId2753" /><Relationship Type="http://schemas.openxmlformats.org/officeDocument/2006/relationships/hyperlink" Target="https://contrataciondelestado.es/FileSystem/servlet/GetDocumentByIdServlet?cifrado=QUC1GjXXSiLkydRHJBmbpw%3D%3D&amp;DocumentIdParam=kQUmJY1BBrDZ5Gwz%2B%2BioO5zFXcymPkYkFZHBc9VE5%2B8p0qK%2BD2c2YEAIG5nlF1xYsJoFxJ88iQ4A8/d5jPVUV39Vj1QJzQahXwr9TIlOtV2Cx2e6p7hqtlp2aFupgHMr" TargetMode="External" Id="rId2754" /><Relationship Type="http://schemas.openxmlformats.org/officeDocument/2006/relationships/hyperlink" Target="https://contrataciondelestado.es/wps/poc?uri=deeplink:detalle_licitacion&amp;idEvl=jBURuIudDdfgL1BHd3qjQA%3D%3D" TargetMode="External" Id="rId2755" /><Relationship Type="http://schemas.openxmlformats.org/officeDocument/2006/relationships/hyperlink" Target="https://contrataciondelestado.es/FileSystem/servlet/GetDocumentByIdServlet?cifrado=QUC1GjXXSiLkydRHJBmbpw%3D%3D&amp;DocumentIdParam=DHHifGn1CqX0dJ%2BQ%2BaFE7iLir%2B63q3KwE0WZKwQsX7uOr5tkMUKoTMWQRBY/QeK/jp%2Bw140F1Dq7XIpTgsNSY3sCvE/a2z%2BzPxiYLF91wamCx2e6p7hqtlp2aFupgHMr" TargetMode="External" Id="rId2756" /><Relationship Type="http://schemas.openxmlformats.org/officeDocument/2006/relationships/hyperlink" Target="https://contrataciondelestado.es/wps/poc?uri=deeplink:detalle_licitacion&amp;idEvl=%2Fj%2F19P8TA%2FDXOjazN1Dw9Q%3D%3D" TargetMode="External" Id="rId2757" /><Relationship Type="http://schemas.openxmlformats.org/officeDocument/2006/relationships/hyperlink" Target="https://contrataciondelestado.es/FileSystem/servlet/GetDocumentByIdServlet?cifrado=QUC1GjXXSiLkydRHJBmbpw%3D%3D&amp;DocumentIdParam=Q2ZlZAZEKB7yHojk7ivHpEndVderuBDG2COnGZufs1F7SC6EeyEQ8EJWtjlaTCggw4G1L0hRD6GdtQFFwtURL1XinsUNARB02n7wCupvYHv3GVhXrFFqN7yFncy7YfRK" TargetMode="External" Id="rId2758" /><Relationship Type="http://schemas.openxmlformats.org/officeDocument/2006/relationships/hyperlink" Target="https://contrataciondelestado.es/wps/poc?uri=deeplink:detalle_licitacion&amp;idEvl=aLimt8KmQDQ3vLk2DU2Ddg%3D%3D" TargetMode="External" Id="rId2759" /><Relationship Type="http://schemas.openxmlformats.org/officeDocument/2006/relationships/hyperlink" Target="https://contrataciondelestado.es/FileSystem/servlet/GetDocumentByIdServlet?cifrado=QUC1GjXXSiLkydRHJBmbpw%3D%3D&amp;DocumentIdParam=%2B6CbBovTGkgRwZA9bklMPGPPGEze4ninOrAE0XLNOgdXSMuFFJhelRVFD8NDaFKS6AYyEmAY45Ot4JP%2Bo9nzyRyPbH4oZ0KiLbCeejgZajK1aXEvq3KHa/AEHgtDrQw0" TargetMode="External" Id="rId2760" /><Relationship Type="http://schemas.openxmlformats.org/officeDocument/2006/relationships/hyperlink" Target="https://contrataciondelestado.es/wps/poc?uri=deeplink:detalle_licitacion&amp;idEvl=fCpL7081nsO5HQrHoP3G5A%3D%3D" TargetMode="External" Id="rId2761" /><Relationship Type="http://schemas.openxmlformats.org/officeDocument/2006/relationships/hyperlink" Target="https://contrataciondelestado.es/FileSystem/servlet/GetDocumentByIdServlet?cifrado=QUC1GjXXSiLkydRHJBmbpw%3D%3D&amp;DocumentIdParam=WyoKp0CtqFcHP69exTMZuZghsFf5SykUe/s/3AHn/atkXILz3KqZzJAc9yRLHSlZFv5spjVY6apAdg4L0%2B5qxbTWkvWiYX/SeYJDum/Jw833GVhXrFFqN7yFncy7YfRK" TargetMode="External" Id="rId2762" /><Relationship Type="http://schemas.openxmlformats.org/officeDocument/2006/relationships/hyperlink" Target="https://contrataciondelestado.es/wps/poc?uri=deeplink:detalle_licitacion&amp;idEvl=7UapLifuXbzE6P%2FuLemXRw%3D%3D" TargetMode="External" Id="rId2763" /><Relationship Type="http://schemas.openxmlformats.org/officeDocument/2006/relationships/hyperlink" Target="https://contrataciondelestado.es/FileSystem/servlet/GetDocumentByIdServlet?cifrado=QUC1GjXXSiLkydRHJBmbpw%3D%3D&amp;DocumentIdParam=5LwZqZ3hZPkFZ4OLLFc4oZYkEs6pnIIoVyVSDWTLWSiF4lWJPcNdjNg5o8j/SGDJl%2Bz218X/j6zU4HXb2M7jzSQS8zB3FuWBvUsCoMjGejMZyAJWGsSt0OzTSTyw9JAs" TargetMode="External" Id="rId2764" /><Relationship Type="http://schemas.openxmlformats.org/officeDocument/2006/relationships/hyperlink" Target="https://contrataciondelestado.es/wps/poc?uri=deeplink:detalle_licitacion&amp;idEvl=Dy0MaKcOGghVYjgxA4nMUw%3D%3D" TargetMode="External" Id="rId2765" /><Relationship Type="http://schemas.openxmlformats.org/officeDocument/2006/relationships/hyperlink" Target="https://contrataciondelestado.es/FileSystem/servlet/GetDocumentByIdServlet?cifrado=QUC1GjXXSiLkydRHJBmbpw%3D%3D&amp;DocumentIdParam=7TfK8lTH8PngsEy7Eu%2BJRYXlb2rfahspbqRNT8Fo1nxzy6wye87wJR2Kqw6RbY6cfs6ZLt7nDE/PTU1HDd1KXYXTigJMN6/8JOBYDUmZLMIZyAJWGsSt0OzTSTyw9JAs" TargetMode="External" Id="rId2766" /><Relationship Type="http://schemas.openxmlformats.org/officeDocument/2006/relationships/hyperlink" Target="https://contrataciondelestado.es/wps/poc?uri=deeplink:detalle_licitacion&amp;idEvl=dXOo1Nj4STeopEMYCmrbmw%3D%3D" TargetMode="External" Id="rId2767" /><Relationship Type="http://schemas.openxmlformats.org/officeDocument/2006/relationships/hyperlink" Target="https://contrataciondelestado.es/FileSystem/servlet/GetDocumentByIdServlet?cifrado=QUC1GjXXSiLkydRHJBmbpw%3D%3D&amp;DocumentIdParam=CfcKzBNNklAEJF51mntxinDEsuKnTNCHrKdXGlThhrYsujvelBY%2B2oDYfcttsjZrQEW8FLKw3wND//OMn7o2bxS9B6f5c89QI/lGnpWeMrHVTD3T98KC0nSgQFM0q%2B5s" TargetMode="External" Id="rId2768" /><Relationship Type="http://schemas.openxmlformats.org/officeDocument/2006/relationships/hyperlink" Target="https://contrataciondelestado.es/wps/poc?uri=deeplink:detalle_licitacion&amp;idEvl=q5l4u%2FlYkV%2F10HRJw8TEnQ%3D%3D" TargetMode="External" Id="rId2769" /><Relationship Type="http://schemas.openxmlformats.org/officeDocument/2006/relationships/hyperlink" Target="https://contrataciondelestado.es/FileSystem/servlet/GetDocumentByIdServlet?DocumentIdParam=bptmobLrhxt/UMRB2AQBZYkAmGnlac6r9nKKGVpebYXv9%2BIUitq5FMqWKu/9tAjCdFlA/qtr/WUFrNI358Fo1lZSO%2BaoR7dobpI3XgjVRF5t/o8fNevwsujgRzaBbugn&amp;cifrado=QUC1GjXXSiLkydRHJBmbpw%3D%3D" TargetMode="External" Id="rId2770" /><Relationship Type="http://schemas.openxmlformats.org/officeDocument/2006/relationships/hyperlink" Target="https://contrataciondelestado.es/wps/poc?uri=deeplink:detalle_licitacion&amp;idEvl=9H33xImsHAtVq4S9zvaQpQ%3D%3D" TargetMode="External" Id="rId2771" /><Relationship Type="http://schemas.openxmlformats.org/officeDocument/2006/relationships/hyperlink" Target="https://contrataciondelestado.es/FileSystem/servlet/GetDocumentByIdServlet?cifrado=QUC1GjXXSiLkydRHJBmbpw%3D%3D&amp;DocumentIdParam=kcpVPWpZfxahg7Hj0CkR1Zjiq8EMCkt7zrxEsLxUnkjCK4KJ9HplACinYa8a36qheTOAs5kVVhdphI3D5UsTXvV2B00NwyktpLfzlfMXTf76CYyL7SIrUOBFfNf52ZqA" TargetMode="External" Id="rId2772" /><Relationship Type="http://schemas.openxmlformats.org/officeDocument/2006/relationships/hyperlink" Target="https://contrataciondelestado.es/wps/poc?uri=deeplink:detalle_licitacion&amp;idEvl=thB9%2Fr2CC4qS81gZFETWmA%3D%3D" TargetMode="External" Id="rId2773" /><Relationship Type="http://schemas.openxmlformats.org/officeDocument/2006/relationships/hyperlink" Target="https://contrataciondelestado.es/FileSystem/servlet/GetDocumentByIdServlet?cifrado=QUC1GjXXSiLkydRHJBmbpw%3D%3D&amp;DocumentIdParam=T8zIT9i83iHNLzjsXeY%2B5pHyPWSat/srieWwZZb8rYisoVwOfegDjWNgq9NWVh0dRRKaNlzBoYjL6Ck7YCeG8uSAUa91VQ2GalgUBQ0AiFEC1/zDIE0Kw/PWNnLS0Z0z" TargetMode="External" Id="rId2774" /><Relationship Type="http://schemas.openxmlformats.org/officeDocument/2006/relationships/hyperlink" Target="https://contrataciondelestado.es/wps/poc?uri=deeplink:detalle_licitacion&amp;idEvl=NBisZonF33wzjChw4z%2FXvw%3D%3D" TargetMode="External" Id="rId2775" /><Relationship Type="http://schemas.openxmlformats.org/officeDocument/2006/relationships/hyperlink" Target="https://contrataciondelestado.es/FileSystem/servlet/GetDocumentByIdServlet?cifrado=QUC1GjXXSiLkydRHJBmbpw%3D%3D&amp;DocumentIdParam=9dFnAx%2BgIuShQVLhqq%2BqbKqX2fCDFZgJU8l6RyP1XTPzruBkLjV7y1JguJEKQbcDEWlBurAmqPEnu9SRgkyl23Yvs7LMZF%2BOD/Zsl4aegXyCx2e6p7hqtlp2aFupgHMr" TargetMode="External" Id="rId2776" /><Relationship Type="http://schemas.openxmlformats.org/officeDocument/2006/relationships/hyperlink" Target="https://contrataciondelestado.es/wps/poc?uri=deeplink:detalle_licitacion&amp;idEvl=%2BErkgO5HAcnyoM4us5k4vw%3D%3D" TargetMode="External" Id="rId2777" /><Relationship Type="http://schemas.openxmlformats.org/officeDocument/2006/relationships/hyperlink" Target="https://contrataciondelestado.es/FileSystem/servlet/GetDocumentByIdServlet?DocumentIdParam=t/6sZpoG2Que1XlyYeA7%2BdAe%2BPdS3Adnbm14b2hmcL3LSZ/3t3iuXP1YXm8jN5LzBQQpnO9%2Bvyxa/JsakNKMizU9Rx7thnwwcJw/bX6p0LZ45ClyWkoJ44mKM70IFcOu&amp;cifrado=QUC1GjXXSiLkydRHJBmbpw%3D%3D" TargetMode="External" Id="rId2778" /><Relationship Type="http://schemas.openxmlformats.org/officeDocument/2006/relationships/hyperlink" Target="https://contrataciondelestado.es/wps/poc?uri=deeplink:detalle_licitacion&amp;idEvl=yETWMHlcJJ0QyBAnWzHfCg%3D%3D" TargetMode="External" Id="rId2779" /><Relationship Type="http://schemas.openxmlformats.org/officeDocument/2006/relationships/hyperlink" Target="https://contrataciondelestado.es/FileSystem/servlet/GetDocumentByIdServlet?cifrado=QUC1GjXXSiLkydRHJBmbpw%3D%3D&amp;DocumentIdParam=OwzKR1DvIUqy%2B1lYKYiVfOgjlS/EdY3MABmrBDjUG1/DsO3xjnxFI21pH29Xl2PE8Pr%2BgEgu2y3G8wSgfR/O%2BStDi0BuOPHnYUNS1g8Dqij6CYyL7SIrUOBFfNf52ZqA" TargetMode="External" Id="rId2780" /><Relationship Type="http://schemas.openxmlformats.org/officeDocument/2006/relationships/hyperlink" Target="https://contrataciondelestado.es/wps/poc?uri=deeplink:detalle_licitacion&amp;idEvl=L0ChsKpcaZfs%2BnLj3vAg5A%3D%3D" TargetMode="External" Id="rId2781" /><Relationship Type="http://schemas.openxmlformats.org/officeDocument/2006/relationships/hyperlink" Target="https://contrataciondelestado.es/FileSystem/servlet/GetDocumentByIdServlet?cifrado=QUC1GjXXSiLkydRHJBmbpw%3D%3D&amp;DocumentIdParam=EZlMFkO2shE9EaY6xqNT5Z%2Be9wWQ6wWL4CuyJuMTph9e1K96GQ7poz5Gt3d%2BzjDg0FUynl95Lul0CSUJPjFg19pwITgS6mSF3yipLpZpHxfVTD3T98KC0nSgQFM0q%2B5s" TargetMode="External" Id="rId2782" /><Relationship Type="http://schemas.openxmlformats.org/officeDocument/2006/relationships/hyperlink" Target="https://contrataciondelestado.es/wps/poc?uri=deeplink:detalle_licitacion&amp;idEvl=0m%2BiOOG5dJw36J9Lctlsuw%3D%3D" TargetMode="External" Id="rId2783" /><Relationship Type="http://schemas.openxmlformats.org/officeDocument/2006/relationships/hyperlink" Target="https://contrataciondelestado.es/FileSystem/servlet/GetDocumentByIdServlet?cifrado=QUC1GjXXSiLkydRHJBmbpw%3D%3D&amp;DocumentIdParam=Nq1oQ8S/6ER7u3AFIJM1xCrmyd%2BW0yl2beeKMysyPOq9RkNgXCoIeTEGQVWMaYlxjpvMl5yw3xKy1RbMvmudWdRa7CfnfBuJ2/mufaH1v2J7QB3HKyQaFUExmUVQCerk" TargetMode="External" Id="rId2784" /><Relationship Type="http://schemas.openxmlformats.org/officeDocument/2006/relationships/hyperlink" Target="https://contrataciondelestado.es/wps/poc?uri=deeplink:detalle_licitacion&amp;idEvl=4mb%2BuVvgvmVQFSeKCRun4Q%3D%3D" TargetMode="External" Id="rId2785" /><Relationship Type="http://schemas.openxmlformats.org/officeDocument/2006/relationships/hyperlink" Target="https://contrataciondelestado.es/FileSystem/servlet/GetDocumentByIdServlet?cifrado=QUC1GjXXSiLkydRHJBmbpw%3D%3D&amp;DocumentIdParam=vIv0fyIYnXXG8NxFbRVIS3r3c5r%2BbCFVBAQbv3rbh%2B3hAb5RPOwCgk6avLeW2jVLMoPDfmmIUZNvHm1Sw4sUedhEYuvD4P0OG9BTtGN0oyiB0nvVKRzfe4rpHcnlPhSZ" TargetMode="External" Id="rId2786" /><Relationship Type="http://schemas.openxmlformats.org/officeDocument/2006/relationships/hyperlink" Target="https://contrataciondelestado.es/wps/poc?uri=deeplink:detalle_licitacion&amp;idEvl=SKd16xhWJC1rhBlEHQFSKA%3D%3D" TargetMode="External" Id="rId2787" /><Relationship Type="http://schemas.openxmlformats.org/officeDocument/2006/relationships/hyperlink" Target="https://contrataciondelestado.es/FileSystem/servlet/GetDocumentByIdServlet?cifrado=QUC1GjXXSiLkydRHJBmbpw%3D%3D&amp;DocumentIdParam=akjXLCKlffyOOp7hfEuJNQsguiTJKAmVl1NOq2K9TdMNBmClPJUi%2BK1yVYedOViriT9jWADZ6UeO1mPs%2BTgX0t%2B84T5erqFx%2B9Nwu0VxOf0ZyAJWGsSt0OzTSTyw9JAs" TargetMode="External" Id="rId2788" /><Relationship Type="http://schemas.openxmlformats.org/officeDocument/2006/relationships/hyperlink" Target="https://contrataciondelestado.es/wps/poc?uri=deeplink:detalle_licitacion&amp;idEvl=odYgMQCUvR2P%2Bo96UAV7cQ%3D%3D" TargetMode="External" Id="rId2789" /><Relationship Type="http://schemas.openxmlformats.org/officeDocument/2006/relationships/hyperlink" Target="https://contrataciondelestado.es/FileSystem/servlet/GetDocumentByIdServlet?cifrado=QUC1GjXXSiLkydRHJBmbpw%3D%3D&amp;DocumentIdParam=79wiNDW6aMxon6FenrGzxv%2BlUpOOAq/jZCGnI/Vnhj7hURTfTAPSHWzPQbC5BI79IO6h/GzBnT%2BXd3CPbESdIhJWKLVHTm7U4vN7NCyKQ36Cx2e6p7hqtlp2aFupgHMr" TargetMode="External" Id="rId2790" /><Relationship Type="http://schemas.openxmlformats.org/officeDocument/2006/relationships/hyperlink" Target="https://contrataciondelestado.es/wps/poc?uri=deeplink:detalle_licitacion&amp;idEvl=TuwH28gmLd%2BKeVWTb9Scog%3D%3D" TargetMode="External" Id="rId2791" /><Relationship Type="http://schemas.openxmlformats.org/officeDocument/2006/relationships/hyperlink" Target="https://contrataciondelestado.es/FileSystem/servlet/GetDocumentByIdServlet?cifrado=QUC1GjXXSiLkydRHJBmbpw%3D%3D&amp;DocumentIdParam=SZ0SFnLyaAoquDmfs%2BHQ2Ucz6%2Bdr/RCacslXK1Z%2Bt2EdH%2BlPKSoGRF/z5/ml4fcIXnBwv6WrYJeRNhgvViJKP0ekiKSvDNyAU7p7rPFSz6lJOVDbGCDM%2BMigrvuVS7Rv" TargetMode="External" Id="rId2792" /><Relationship Type="http://schemas.openxmlformats.org/officeDocument/2006/relationships/hyperlink" Target="https://contrataciondelestado.es/wps/poc?uri=deeplink:detalle_licitacion&amp;idEvl=tnpcb%2B9LXGLgL1BHd3qjQA%3D%3D" TargetMode="External" Id="rId2793" /><Relationship Type="http://schemas.openxmlformats.org/officeDocument/2006/relationships/hyperlink" Target="https://contrataciondelestado.es/FileSystem/servlet/GetDocumentByIdServlet?cifrado=QUC1GjXXSiLkydRHJBmbpw%3D%3D&amp;DocumentIdParam=GDefXawU4GxBozM7ms9HoIREBhl6divCGQgCYhUYQOdymZMlPD7BITFaDJ%2B9SKNOl0Cuc5rjjnZJNfQoR5QcZEDJJrxXZ/758n4nnLXXOQ4C1/zDIE0Kw/PWNnLS0Z0z" TargetMode="External" Id="rId2794" /><Relationship Type="http://schemas.openxmlformats.org/officeDocument/2006/relationships/hyperlink" Target="https://contrataciondelestado.es/wps/poc?uri=deeplink:detalle_licitacion&amp;idEvl=j33u5F%2BIK4XE6P%2FuLemXRw%3D%3D" TargetMode="External" Id="rId2795" /><Relationship Type="http://schemas.openxmlformats.org/officeDocument/2006/relationships/hyperlink" Target="https://contrataciondelestado.es/FileSystem/servlet/GetDocumentByIdServlet?cifrado=QUC1GjXXSiLkydRHJBmbpw%3D%3D&amp;DocumentIdParam=hAGA1bhuRJQXmNs7DThqDMxjJeEJZX11GXCUsGItbfiWWdOk/x8rJtm%2Byo371J3QOtPmmFs5qj1EOo9ysxnNZ5624%2BLAEF/RI8yzYMk/62yCx2e6p7hqtlp2aFupgHMr" TargetMode="External" Id="rId2796" /><Relationship Type="http://schemas.openxmlformats.org/officeDocument/2006/relationships/hyperlink" Target="https://contrataciondelestado.es/wps/poc?uri=deeplink:detalle_licitacion&amp;idEvl=XjsYRiFYwurCfVQHDepjGQ%3D%3D" TargetMode="External" Id="rId2797" /><Relationship Type="http://schemas.openxmlformats.org/officeDocument/2006/relationships/hyperlink" Target="https://contrataciondelestado.es/FileSystem/servlet/GetDocumentByIdServlet?cifrado=QUC1GjXXSiLkydRHJBmbpw%3D%3D&amp;DocumentIdParam=sl146V6ElEXcBcNUnXBP8xFpuk5avXnaJlAjUcK3iWrhd4lVaCfV3eWOA1aI/j358DrPdEA0cOp94OREG7v4Ww7%2Bzw%2BOFd0ItLIO06w1lcz3GVhXrFFqN7yFncy7YfRK" TargetMode="External" Id="rId2798" /><Relationship Type="http://schemas.openxmlformats.org/officeDocument/2006/relationships/hyperlink" Target="https://contrataciondelestado.es/wps/poc?uri=deeplink:detalle_licitacion&amp;idEvl=TPHdaR6odYaS81gZFETWmA%3D%3D" TargetMode="External" Id="rId2799" /><Relationship Type="http://schemas.openxmlformats.org/officeDocument/2006/relationships/hyperlink" Target="https://contrataciondelestado.es/FileSystem/servlet/GetDocumentByIdServlet?cifrado=QUC1GjXXSiLkydRHJBmbpw%3D%3D&amp;DocumentIdParam=mRUx8yfCnKSx3cRoxbPtPawtmRzKrE7HjsBEkxPb0MEEDv0aETAOULHBBBERXmT6tf0kWCOgo/7dO5gImSSD3CkWOoDpa/OLVPa55jNyPGK1aXEvq3KHa/AEHgtDrQw0" TargetMode="External" Id="rId2800" /><Relationship Type="http://schemas.openxmlformats.org/officeDocument/2006/relationships/hyperlink" Target="https://contrataciondelestado.es/wps/poc?uri=deeplink:detalle_licitacion&amp;idEvl=NibXcOySXiPLIx6q1oPaMg%3D%3D" TargetMode="External" Id="rId2801" /><Relationship Type="http://schemas.openxmlformats.org/officeDocument/2006/relationships/hyperlink" Target="https://contrataciondelestado.es/FileSystem/servlet/GetDocumentByIdServlet?cifrado=QUC1GjXXSiLkydRHJBmbpw%3D%3D&amp;DocumentIdParam=HaO4WTEohaaoUxUC2IhVp226xBIjonpHXgbSzzheiLe4SIibPtsDXkxfQ8F482p54j3nrAhoUckakmLLzsPtrrCeswmmE9JquHGv5nnME3qB0nvVKRzfe4rpHcnlPhSZ" TargetMode="External" Id="rId2802" /><Relationship Type="http://schemas.openxmlformats.org/officeDocument/2006/relationships/hyperlink" Target="https://contrataciondelestado.es/wps/poc?uri=deeplink:detalle_licitacion&amp;idEvl=oqO%2FSxQrdkaAAM7L03kM8A%3D%3D" TargetMode="External" Id="rId2803" /><Relationship Type="http://schemas.openxmlformats.org/officeDocument/2006/relationships/hyperlink" Target="https://contrataciondelestado.es/FileSystem/servlet/GetDocumentByIdServlet?cifrado=QUC1GjXXSiLkydRHJBmbpw%3D%3D&amp;DocumentIdParam=/d%2BJhg4oE6j6U0ZceSJdGZKNl2QCVB%2Bq2BfUyz%2BHA0cZLZOYoIqBZfQHkr1YveOFPJoO582vJrCsgIxClOR%2Bb04uAcFBICpKqp3UZvtY5Ev6CYyL7SIrUOBFfNf52ZqA" TargetMode="External" Id="rId2804" /><Relationship Type="http://schemas.openxmlformats.org/officeDocument/2006/relationships/hyperlink" Target="https://contrataciondelestado.es/wps/poc?uri=deeplink:detalle_licitacion&amp;idEvl=u2QF1AuClDXmnwcj%2BxbdTg%3D%3D" TargetMode="External" Id="rId2805" /><Relationship Type="http://schemas.openxmlformats.org/officeDocument/2006/relationships/hyperlink" Target="https://contrataciondelestado.es/FileSystem/servlet/GetDocumentByIdServlet?cifrado=QUC1GjXXSiLkydRHJBmbpw%3D%3D&amp;DocumentIdParam=hayopJ59p51JALhT0r5Lx0dIZi1KvlOcter9f5RBRuaVeCwTcKFy9rjyGFtv51l2t9n3MsfBKyg/8UlrgiD8kiWvcOb8RbjiRm7TmzxgXnQZyAJWGsSt0OzTSTyw9JAs" TargetMode="External" Id="rId2806" /><Relationship Type="http://schemas.openxmlformats.org/officeDocument/2006/relationships/hyperlink" Target="https://contrataciondelestado.es/wps/poc?uri=deeplink:detalle_licitacion&amp;idEvl=y34ySu%2FwvBNVYjgxA4nMUw%3D%3D" TargetMode="External" Id="rId2807" /><Relationship Type="http://schemas.openxmlformats.org/officeDocument/2006/relationships/hyperlink" Target="https://contrataciondelestado.es/FileSystem/servlet/GetDocumentByIdServlet?cifrado=QUC1GjXXSiLkydRHJBmbpw%3D%3D&amp;DocumentIdParam=Kdt5qQUv%2B8I5ikhK9afuboMw/m5lvRmYrYLLzLPGPHXLo26vAT7zTz1YKtow9PsgfShv38oNNqEjSz2skhrbnp06bR37Cg605xp04D9aWS8//q7NB2iMZvNyf0xrJmjt" TargetMode="External" Id="rId2808" /><Relationship Type="http://schemas.openxmlformats.org/officeDocument/2006/relationships/hyperlink" Target="https://contrataciondelestado.es/wps/poc?uri=deeplink:detalle_licitacion&amp;idEvl=kJ4H63VAtjuHCIsjvJ3rhQ%3D%3D" TargetMode="External" Id="rId2809" /><Relationship Type="http://schemas.openxmlformats.org/officeDocument/2006/relationships/hyperlink" Target="https://contrataciondelestado.es/FileSystem/servlet/GetDocumentByIdServlet?cifrado=QUC1GjXXSiLkydRHJBmbpw%3D%3D&amp;DocumentIdParam=Amqk51Meb3Y7cYv5D8uDe/jqyZPOAjo2UhsAFJJQBuVAGdz6Hwm6pZhEcYm2IDyFmkVo/SEWwg2Y5g6ZlwWxRBrf943z3aU%2BdgqNmD8wANGCx2e6p7hqtlp2aFupgHMr" TargetMode="External" Id="rId2810" /><Relationship Type="http://schemas.openxmlformats.org/officeDocument/2006/relationships/hyperlink" Target="https://contrataciondelestado.es/wps/poc?uri=deeplink:detalle_licitacion&amp;idEvl=07QWi0W65iQtm4eBPtV6eQ%3D%3D" TargetMode="External" Id="rId2811" /><Relationship Type="http://schemas.openxmlformats.org/officeDocument/2006/relationships/hyperlink" Target="https://contrataciondelestado.es/FileSystem/servlet/GetDocumentByIdServlet?cifrado=QUC1GjXXSiLkydRHJBmbpw%3D%3D&amp;DocumentIdParam=pIOa6RgdRXE9KU80fObigMaEXFcoOV5v%2BVwv6QpHtoswnNgRUJRXJX%2BDTuzghMcodqXNrxbeh75Y5YXaRO4HsXpsVmzWTWVErAiPLAu2073VTD3T98KC0nSgQFM0q%2B5s" TargetMode="External" Id="rId2812" /><Relationship Type="http://schemas.openxmlformats.org/officeDocument/2006/relationships/hyperlink" Target="https://contrataciondelestado.es/wps/poc?uri=deeplink:detalle_licitacion&amp;idEvl=Id%2Fq7hSVPmQUqXM96WStVA%3D%3D" TargetMode="External" Id="rId2813" /><Relationship Type="http://schemas.openxmlformats.org/officeDocument/2006/relationships/hyperlink" Target="https://contrataciondelestado.es/FileSystem/servlet/GetDocumentByIdServlet?cifrado=QUC1GjXXSiLkydRHJBmbpw%3D%3D&amp;DocumentIdParam=i0hKfovuaGe%2BKQoNgEWqz04EbffC4jjqJN4dUycuImtjrLY3%2B8/UcGOLLavK/akPJ7EKJaGjVV4LJlpePDN5i8aA%2Ba0zLzUj8cDpCnqBTak//q7NB2iMZvNyf0xrJmjt" TargetMode="External" Id="rId2814" /><Relationship Type="http://schemas.openxmlformats.org/officeDocument/2006/relationships/hyperlink" Target="https://contrataciondelestado.es/wps/poc?uri=deeplink:detalle_licitacion&amp;idEvl=rrnzBj4Ftf%2B5HQrHoP3G5A%3D%3D" TargetMode="External" Id="rId2815" /><Relationship Type="http://schemas.openxmlformats.org/officeDocument/2006/relationships/hyperlink" Target="https://contrataciondelestado.es/FileSystem/servlet/GetDocumentByIdServlet?cifrado=QUC1GjXXSiLkydRHJBmbpw%3D%3D&amp;DocumentIdParam=67gXogtCW7pohIDRDHQP4pjqXWr4ayoEvXuPjZqtdHtUw5EfKTMkvMux/FySg1C74j2I26GliY/KG0rzE073x6ELCHjYHB2G/BVidJE615mHAj0WEJrB5sP7amrh2jBD" TargetMode="External" Id="rId2816" /><Relationship Type="http://schemas.openxmlformats.org/officeDocument/2006/relationships/hyperlink" Target="https://contrataciondelestado.es/wps/poc?uri=deeplink:detalle_licitacion&amp;idEvl=NWSuAqfVhZcaF6cS8TCh%2FA%3D%3D" TargetMode="External" Id="rId2817" /><Relationship Type="http://schemas.openxmlformats.org/officeDocument/2006/relationships/hyperlink" Target="https://contrataciondelestado.es/wps/poc?uri=deeplink:detalle_licitacion&amp;idEvl=YwAqicOq0zBxseVhcqrkhw%3D%3D" TargetMode="External" Id="rId2818" /><Relationship Type="http://schemas.openxmlformats.org/officeDocument/2006/relationships/hyperlink" Target="https://contrataciondelestado.es/FileSystem/servlet/GetDocumentByIdServlet?cifrado=QUC1GjXXSiLkydRHJBmbpw%3D%3D&amp;DocumentIdParam=Mzmw2g006enGqFJZS0li1ptoe450%2BbtvN5VAOu3zRLtdKOLzt3WTbEfHF6lU0snDCkqtu2ogf09u/C%2BG%2BqFYMhXPMzyKhEzEdWCejGxJu5lJOVDbGCDM%2BMigrvuVS7Rv" TargetMode="External" Id="rId2819" /><Relationship Type="http://schemas.openxmlformats.org/officeDocument/2006/relationships/hyperlink" Target="https://contrataciondelestado.es/wps/poc?uri=deeplink:detalle_licitacion&amp;idEvl=oahJhN%2BxhRGsNfRW6APEDw%3D%3D" TargetMode="External" Id="rId2820" /><Relationship Type="http://schemas.openxmlformats.org/officeDocument/2006/relationships/hyperlink" Target="https://contrataciondelestado.es/FileSystem/servlet/GetDocumentByIdServlet?cifrado=QUC1GjXXSiLkydRHJBmbpw%3D%3D&amp;DocumentIdParam=YbTDMAP2Cwt1w82zJ98bjmcsuQQjyV5m0LH%2BolBd2/xnn16uwXjXd9i/Hhmtj9gJlSmSoECPj9AlVLLvEsyY4d2%2BmPfGhjYnR/W350cOAwAZyAJWGsSt0OzTSTyw9JAs" TargetMode="External" Id="rId2821" /><Relationship Type="http://schemas.openxmlformats.org/officeDocument/2006/relationships/hyperlink" Target="https://contrataciondelestado.es/wps/poc?uri=deeplink:detalle_licitacion&amp;idEvl=TawEbwovq9W5HQrHoP3G5A%3D%3D" TargetMode="External" Id="rId2822" /><Relationship Type="http://schemas.openxmlformats.org/officeDocument/2006/relationships/hyperlink" Target="https://contrataciondelestado.es/FileSystem/servlet/GetDocumentByIdServlet?cifrado=QUC1GjXXSiLkydRHJBmbpw%3D%3D&amp;DocumentIdParam=sJ5QMzIo5FwInLtoWHkhJCbzX9fvGjvrYMmq9ERd5Yp2Oot4MZb1WAGFo5%2B0C7ZjKGu%2B1CLp2HY8UWA50VYCHZfduoAAT8jId7DeFtssPHJ7QB3HKyQaFUExmUVQCerk" TargetMode="External" Id="rId2823" /><Relationship Type="http://schemas.openxmlformats.org/officeDocument/2006/relationships/hyperlink" Target="https://contrataciondelestado.es/wps/poc?uri=deeplink:detalle_licitacion&amp;idEvl=8fY0U%2Fq7swOFlFRHfEzEaw%3D%3D" TargetMode="External" Id="rId2824" /><Relationship Type="http://schemas.openxmlformats.org/officeDocument/2006/relationships/hyperlink" Target="https://contrataciondelestado.es/FileSystem/servlet/GetDocumentByIdServlet?cifrado=QUC1GjXXSiLkydRHJBmbpw%3D%3D&amp;DocumentIdParam=Xu4x8BdXeQBHcldZFxnEmLUgiUjeHHzbFbWk/eV/Xj4Td7pXJADMG9CWxqReqZGIa3ryshj/ekptOghTqgGh3ITlievW1oLFx/3Me0uyXF7DdQD9RyhUmzT4jZ2In4zL" TargetMode="External" Id="rId2825" /><Relationship Type="http://schemas.openxmlformats.org/officeDocument/2006/relationships/hyperlink" Target="https://contrataciondelestado.es/wps/poc?uri=deeplink:detalle_licitacion&amp;idEvl=qmz1vmd%2FDTZJ8Trn0ZPzLw%3D%3D" TargetMode="External" Id="rId2826" /><Relationship Type="http://schemas.openxmlformats.org/officeDocument/2006/relationships/hyperlink" Target="https://contrataciondelestado.es/FileSystem/servlet/GetDocumentByIdServlet?cifrado=QUC1GjXXSiLkydRHJBmbpw%3D%3D&amp;DocumentIdParam=M2pPcULggUqQOiFiXeyNHQL0gJLZX9KyDNPHoXSReUWvKWxsNr70nbI7fsIOd71KHYHj8i%2BOXv6J1rAUhWHcDb/rMcQqeIgdwDeMq0XXM82Cx2e6p7hqtlp2aFupgHMr" TargetMode="External" Id="rId2827" /><Relationship Type="http://schemas.openxmlformats.org/officeDocument/2006/relationships/hyperlink" Target="https://contrataciondelestado.es/wps/poc?uri=deeplink:detalle_licitacion&amp;idEvl=8tSROFZiP93yoM4us5k4vw%3D%3D" TargetMode="External" Id="rId2828" /><Relationship Type="http://schemas.openxmlformats.org/officeDocument/2006/relationships/hyperlink" Target="https://contrataciondelestado.es/FileSystem/servlet/GetDocumentByIdServlet?cifrado=QUC1GjXXSiLkydRHJBmbpw%3D%3D&amp;DocumentIdParam=8ACl%2BdPqAFvselg1yNlVd/llY6Q/qFLB4CILaBGe0dWmm7jXSHaviysWBMRuBTUK1abQ3qJF9BARhlchro1iBkGytD62NjGxFmS8m6D31PfDdQD9RyhUmzT4jZ2In4zL" TargetMode="External" Id="rId2829" /><Relationship Type="http://schemas.openxmlformats.org/officeDocument/2006/relationships/hyperlink" Target="https://contrataciondelestado.es/wps/poc?uri=deeplink:detalle_licitacion&amp;idEvl=p%2FU3Lbdt3Lo%2FbjW6njtWLw%3D%3D" TargetMode="External" Id="rId2830" /><Relationship Type="http://schemas.openxmlformats.org/officeDocument/2006/relationships/hyperlink" Target="https://contrataciondelestado.es/FileSystem/servlet/GetDocumentByIdServlet?cifrado=QUC1GjXXSiLkydRHJBmbpw%3D%3D&amp;DocumentIdParam=bVlPeWPwuTTCHRp9j2ERTIHLkL6V0GQ9io/ueg%2BvnrQbx9wyiLEF8FvOvJ//82hH5DumwfBI%2BjtHdi4HqCx6QNP4AIGF2/hxSjXyI5OmJoH3GVhXrFFqN7yFncy7YfRK" TargetMode="External" Id="rId2831" /><Relationship Type="http://schemas.openxmlformats.org/officeDocument/2006/relationships/hyperlink" Target="https://contrataciondelestado.es/wps/poc?uri=deeplink:detalle_licitacion&amp;idEvl=W%2FtjItVqIyM4NavIWzMcHA%3D%3D" TargetMode="External" Id="rId2832" /><Relationship Type="http://schemas.openxmlformats.org/officeDocument/2006/relationships/hyperlink" Target="https://contrataciondelestado.es/FileSystem/servlet/GetDocumentByIdServlet?cifrado=QUC1GjXXSiLkydRHJBmbpw%3D%3D&amp;DocumentIdParam=kPq3k6QtAo8nZHGT7jq9BNiuqO5ObhbdTX7kNXn3QOJpVSxyPrljbEuEvdyDjqh4jA%2BCTqkEERounHg3YtmljfhBcoqaMvHmINy7LoZbYbwC1/zDIE0Kw/PWNnLS0Z0z" TargetMode="External" Id="rId2833" /><Relationship Type="http://schemas.openxmlformats.org/officeDocument/2006/relationships/hyperlink" Target="https://contrataciondelestado.es/wps/poc?uri=deeplink:detalle_licitacion&amp;idEvl=ErlEs1l0q%2FiP%2Bo96UAV7cQ%3D%3D" TargetMode="External" Id="rId2834" /><Relationship Type="http://schemas.openxmlformats.org/officeDocument/2006/relationships/hyperlink" Target="https://contrataciondelestado.es/wps/poc?uri=deeplink:detalle_licitacion&amp;idEvl=rCkPexV5I5GTylGzYmBF9Q%3D%3D" TargetMode="External" Id="rId2835" /><Relationship Type="http://schemas.openxmlformats.org/officeDocument/2006/relationships/hyperlink" Target="https://contrataciondelestado.es/wps/wcm/connect/PLACE_es/Site/area/docAccCmpnt?srv=cmpnt&amp;cmpntname=GetDocumentsById&amp;source=library&amp;DocumentIdParam=662bfcaf-318a-4a5d-a34b-f577d3e78672" TargetMode="External" Id="rId2836" /><Relationship Type="http://schemas.openxmlformats.org/officeDocument/2006/relationships/hyperlink" Target="https://contrataciondelestado.es/wps/poc?uri=deeplink:detalle_licitacion&amp;idEvl=OuZ2xRdf1Ic4NavIWzMcHA%3D%3D" TargetMode="External" Id="rId2837" /><Relationship Type="http://schemas.openxmlformats.org/officeDocument/2006/relationships/hyperlink" Target="https://contrataciondelestado.es/FileSystem/servlet/GetDocumentByIdServlet?cifrado=QUC1GjXXSiLkydRHJBmbpw%3D%3D&amp;DocumentIdParam=iaeaJck8umvhPeAHqD83eMWyBgzvcQHPp8hTW79ke55AOz7Noh6nsBKFLy9ip5wKW4s4NsZaol6tHBtYWCY0rNjEnZ03pKCSac6ADiBrNSOB0nvVKRzfe4rpHcnlPhSZ" TargetMode="External" Id="rId2838" /><Relationship Type="http://schemas.openxmlformats.org/officeDocument/2006/relationships/hyperlink" Target="https://contrataciondelestado.es/wps/poc?uri=deeplink:detalle_licitacion&amp;idEvl=qHqmG5pITSfLIx6q1oPaMg%3D%3D" TargetMode="External" Id="rId2839" /><Relationship Type="http://schemas.openxmlformats.org/officeDocument/2006/relationships/hyperlink" Target="https://contrataciondelestado.es/FileSystem/servlet/GetDocumentByIdServlet?cifrado=QUC1GjXXSiLkydRHJBmbpw%3D%3D&amp;DocumentIdParam=s%2BpzoBnY11tPaMAkx4mfNvq4sOKdc8NrJ%2BWfMZKTo5IDPcdyncF9cZoibNGn7uUOt%2BtprWgsjAvIgRyDo2r2vN2yu5ntH9R3DYX/HC9PKG4C1/zDIE0Kw/PWNnLS0Z0z" TargetMode="External" Id="rId2840" /><Relationship Type="http://schemas.openxmlformats.org/officeDocument/2006/relationships/hyperlink" Target="https://contrataciondelestado.es/wps/poc?uri=deeplink:detalle_licitacion&amp;idEvl=ydxflqKgdrzECtSnloz%2BZQ%3D%3D" TargetMode="External" Id="rId2841" /><Relationship Type="http://schemas.openxmlformats.org/officeDocument/2006/relationships/hyperlink" Target="https://contrataciondelestado.es/FileSystem/servlet/GetDocumentByIdServlet?cifrado=QUC1GjXXSiLkydRHJBmbpw%3D%3D&amp;DocumentIdParam=uFrSQ0/QVAC/IdiUeTZOPfsQHzGTUnYaxExSJQiMESIKxjKug81p9HenSEvOh3iDYO6WeVNczUfhxAf6f%2BngEX4a9VGgPFHHlyflQjMIlzD6CYyL7SIrUOBFfNf52ZqA" TargetMode="External" Id="rId2842" /><Relationship Type="http://schemas.openxmlformats.org/officeDocument/2006/relationships/hyperlink" Target="https://contrataciondelestado.es/wps/poc?uri=deeplink:detalle_licitacion&amp;idEvl=eCQqoSzZQGE3vLk2DU2Ddg%3D%3D" TargetMode="External" Id="rId2843" /><Relationship Type="http://schemas.openxmlformats.org/officeDocument/2006/relationships/hyperlink" Target="https://contrataciondelestado.es/FileSystem/servlet/GetDocumentByIdServlet?cifrado=QUC1GjXXSiLkydRHJBmbpw%3D%3D&amp;DocumentIdParam=h3ernJNaaJ8e602LnWH3/2%2BJyc9XMWER4s7VL63F2WAdiEP8N3USFq9GCVPgDlJ3BUbSqKw6wr6f07TH8L%2BmmiEKYXcoSOYJrOi5SzWpaxN7QB3HKyQaFUExmUVQCerk" TargetMode="External" Id="rId2844" /><Relationship Type="http://schemas.openxmlformats.org/officeDocument/2006/relationships/hyperlink" Target="https://contrataciondelestado.es/wps/poc?uri=deeplink:detalle_licitacion&amp;idEvl=Mf0wBthuD%2BTgL1BHd3qjQA%3D%3D" TargetMode="External" Id="rId2845" /><Relationship Type="http://schemas.openxmlformats.org/officeDocument/2006/relationships/hyperlink" Target="https://contrataciondelestado.es/FileSystem/servlet/GetDocumentByIdServlet?cifrado=QUC1GjXXSiLkydRHJBmbpw%3D%3D&amp;DocumentIdParam=gb7WzUJWd4qtKvhT61w9rZG12TTU2TPEd0XkwjCJaHDGmIBCv1iiSfFJa3su30DUMbEbyJA%2Byee4yrJPT7n1fo92bocnQN1S/tiIpBq1%2BCnVTD3T98KC0nSgQFM0q%2B5s" TargetMode="External" Id="rId2846" /><Relationship Type="http://schemas.openxmlformats.org/officeDocument/2006/relationships/hyperlink" Target="https://contrataciondelestado.es/wps/poc?uri=deeplink:detalle_licitacion&amp;idEvl=RUHO%2Fp0MCRFWhbmkna2nXQ%3D%3D" TargetMode="External" Id="rId2847" /><Relationship Type="http://schemas.openxmlformats.org/officeDocument/2006/relationships/hyperlink" Target="https://contrataciondelestado.es/FileSystem/servlet/GetDocumentByIdServlet?cifrado=QUC1GjXXSiLkydRHJBmbpw%3D%3D&amp;DocumentIdParam=T/3Nt2vnnSaFEtGzkxclhZUOZAIi3k/X/D2I1RpQadhzDRAa6/MyCEDqhIqxlv051fmmr0p950tC9INkFTeU0KqaEOv5mU6vMgqT6M0N0RHVTD3T98KC0nSgQFM0q%2B5s" TargetMode="External" Id="rId2848" /><Relationship Type="http://schemas.openxmlformats.org/officeDocument/2006/relationships/hyperlink" Target="https://contrataciondelestado.es/wps/poc?uri=deeplink:detalle_licitacion&amp;idEvl=gR4HOZ6%2FX87IGlsa0Wad%2Bw%3D%3D" TargetMode="External" Id="rId2849" /><Relationship Type="http://schemas.openxmlformats.org/officeDocument/2006/relationships/hyperlink" Target="https://contrataciondelestado.es/FileSystem/servlet/GetDocumentByIdServlet?cifrado=QUC1GjXXSiLkydRHJBmbpw%3D%3D&amp;DocumentIdParam=FhzpyLPaa2UoT45%2Bl03Pb5h4%2B72/sTDoOGRYqYWxPp2tTmcNX1Ht8QltWsp1fDbeCaFnI%2BL2fd9fVvBzPC6c1UaZEE8jFrFiMzJVc5u8mCsZyAJWGsSt0OzTSTyw9JAs" TargetMode="External" Id="rId2850" /><Relationship Type="http://schemas.openxmlformats.org/officeDocument/2006/relationships/hyperlink" Target="https://contrataciondelestado.es/wps/poc?uri=deeplink:detalle_licitacion&amp;idEvl=LZuSxj7tjRk%2FbjW6njtWLw%3D%3D" TargetMode="External" Id="rId2851" /><Relationship Type="http://schemas.openxmlformats.org/officeDocument/2006/relationships/hyperlink" Target="https://contrataciondelestado.es/FileSystem/servlet/GetDocumentByIdServlet?cifrado=QUC1GjXXSiLkydRHJBmbpw%3D%3D&amp;DocumentIdParam=q2JL61rnrUyeMfkrZnCgr8eGXhUn7e2Atf5Y3ApS5IUSQ2f1e91TEx8Q/8kAdNhC2S8rL3K1GsA59yhXzrPgELeETEGPnjY6EkstJvPom3E//q7NB2iMZvNyf0xrJmjt" TargetMode="External" Id="rId2852" /><Relationship Type="http://schemas.openxmlformats.org/officeDocument/2006/relationships/hyperlink" Target="https://contrataciondelestado.es/wps/poc?uri=deeplink:detalle_licitacion&amp;idEvl=31EBFkow9Hgtm4eBPtV6eQ%3D%3D" TargetMode="External" Id="rId2853" /><Relationship Type="http://schemas.openxmlformats.org/officeDocument/2006/relationships/hyperlink" Target="https://contrataciondelestado.es/FileSystem/servlet/GetDocumentByIdServlet?cifrado=QUC1GjXXSiLkydRHJBmbpw%3D%3D&amp;DocumentIdParam=kVEUseUGrITbhA7ssJw3C4oZbYYM1sGulHA970Ct10iY1nM3LxOUzIiMLVxko763sVQo750ci%2Bxuu6XecLkb6DuTHc6e2k1p1x16NyLevlqB0nvVKRzfe4rpHcnlPhSZ" TargetMode="External" Id="rId2854" /><Relationship Type="http://schemas.openxmlformats.org/officeDocument/2006/relationships/hyperlink" Target="https://contrataciondelestado.es/wps/poc?uri=deeplink:detalle_licitacion&amp;idEvl=QCazcqh6K52FlFRHfEzEaw%3D%3D" TargetMode="External" Id="rId2855" /><Relationship Type="http://schemas.openxmlformats.org/officeDocument/2006/relationships/hyperlink" Target="https://contrataciondelestado.es/FileSystem/servlet/GetDocumentByIdServlet?cifrado=QUC1GjXXSiLkydRHJBmbpw%3D%3D&amp;DocumentIdParam=bUWdUnMVF/O3DnzkMgOwhYwXKr8cogwfqnVOLYpqdd4xsjH689e5hmfgUjv2nrq1FVPZk5IBSHxcw8bB78FevQvnDjglhH3z4tEDM2asjjF45ClyWkoJ44mKM70IFcOu" TargetMode="External" Id="rId2856" /><Relationship Type="http://schemas.openxmlformats.org/officeDocument/2006/relationships/hyperlink" Target="https://contrataciondelestado.es/wps/poc?uri=deeplink:detalle_licitacion&amp;idEvl=Bb%2BUkYIJKo0wYTJJ03sHog%3D%3D" TargetMode="External" Id="rId2857" /><Relationship Type="http://schemas.openxmlformats.org/officeDocument/2006/relationships/hyperlink" Target="https://contrataciondelestado.es/FileSystem/servlet/GetDocumentByIdServlet?cifrado=QUC1GjXXSiLkydRHJBmbpw%3D%3D&amp;DocumentIdParam=P%2BXrr9eHQcEwwisIFef5%2BAiUwlN4yHqyTx4GqgilmAEV6nSIFuQ9e%2BbTcoS0fn7AfGqzqCDJZOn%2BUUoPyjq/am96JMghk0cLs4IMeb8m5Ab3GVhXrFFqN7yFncy7YfRK" TargetMode="External" Id="rId2858" /><Relationship Type="http://schemas.openxmlformats.org/officeDocument/2006/relationships/hyperlink" Target="https://contrataciondelestado.es/wps/poc?uri=deeplink:detalle_licitacion&amp;idEvl=NIUsNTAbHLgeIBJRHQiPkQ%3D%3D" TargetMode="External" Id="rId2859" /><Relationship Type="http://schemas.openxmlformats.org/officeDocument/2006/relationships/hyperlink" Target="https://contrataciondelestado.es/FileSystem/servlet/GetDocumentByIdServlet?cifrado=QUC1GjXXSiLkydRHJBmbpw%3D%3D&amp;DocumentIdParam=pBAIGA40Zb8udZ7fEcbhITFr8l6jtqALR7ghdGOORikaGqnUkYji%2BWZBvqOrEI03wHf28h4kiXJ4D2R92gJgWPntelbs0zE5lx29tRyJis9t/o8fNevwsujgRzaBbugn" TargetMode="External" Id="rId2860" /><Relationship Type="http://schemas.openxmlformats.org/officeDocument/2006/relationships/hyperlink" Target="https://contrataciondelestado.es/wps/poc?uri=deeplink:detalle_licitacion&amp;idEvl=aneqGVrYhb0ZDGvgaZEVxQ%3D%3D" TargetMode="External" Id="rId2861" /><Relationship Type="http://schemas.openxmlformats.org/officeDocument/2006/relationships/hyperlink" Target="https://contrataciondelestado.es/FileSystem/servlet/GetDocumentByIdServlet?cifrado=QUC1GjXXSiLkydRHJBmbpw%3D%3D&amp;DocumentIdParam=gY2RF%2BtBqCFNj4UMEWzq3N3RiM%2B2UQiwiO8s/cCtEl9MlSIAl9R93/zRm80PksUsyrKg13WIs9oM%2BugUKTuosfl1pb8tRrSb%2BQPuTjQkG7rVTD3T98KC0nSgQFM0q%2B5s" TargetMode="External" Id="rId2862" /><Relationship Type="http://schemas.openxmlformats.org/officeDocument/2006/relationships/hyperlink" Target="https://contrataciondelestado.es/wps/poc?uri=deeplink:detalle_licitacion&amp;idEvl=t1R1u29ovgyKeVWTb9Scog%3D%3D" TargetMode="External" Id="rId2863" /><Relationship Type="http://schemas.openxmlformats.org/officeDocument/2006/relationships/hyperlink" Target="https://contrataciondelestado.es/wps/poc?uri=deeplink:detalle_licitacion&amp;idEvl=CHJLck8p8Xq7JOCXkOhcDg%3D%3D" TargetMode="External" Id="rId2864" /><Relationship Type="http://schemas.openxmlformats.org/officeDocument/2006/relationships/hyperlink" Target="https://contrataciondelestado.es/FileSystem/servlet/GetDocumentByIdServlet?cifrado=QUC1GjXXSiLkydRHJBmbpw%3D%3D&amp;DocumentIdParam=0IYhqq7LqNEsAYbXgvXSONc7nbKyTpzfGQougbeb9kRV7bZ1Fiv056gjT%2Bh0E/jSNjrvfLYF62TfTsQPJ9fOE4/lrtZ4jWVXmhm0YpRrtk5t/o8fNevwsujgRzaBbugn" TargetMode="External" Id="rId2865" /><Relationship Type="http://schemas.openxmlformats.org/officeDocument/2006/relationships/hyperlink" Target="https://contrataciondelestado.es/wps/poc?uri=deeplink:detalle_licitacion&amp;idEvl=K9r9MXRcUefECtSnloz%2BZQ%3D%3D" TargetMode="External" Id="rId2866" /><Relationship Type="http://schemas.openxmlformats.org/officeDocument/2006/relationships/hyperlink" Target="https://contrataciondelestado.es/FileSystem/servlet/GetDocumentByIdServlet?cifrado=QUC1GjXXSiLkydRHJBmbpw%3D%3D&amp;DocumentIdParam=DMCLYZkpmBysJIanddj34ku/CCU%2BNb1Sc7bFxf/4gz4TRmeE4utTehskd6j4AeewYdRyzIbG3ZedEAYE7hAdkmlrHob077/m/Fw6IqJdU4v3GVhXrFFqN7yFncy7YfRK" TargetMode="External" Id="rId2867" /><Relationship Type="http://schemas.openxmlformats.org/officeDocument/2006/relationships/hyperlink" Target="https://contrataciondelestado.es/wps/poc?uri=deeplink:detalle_licitacion&amp;idEvl=YupFiRhG0h1t5r0ngvMetA%3D%3D" TargetMode="External" Id="rId2868" /><Relationship Type="http://schemas.openxmlformats.org/officeDocument/2006/relationships/hyperlink" Target="https://contrataciondelestado.es/wps/poc?uri=deeplink:detalle_licitacion&amp;idEvl=JprWXZZcqllSYrkJkLlFdw%3D%3D" TargetMode="External" Id="rId2869" /><Relationship Type="http://schemas.openxmlformats.org/officeDocument/2006/relationships/hyperlink" Target="https://contrataciondelestado.es/FileSystem/servlet/GetDocumentByIdServlet?cifrado=QUC1GjXXSiLkydRHJBmbpw%3D%3D&amp;DocumentIdParam=Y499Bvvor41B8cNK4OQxj8FcU15mtGe8Bt5mE86OXBWgUPDXefoVFRXCAYW72jJ1Enbso8IAj0l97gV22llgeDw5VjbPNL4buEgRQDWHJb4//q7NB2iMZvNyf0xrJmjt" TargetMode="External" Id="rId2870" /><Relationship Type="http://schemas.openxmlformats.org/officeDocument/2006/relationships/hyperlink" Target="https://contrataciondelestado.es/wps/poc?uri=deeplink:detalle_licitacion&amp;idEvl=zfxuB3poT%2FzN3k3tjedSGw%3D%3D" TargetMode="External" Id="rId2871" /><Relationship Type="http://schemas.openxmlformats.org/officeDocument/2006/relationships/hyperlink" Target="https://contrataciondelestado.es/FileSystem/servlet/GetDocumentByIdServlet?cifrado=QUC1GjXXSiLkydRHJBmbpw%3D%3D&amp;DocumentIdParam=g1DPnfSTfpbKBZguYRY6weRakhrU/a4pyM0U2W4HODq6mHWm/Tq7qsp2AAy0ohspQiMI3w4g6u8RrXU1PBlXMbzbKl/BaQVUWOWrofo57uJ7QB3HKyQaFUExmUVQCerk" TargetMode="External" Id="rId2872" /><Relationship Type="http://schemas.openxmlformats.org/officeDocument/2006/relationships/hyperlink" Target="https://contrataciondelestado.es/wps/poc?uri=deeplink:detalle_licitacion&amp;idEvl=CmtwgbIPtXk7%2B9FIQYNjeQ%3D%3D" TargetMode="External" Id="rId2873" /><Relationship Type="http://schemas.openxmlformats.org/officeDocument/2006/relationships/hyperlink" Target="https://contrataciondelestado.es/FileSystem/servlet/GetDocumentByIdServlet?cifrado=QUC1GjXXSiLkydRHJBmbpw%3D%3D&amp;DocumentIdParam=V%2BlHKXu2OvOaanudyrMSd1HmjawAdte84kYRXoJxfMl72Ex9k9jl32Ni9QBksYgmD2sKdnHmM1a0ow7wXx0NKX%2Bpf4FSqgaEmYsbHgDjIBAC1/zDIE0Kw/PWNnLS0Z0z" TargetMode="External" Id="rId2874" /><Relationship Type="http://schemas.openxmlformats.org/officeDocument/2006/relationships/hyperlink" Target="https://contrataciondelestado.es/wps/poc?uri=deeplink:detalle_licitacion&amp;idEvl=KqpmkKvWKpH%2B3JAijKO%2Bkg%3D%3D" TargetMode="External" Id="rId2875" /><Relationship Type="http://schemas.openxmlformats.org/officeDocument/2006/relationships/hyperlink" Target="https://contrataciondelestado.es/FileSystem/servlet/GetDocumentByIdServlet?cifrado=QUC1GjXXSiLkydRHJBmbpw%3D%3D&amp;DocumentIdParam=DoUgR6SX4ym0rSFStrvKPX1WmnuMoXzxZ1eMFsCR821LgsjZ6cypAxuce2E26l4OC76j0TjTGGKhmWvkg%2BtEKzXC3u62JEa83GfD3jF47Cq1aXEvq3KHa/AEHgtDrQw0" TargetMode="External" Id="rId2876" /><Relationship Type="http://schemas.openxmlformats.org/officeDocument/2006/relationships/hyperlink" Target="https://contrataciondelestado.es/wps/poc?uri=deeplink:detalle_licitacion&amp;idEvl=6kLIJj4gev2OUi78BmzhOQ%3D%3D" TargetMode="External" Id="rId2877" /><Relationship Type="http://schemas.openxmlformats.org/officeDocument/2006/relationships/hyperlink" Target="https://contrataciondelestado.es/FileSystem/servlet/GetDocumentByIdServlet?cifrado=QUC1GjXXSiLkydRHJBmbpw%3D%3D&amp;DocumentIdParam=DlGhAvezVswNFhg9CT0EGHGmRxtk%2BRBTTKi9XSUCjPiFCVGCzNasn4zWbEqnV/nJOGxJnEJPjlBt7XSzeAUESDXfhnKrcAQqKP3PzofxuE0C1/zDIE0Kw/PWNnLS0Z0z" TargetMode="External" Id="rId2878" /><Relationship Type="http://schemas.openxmlformats.org/officeDocument/2006/relationships/hyperlink" Target="https://contrataciondelestado.es/wps/poc?uri=deeplink:detalle_licitacion&amp;idEvl=XnF%2FkUbmsrz9pbnDwlaUlg%3D%3D" TargetMode="External" Id="rId2879" /><Relationship Type="http://schemas.openxmlformats.org/officeDocument/2006/relationships/hyperlink" Target="https://contrataciondelestado.es/FileSystem/servlet/GetDocumentByIdServlet?cifrado=QUC1GjXXSiLkydRHJBmbpw%3D%3D&amp;DocumentIdParam=oOY6AZKRVLzE2bGq1oOZWRd/ALwR9hQ3N%2BTjvZsTcr6zMERYloXrEBnvmfbri8sph896rEJp780AEC6uS4kfRxU%2BNl5eXa12FlXU3tFU/gD6CYyL7SIrUOBFfNf52ZqA" TargetMode="External" Id="rId2880" /><Relationship Type="http://schemas.openxmlformats.org/officeDocument/2006/relationships/hyperlink" Target="https://contrataciondelestado.es/wps/poc?uri=deeplink:detalle_licitacion&amp;idEvl=Wntr%2BDEMtzNt5r0ngvMetA%3D%3D" TargetMode="External" Id="rId2881" /><Relationship Type="http://schemas.openxmlformats.org/officeDocument/2006/relationships/hyperlink" Target="https://contrataciondelestado.es/FileSystem/servlet/GetDocumentByIdServlet?cifrado=QUC1GjXXSiLkydRHJBmbpw%3D%3D&amp;DocumentIdParam=dbskzTMFgc2SRx%2BtUr0BF/r8WrXFu9NXE/f64CTTHIt19ueYKw9uYCaHFnqvwmXC8UZqMbaHVJMRnmkFuLOLuGpXWI1gCvjnsLeiHyaDO2wZyAJWGsSt0OzTSTyw9JAs" TargetMode="External" Id="rId2882" /><Relationship Type="http://schemas.openxmlformats.org/officeDocument/2006/relationships/hyperlink" Target="https://contrataciondelestado.es/wps/poc?uri=deeplink:detalle_licitacion&amp;idEvl=uXjIxm5fvRDs%2BnLj3vAg5A%3D%3D" TargetMode="External" Id="rId2883" /><Relationship Type="http://schemas.openxmlformats.org/officeDocument/2006/relationships/hyperlink" Target="https://contrataciondelestado.es/FileSystem/servlet/GetDocumentByIdServlet?cifrado=QUC1GjXXSiLkydRHJBmbpw%3D%3D&amp;DocumentIdParam=e7qclapBbYADdoy4BgDb4UpBJ23jpY%2BuhPp5lkXGVmj/k/hrjL8T5WyS5SNqG3lTHBsAQ/seVf7MwJMWhxcQ2b2XIXlVGbqNMRlt/1ndXnP3GVhXrFFqN7yFncy7YfRK" TargetMode="External" Id="rId2884" /><Relationship Type="http://schemas.openxmlformats.org/officeDocument/2006/relationships/hyperlink" Target="https://contrataciondelestado.es/wps/poc?uri=deeplink:detalle_licitacion&amp;idEvl=30KCFcT1DZPua%2Fi14w%2FPLA%3D%3D" TargetMode="External" Id="rId2885" /><Relationship Type="http://schemas.openxmlformats.org/officeDocument/2006/relationships/hyperlink" Target="https://contrataciondelestado.es/FileSystem/servlet/GetDocumentByIdServlet?cifrado=QUC1GjXXSiLkydRHJBmbpw%3D%3D&amp;DocumentIdParam=Wzm4Hd4pUeJ9xXzjcn5qKdMw%2BRekN4/nWIRJ%2BO02r0zl2shL%2B3n%2BzyO4rgF9/hyTJgpklLLsW1HWU8ozzZwdRGoslhcmCbumDIBaYFCR6raCx2e6p7hqtlp2aFupgHMr" TargetMode="External" Id="rId2886" /><Relationship Type="http://schemas.openxmlformats.org/officeDocument/2006/relationships/hyperlink" Target="https://contrataciondelestado.es/wps/poc?uri=deeplink:detalle_licitacion&amp;idEvl=DtiPUAkPDJ9QFSeKCRun4Q%3D%3D" TargetMode="External" Id="rId2887" /><Relationship Type="http://schemas.openxmlformats.org/officeDocument/2006/relationships/hyperlink" Target="https://contrataciondelestado.es/FileSystem/servlet/GetDocumentByIdServlet?cifrado=QUC1GjXXSiLkydRHJBmbpw%3D%3D&amp;DocumentIdParam=ifV2mnj0U1rb349viwAwGTjdeka4ghkXupJrK/md9R%2Br4IuDxZoWVk%2B6%2B4CW1x%2BsUrDR6gpqDjuyJj4St5grjAqLKjFCQQItBr8IyVmL7vI//q7NB2iMZvNyf0xrJmjt" TargetMode="External" Id="rId2888" /><Relationship Type="http://schemas.openxmlformats.org/officeDocument/2006/relationships/hyperlink" Target="https://contrataciondelestado.es/wps/poc?uri=deeplink:detalle_licitacion&amp;idEvl=W%2FilFnz5aMwQyBAnWzHfCg%3D%3D" TargetMode="External" Id="rId2889" /><Relationship Type="http://schemas.openxmlformats.org/officeDocument/2006/relationships/hyperlink" Target="https://contrataciondelestado.es/wps/poc?uri=deeplink:detalle_licitacion&amp;idEvl=ZcR11L9HItacCF8sV%2BqtYA%3D%3D" TargetMode="External" Id="rId2890" /><Relationship Type="http://schemas.openxmlformats.org/officeDocument/2006/relationships/hyperlink" Target="https://contrataciondelestado.es/FileSystem/servlet/GetDocumentByIdServlet?cifrado=QUC1GjXXSiLkydRHJBmbpw%3D%3D&amp;DocumentIdParam=O1ztHKLXSJngMFMKpgAy5s9ROMLffI8EUodiN2TWSd4PttgBvoVWUY/ls7XPtd%2BE9b82FfQZdpMqAhH7KErdh2AtvljShir8vDE2nxxFCf%2BB0nvVKRzfe4rpHcnlPhSZ" TargetMode="External" Id="rId2891" /><Relationship Type="http://schemas.openxmlformats.org/officeDocument/2006/relationships/hyperlink" Target="https://contrataciondelestado.es/wps/poc?uri=deeplink:detalle_licitacion&amp;idEvl=sJlo7XvmlNC8ebB%2FXTwy0A%3D%3D" TargetMode="External" Id="rId2892" /><Relationship Type="http://schemas.openxmlformats.org/officeDocument/2006/relationships/hyperlink" Target="https://contrataciondelestado.es/FileSystem/servlet/GetDocumentByIdServlet?cifrado=QUC1GjXXSiLkydRHJBmbpw%3D%3D&amp;DocumentIdParam=DSjgKEKoXArE9nK%2BXhqd9uHcEZU5YHljTYXAI/lr0P0Wg6VQRVLMkQ%2BUUbzelC2TCdveMg3fWhQ2Vc6LbiPHEGpBnuxcfU9VlbgkCc7NQzP6CYyL7SIrUOBFfNf52ZqA" TargetMode="External" Id="rId2893" /><Relationship Type="http://schemas.openxmlformats.org/officeDocument/2006/relationships/hyperlink" Target="https://contrataciondelestado.es/wps/poc?uri=deeplink:detalle_licitacion&amp;idEvl=m3ATimgHIyUeC9GJQOEBkQ%3D%3D" TargetMode="External" Id="rId2894" /><Relationship Type="http://schemas.openxmlformats.org/officeDocument/2006/relationships/hyperlink" Target="https://contrataciondelestado.es/FileSystem/servlet/GetDocumentByIdServlet?cifrado=QUC1GjXXSiLkydRHJBmbpw%3D%3D&amp;DocumentIdParam=FOXLUjU17g0FpiefsA70EpoJZPmaHdVsz4WNc2daMJ/J1YdziaVIWUYRw3h8BHz/Skawi5r4q6aVgsXc7u9PFZrWszptdYzVbb2K/MoUsZxt/o8fNevwsujgRzaBbugn" TargetMode="External" Id="rId2895" /><Relationship Type="http://schemas.openxmlformats.org/officeDocument/2006/relationships/hyperlink" Target="https://contrataciondelestado.es/wps/poc?uri=deeplink:detalle_licitacion&amp;idEvl=9kNKmiY1NbdVYjgxA4nMUw%3D%3D" TargetMode="External" Id="rId2896" /><Relationship Type="http://schemas.openxmlformats.org/officeDocument/2006/relationships/hyperlink" Target="https://contrataciondelestado.es/FileSystem/servlet/GetDocumentByIdServlet?cifrado=QUC1GjXXSiLkydRHJBmbpw%3D%3D&amp;DocumentIdParam=q8/nNRFPeyxh/rTsRc%2BbcCiox/gXOAusd/xEn6bc/NEoBDfoNzT6TmNU5QrU0HuFDwZLANh2nOAICU1XFnZB6P2EaZBx4HehqWN5XhDmarCB0nvVKRzfe4rpHcnlPhSZ" TargetMode="External" Id="rId2897" /><Relationship Type="http://schemas.openxmlformats.org/officeDocument/2006/relationships/hyperlink" Target="https://contrataciondelestado.es/wps/poc?uri=deeplink:detalle_licitacion&amp;idEvl=A8n1GinWWxF9PLkba5eRog%3D%3D" TargetMode="External" Id="rId2898" /><Relationship Type="http://schemas.openxmlformats.org/officeDocument/2006/relationships/hyperlink" Target="https://contrataciondelestado.es/FileSystem/servlet/GetDocumentByIdServlet?cifrado=QUC1GjXXSiLkydRHJBmbpw%3D%3D&amp;DocumentIdParam=4DpoaEoLI7xT1hyK8x3iqw2M6XI7l/lWRmqHS9slCXZeVY997OO/qMwvrfVvWHsswb1OcWAo8weHqc93XcjErvpP2mvZXxHa0acLP1GvYcBt/o8fNevwsujgRzaBbugn" TargetMode="External" Id="rId2899" /><Relationship Type="http://schemas.openxmlformats.org/officeDocument/2006/relationships/hyperlink" Target="https://contrataciondelestado.es/wps/poc?uri=deeplink:detalle_licitacion&amp;idEvl=c6SMQxY58EMaF6cS8TCh%2FA%3D%3D" TargetMode="External" Id="rId2900" /><Relationship Type="http://schemas.openxmlformats.org/officeDocument/2006/relationships/hyperlink" Target="https://contrataciondelestado.es/FileSystem/servlet/GetDocumentByIdServlet?cifrado=QUC1GjXXSiLkydRHJBmbpw%3D%3D&amp;DocumentIdParam=n%2BxizJ4e3%2Bgl4xOTv4GxSo0hhrzA%2BjtV0KNVHpQGDMi9Iv06thyNzzVg842ZFbUIYMauJCroRUR6SaSUAUOhW4n6i/Mcwf7s5xErGDmlETaB0nvVKRzfe4rpHcnlPhSZ" TargetMode="External" Id="rId2901" /><Relationship Type="http://schemas.openxmlformats.org/officeDocument/2006/relationships/hyperlink" Target="https://contrataciondelestado.es/wps/poc?uri=deeplink:detalle_licitacion&amp;idEvl=%2BJhXhhrMXXckJPJS%2BPS9vg%3D%3D" TargetMode="External" Id="rId2902" /><Relationship Type="http://schemas.openxmlformats.org/officeDocument/2006/relationships/hyperlink" Target="https://contrataciondelestado.es/FileSystem/servlet/GetDocumentByIdServlet?cifrado=QUC1GjXXSiLkydRHJBmbpw%3D%3D&amp;DocumentIdParam=iXeISGMSiVOjk1zMScdlx8uTHQIEjddi6Rw4SoJQdWsScurclaGk3hEMFb1jZpIHA9/z33bI7zi2aD3j4RRKEBm34PRZYyv0QiFUZNgwnaYC1/zDIE0Kw/PWNnLS0Z0z" TargetMode="External" Id="rId2903" /><Relationship Type="http://schemas.openxmlformats.org/officeDocument/2006/relationships/hyperlink" Target="https://contrataciondelestado.es/wps/poc?uri=deeplink:detalle_licitacion&amp;idEvl=BqUrmi4T4gE%2Bk2oCbDosIw%3D%3D" TargetMode="External" Id="rId2904" /><Relationship Type="http://schemas.openxmlformats.org/officeDocument/2006/relationships/hyperlink" Target="https://contrataciondelestado.es/FileSystem/servlet/GetDocumentByIdServlet?cifrado=QUC1GjXXSiLkydRHJBmbpw%3D%3D&amp;DocumentIdParam=YI/nEF4h8/Y5gh6bun6EIAn52o1/bypY7C7yms/sXEiTDqmT2TYabApPS/NzZbEmfofsE7cYPdlEtnHuWxOoxK9Rqz9Idm4ohtYw0n0lNo%2BCx2e6p7hqtlp2aFupgHMr" TargetMode="External" Id="rId2905" /><Relationship Type="http://schemas.openxmlformats.org/officeDocument/2006/relationships/hyperlink" Target="https://contrataciondelestado.es/wps/poc?uri=deeplink:detalle_licitacion&amp;idEvl=m1nIP6MDwXHN3k3tjedSGw%3D%3D" TargetMode="External" Id="rId2906" /><Relationship Type="http://schemas.openxmlformats.org/officeDocument/2006/relationships/hyperlink" Target="https://contrataciondelestado.es/FileSystem/servlet/GetDocumentByIdServlet?cifrado=QUC1GjXXSiLkydRHJBmbpw%3D%3D&amp;DocumentIdParam=CkcW3ha1UIXX3yUCA3jos39txMCn42WeLY9RfR8mf8%2BVVdoTmz8SCyv0wkaZhvjEpTo/JrQdsLnoAgZj4p61dl5bwqYRggr8L2Fmuo9OPxR45ClyWkoJ44mKM70IFcOu" TargetMode="External" Id="rId2907" /><Relationship Type="http://schemas.openxmlformats.org/officeDocument/2006/relationships/hyperlink" Target="https://contrataciondelestado.es/wps/poc?uri=deeplink:detalle_licitacion&amp;idEvl=wMlJLwTwmlrmnwcj%2BxbdTg%3D%3D" TargetMode="External" Id="rId2908" /><Relationship Type="http://schemas.openxmlformats.org/officeDocument/2006/relationships/hyperlink" Target="https://contrataciondelestado.es/FileSystem/servlet/GetDocumentByIdServlet?cifrado=QUC1GjXXSiLkydRHJBmbpw%3D%3D&amp;DocumentIdParam=5trGNMvFBUDDNc06hSYkZ1blYN9V9FLc5R5dbIFSTCoNGmDTfV2wmGQ4zZERy7CCa7JbYXakkuJMGPj59F967DNnBMuLHH/Eeg2AnkdxprS1aXEvq3KHa/AEHgtDrQw0" TargetMode="External" Id="rId2909" /><Relationship Type="http://schemas.openxmlformats.org/officeDocument/2006/relationships/hyperlink" Target="https://contrataciondelestado.es/wps/poc?uri=deeplink:detalle_licitacion&amp;idEvl=GqNduzGS3fNWhbmkna2nXQ%3D%3D" TargetMode="External" Id="rId2910" /><Relationship Type="http://schemas.openxmlformats.org/officeDocument/2006/relationships/hyperlink" Target="https://contrataciondelestado.es/FileSystem/servlet/GetDocumentByIdServlet?cifrado=QUC1GjXXSiLkydRHJBmbpw%3D%3D&amp;DocumentIdParam=NGZm%2Bx0Cer6pckN9uZnOCZc9CI%2B%2BK3owQR3JJQuoG4hJNooWWHTHTWZY1AGbkyfvZQb1tOJW6ggpnkPb4B9rvBeSn/VP/H%2Bj6PtO11kvZ6PfdyQgZAdTm3EfcUAC7CJ6" TargetMode="External" Id="rId2911" /><Relationship Type="http://schemas.openxmlformats.org/officeDocument/2006/relationships/hyperlink" Target="https://contrataciondelestado.es/wps/poc?uri=deeplink:detalle_licitacion&amp;idEvl=kpdpZQCGwKI%2Bk2oCbDosIw%3D%3D" TargetMode="External" Id="rId2912" /><Relationship Type="http://schemas.openxmlformats.org/officeDocument/2006/relationships/hyperlink" Target="https://contrataciondelestado.es/FileSystem/servlet/GetDocumentByIdServlet?cifrado=QUC1GjXXSiLkydRHJBmbpw%3D%3D&amp;DocumentIdParam=CWeB6Y1ahRVYzaRf1NAqb06ObMy3pfO8Rt21XozaajTV0LjkGczGrXn/Unv0gSJwz9qHtzyE7zuAzsxvjzUya6ozU9JA/fCi67lpiZxViBPDdQD9RyhUmzT4jZ2In4zL" TargetMode="External" Id="rId2913" /><Relationship Type="http://schemas.openxmlformats.org/officeDocument/2006/relationships/hyperlink" Target="https://contrataciondelestado.es/wps/poc?uri=deeplink:detalle_licitacion&amp;idEvl=7U5WneYLq%2BKcTfjQf3USOg%3D%3D" TargetMode="External" Id="rId2914" /><Relationship Type="http://schemas.openxmlformats.org/officeDocument/2006/relationships/hyperlink" Target="https://contrataciondelestado.es/FileSystem/servlet/GetDocumentByIdServlet?cifrado=QUC1GjXXSiLkydRHJBmbpw%3D%3D&amp;DocumentIdParam=wuSiMGhiFz/8HJswcgbFU4aDtc9wnXeNfAvxvt%2BX6Ltah4Q7eEy7UfPJDqs5qvXK8%2B4QqukrWw9hyBYMDUdwJQi1GOS%2BVOOkiG%2BUgzEHJAf3GVhXrFFqN7yFncy7YfRK" TargetMode="External" Id="rId2915" /><Relationship Type="http://schemas.openxmlformats.org/officeDocument/2006/relationships/hyperlink" Target="https://contrataciondelestado.es/wps/poc?uri=deeplink:detalle_licitacion&amp;idEvl=8RXVMV5OyodVkTabT%2FRM8A%3D%3D" TargetMode="External" Id="rId2916" /><Relationship Type="http://schemas.openxmlformats.org/officeDocument/2006/relationships/hyperlink" Target="https://contrataciondelestado.es/FileSystem/servlet/GetDocumentByIdServlet?cifrado=QUC1GjXXSiLkydRHJBmbpw%3D%3D&amp;DocumentIdParam=Hq7W%2BZKq/jNOnj00hf%2BIIVSFyQ9lhGoUsrd4aHWHO6dAiiQ21Unmh3DTwyBq0L/2hTTeoQg4jfJ57xhUKEjoMzidcD1EJXzIr5EopAQx3w36CYyL7SIrUOBFfNf52ZqA" TargetMode="External" Id="rId2917" /><Relationship Type="http://schemas.openxmlformats.org/officeDocument/2006/relationships/hyperlink" Target="https://contrataciondelestado.es/wps/poc?uri=deeplink:detalle_licitacion&amp;idEvl=mtVXBrhnxbm7JOCXkOhcDg%3D%3D" TargetMode="External" Id="rId2918" /><Relationship Type="http://schemas.openxmlformats.org/officeDocument/2006/relationships/hyperlink" Target="https://contrataciondelestado.es/FileSystem/servlet/GetDocumentByIdServlet?cifrado=QUC1GjXXSiLkydRHJBmbpw%3D%3D&amp;DocumentIdParam=mZwoOjDzaSWSiMCrBoLncZIQxjJmR6UzJxokeu7Jo6Ept4ONJsbJB/rGRAECh7i3H/z53%2BXemY3x0mvDyfio%2BlPcUm1dN4b8z6RerN/AwGyHAj0WEJrB5sP7amrh2jBD" TargetMode="External" Id="rId2919" /><Relationship Type="http://schemas.openxmlformats.org/officeDocument/2006/relationships/hyperlink" Target="https://contrataciondelestado.es/wps/poc?uri=deeplink:detalle_licitacion&amp;idEvl=UZ%2Bes3aOlwR70UvEyYJSGw%3D%3D" TargetMode="External" Id="rId2920" /><Relationship Type="http://schemas.openxmlformats.org/officeDocument/2006/relationships/hyperlink" Target="https://contrataciondelestado.es/FileSystem/servlet/GetDocumentByIdServlet?cifrado=QUC1GjXXSiLkydRHJBmbpw%3D%3D&amp;DocumentIdParam=MQC%2Bpq8yWGAf6FdRGAwuU6S9mZAwzLM6YAjlp%2B2C4KLTdrrm1v0TTmGpoKekHrF9zVSJ/qEQAwds9R5oadY9MwUXFvuBhNZ6e%2B6ljgGRaHpt/o8fNevwsujgRzaBbugn" TargetMode="External" Id="rId2921" /><Relationship Type="http://schemas.openxmlformats.org/officeDocument/2006/relationships/hyperlink" Target="https://contrataciondelestado.es/wps/poc?uri=deeplink:detalle_licitacion&amp;idEvl=PseRgz82Eq8tm4eBPtV6eQ%3D%3D" TargetMode="External" Id="rId2922" /><Relationship Type="http://schemas.openxmlformats.org/officeDocument/2006/relationships/hyperlink" Target="https://contrataciondelestado.es/FileSystem/servlet/GetDocumentByIdServlet?cifrado=QUC1GjXXSiLkydRHJBmbpw%3D%3D&amp;DocumentIdParam=o46o238VJDkYv2x7nSJejv18OqsAqkLNa1af9w%2BP0cpQVJAvqJdCXcBWko6KH3sy850O5FWXcRnJsfHkP5ZbRADjXqWbRoOLTky2Zk6WsSJJOVDbGCDM%2BMigrvuVS7Rv" TargetMode="External" Id="rId2923" /><Relationship Type="http://schemas.openxmlformats.org/officeDocument/2006/relationships/hyperlink" Target="https://contrataciondelestado.es/wps/poc?uri=deeplink:detalle_licitacion&amp;idEvl=as7ua6kGLqCzz8fXU2i3eQ%3D%3D" TargetMode="External" Id="rId2924" /><Relationship Type="http://schemas.openxmlformats.org/officeDocument/2006/relationships/hyperlink" Target="https://contrataciondelestado.es/FileSystem/servlet/GetDocumentByIdServlet?cifrado=QUC1GjXXSiLkydRHJBmbpw%3D%3D&amp;DocumentIdParam=4BUFxtsiUnOcgx/Bq6bVY3XH0Og24lx7N9orvq6WT1ubLy3wskNo9NsG3eHOwozEsW9mdUTTmozAKOMXjY6IoiPBZ8MeD4ZcFeolCAPXI/p7QB3HKyQaFUExmUVQCerk" TargetMode="External" Id="rId2925" /><Relationship Type="http://schemas.openxmlformats.org/officeDocument/2006/relationships/hyperlink" Target="https://contrataciondelestado.es/wps/poc?uri=deeplink:detalle_licitacion&amp;idEvl=tdXMrVnpWf836J9Lctlsuw%3D%3D" TargetMode="External" Id="rId2926" /><Relationship Type="http://schemas.openxmlformats.org/officeDocument/2006/relationships/hyperlink" Target="https://contrataciondelestado.es/FileSystem/servlet/GetDocumentByIdServlet?cifrado=QUC1GjXXSiLkydRHJBmbpw%3D%3D&amp;DocumentIdParam=e7%2Bh9OMmyNZAkBcNAbaEoQrlcU6Fynu9i0BB0n3bRyo6S7ji%2B2AhOZV0K6BKaYDISHnE9XHIjq64BCYvST0fvb3T3aRGqq/SkJoCK2vjJ7I//q7NB2iMZvNyf0xrJmjt" TargetMode="External" Id="rId2927" /><Relationship Type="http://schemas.openxmlformats.org/officeDocument/2006/relationships/hyperlink" Target="https://contrataciondelestado.es/wps/poc?uri=deeplink:detalle_licitacion&amp;idEvl=AZr4hFr1yRGFlFRHfEzEaw%3D%3D" TargetMode="External" Id="rId2928" /><Relationship Type="http://schemas.openxmlformats.org/officeDocument/2006/relationships/hyperlink" Target="https://contrataciondelestado.es/FileSystem/servlet/GetDocumentByIdServlet?cifrado=QUC1GjXXSiLkydRHJBmbpw%3D%3D&amp;DocumentIdParam=46/pvHcRrt/EPgpDDf/lmJRomVRpLhY7k1R1HjHweQWfDS43zfGCEGHOrEHs2kkWoUIVH6WAoL0yS7v/s3S2xWMzT8cKHAYH/jR6Z/oGg6IC1/zDIE0Kw/PWNnLS0Z0z" TargetMode="External" Id="rId2929" /><Relationship Type="http://schemas.openxmlformats.org/officeDocument/2006/relationships/hyperlink" Target="https://contrataciondelestado.es/wps/poc?uri=deeplink:detalle_licitacion&amp;idEvl=JLBk4dMPTkNSYrkJkLlFdw%3D%3D" TargetMode="External" Id="rId2930" /><Relationship Type="http://schemas.openxmlformats.org/officeDocument/2006/relationships/hyperlink" Target="https://contrataciondelestado.es/FileSystem/servlet/GetDocumentByIdServlet?cifrado=QUC1GjXXSiLkydRHJBmbpw%3D%3D&amp;DocumentIdParam=SMpTTRNBSZUUqa1BKBqunrc/Q1VitEEWEJhXtJ2PuRvJoXyXfOs4zTcar0kSPh6Fg7pFMgJq9CzhssGSkQnXm90keXqxzPUCLaY/MZheU0nVTD3T98KC0nSgQFM0q%2B5s" TargetMode="External" Id="rId2931" /><Relationship Type="http://schemas.openxmlformats.org/officeDocument/2006/relationships/hyperlink" Target="https://contrataciondelestado.es/wps/poc?uri=deeplink:detalle_licitacion&amp;idEvl=%2BAjqbXrbHVIXhk1FZxEyvw%3D%3D" TargetMode="External" Id="rId2932" /><Relationship Type="http://schemas.openxmlformats.org/officeDocument/2006/relationships/hyperlink" Target="https://contrataciondelestado.es/FileSystem/servlet/GetDocumentByIdServlet?cifrado=QUC1GjXXSiLkydRHJBmbpw%3D%3D&amp;DocumentIdParam=R4qebMyFQ%2Bxu%2BKx026mlotJDZd1qGwh1ZmqZnpwwJYshhlkLp5H%2B02naxZC/8jFwxK6lti2kZvlmy2jWS0gJhcVkBfzTuHACJfujB%2BNeLgzfdyQgZAdTm3EfcUAC7CJ6" TargetMode="External" Id="rId2933" /><Relationship Type="http://schemas.openxmlformats.org/officeDocument/2006/relationships/hyperlink" Target="https://contrataciondelestado.es/wps/poc?uri=deeplink:detalle_licitacion&amp;idEvl=N69HUBdDZF%2B2gkLQ8TeYKA%3D%3D" TargetMode="External" Id="rId2934" /><Relationship Type="http://schemas.openxmlformats.org/officeDocument/2006/relationships/hyperlink" Target="https://contrataciondelestado.es/FileSystem/servlet/GetDocumentByIdServlet?cifrado=QUC1GjXXSiLkydRHJBmbpw%3D%3D&amp;DocumentIdParam=yk4A3QxPmeqUnEpC%2BlX0jG/S9VypM41dISaD/e85ZHoIge90BIjv0/dX60XG8IV5n5H/IZ/j91QDYt8vmXUod0n2t1tt5EzE/z3vrUkDgTmHAj0WEJrB5sP7amrh2jBD" TargetMode="External" Id="rId2935" /><Relationship Type="http://schemas.openxmlformats.org/officeDocument/2006/relationships/hyperlink" Target="https://contrataciondelestado.es/wps/poc?uri=deeplink:detalle_licitacion&amp;idEvl=RjpXlomFV%2FrE6P%2FuLemXRw%3D%3D" TargetMode="External" Id="rId2936" /><Relationship Type="http://schemas.openxmlformats.org/officeDocument/2006/relationships/hyperlink" Target="https://contrataciondelestado.es/FileSystem/servlet/GetDocumentByIdServlet?cifrado=QUC1GjXXSiLkydRHJBmbpw%3D%3D&amp;DocumentIdParam=FizOu4Kg%2BW6hJU3PYt9%2BTTetw2MZIxVD55AI8G9GYC5orxQcqMoeti7Pkp5Vd5cfSHl3ftCQfmzwWxhJmju/h88WRPTalJMCJhnKVrfohUrDdQD9RyhUmzT4jZ2In4zL" TargetMode="External" Id="rId2937" /><Relationship Type="http://schemas.openxmlformats.org/officeDocument/2006/relationships/hyperlink" Target="https://contrataciondelestado.es/wps/poc?uri=deeplink:detalle_licitacion&amp;idEvl=wqloEHMZHwo%2Bk2oCbDosIw%3D%3D" TargetMode="External" Id="rId2938" /><Relationship Type="http://schemas.openxmlformats.org/officeDocument/2006/relationships/hyperlink" Target="https://contrataciondelestado.es/FileSystem/servlet/GetDocumentByIdServlet?cifrado=QUC1GjXXSiLkydRHJBmbpw%3D%3D&amp;DocumentIdParam=iT2ve6mdZMMREPCjmDKtk75i/2ZJeGUqr%2B0GXOl8DVsN2mQ1lPKXUjdH4KjJh2vKBv/EPIFlxQ%2BiNCoRfk9%2BpUMjL/iVv/p82iHaHm/dYZHDdQD9RyhUmzT4jZ2In4zL" TargetMode="External" Id="rId2939" /><Relationship Type="http://schemas.openxmlformats.org/officeDocument/2006/relationships/hyperlink" Target="https://contrataciondelestado.es/wps/poc?uri=deeplink:detalle_licitacion&amp;idEvl=J5b6%2B5PUnyukU02jNGj1Fw%3D%3D" TargetMode="External" Id="rId2940" /><Relationship Type="http://schemas.openxmlformats.org/officeDocument/2006/relationships/hyperlink" Target="https://contrataciondelestado.es/FileSystem/servlet/GetDocumentByIdServlet?cifrado=QUC1GjXXSiLkydRHJBmbpw%3D%3D&amp;DocumentIdParam=0vOriIt//11UjeYMDABehICBFWVX6/FRozxwv4WIgM8ANWGjjW8yEUy%2BTJY4CKA3kjySiOj8HDXdMrqayV8msf7RfHo8FDTSP8PJdmfiNBCHAj0WEJrB5sP7amrh2jBD" TargetMode="External" Id="rId2941" /><Relationship Type="http://schemas.openxmlformats.org/officeDocument/2006/relationships/hyperlink" Target="https://contrataciondelestado.es/wps/poc?uri=deeplink:detalle_licitacion&amp;idEvl=DtNlrKjIiyg%2B1TMyIiZmzw%3D%3D" TargetMode="External" Id="rId2942" /><Relationship Type="http://schemas.openxmlformats.org/officeDocument/2006/relationships/hyperlink" Target="https://contrataciondelestado.es/FileSystem/servlet/GetDocumentByIdServlet?cifrado=QUC1GjXXSiLkydRHJBmbpw%3D%3D&amp;DocumentIdParam=4LNw9X8Oth%2BSn9NbTkZ4FaYvLSQ%2BplUz7J5BjYhUdj/AX1E2IzM3fzB5gIuOroT3KfJzuTJjZwJXXHugoQlmC9TyLxQy/xoGuOXZv%2BI77fs//q7NB2iMZvNyf0xrJmjt" TargetMode="External" Id="rId2943" /><Relationship Type="http://schemas.openxmlformats.org/officeDocument/2006/relationships/hyperlink" Target="https://contrataciondelestado.es/wps/poc?uri=deeplink:detalle_licitacion&amp;idEvl=YdgpAAAiKDOKeVWTb9Scog%3D%3D" TargetMode="External" Id="rId2944" /><Relationship Type="http://schemas.openxmlformats.org/officeDocument/2006/relationships/hyperlink" Target="https://contrataciondelestado.es/FileSystem/servlet/GetDocumentByIdServlet?cifrado=QUC1GjXXSiLkydRHJBmbpw%3D%3D&amp;DocumentIdParam=RBPlR9s0ceYrdcn/4X8GXi8slFz47GD4ns30mqGcx/dxbD6v2VLeRH6nalOkMVBXJvYoqMHTamc6o%2Bhg%2BLkgS%2BLHChUYjykULOMTEX/awdLVTD3T98KC0nSgQFM0q%2B5s" TargetMode="External" Id="rId2945" /><Relationship Type="http://schemas.openxmlformats.org/officeDocument/2006/relationships/hyperlink" Target="https://contrataciondelestado.es/wps/poc?uri=deeplink:detalle_licitacion&amp;idEvl=DfkdaMRdGBS9Hd5zqvq9cg%3D%3D" TargetMode="External" Id="rId2946" /><Relationship Type="http://schemas.openxmlformats.org/officeDocument/2006/relationships/hyperlink" Target="https://contrataciondelestado.es/FileSystem/servlet/GetDocumentByIdServlet?cifrado=QUC1GjXXSiLkydRHJBmbpw%3D%3D&amp;DocumentIdParam=hVYh3wqxGCtr24PFIpewnqS1Dtnq6vZ1W3c9yepoPWa52ET7u9k5VmO74%2BtzwHQvTRTzYLed4o0jSRBLgUmn3tB6QrR6Utm6G/c9exZLxbN7QB3HKyQaFUExmUVQCerk" TargetMode="External" Id="rId2947" /><Relationship Type="http://schemas.openxmlformats.org/officeDocument/2006/relationships/hyperlink" Target="https://contrataciondelestado.es/wps/poc?uri=deeplink:detalle_licitacion&amp;idEvl=TXxNOICaYwvzAq95uGTrDQ%3D%3D" TargetMode="External" Id="rId2948" /><Relationship Type="http://schemas.openxmlformats.org/officeDocument/2006/relationships/hyperlink" Target="https://contrataciondelestado.es/FileSystem/servlet/GetDocumentByIdServlet?cifrado=QUC1GjXXSiLkydRHJBmbpw%3D%3D&amp;DocumentIdParam=AG4w6GQEr13kwW5I0kCUgbYCE3CxhPSgOIBinJ%2B7maaToJCpy/hpHuqyDohMsoT1G3n5Kr%2BYWuzJCb/AHhcv9Hq5NcAEL1pnV8NC1sy9lCP6CYyL7SIrUOBFfNf52ZqA" TargetMode="External" Id="rId2949" /><Relationship Type="http://schemas.openxmlformats.org/officeDocument/2006/relationships/hyperlink" Target="https://contrataciondelestado.es/wps/poc?uri=deeplink:detalle_licitacion&amp;idEvl=8f7mUz9IAcxVq4S9zvaQpQ%3D%3D" TargetMode="External" Id="rId2950" /><Relationship Type="http://schemas.openxmlformats.org/officeDocument/2006/relationships/hyperlink" Target="https://contrataciondelestado.es/FileSystem/servlet/GetDocumentByIdServlet?cifrado=QUC1GjXXSiLkydRHJBmbpw%3D%3D&amp;DocumentIdParam=x2YDqi/FBWrAOhFNXondzeWWhyNXZpBNA3soECbGjiF03jU2VaHCtdi8lermK3vAtOIeJA3PSjZIIyu6LIvGzIeH%2BKLmCsLi0dA4yrb2l/CB0nvVKRzfe4rpHcnlPhSZ" TargetMode="External" Id="rId2951" /><Relationship Type="http://schemas.openxmlformats.org/officeDocument/2006/relationships/hyperlink" Target="https://contrataciondelestado.es/wps/poc?uri=deeplink:detalle_licitacion&amp;idEvl=X0Zkm0YS7EGzz8fXU2i3eQ%3D%3D" TargetMode="External" Id="rId2952" /><Relationship Type="http://schemas.openxmlformats.org/officeDocument/2006/relationships/hyperlink" Target="https://contrataciondelestado.es/FileSystem/servlet/GetDocumentByIdServlet?cifrado=QUC1GjXXSiLkydRHJBmbpw%3D%3D&amp;DocumentIdParam=vBqyZTVXHzF6rBLiXp%2BZoNOdZlBx6aForDfIoWyQAWQ8TF8oM6k3vkkjFfN/%2BVkPvABsj5BGW/fq0QpXekMcp/fUyoZO0/A7ZL8MbEY7bFYC1/zDIE0Kw/PWNnLS0Z0z" TargetMode="External" Id="rId2953" /><Relationship Type="http://schemas.openxmlformats.org/officeDocument/2006/relationships/hyperlink" Target="https://contrataciondelestado.es/wps/poc?uri=deeplink:detalle_licitacion&amp;idEvl=lfzn%2F%2FpwkIjgL1BHd3qjQA%3D%3D" TargetMode="External" Id="rId2954" /><Relationship Type="http://schemas.openxmlformats.org/officeDocument/2006/relationships/hyperlink" Target="https://contrataciondelestado.es/FileSystem/servlet/GetDocumentByIdServlet?cifrado=QUC1GjXXSiLkydRHJBmbpw%3D%3D&amp;DocumentIdParam=oHWyx2ut6vzZXEy2vIzBaCWD98XMikyO1JQwxTe9AFAeYqyfKM6n535L27k2PwDPgytMbQkQ8pAqvzbEttoVREi2bYuIXI5SSK2cG/Ri8pb3GVhXrFFqN7yFncy7YfRK" TargetMode="External" Id="rId2955" /><Relationship Type="http://schemas.openxmlformats.org/officeDocument/2006/relationships/hyperlink" Target="https://contrataciondelestado.es/wps/poc?uri=deeplink:detalle_licitacion&amp;idEvl=u1kv5lA1EgeP66GS%2BONYvQ%3D%3D" TargetMode="External" Id="rId2956" /><Relationship Type="http://schemas.openxmlformats.org/officeDocument/2006/relationships/hyperlink" Target="https://contrataciondelestado.es/FileSystem/servlet/GetDocumentByIdServlet?cifrado=QUC1GjXXSiLkydRHJBmbpw%3D%3D&amp;DocumentIdParam=GvOio/sIQMyHoIv4f1gWQMRGTYcolKRRNrwo3738BglrqN9Lbe/YqtMPF8%2BZdixX7//xnhQEOHxdbacfu/exkgCoQKmCT5rJIfNz7mlXaMRt/o8fNevwsujgRzaBbugn" TargetMode="External" Id="rId2957" /><Relationship Type="http://schemas.openxmlformats.org/officeDocument/2006/relationships/hyperlink" Target="https://contrataciondelestado.es/wps/poc?uri=deeplink:detalle_licitacion&amp;idEvl=yepT1GaZ1FJWhbmkna2nXQ%3D%3D" TargetMode="External" Id="rId2958" /><Relationship Type="http://schemas.openxmlformats.org/officeDocument/2006/relationships/hyperlink" Target="https://contrataciondelestado.es/FileSystem/servlet/GetDocumentByIdServlet?cifrado=QUC1GjXXSiLkydRHJBmbpw%3D%3D&amp;DocumentIdParam=C%2B%2BgalCMY6cJtYrzHFKgmmEOSaAMbWKesYrzBh5Act2mObKysZfZsF%2Bs6Pl0j0rC%2BYp3it6Qo4JSDcCVX%2BH0MBr%2BjuccW0Obaz5KoeIzPxfDdQD9RyhUmzT4jZ2In4zL" TargetMode="External" Id="rId2959" /><Relationship Type="http://schemas.openxmlformats.org/officeDocument/2006/relationships/hyperlink" Target="https://contrataciondelestado.es/wps/poc?uri=deeplink:detalle_licitacion&amp;idEvl=CBnwtJaHz0Ul5NjlNci%2BtA%3D%3D" TargetMode="External" Id="rId2960" /><Relationship Type="http://schemas.openxmlformats.org/officeDocument/2006/relationships/hyperlink" Target="https://contrataciondelestado.es/FileSystem/servlet/GetDocumentByIdServlet?cifrado=QUC1GjXXSiLkydRHJBmbpw%3D%3D&amp;DocumentIdParam=764BcO73gHjDqyOhdZ06XxYypyhSYfollLHdl2mOHHQdoCKtxqO3zQYcoPdtM3vmX2DMY4OHR%2BobsoVKgHcRa4Bl/InkFn1ejuZ85oooDcffdyQgZAdTm3EfcUAC7CJ6" TargetMode="External" Id="rId2961" /><Relationship Type="http://schemas.openxmlformats.org/officeDocument/2006/relationships/hyperlink" Target="https://contrataciondelestado.es/wps/poc?uri=deeplink:detalle_licitacion&amp;idEvl=%2BfYhMb3fWnO9Hd5zqvq9cg%3D%3D" TargetMode="External" Id="rId2962" /><Relationship Type="http://schemas.openxmlformats.org/officeDocument/2006/relationships/hyperlink" Target="https://contrataciondelestado.es/FileSystem/servlet/GetDocumentByIdServlet?cifrado=QUC1GjXXSiLkydRHJBmbpw%3D%3D&amp;DocumentIdParam=QwlX577h1e8zQTlsZdXmoPHusrqjfm1XU5v5TYAouTZpxlf3t/nIoP2D2cENyGi%2Brz8oTD7LJm9JZQ7B9naxG0s50Vhf1sM3a/UJSNnISuOCx2e6p7hqtlp2aFupgHMr" TargetMode="External" Id="rId2963" /><Relationship Type="http://schemas.openxmlformats.org/officeDocument/2006/relationships/hyperlink" Target="https://contrataciondelestado.es/wps/poc?uri=deeplink:detalle_licitacion&amp;idEvl=BqzU6e22JRyFlFRHfEzEaw%3D%3D" TargetMode="External" Id="rId2964" /><Relationship Type="http://schemas.openxmlformats.org/officeDocument/2006/relationships/hyperlink" Target="https://contrataciondelestado.es/FileSystem/servlet/GetDocumentByIdServlet?cifrado=QUC1GjXXSiLkydRHJBmbpw%3D%3D&amp;DocumentIdParam=%2B8AVPcXO6rk4zT5U2yQEaCnNtdKYmC2/tNLS1Alh4ZNe%2B3N0oJRwSbvd6UuEAsIOa%2B5HHXFw7L%2BZeSioc9/cDGryJSYa%2B8RSNZR9yQGkDbz3GVhXrFFqN7yFncy7YfRK" TargetMode="External" Id="rId2965" /><Relationship Type="http://schemas.openxmlformats.org/officeDocument/2006/relationships/hyperlink" Target="https://contrataciondelestado.es/wps/poc?uri=deeplink:detalle_licitacion&amp;idEvl=52z3QpJPR2pVYjgxA4nMUw%3D%3D" TargetMode="External" Id="rId2966" /><Relationship Type="http://schemas.openxmlformats.org/officeDocument/2006/relationships/hyperlink" Target="https://contrataciondelestado.es/FileSystem/servlet/GetDocumentByIdServlet?cifrado=QUC1GjXXSiLkydRHJBmbpw%3D%3D&amp;DocumentIdParam=pEx6RMcl7%2BO20N4OFQORWpjrUTUqElW%2BJrggk/kOHKEEBZPplSuHVVkD9DSfoWJsc%2BJZ7igRea72nAuW38t7cpt54nltlkQtHt7KNwJpOXCHAj0WEJrB5sP7amrh2jBD" TargetMode="External" Id="rId2967" /><Relationship Type="http://schemas.openxmlformats.org/officeDocument/2006/relationships/hyperlink" Target="https://contrataciondelestado.es/wps/poc?uri=deeplink:detalle_licitacion&amp;idEvl=bMax%2B3FiBEYmMOlAXxDEjw%3D%3D" TargetMode="External" Id="rId2968" /><Relationship Type="http://schemas.openxmlformats.org/officeDocument/2006/relationships/hyperlink" Target="https://contrataciondelestado.es/FileSystem/servlet/GetDocumentByIdServlet?cifrado=QUC1GjXXSiLkydRHJBmbpw%3D%3D&amp;DocumentIdParam=NBOzDiow0QKneVYmFsM%2Bvg0HfIHOwxsY3lhZ5tAjzseiSw4URRLs8KH%2Ba3V2/jex7VfFUuds93SfAuAf1tbBLmMiZiYs19vPPtLGRHsKLe9JOVDbGCDM%2BMigrvuVS7Rv" TargetMode="External" Id="rId2969" /><Relationship Type="http://schemas.openxmlformats.org/officeDocument/2006/relationships/hyperlink" Target="https://contrataciondelestado.es/wps/poc?uri=deeplink:detalle_licitacion&amp;idEvl=oB7w3xQinn4eC9GJQOEBkQ%3D%3D" TargetMode="External" Id="rId2970" /><Relationship Type="http://schemas.openxmlformats.org/officeDocument/2006/relationships/hyperlink" Target="https://contrataciondelestado.es/FileSystem/servlet/GetDocumentByIdServlet?cifrado=QUC1GjXXSiLkydRHJBmbpw%3D%3D&amp;DocumentIdParam=wwNH/t8RIWTyO7F1IunDc1SObGI0jit7FMRNKGQ5GkveXbtC9w%2B3Zkc9MiLx/wFhSEdkCoG3c2fvAOAAWFIwU%2BVItfnnZc1a4Z7%2BHx3aT58//q7NB2iMZvNyf0xrJmjt" TargetMode="External" Id="rId2971" /><Relationship Type="http://schemas.openxmlformats.org/officeDocument/2006/relationships/hyperlink" Target="https://contrataciondelestado.es/wps/poc?uri=deeplink:detalle_licitacion&amp;idEvl=qcgq%2Fj2TpDDs%2BnLj3vAg5A%3D%3D" TargetMode="External" Id="rId2972" /><Relationship Type="http://schemas.openxmlformats.org/officeDocument/2006/relationships/hyperlink" Target="https://contrataciondelestado.es/FileSystem/servlet/GetDocumentByIdServlet?cifrado=QUC1GjXXSiLkydRHJBmbpw%3D%3D&amp;DocumentIdParam=O4f63LGqvyVYlph35GRo5JFjX/cfxQWPG6//fp%2BYP0kmN5A3UkCCmOa4PGtzKaO9u0CVipNAxZRLHqRigtXvbzqi96OSPGgZ%2Bgkbg7xNWmE//q7NB2iMZvNyf0xrJmjt" TargetMode="External" Id="rId2973" /><Relationship Type="http://schemas.openxmlformats.org/officeDocument/2006/relationships/hyperlink" Target="https://contrataciondelestado.es/wps/poc?uri=deeplink:detalle_licitacion&amp;idEvl=FeX2xpm1D9yqb7rCcv76BA%3D%3D" TargetMode="External" Id="rId2974" /><Relationship Type="http://schemas.openxmlformats.org/officeDocument/2006/relationships/hyperlink" Target="https://contrataciondelestado.es/FileSystem/servlet/GetDocumentByIdServlet?cifrado=QUC1GjXXSiLkydRHJBmbpw%3D%3D&amp;DocumentIdParam=rOk84s0MBsdgXXGfUjytVFYg7dRLlkw7Yp1Lh0eNpEpH67WhHkXBXv%2BzMksbfmgO37bCKoEMu/c/uJKs3kN1rooKJL7prli5%2BoJ4ZDSQutzVTD3T98KC0nSgQFM0q%2B5s" TargetMode="External" Id="rId2975" /><Relationship Type="http://schemas.openxmlformats.org/officeDocument/2006/relationships/hyperlink" Target="https://contrataciondelestado.es/wps/poc?uri=deeplink:detalle_licitacion&amp;idEvl=xNuxVP5vDU1Whbmkna2nXQ%3D%3D" TargetMode="External" Id="rId2976" /><Relationship Type="http://schemas.openxmlformats.org/officeDocument/2006/relationships/hyperlink" Target="https://contrataciondelestado.es/FileSystem/servlet/GetDocumentByIdServlet?cifrado=QUC1GjXXSiLkydRHJBmbpw%3D%3D&amp;DocumentIdParam=WmlvI0dNQKAHuasWDPiuE8xkiAi6nCz%2BTqLFm/FjiB0lJxh6eUGkYF3efxHq2cMHyqbiN4JxA4CynbA5qPJYdJtzBwjhb3t9tIx/C/9pDTJ45ClyWkoJ44mKM70IFcOu" TargetMode="External" Id="rId2977" /><Relationship Type="http://schemas.openxmlformats.org/officeDocument/2006/relationships/hyperlink" Target="https://contrataciondelestado.es/wps/poc?uri=deeplink:detalle_licitacion&amp;idEvl=3L82wfGUJLWTylGzYmBF9Q%3D%3D" TargetMode="External" Id="rId2978" /><Relationship Type="http://schemas.openxmlformats.org/officeDocument/2006/relationships/hyperlink" Target="https://contrataciondelestado.es/FileSystem/servlet/GetDocumentByIdServlet?cifrado=QUC1GjXXSiLkydRHJBmbpw%3D%3D&amp;DocumentIdParam=TwoNqCCv5ba7AGmBs5LYUGSzAvmpvCSgLr4JlsFZ1PklwppJIc9nfZLIofyC8k64yvn3azBi4noYY8EadCf5NGoTNpsgj3frZbir7cWobwwZyAJWGsSt0OzTSTyw9JAs" TargetMode="External" Id="rId2979" /><Relationship Type="http://schemas.openxmlformats.org/officeDocument/2006/relationships/hyperlink" Target="https://contrataciondelestado.es/wps/poc?uri=deeplink:detalle_licitacion&amp;idEvl=w6pciAE%2FQAfN3k3tjedSGw%3D%3D" TargetMode="External" Id="rId2980" /><Relationship Type="http://schemas.openxmlformats.org/officeDocument/2006/relationships/hyperlink" Target="https://contrataciondelestado.es/FileSystem/servlet/GetDocumentByIdServlet?cifrado=QUC1GjXXSiLkydRHJBmbpw%3D%3D&amp;DocumentIdParam=%2BiTNOd4VVMEK3n1rjMH9yvxWeVL95SaKf6Ff7GOpjuM4SDOVl2SajlGAU%2BSkL/4p4TVMTNIls3oD0gJO/BtqKLYBnp4ogHYQEwUyQwXX5Bf3GVhXrFFqN7yFncy7YfRK" TargetMode="External" Id="rId2981" /><Relationship Type="http://schemas.openxmlformats.org/officeDocument/2006/relationships/hyperlink" Target="https://contrataciondelestado.es/wps/poc?uri=deeplink:detalle_licitacion&amp;idEvl=Wmjj%2F6GHnj2TylGzYmBF9Q%3D%3D" TargetMode="External" Id="rId2982" /><Relationship Type="http://schemas.openxmlformats.org/officeDocument/2006/relationships/hyperlink" Target="https://contrataciondelestado.es/FileSystem/servlet/GetDocumentByIdServlet?cifrado=QUC1GjXXSiLkydRHJBmbpw%3D%3D&amp;DocumentIdParam=GDsXQcodSThc4QEZ0rwqzGEM0Fxhx7DDU5obInhTqDl1/HzFdv9o%2BcWLosBqLlNR5cpYsn/RPAucNEsrQ6OfM8SYdSaTQ0cI/nIGo1yfJxL6CYyL7SIrUOBFfNf52ZqA" TargetMode="External" Id="rId2983" /><Relationship Type="http://schemas.openxmlformats.org/officeDocument/2006/relationships/hyperlink" Target="https://contrataciondelestado.es/wps/poc?uri=deeplink:detalle_licitacion&amp;idEvl=ToF10k%2BYLeSsNfRW6APEDw%3D%3D" TargetMode="External" Id="rId2984" /><Relationship Type="http://schemas.openxmlformats.org/officeDocument/2006/relationships/hyperlink" Target="https://contrataciondelestado.es/FileSystem/servlet/GetDocumentByIdServlet?cifrado=QUC1GjXXSiLkydRHJBmbpw%3D%3D&amp;DocumentIdParam=QpWjEKLlg6LKtBxo4zg2L/c7XmdVlkTp7yHZJ4p1QThCAFSY5UTzmqvmg0eBDuBbsMRAv9LUfe57mupezOc1PmIfKiqLxsx9XPlWzD4Af1L3GVhXrFFqN7yFncy7YfRK" TargetMode="External" Id="rId2985" /><Relationship Type="http://schemas.openxmlformats.org/officeDocument/2006/relationships/hyperlink" Target="https://contrataciondelestado.es/wps/poc?uri=deeplink:detalle_licitacion&amp;idEvl=H%2F630%2BNdG5kQyBAnWzHfCg%3D%3D" TargetMode="External" Id="rId2986" /><Relationship Type="http://schemas.openxmlformats.org/officeDocument/2006/relationships/hyperlink" Target="https://contrataciondelestado.es/FileSystem/servlet/GetDocumentByIdServlet?cifrado=QUC1GjXXSiLkydRHJBmbpw%3D%3D&amp;DocumentIdParam=Qsur79Po/Sqx/agaJybM4sU0ROuTj6sgrV8ycLnZuVwOCHfYm%2BCa7nG4g46n1UD2PXO5DJzbXBDpybe8HzJyOUaqdxTDObHx3p8bcZ2ZvDK1aXEvq3KHa/AEHgtDrQw0" TargetMode="External" Id="rId2987" /><Relationship Type="http://schemas.openxmlformats.org/officeDocument/2006/relationships/hyperlink" Target="https://contrataciondelestado.es/wps/poc?uri=deeplink:detalle_licitacion&amp;idEvl=LxRr%2BvNzcg5rSd8H4b2soA%3D%3D" TargetMode="External" Id="rId2988" /><Relationship Type="http://schemas.openxmlformats.org/officeDocument/2006/relationships/hyperlink" Target="https://contrataciondelestado.es/FileSystem/servlet/GetDocumentByIdServlet?cifrado=QUC1GjXXSiLkydRHJBmbpw%3D%3D&amp;DocumentIdParam=ZyVuE7kMAJj/g9ittEPi6%2BPrZh3TddJwUiSYModiGUANVA/dRIGxx1mSIu934FDstpP/SS1IXxgj2lxcdl/08Ako5DoB19dP3bQa0RxcS%2B/6CYyL7SIrUOBFfNf52ZqA" TargetMode="External" Id="rId2989" /><Relationship Type="http://schemas.openxmlformats.org/officeDocument/2006/relationships/hyperlink" Target="https://contrataciondelestado.es/wps/poc?uri=deeplink:detalle_licitacion&amp;idEvl=velutswXJhNQFSeKCRun4Q%3D%3D" TargetMode="External" Id="rId2990" /><Relationship Type="http://schemas.openxmlformats.org/officeDocument/2006/relationships/hyperlink" Target="https://contrataciondelestado.es/FileSystem/servlet/GetDocumentByIdServlet?cifrado=QUC1GjXXSiLkydRHJBmbpw%3D%3D&amp;DocumentIdParam=FGZgIKcEmsxeP3OxWOyc1enVefbne9om4gyAY6sXB2HEWfsZEwVuveEsaGDMeQgcoESSL04Qirao3kNn7gj0qhhjsl0X8rCbxNy7D2zlZEiCx2e6p7hqtlp2aFupgHMr" TargetMode="External" Id="rId2991" /><Relationship Type="http://schemas.openxmlformats.org/officeDocument/2006/relationships/hyperlink" Target="https://contrataciondelestado.es/wps/poc?uri=deeplink:detalle_licitacion&amp;idEvl=%2BW5ievmptwqopEMYCmrbmw%3D%3D" TargetMode="External" Id="rId2992" /><Relationship Type="http://schemas.openxmlformats.org/officeDocument/2006/relationships/hyperlink" Target="https://contrataciondelestado.es/FileSystem/servlet/GetDocumentByIdServlet?cifrado=QUC1GjXXSiLkydRHJBmbpw%3D%3D&amp;DocumentIdParam=Z4wxZnBiNK7Ma5GmBERF//SFqk%2BZVDMrsB8KV5t/LJy2V%2ByJKgs2njb2cecgKNsalPY/irZQ2MjwsA1il7Enz5DZHmTN3lBTR5HEnxnDcDbDdQD9RyhUmzT4jZ2In4zL" TargetMode="External" Id="rId2993" /><Relationship Type="http://schemas.openxmlformats.org/officeDocument/2006/relationships/hyperlink" Target="https://contrataciondelestado.es/wps/poc?uri=deeplink:detalle_licitacion&amp;idEvl=4E3%2Bkq8UgUqopEMYCmrbmw%3D%3D" TargetMode="External" Id="rId2994" /><Relationship Type="http://schemas.openxmlformats.org/officeDocument/2006/relationships/hyperlink" Target="https://contrataciondelestado.es/FileSystem/servlet/GetDocumentByIdServlet?cifrado=QUC1GjXXSiLkydRHJBmbpw%3D%3D&amp;DocumentIdParam=9%2B0QfpXVPqTm3zfziYNopYjkxIonMCLoK/2vpOwXnVFn5wfgUTB7WLJma10UTvTYvPoZfZxBeMJkDrZIU0e%2BoPKS/jVtz5ffR8qyCh/uZmKB0nvVKRzfe4rpHcnlPhSZ" TargetMode="External" Id="rId2995" /><Relationship Type="http://schemas.openxmlformats.org/officeDocument/2006/relationships/hyperlink" Target="https://contrataciondelestado.es/wps/poc?uri=deeplink:detalle_licitacion&amp;idEvl=glLwtgUBmj6AAM7L03kM8A%3D%3D" TargetMode="External" Id="rId2996" /><Relationship Type="http://schemas.openxmlformats.org/officeDocument/2006/relationships/hyperlink" Target="https://contrataciondelestado.es/FileSystem/servlet/GetDocumentByIdServlet?cifrado=QUC1GjXXSiLkydRHJBmbpw%3D%3D&amp;DocumentIdParam=ng37ocDPTHMEIpcYgE8edRIx7f4TsLZzy2BnwjFrMyjocg%2BLbGNxFL5/XwwIjQi72cbZvd2hbsX1g3e/f/Vbi8iUCCLAHDxWpw5devDIdwyCx2e6p7hqtlp2aFupgHMr" TargetMode="External" Id="rId2997" /><Relationship Type="http://schemas.openxmlformats.org/officeDocument/2006/relationships/hyperlink" Target="https://contrataciondelestado.es/wps/poc?uri=deeplink:detalle_licitacion&amp;idEvl=zB%2ByHsNPij2ExvMJXBMHHQ%3D%3D" TargetMode="External" Id="rId2998" /><Relationship Type="http://schemas.openxmlformats.org/officeDocument/2006/relationships/hyperlink" Target="https://contrataciondelestado.es/FileSystem/servlet/GetDocumentByIdServlet?cifrado=QUC1GjXXSiLkydRHJBmbpw%3D%3D&amp;DocumentIdParam=aQiZsJ4MySJ9ZqTU1C8LmxesmSHFRZKjkPMZI5P2SNHc8oZlaaYPxzX6EsEb80FIXKRgtqlU5arbvgWW/oP0oa3ak/fFl0xfHeMxSlt1DVht/o8fNevwsujgRzaBbugn" TargetMode="External" Id="rId2999" /><Relationship Type="http://schemas.openxmlformats.org/officeDocument/2006/relationships/hyperlink" Target="https://contrataciondelestado.es/wps/poc?uri=deeplink:detalle_licitacion&amp;idEvl=SYqOfKVWj4UIYE3ZiZ%2BxmQ%3D%3D" TargetMode="External" Id="rId3000" /><Relationship Type="http://schemas.openxmlformats.org/officeDocument/2006/relationships/hyperlink" Target="https://contrataciondelestado.es/FileSystem/servlet/GetDocumentByIdServlet?cifrado=QUC1GjXXSiLkydRHJBmbpw%3D%3D&amp;DocumentIdParam=/d%2BJhg4oE6j6U0ZceSJdGfftDEDKWsIRGpazvV8hRDHchAJ1vlcpUMuRDUJcBoFHCKr35KLXHqDWaTGJOxc9B1k34ox5vHlXilmgVXnAEGxJOVDbGCDM%2BMigrvuVS7Rv" TargetMode="External" Id="rId3001" /><Relationship Type="http://schemas.openxmlformats.org/officeDocument/2006/relationships/hyperlink" Target="https://contrataciondelestado.es/wps/poc?uri=deeplink:detalle_licitacion&amp;idEvl=PwgvpqwC5tDjHF5qKI4aaw%3D%3D" TargetMode="External" Id="rId3002" /><Relationship Type="http://schemas.openxmlformats.org/officeDocument/2006/relationships/hyperlink" Target="https://contrataciondelestado.es/FileSystem/servlet/GetDocumentByIdServlet?cifrado=QUC1GjXXSiLkydRHJBmbpw%3D%3D&amp;DocumentIdParam=G7wNxEiLl8Tdvwi1XKZmpRea4NKNb/WePsLvoBhybigdr15zAlcm5W3mEZOrtcLGe2EhnhHyO%2BogxXkiYlJuoR5bZOg1Geqwzz0gpHtwNL4ZyAJWGsSt0OzTSTyw9JAs" TargetMode="External" Id="rId3003" /><Relationship Type="http://schemas.openxmlformats.org/officeDocument/2006/relationships/hyperlink" Target="https://contrataciondelestado.es/wps/poc?uri=deeplink:detalle_licitacion&amp;idEvl=Z0nSM81pw%2BbzAq95uGTrDQ%3D%3D" TargetMode="External" Id="rId3004" /><Relationship Type="http://schemas.openxmlformats.org/officeDocument/2006/relationships/hyperlink" Target="https://contrataciondelestado.es/FileSystem/servlet/GetDocumentByIdServlet?cifrado=QUC1GjXXSiLkydRHJBmbpw%3D%3D&amp;DocumentIdParam=3BOCJxc0Ow0tDUitL5mIs6TkeSYxIxbw0kLCxineiJlTQm6lF6yEFfS2Va4jL6yEXoerJQ9PROALfzSrTQcDRS2akEocaarhOHkoOoyLhy2B0nvVKRzfe4rpHcnlPhSZ" TargetMode="External" Id="rId3005" /><Relationship Type="http://schemas.openxmlformats.org/officeDocument/2006/relationships/hyperlink" Target="https://contrataciondelestado.es/wps/poc?uri=deeplink:detalle_licitacion&amp;idEvl=kYupOMzbjxSqb7rCcv76BA%3D%3D" TargetMode="External" Id="rId3006" /><Relationship Type="http://schemas.openxmlformats.org/officeDocument/2006/relationships/hyperlink" Target="https://contrataciondelestado.es/FileSystem/servlet/GetDocumentByIdServlet?cifrado=QUC1GjXXSiLkydRHJBmbpw%3D%3D&amp;DocumentIdParam=9raUWbJpE2CkzWM8NcrNZzQMSKRD7cgzp9P8x/gFKHAymIY6Eg6yokfcyEgyvu9Fid/roHr%2B652Sqo2grP3sdZ0R9VqOE8ts2eZid0wqvMd45ClyWkoJ44mKM70IFcOu" TargetMode="External" Id="rId3007" /><Relationship Type="http://schemas.openxmlformats.org/officeDocument/2006/relationships/hyperlink" Target="https://contrataciondelestado.es/wps/poc?uri=deeplink:detalle_licitacion&amp;idEvl=WjNqYODdob0%2Bk2oCbDosIw%3D%3D" TargetMode="External" Id="rId3008" /><Relationship Type="http://schemas.openxmlformats.org/officeDocument/2006/relationships/hyperlink" Target="https://contrataciondelestado.es/FileSystem/servlet/GetDocumentByIdServlet?cifrado=QUC1GjXXSiLkydRHJBmbpw%3D%3D&amp;DocumentIdParam=tg4YL/xZM2zdCii/a9/vZbxLNrHaDLfoWhinhkcltbfAYaAtSn/wJa90QvNRc33%2BnhIsJ3qGKIgr5gOywvAxfROgpu6zlW7M/bfi19/j6GVt/o8fNevwsujgRzaBbugn" TargetMode="External" Id="rId3009" /><Relationship Type="http://schemas.openxmlformats.org/officeDocument/2006/relationships/hyperlink" Target="https://contrataciondelestado.es/wps/poc?uri=deeplink:detalle_licitacion&amp;idEvl=5jSSbZD7fPEQyBAnWzHfCg%3D%3D" TargetMode="External" Id="rId3010" /><Relationship Type="http://schemas.openxmlformats.org/officeDocument/2006/relationships/hyperlink" Target="https://contrataciondelestado.es/FileSystem/servlet/GetDocumentByIdServlet?cifrado=QUC1GjXXSiLkydRHJBmbpw%3D%3D&amp;DocumentIdParam=PH8ZJgKb4f5k8FzaHmghI2gEe/W973QbcYnj5Ije19l4DR5HfPTEFDsqqHrBFiKNVfV7O0hh5sulOClirmRQu8UJFvlO8opBW5ep8Eqveml7QB3HKyQaFUExmUVQCerk" TargetMode="External" Id="rId3011" /><Relationship Type="http://schemas.openxmlformats.org/officeDocument/2006/relationships/hyperlink" Target="https://contrataciondelestado.es/wps/poc?uri=deeplink:detalle_licitacion&amp;idEvl=Eh6PiTxYSnT%2B3JAijKO%2Bkg%3D%3D" TargetMode="External" Id="rId3012" /><Relationship Type="http://schemas.openxmlformats.org/officeDocument/2006/relationships/hyperlink" Target="https://contrataciondelestado.es/FileSystem/servlet/GetDocumentByIdServlet?cifrado=QUC1GjXXSiLkydRHJBmbpw%3D%3D&amp;DocumentIdParam=FhzpyLPaa2UoT45%2Bl03Pb3Ywr8ShsnyA01PSdpsJuag2IyRWkM/dRLwoTJb3tB1qnsSI%2BGbbMMQlFGJCXIcs4j1NH7d63LZxeMGDqlWenyiCx2e6p7hqtlp2aFupgHMr" TargetMode="External" Id="rId3013" /><Relationship Type="http://schemas.openxmlformats.org/officeDocument/2006/relationships/hyperlink" Target="https://contrataciondelestado.es/wps/poc?uri=deeplink:detalle_licitacion&amp;idEvl=M1CGBQl2tmn10HRJw8TEnQ%3D%3D" TargetMode="External" Id="rId3014" /><Relationship Type="http://schemas.openxmlformats.org/officeDocument/2006/relationships/hyperlink" Target="https://contrataciondelestado.es/FileSystem/servlet/GetDocumentByIdServlet?cifrado=QUC1GjXXSiLkydRHJBmbpw%3D%3D&amp;DocumentIdParam=cu0ZjbwUau8x/ecLmW4YGSjacCuFZeMbw/w%2BMUJ0WIvJV9SZMycOadT9/cWrMJEkQ/xzqHrpjpneDdb1bWIG2lxKFQjCqi8zQZfhvD3jXaN7QB3HKyQaFUExmUVQCerk" TargetMode="External" Id="rId3015" /><Relationship Type="http://schemas.openxmlformats.org/officeDocument/2006/relationships/hyperlink" Target="https://contrataciondelestado.es/wps/poc?uri=deeplink:detalle_licitacion&amp;idEvl=DtPJPXDcBu96nTs9LZ9RhQ%3D%3D" TargetMode="External" Id="rId3016" /><Relationship Type="http://schemas.openxmlformats.org/officeDocument/2006/relationships/hyperlink" Target="https://contrataciondelestado.es/wps/poc?uri=deeplink:detalle_licitacion&amp;idEvl=PKxGHWNoBHWKeVWTb9Scog%3D%3D" TargetMode="External" Id="rId3017" /><Relationship Type="http://schemas.openxmlformats.org/officeDocument/2006/relationships/hyperlink" Target="https://contrataciondelestado.es/FileSystem/servlet/GetDocumentByIdServlet?cifrado=QUC1GjXXSiLkydRHJBmbpw%3D%3D&amp;DocumentIdParam=Sg8OK2Z%2BfX52b2DH18bGQbg1lZffVmiXf%2B3pypOxloSKUIC6xKfMvIXbSxg14rYa%2Bth2Dyytz8jmnP%2B%2BXDzwuYfWqEy/wpfRQE%2B2tfMWtwCCx2e6p7hqtlp2aFupgHMr" TargetMode="External" Id="rId3018" /><Relationship Type="http://schemas.openxmlformats.org/officeDocument/2006/relationships/hyperlink" Target="https://contrataciondelestado.es/wps/poc?uri=deeplink:detalle_licitacion&amp;idEvl=SJCJAc9y%2FMA4NavIWzMcHA%3D%3D" TargetMode="External" Id="rId3019" /><Relationship Type="http://schemas.openxmlformats.org/officeDocument/2006/relationships/hyperlink" Target="https://contrataciondelestado.es/FileSystem/servlet/GetDocumentByIdServlet?cifrado=QUC1GjXXSiLkydRHJBmbpw%3D%3D&amp;DocumentIdParam=wfv0oVb04wzMzJISqn2WYcbV8GdAogY26eGJNOe7S6BlQgHb4ItTIOrQgRzj2nNiiqfuR4Wm9RGdshYLY%2BFUyTtnMmD7nUAcKKf1O6FkGY%2BHAj0WEJrB5sP7amrh2jBD" TargetMode="External" Id="rId3020" /><Relationship Type="http://schemas.openxmlformats.org/officeDocument/2006/relationships/hyperlink" Target="https://contrataciondelestado.es/wps/poc?uri=deeplink:detalle_licitacion&amp;idEvl=1vno3Pt6EtmExvMJXBMHHQ%3D%3D" TargetMode="External" Id="rId3021" /><Relationship Type="http://schemas.openxmlformats.org/officeDocument/2006/relationships/hyperlink" Target="https://contrataciondelestado.es/FileSystem/servlet/GetDocumentByIdServlet?cifrado=QUC1GjXXSiLkydRHJBmbpw%3D%3D&amp;DocumentIdParam=jQzxNHE3O6X0HUIysw4I8AlmbY758LNE2o4XJcHXL9RoPYVh1G4USBHBeD%2BkuB8wIu6xYXTmwQZlpBCroAtRVBly94/Ts9bygxkQ7StEHIMC1/zDIE0Kw/PWNnLS0Z0z" TargetMode="External" Id="rId3022" /><Relationship Type="http://schemas.openxmlformats.org/officeDocument/2006/relationships/hyperlink" Target="https://contrataciondelestado.es/wps/poc?uri=deeplink:detalle_licitacion&amp;idEvl=1V7lTtfNMo07u6%2B%2FR7DUoA%3D%3D" TargetMode="External" Id="rId3023" /><Relationship Type="http://schemas.openxmlformats.org/officeDocument/2006/relationships/hyperlink" Target="https://contrataciondelestado.es/FileSystem/servlet/GetDocumentByIdServlet?cifrado=QUC1GjXXSiLkydRHJBmbpw%3D%3D&amp;DocumentIdParam=s4uVMEdtMy27Nk1d4x/lLzCm7yT5%2BQQ5oNNiCNAR/GRKinWhFCSls6tFasBRdtuCsWtIuvaQGu6T67LxAFvPcXJmtALNGlu0f2GXSpqvnlP3GVhXrFFqN7yFncy7YfRK" TargetMode="External" Id="rId3024" /><Relationship Type="http://schemas.openxmlformats.org/officeDocument/2006/relationships/hyperlink" Target="https://contrataciondelestado.es/wps/poc?uri=deeplink:detalle_licitacion&amp;idEvl=hkVKw4eAAvm5HQrHoP3G5A%3D%3D" TargetMode="External" Id="rId3025" /><Relationship Type="http://schemas.openxmlformats.org/officeDocument/2006/relationships/hyperlink" Target="https://contrataciondelestado.es/FileSystem/servlet/GetDocumentByIdServlet?cifrado=QUC1GjXXSiLkydRHJBmbpw%3D%3D&amp;DocumentIdParam=3LDzfM2Lewu6W/K28OQ%2BrBY1t%2BofOXKU7l%2By%2BtfPixF/U%2BLeVBFBm7FVk6sAV2dmSE8uxe3fnooX3ky9QMouaNVSYRuDaTOWv0qpCZGmZeg//q7NB2iMZvNyf0xrJmjt" TargetMode="External" Id="rId3026" /><Relationship Type="http://schemas.openxmlformats.org/officeDocument/2006/relationships/hyperlink" Target="https://contrataciondelestado.es/wps/poc?uri=deeplink:detalle_licitacion&amp;idEvl=CEh8NhDAK2l9PLkba5eRog%3D%3D" TargetMode="External" Id="rId3027" /><Relationship Type="http://schemas.openxmlformats.org/officeDocument/2006/relationships/hyperlink" Target="https://contrataciondelestado.es/FileSystem/servlet/GetDocumentByIdServlet?cifrado=QUC1GjXXSiLkydRHJBmbpw%3D%3D&amp;DocumentIdParam=YjChuvJzZXU%2Bin9w6HCdmfOkK8C1asi57WF/0lP5JzxHN/AuXOWY6Z1MwvFQ7J4uFFsVyK5HCd2F%2B7fDyuxPKtPj8vKoDovPaYEc1qVBM/MC1/zDIE0Kw/PWNnLS0Z0z" TargetMode="External" Id="rId3028" /><Relationship Type="http://schemas.openxmlformats.org/officeDocument/2006/relationships/hyperlink" Target="https://contrataciondelestado.es/wps/poc?uri=deeplink:detalle_licitacion&amp;idEvl=oStCzgLIItA36J9Lctlsuw%3D%3D" TargetMode="External" Id="rId3029" /><Relationship Type="http://schemas.openxmlformats.org/officeDocument/2006/relationships/hyperlink" Target="https://contrataciondelestado.es/FileSystem/servlet/GetDocumentByIdServlet?cifrado=QUC1GjXXSiLkydRHJBmbpw%3D%3D&amp;DocumentIdParam=Hk7/q/PJKgOagV71dR8Q2sTXQVtVZAtSoimAQlrbp1I7z4gHhbNETwHDHlsyrt2j%2B8VymeRrYHSW4imVEl5Bz4I0Td13hNbY7GXNt00oujzVTD3T98KC0nSgQFM0q%2B5s" TargetMode="External" Id="rId3030" /><Relationship Type="http://schemas.openxmlformats.org/officeDocument/2006/relationships/hyperlink" Target="https://contrataciondelestado.es/wps/poc?uri=deeplink:detalle_licitacion&amp;idEvl=%2FuQ9RZE1F8dq1DdmE7eaXg%3D%3D" TargetMode="External" Id="rId3031" /><Relationship Type="http://schemas.openxmlformats.org/officeDocument/2006/relationships/hyperlink" Target="https://contrataciondelestado.es/FileSystem/servlet/GetDocumentByIdServlet?cifrado=QUC1GjXXSiLkydRHJBmbpw%3D%3D&amp;DocumentIdParam=awprfHwJlWNsXO0fmLoL6sT3/XETZetvkhnUBvI/PoPKszGoFqj7sLzdkbDAKCCpm2m82IMQcA3MlCATCyWnH7J1qSEdHdgi0gbpua2z7lVt/o8fNevwsujgRzaBbugn" TargetMode="External" Id="rId3032" /><Relationship Type="http://schemas.openxmlformats.org/officeDocument/2006/relationships/hyperlink" Target="https://contrataciondelestado.es/wps/poc?uri=deeplink:detalle_licitacion&amp;idEvl=uWF0L7xnlJ%2FpxJFXpLZ%2B2A%3D%3D" TargetMode="External" Id="rId3033" /><Relationship Type="http://schemas.openxmlformats.org/officeDocument/2006/relationships/hyperlink" Target="https://contrataciondelestado.es/FileSystem/servlet/GetDocumentByIdServlet?cifrado=QUC1GjXXSiLkydRHJBmbpw%3D%3D&amp;DocumentIdParam=Q/ID3f3fK%2BcLyQii4zq/J2rHhcMOOVHrsKaD5754iMhh1EstMnj8WAakJIsvoKRyzgJyOqXg%2BFJT4n0Oo7c1NUIxJNCDxM7ZJoc0L1eeR6f3GVhXrFFqN7yFncy7YfRK" TargetMode="External" Id="rId3034" /><Relationship Type="http://schemas.openxmlformats.org/officeDocument/2006/relationships/hyperlink" Target="https://contrataciondelestado.es/wps/poc?uri=deeplink:detalle_licitacion&amp;idEvl=NyXrmEZQYWLECtSnloz%2BZQ%3D%3D" TargetMode="External" Id="rId3035" /><Relationship Type="http://schemas.openxmlformats.org/officeDocument/2006/relationships/hyperlink" Target="https://contrataciondelestado.es/FileSystem/servlet/GetDocumentByIdServlet?cifrado=QUC1GjXXSiLkydRHJBmbpw%3D%3D&amp;DocumentIdParam=jYBN/4uXRrEJWSU%2B%2B8rCYiwo%2BJI7SzTbrU0GsfHi5th8i1Q5SSdgjMc4MWkCcbn5tmeBYuG8s2YXVkNKZJllAY8K9bjcK57HXS1kK%2BLVU5tJOVDbGCDM%2BMigrvuVS7Rv" TargetMode="External" Id="rId3036" /><Relationship Type="http://schemas.openxmlformats.org/officeDocument/2006/relationships/hyperlink" Target="https://contrataciondelestado.es/wps/poc?uri=deeplink:detalle_licitacion&amp;idEvl=VqVyj78xsM1%2FR5QFTlaM4A%3D%3D" TargetMode="External" Id="rId3037" /><Relationship Type="http://schemas.openxmlformats.org/officeDocument/2006/relationships/hyperlink" Target="https://contrataciondelestado.es/FileSystem/servlet/GetDocumentByIdServlet?cifrado=QUC1GjXXSiLkydRHJBmbpw%3D%3D&amp;DocumentIdParam=Ar8SLzgy/KC3chRZgVSa/4RN1xbxLN3XExvEqE8HocOoqY4Z%2BKvN1Li8p3rgyMGYmq%2BoVYisH/OniQjoxJaOiayEnacVOUWAx17soXVhDYX6CYyL7SIrUOBFfNf52ZqA" TargetMode="External" Id="rId3038" /><Relationship Type="http://schemas.openxmlformats.org/officeDocument/2006/relationships/hyperlink" Target="https://contrataciondelestado.es/wps/poc?uri=deeplink:detalle_licitacion&amp;idEvl=2GNYSAkeQZB9Zh%2FyRJgM8w%3D%3D" TargetMode="External" Id="rId3039" /><Relationship Type="http://schemas.openxmlformats.org/officeDocument/2006/relationships/hyperlink" Target="https://contrataciondelestado.es/FileSystem/servlet/GetDocumentByIdServlet?cifrado=QUC1GjXXSiLkydRHJBmbpw%3D%3D&amp;DocumentIdParam=fLZI/ysBkwyCZm4jFRLShbi5M97sxSznEcixeV5PxMXI%2ByWC%2B5wuMOUeM29FYJ6xB%2BWgB2Dq%2BeATi6/IQms1A8X1XEhHvF07TAirROnkG22HAj0WEJrB5sP7amrh2jBD" TargetMode="External" Id="rId3040" /><Relationship Type="http://schemas.openxmlformats.org/officeDocument/2006/relationships/hyperlink" Target="https://contrataciondelestado.es/wps/poc?uri=deeplink:detalle_licitacion&amp;idEvl=VWDu3R2pISDL1rX3q%2FMAPA%3D%3D" TargetMode="External" Id="rId3041" /><Relationship Type="http://schemas.openxmlformats.org/officeDocument/2006/relationships/hyperlink" Target="https://contrataciondelestado.es/FileSystem/servlet/GetDocumentByIdServlet?cifrado=QUC1GjXXSiLkydRHJBmbpw%3D%3D&amp;DocumentIdParam=JyePtMJGLATvWdvNG%2BczdzKPigUDfuM%2BkSQ4mebEwMzpNC3UPVeUhnnOZWEE9vV2DRAocVq%2B74DTNYFan3nSxOX3fbX/kAe4z0XyyAtOb/WB0nvVKRzfe4rpHcnlPhSZ" TargetMode="External" Id="rId3042" /><Relationship Type="http://schemas.openxmlformats.org/officeDocument/2006/relationships/hyperlink" Target="https://contrataciondelestado.es/wps/poc?uri=deeplink:detalle_licitacion&amp;idEvl=8y6k8g1iDWsS7pcxhTeWOg%3D%3D" TargetMode="External" Id="rId3043" /><Relationship Type="http://schemas.openxmlformats.org/officeDocument/2006/relationships/hyperlink" Target="https://contrataciondelestado.es/FileSystem/servlet/GetDocumentByIdServlet?cifrado=QUC1GjXXSiLkydRHJBmbpw%3D%3D&amp;DocumentIdParam=rFhJdH3UM9XeWGirJHZe0sROr1ASj10AAHzyRWoNlPtrfVS/c4Joeh58R8oPpmvVHcniWeaK/YDU4rYoTZbw8UhxE278dgw/kPTDXxDcqJx7QB3HKyQaFUExmUVQCerk" TargetMode="External" Id="rId3044" /><Relationship Type="http://schemas.openxmlformats.org/officeDocument/2006/relationships/hyperlink" Target="https://contrataciondelestado.es/wps/poc?uri=deeplink:detalle_licitacion&amp;idEvl=zqaHaHQRArgkJPJS%2BPS9vg%3D%3D" TargetMode="External" Id="rId3045" /><Relationship Type="http://schemas.openxmlformats.org/officeDocument/2006/relationships/hyperlink" Target="https://contrataciondelestado.es/FileSystem/servlet/GetDocumentByIdServlet?cifrado=QUC1GjXXSiLkydRHJBmbpw%3D%3D&amp;DocumentIdParam=/sUi26P2WE4JFNQgktk1T0gj7rJP15guoyrL6Rc87CLcflM%2BZ7QAHk90SoR/EpYJK2L2AudLUWTsjWRpzCgmSX%2BpZ0TUwrCTWOoOXB5aD0rDdQD9RyhUmzT4jZ2In4zL" TargetMode="External" Id="rId3046" /><Relationship Type="http://schemas.openxmlformats.org/officeDocument/2006/relationships/hyperlink" Target="https://contrataciondelestado.es/wps/poc?uri=deeplink:detalle_licitacion&amp;idEvl=qPHnRDlem8dQFSeKCRun4Q%3D%3D" TargetMode="External" Id="rId3047" /><Relationship Type="http://schemas.openxmlformats.org/officeDocument/2006/relationships/hyperlink" Target="https://contrataciondelestado.es/FileSystem/servlet/GetDocumentByIdServlet?cifrado=QUC1GjXXSiLkydRHJBmbpw%3D%3D&amp;DocumentIdParam=izdUCwB9INXVU9hgz1%2Bz7YA0pAmJt7%2B2n4PYV8lheBY8JUhr1oEJjSqi6BxIiuI/RamVtrDJ668K25mZZxynLNB0JW1zr7arga0bZk1c3ZaHAj0WEJrB5sP7amrh2jBD" TargetMode="External" Id="rId3048" /><Relationship Type="http://schemas.openxmlformats.org/officeDocument/2006/relationships/hyperlink" Target="https://contrataciondelestado.es/wps/poc?uri=deeplink:detalle_licitacion&amp;idEvl=RM5yVn4GZnkXhk1FZxEyvw%3D%3D" TargetMode="External" Id="rId3049" /><Relationship Type="http://schemas.openxmlformats.org/officeDocument/2006/relationships/hyperlink" Target="https://contrataciondelestado.es/FileSystem/servlet/GetDocumentByIdServlet?cifrado=QUC1GjXXSiLkydRHJBmbpw%3D%3D&amp;DocumentIdParam=KmKvHYsK2oEKCi764RnkYCr%2BEeYO%2BbjmnVqcLmbTd6HzIPwUruaaW737eipQGoVv5TgCJEx%2BjchkXUGUHNN5fi7FMckhLCKHJK2a2o9Zm9P3GVhXrFFqN7yFncy7YfRK" TargetMode="External" Id="rId3050" /><Relationship Type="http://schemas.openxmlformats.org/officeDocument/2006/relationships/hyperlink" Target="https://contrataciondelestado.es/wps/poc?uri=deeplink:detalle_licitacion&amp;idEvl=UJ%2FFpKtgOdx%2FP7lJ7Fu0SA%3D%3D" TargetMode="External" Id="rId3051" /><Relationship Type="http://schemas.openxmlformats.org/officeDocument/2006/relationships/hyperlink" Target="https://contrataciondelestado.es/FileSystem/servlet/GetDocumentByIdServlet?cifrado=QUC1GjXXSiLkydRHJBmbpw%3D%3D&amp;DocumentIdParam=y57QL7vApiojCwHrbUsnJXOlH99kLdc0E7NxyUmc3g0PM9cwz6M4uJU1lq/jRNVyeHL9yBIHzmJLVoNLYXSowH0fShaAjQlfSEuBE0lauWL3GVhXrFFqN7yFncy7YfRK" TargetMode="External" Id="rId3052" /><Relationship Type="http://schemas.openxmlformats.org/officeDocument/2006/relationships/hyperlink" Target="https://contrataciondelestado.es/wps/poc?uri=deeplink:detalle_licitacion&amp;idEvl=iwU%2BRD%2FDpxfkY6rls5tG9A%3D%3D" TargetMode="External" Id="rId3053" /><Relationship Type="http://schemas.openxmlformats.org/officeDocument/2006/relationships/hyperlink" Target="https://contrataciondelestado.es/FileSystem/servlet/GetDocumentByIdServlet?cifrado=QUC1GjXXSiLkydRHJBmbpw%3D%3D&amp;DocumentIdParam=aDLPOkL8c/pCyvm441Q/6U51ctaFNSHHP5m%2BvnJk%2BrKhAgS0nA5nVgDD7ZTldH5dmcP0AoI4E9Uqk1uCCsn3fhrPlwMPQSXXGccwubbaQoKB0nvVKRzfe4rpHcnlPhSZ" TargetMode="External" Id="rId3054" /><Relationship Type="http://schemas.openxmlformats.org/officeDocument/2006/relationships/hyperlink" Target="https://contrataciondelestado.es/wps/poc?uri=deeplink:detalle_licitacion&amp;idEvl=do8CynyVzOC5HQrHoP3G5A%3D%3D" TargetMode="External" Id="rId3055" /><Relationship Type="http://schemas.openxmlformats.org/officeDocument/2006/relationships/hyperlink" Target="https://contrataciondelestado.es/FileSystem/servlet/GetDocumentByIdServlet?cifrado=QUC1GjXXSiLkydRHJBmbpw%3D%3D&amp;DocumentIdParam=qerKtE3ixTnxcgbgBLKVjln6qMyce2vfh0509IGmrCo7kXwzzoiKaQVOR4VEWr4KGxFyZl47m9F6EqpjWxvz2vgJjZ1aMSrz173HOF6B4RRt/o8fNevwsujgRzaBbugn" TargetMode="External" Id="rId3056" /><Relationship Type="http://schemas.openxmlformats.org/officeDocument/2006/relationships/hyperlink" Target="https://contrataciondelestado.es/wps/poc?uri=deeplink:detalle_licitacion&amp;idEvl=APYZBEYZq5aIzo3LHNPGcQ%3D%3D" TargetMode="External" Id="rId3057" /><Relationship Type="http://schemas.openxmlformats.org/officeDocument/2006/relationships/hyperlink" Target="https://contrataciondelestado.es/FileSystem/servlet/GetDocumentByIdServlet?cifrado=QUC1GjXXSiLkydRHJBmbpw%3D%3D&amp;DocumentIdParam=gyHkBpmyVoS/bUQsQIMiiiR4wbulMB6FwMxrTJ3Y%2BN32S4EoqY/j3VDlHxH93RYA6yme9xv/tMP1pTuCo7mh0HO0Cm8ymBrM0g//fMtZ4xFt/o8fNevwsujgRzaBbugn" TargetMode="External" Id="rId3058" /><Relationship Type="http://schemas.openxmlformats.org/officeDocument/2006/relationships/hyperlink" Target="https://contrataciondelestado.es/wps/poc?uri=deeplink:detalle_licitacion&amp;idEvl=p7nTa3joX%2Fs7u6%2B%2FR7DUoA%3D%3D" TargetMode="External" Id="rId3059" /><Relationship Type="http://schemas.openxmlformats.org/officeDocument/2006/relationships/hyperlink" Target="https://contrataciondelestado.es/FileSystem/servlet/GetDocumentByIdServlet?cifrado=QUC1GjXXSiLkydRHJBmbpw%3D%3D&amp;DocumentIdParam=KbFP37Xm6vxFGILnh8Kwbzy9eVJ46J6rhEFi4CPenzcjICq6sJ6RZ/wsQdRVtgm9gr1iG3phoJxFjy6a0gpeA2d1LCL7Z7DhLC/bsEpdJJy1aXEvq3KHa/AEHgtDrQw0" TargetMode="External" Id="rId3060" /><Relationship Type="http://schemas.openxmlformats.org/officeDocument/2006/relationships/hyperlink" Target="https://contrataciondelestado.es/wps/poc?uri=deeplink:detalle_licitacion&amp;idEvl=UwqB6jkzg0ZWhbmkna2nXQ%3D%3D" TargetMode="External" Id="rId3061" /><Relationship Type="http://schemas.openxmlformats.org/officeDocument/2006/relationships/hyperlink" Target="https://contrataciondelestado.es/FileSystem/servlet/GetDocumentByIdServlet?cifrado=QUC1GjXXSiLkydRHJBmbpw%3D%3D&amp;DocumentIdParam=3YuBpF/CZePrqYBQHCL%2BuzQVZps3LDQGGPaKwZHU11aDu5BcbroK7L4Zlw7hj0GMk1ZZvlpr/Rn47vjWYJN8xRPtmN%2B1k3vjffwOBuiHzKfDdQD9RyhUmzT4jZ2In4zL" TargetMode="External" Id="rId3062" /><Relationship Type="http://schemas.openxmlformats.org/officeDocument/2006/relationships/hyperlink" Target="https://contrataciondelestado.es/wps/poc?uri=deeplink:detalle_licitacion&amp;idEvl=CSpUZFXvbFaGCFcHcNGIlQ%3D%3D" TargetMode="External" Id="rId3063" /><Relationship Type="http://schemas.openxmlformats.org/officeDocument/2006/relationships/hyperlink" Target="https://contrataciondelestado.es/FileSystem/servlet/GetDocumentByIdServlet?cifrado=QUC1GjXXSiLkydRHJBmbpw%3D%3D&amp;DocumentIdParam=49Z7Ll4tyfHDOQwd8K36tlhOKgXKBm%2BRIoOW4e1/P6Y57T%2BJBIbc35uIZ9bIf/uOfKJUzbUe1iKVrEcUJEuaYNnxdHYZpVFVOaDSa2SCREFt/o8fNevwsujgRzaBbugn" TargetMode="External" Id="rId3064" /><Relationship Type="http://schemas.openxmlformats.org/officeDocument/2006/relationships/hyperlink" Target="https://contrataciondelestado.es/wps/poc?uri=deeplink:detalle_licitacion&amp;idEvl=NlMuwSJKTW8S7pcxhTeWOg%3D%3D" TargetMode="External" Id="rId3065" /><Relationship Type="http://schemas.openxmlformats.org/officeDocument/2006/relationships/hyperlink" Target="https://contrataciondelestado.es/FileSystem/servlet/GetDocumentByIdServlet?cifrado=QUC1GjXXSiLkydRHJBmbpw%3D%3D&amp;DocumentIdParam=7VG7dORlonM4qfZR0h2%2BbQeIZHsItrx8EldU6DdBTe0pF2uK%2BOzbIB6xZdTZrQYR%2B2UDM20m0PMTOPAc3wXyORaV%2BunpR1kgX0C%2BC8YuEcw//q7NB2iMZvNyf0xrJmjt" TargetMode="External" Id="rId3066" /><Relationship Type="http://schemas.openxmlformats.org/officeDocument/2006/relationships/hyperlink" Target="https://contrataciondelestado.es/wps/poc?uri=deeplink:detalle_licitacion&amp;idEvl=wzX9ANrnvInyoM4us5k4vw%3D%3D" TargetMode="External" Id="rId3067" /><Relationship Type="http://schemas.openxmlformats.org/officeDocument/2006/relationships/hyperlink" Target="https://contrataciondelestado.es/FileSystem/servlet/GetDocumentByIdServlet?cifrado=QUC1GjXXSiLkydRHJBmbpw%3D%3D&amp;DocumentIdParam=YyhbqFIakT7ao1ccPa2y%2BGqOjslLWhEVcrxUCa4jAq%2BqB5uwSJSZJP6dWPa2idD19zxCE2Bv2ux1ztL5iBnioghbFjDN4/KAej9PUCiUjD9JOVDbGCDM%2BMigrvuVS7Rv" TargetMode="External" Id="rId3068" /><Relationship Type="http://schemas.openxmlformats.org/officeDocument/2006/relationships/hyperlink" Target="https://contrataciondelestado.es/wps/poc?uri=deeplink:detalle_licitacion&amp;idEvl=ZcC3%2Fc3PUi4kJPJS%2BPS9vg%3D%3D" TargetMode="External" Id="rId3069" /><Relationship Type="http://schemas.openxmlformats.org/officeDocument/2006/relationships/hyperlink" Target="https://contrataciondelestado.es/FileSystem/servlet/GetDocumentByIdServlet?cifrado=QUC1GjXXSiLkydRHJBmbpw%3D%3D&amp;DocumentIdParam=X1fKHbPxGkhlBkIkBoPE/q/h83m2k968xcDtkRurcm8c6r5SUVyljgWGJDaiUZ1ChxfylM%2BaG0e4wN5c9CZfVA49HEugp04QDpKm/PWOyomB0nvVKRzfe4rpHcnlPhSZ" TargetMode="External" Id="rId3070" /><Relationship Type="http://schemas.openxmlformats.org/officeDocument/2006/relationships/hyperlink" Target="https://contrataciondelestado.es/wps/poc?uri=deeplink:detalle_licitacion&amp;idEvl=qFcqOS6e2eTI8aL3PRS10Q%3D%3D" TargetMode="External" Id="rId3071" /><Relationship Type="http://schemas.openxmlformats.org/officeDocument/2006/relationships/hyperlink" Target="https://contrataciondelestado.es/FileSystem/servlet/GetDocumentByIdServlet?cifrado=QUC1GjXXSiLkydRHJBmbpw%3D%3D&amp;DocumentIdParam=ndfs8moyg/ot%2B/ZLKJDLwGHWcXACvq/q0SBHNvVsuDYJsmAlEMhUYXQhAaPbGTyVLzjB90IpJJ38Y8gmn1nm7OFUkTn0ORrYUz6fMUkUcbhJOVDbGCDM%2BMigrvuVS7Rv" TargetMode="External" Id="rId3072" /><Relationship Type="http://schemas.openxmlformats.org/officeDocument/2006/relationships/hyperlink" Target="https://contrataciondelestado.es/wps/poc?uri=deeplink:detalle_licitacion&amp;idEvl=AS9uAA6WlN%2BP%2Bo96UAV7cQ%3D%3D" TargetMode="External" Id="rId3073" /><Relationship Type="http://schemas.openxmlformats.org/officeDocument/2006/relationships/hyperlink" Target="https://contrataciondelestado.es/FileSystem/servlet/GetDocumentByIdServlet?cifrado=QUC1GjXXSiLkydRHJBmbpw%3D%3D&amp;DocumentIdParam=IiFahnPSChD4O1W5rFN%2BhtkkzA2j2AunpyJucQ%2BgeOH%2Bb8ovpEdMkfISjFU2maDYNZn1GfsSLuZ5JBmMNLfnfbJFzDWKtpJ4%2BfZ400Gh9h57QB3HKyQaFUExmUVQCerk" TargetMode="External" Id="rId3074" /><Relationship Type="http://schemas.openxmlformats.org/officeDocument/2006/relationships/hyperlink" Target="https://contrataciondelestado.es/wps/poc?uri=deeplink:detalle_licitacion&amp;idEvl=vi%2Bcn5VyBhcIYE3ZiZ%2BxmQ%3D%3D" TargetMode="External" Id="rId3075" /><Relationship Type="http://schemas.openxmlformats.org/officeDocument/2006/relationships/hyperlink" Target="https://contrataciondelestado.es/FileSystem/servlet/GetDocumentByIdServlet?cifrado=QUC1GjXXSiLkydRHJBmbpw%3D%3D&amp;DocumentIdParam=RlrRiRM2QU/mhvI991ntd/eMBGXrid48CA/aX/L/I3cMeICTE5n44D6/6UAVhEBi04%2BpmX%2BuAW6hIEI4YPwGpYvg62hnesy8QmTppuJ3BFa1aXEvq3KHa/AEHgtDrQw0" TargetMode="External" Id="rId3076" /><Relationship Type="http://schemas.openxmlformats.org/officeDocument/2006/relationships/hyperlink" Target="https://contrataciondelestado.es/wps/poc?uri=deeplink:detalle_licitacion&amp;idEvl=Pomv4eiMMsGTylGzYmBF9Q%3D%3D" TargetMode="External" Id="rId3077" /><Relationship Type="http://schemas.openxmlformats.org/officeDocument/2006/relationships/hyperlink" Target="https://contrataciondelestado.es/FileSystem/servlet/GetDocumentByIdServlet?cifrado=QUC1GjXXSiLkydRHJBmbpw%3D%3D&amp;DocumentIdParam=0kHJ5O/c9W9Xz9ppH0OU2Hr1DOcQO6frwmLwt03eaSwQnsCghzUheBMkLxOINAoQAMRqwbjh2%2BXA9siGG%2B1KpF5QRp0XrTgEVNrTHd%2BdjQH3GVhXrFFqN7yFncy7YfRK" TargetMode="External" Id="rId3078" /><Relationship Type="http://schemas.openxmlformats.org/officeDocument/2006/relationships/hyperlink" Target="https://contrataciondelestado.es/wps/poc?uri=deeplink:detalle_licitacion&amp;idEvl=7%2BKzw%2B3JnFTyoM4us5k4vw%3D%3D" TargetMode="External" Id="rId3079" /><Relationship Type="http://schemas.openxmlformats.org/officeDocument/2006/relationships/hyperlink" Target="https://contrataciondelestado.es/FileSystem/servlet/GetDocumentByIdServlet?cifrado=QUC1GjXXSiLkydRHJBmbpw%3D%3D&amp;DocumentIdParam=fF0Mom%2B7UFIYJkMwQrZqJi9nYZgUb0DhNLgURS/G04eWLRu5z%2BVeTLROizQUL4XmzXXUxPAZ8%2Bvz7fnr1AUa%2BvL5togZ3nRtGauBtmpI8zeHAj0WEJrB5sP7amrh2jBD" TargetMode="External" Id="rId3080" /><Relationship Type="http://schemas.openxmlformats.org/officeDocument/2006/relationships/hyperlink" Target="https://contrataciondelestado.es/wps/poc?uri=deeplink:detalle_licitacion&amp;idEvl=WdLo%2BxMV6v1%2BF6L2uCfUWg%3D%3D" TargetMode="External" Id="rId3081" /><Relationship Type="http://schemas.openxmlformats.org/officeDocument/2006/relationships/hyperlink" Target="https://contrataciondelestado.es/FileSystem/servlet/GetDocumentByIdServlet?cifrado=QUC1GjXXSiLkydRHJBmbpw%3D%3D&amp;DocumentIdParam=yJPMxGubVTwrsHuUvfCKRukdWUyGoiodK6aW5asBCD8O0m%2BUCxMWSY4kIhNIZk3SH/Ul7aRlU3llpCIVUi7k4kXmjHIAOtp3o6nzP0NLB2GB0nvVKRzfe4rpHcnlPhSZ" TargetMode="External" Id="rId3082" /><Relationship Type="http://schemas.openxmlformats.org/officeDocument/2006/relationships/hyperlink" Target="https://contrataciondelestado.es/wps/poc?uri=deeplink:detalle_licitacion&amp;idEvl=WGyG9%2B5ZJwPI8aL3PRS10Q%3D%3D" TargetMode="External" Id="rId3083" /><Relationship Type="http://schemas.openxmlformats.org/officeDocument/2006/relationships/hyperlink" Target="https://contrataciondelestado.es/FileSystem/servlet/GetDocumentByIdServlet?cifrado=QUC1GjXXSiLkydRHJBmbpw%3D%3D&amp;DocumentIdParam=yEnyWBl1KCtq70%2BKmuWlX3ydqXrFEE%2B8DmReY/71y9d3gUuIU71SMgNyUpWOOagxS0fU8ogms6P0VYHhpj4FiZiYiMxJzlf0aVteGM%2BFpOL6CYyL7SIrUOBFfNf52ZqA" TargetMode="External" Id="rId3084" /><Relationship Type="http://schemas.openxmlformats.org/officeDocument/2006/relationships/hyperlink" Target="https://contrataciondelestado.es/wps/poc?uri=deeplink:detalle_licitacion&amp;idEvl=9gp7eIxBCEngL1BHd3qjQA%3D%3D" TargetMode="External" Id="rId3085" /><Relationship Type="http://schemas.openxmlformats.org/officeDocument/2006/relationships/hyperlink" Target="https://contrataciondelestado.es/FileSystem/servlet/GetDocumentByIdServlet?cifrado=QUC1GjXXSiLkydRHJBmbpw%3D%3D&amp;DocumentIdParam=g1DPnfSTfpbKBZguYRY6wZ7c%2BdngVq2t0%2BM16E0gBZwiEOZXRMkf13%2B/D6Iz/z6agbT2ynS0E4Oe3IphSxR6uoKgg85xVHqMSPhi%2BmF365w//q7NB2iMZvNyf0xrJmjt" TargetMode="External" Id="rId3086" /><Relationship Type="http://schemas.openxmlformats.org/officeDocument/2006/relationships/hyperlink" Target="https://contrataciondelestado.es/wps/poc?uri=deeplink:detalle_licitacion&amp;idEvl=ru7o8nEpoZu9Hd5zqvq9cg%3D%3D" TargetMode="External" Id="rId3087" /><Relationship Type="http://schemas.openxmlformats.org/officeDocument/2006/relationships/hyperlink" Target="https://contrataciondelestado.es/FileSystem/servlet/GetDocumentByIdServlet?cifrado=QUC1GjXXSiLkydRHJBmbpw%3D%3D&amp;DocumentIdParam=SFfys%2BQR3dKBKd/wrnKw69BFwPVH7UNKWZes0eEB/vLgvMHjiAJXImD6A8CRnWsRiK4b8DDytgWYK3Zr9ytxrPb37DLESJppsCrvszhqdIzVTD3T98KC0nSgQFM0q%2B5s" TargetMode="External" Id="rId3088" /><Relationship Type="http://schemas.openxmlformats.org/officeDocument/2006/relationships/hyperlink" Target="https://contrataciondelestado.es/wps/poc?uri=deeplink:detalle_licitacion&amp;idEvl=PCTW4CuwumzVGIpKDxgsAQ%3D%3D" TargetMode="External" Id="rId3089" /><Relationship Type="http://schemas.openxmlformats.org/officeDocument/2006/relationships/hyperlink" Target="https://contrataciondelestado.es/FileSystem/servlet/GetDocumentByIdServlet?DocumentIdParam=qGaMlU3Zwe5vSkb9Ykz3o3Fjh1ehYM2%2BYzp8wuIBqLNVpKARyldQiAGd9elCwHtUyuxcQ/Pbd3z4/gD/QKHlpR%2BkWxXH5sPLCzX%2BIRW3DQFJOVDbGCDM%2BMigrvuVS7Rv&amp;cifrado=QUC1GjXXSiLkydRHJBmbpw%3D%3D" TargetMode="External" Id="rId3090" /><Relationship Type="http://schemas.openxmlformats.org/officeDocument/2006/relationships/hyperlink" Target="https://contrataciondelestado.es/wps/poc?uri=deeplink:detalle_licitacion&amp;idEvl=L3x%2BayzuUXryoM4us5k4vw%3D%3D" TargetMode="External" Id="rId3091" /><Relationship Type="http://schemas.openxmlformats.org/officeDocument/2006/relationships/hyperlink" Target="https://contrataciondelestado.es/FileSystem/servlet/GetDocumentByIdServlet?cifrado=QUC1GjXXSiLkydRHJBmbpw%3D%3D&amp;DocumentIdParam=N52kIhurvOd94q6qYSiKGv2ifAba03uL9iv5%2BLLkASRdQi2mVhQAkWon6fbPvnNWDBvzDKNJJ2wgiRRUc8DXvhBUuNAvWRxQPM2n7fHNhWL3GVhXrFFqN7yFncy7YfRK" TargetMode="External" Id="rId3092" /><Relationship Type="http://schemas.openxmlformats.org/officeDocument/2006/relationships/hyperlink" Target="https://contrataciondelestado.es/wps/poc?uri=deeplink:detalle_licitacion&amp;idEvl=NVl8R7khYkv9pbnDwlaUlg%3D%3D" TargetMode="External" Id="rId3093" /><Relationship Type="http://schemas.openxmlformats.org/officeDocument/2006/relationships/hyperlink" Target="https://contrataciondelestado.es/FileSystem/servlet/GetDocumentByIdServlet?cifrado=QUC1GjXXSiLkydRHJBmbpw%3D%3D&amp;DocumentIdParam=P68Yp5SDrFn9VumTLWj3AUu3CA0rL83BA1NZJhBEQAMC5dnB5%2B2lvyGOicOlQqA4u5iyh39tEfq35OpRUFJIJJNS6SNbskdfV6H8xDwaQzNJOVDbGCDM%2BMigrvuVS7Rv" TargetMode="External" Id="rId3094" /><Relationship Type="http://schemas.openxmlformats.org/officeDocument/2006/relationships/hyperlink" Target="https://contrataciondelestado.es/wps/poc?uri=deeplink:detalle_licitacion&amp;idEvl=Oo4zbnux9E1%2FR5QFTlaM4A%3D%3D" TargetMode="External" Id="rId3095" /><Relationship Type="http://schemas.openxmlformats.org/officeDocument/2006/relationships/hyperlink" Target="https://contrataciondelestado.es/FileSystem/servlet/GetDocumentByIdServlet?cifrado=QUC1GjXXSiLkydRHJBmbpw%3D%3D&amp;DocumentIdParam=qFjeItloSpVPscFo42basAsOwE%2BV2DrEr2IwYM3cec9StWxu7vHv53PgpiQ9HVoexdJ2i21MKNwUdMIlGhPcC2v1ki2nOY8BQbTbndWsH1CCx2e6p7hqtlp2aFupgHMr" TargetMode="External" Id="rId3096" /><Relationship Type="http://schemas.openxmlformats.org/officeDocument/2006/relationships/hyperlink" Target="https://contrataciondelestado.es/wps/poc?uri=deeplink:detalle_licitacion&amp;idEvl=6jFd19xWe%2Fs7%2B9FIQYNjeQ%3D%3D" TargetMode="External" Id="rId3097" /><Relationship Type="http://schemas.openxmlformats.org/officeDocument/2006/relationships/hyperlink" Target="https://contrataciondelestado.es/FileSystem/servlet/GetDocumentByIdServlet?cifrado=QUC1GjXXSiLkydRHJBmbpw%3D%3D&amp;DocumentIdParam=lIfXzN8n/pUR2xBGlTfJ/ooLrEiTyNuup0oUlr1OP0D5zcWaiH5N2pxTsf%2BY309ULCxu/efUHEskU605fTM%2BgAx9Hds7vU5M%2BYgmhnL2%2B1AZyAJWGsSt0OzTSTyw9JAs" TargetMode="External" Id="rId3098" /><Relationship Type="http://schemas.openxmlformats.org/officeDocument/2006/relationships/hyperlink" Target="https://contrataciondelestado.es/wps/poc?uri=deeplink:detalle_licitacion&amp;idEvl=Qg8t2sdPzsni0Kd8%2Brcp6w%3D%3D" TargetMode="External" Id="rId3099" /><Relationship Type="http://schemas.openxmlformats.org/officeDocument/2006/relationships/hyperlink" Target="https://contrataciondelestado.es/FileSystem/servlet/GetDocumentByIdServlet?cifrado=QUC1GjXXSiLkydRHJBmbpw%3D%3D&amp;DocumentIdParam=7TfK8lTH8PngsEy7Eu%2BJRUF7CPX8yOKJREaNcX6RpbUQQ203/JWYVVGBzrqtTCZ3KVlOkAUxTi%2B99YdM0HShqkEP4MGtUdgqdYvLAKL9IZlt/o8fNevwsujgRzaBbugn" TargetMode="External" Id="rId3100" /><Relationship Type="http://schemas.openxmlformats.org/officeDocument/2006/relationships/hyperlink" Target="https://contrataciondelestado.es/wps/poc?uri=deeplink:detalle_licitacion&amp;idEvl=jD%2F4%2BR6KIbe5HQrHoP3G5A%3D%3D" TargetMode="External" Id="rId3101" /><Relationship Type="http://schemas.openxmlformats.org/officeDocument/2006/relationships/hyperlink" Target="https://contrataciondelestado.es/FileSystem/servlet/GetDocumentByIdServlet?cifrado=QUC1GjXXSiLkydRHJBmbpw%3D%3D&amp;DocumentIdParam=SNR8939QVTPcvVhsm6LJZbKHy60TP3SBT%2BkpIjQ5ZINRU7RK74AttKoFEX2bk9GcheavcUusRdlbUrT9ISrXxCT56C7yEBmM/awGPTFylv2Cx2e6p7hqtlp2aFupgHMr" TargetMode="External" Id="rId3102" /><Relationship Type="http://schemas.openxmlformats.org/officeDocument/2006/relationships/hyperlink" Target="https://contrataciondelestado.es/wps/poc?uri=deeplink:detalle_licitacion&amp;idEvl=bN0LsvUQmIb9pbnDwlaUlg%3D%3D" TargetMode="External" Id="rId3103" /><Relationship Type="http://schemas.openxmlformats.org/officeDocument/2006/relationships/hyperlink" Target="https://contrataciondelestado.es/FileSystem/servlet/GetDocumentByIdServlet?cifrado=QUC1GjXXSiLkydRHJBmbpw%3D%3D&amp;DocumentIdParam=T02sHW8YnFYgjCEBH1mFa5wJQnj5CSTqLzG6xt49CPdfS1qB5hITRqRTxHEfcOMoe1XxT8q%2BX5FhI0KF3b/7zVke8TUtTyunw22/nOmdSdn6CYyL7SIrUOBFfNf52ZqA" TargetMode="External" Id="rId3104" /><Relationship Type="http://schemas.openxmlformats.org/officeDocument/2006/relationships/hyperlink" Target="https://contrataciondelestado.es/wps/poc?uri=deeplink:detalle_licitacion&amp;idEvl=FS0Ns0Pj%2FOr10HRJw8TEnQ%3D%3D" TargetMode="External" Id="rId3105" /><Relationship Type="http://schemas.openxmlformats.org/officeDocument/2006/relationships/hyperlink" Target="https://contrataciondelestado.es/FileSystem/servlet/GetDocumentByIdServlet?cifrado=QUC1GjXXSiLkydRHJBmbpw%3D%3D&amp;DocumentIdParam=oVcG8voC9NRgblZKSrPIC3fwstWwqKxDYoUtznXi4yPXNbZVGXwD2Ch5l76lsPrFalU/1hLn%2B3G8zCfnIj2V670z2vE1VN3dOu9qWbNVQC4ZyAJWGsSt0OzTSTyw9JAs" TargetMode="External" Id="rId3106" /><Relationship Type="http://schemas.openxmlformats.org/officeDocument/2006/relationships/hyperlink" Target="https://contrataciondelestado.es/wps/poc?uri=deeplink:detalle_licitacion&amp;idEvl=DZxNcNg2VSDs%2BnLj3vAg5A%3D%3D" TargetMode="External" Id="rId3107" /><Relationship Type="http://schemas.openxmlformats.org/officeDocument/2006/relationships/hyperlink" Target="https://contrataciondelestado.es/FileSystem/servlet/GetDocumentByIdServlet?cifrado=QUC1GjXXSiLkydRHJBmbpw%3D%3D&amp;DocumentIdParam=vzr0l8Mfb%2BzQNIaRYG8v5aNbRWVl1rSnSnvpjGm9zfSjRAbN81Px4f9pGiHnhqhMZWu1%2BdjfmdV%2BEeXuxEnBsAE/RNzP%2BvQKNNtTw8WVA76HAj0WEJrB5sP7amrh2jBD" TargetMode="External" Id="rId3108" /><Relationship Type="http://schemas.openxmlformats.org/officeDocument/2006/relationships/hyperlink" Target="https://contrataciondelestado.es/wps/poc?uri=deeplink:detalle_licitacion&amp;idEvl=21mj%2F437wAEUqXM96WStVA%3D%3D" TargetMode="External" Id="rId3109" /><Relationship Type="http://schemas.openxmlformats.org/officeDocument/2006/relationships/hyperlink" Target="https://contrataciondelestado.es/FileSystem/servlet/GetDocumentByIdServlet?cifrado=QUC1GjXXSiLkydRHJBmbpw%3D%3D&amp;DocumentIdParam=b3EN11JxF5Tv2KV8mjTIEvVdwSlIlYR7NviVhq4bV6RZHDDAUWfFTMx2sXIgwQil1Is1Ldt1Br%2Bc4ud/T7MWcnKrD5V1awZwmo2cGA4VA7aHAj0WEJrB5sP7amrh2jBD" TargetMode="External" Id="rId3110" /><Relationship Type="http://schemas.openxmlformats.org/officeDocument/2006/relationships/hyperlink" Target="https://contrataciondelestado.es/wps/poc?uri=deeplink:detalle_licitacion&amp;idEvl=uU2CTRJR4AoS7pcxhTeWOg%3D%3D" TargetMode="External" Id="rId3111" /><Relationship Type="http://schemas.openxmlformats.org/officeDocument/2006/relationships/hyperlink" Target="https://contrataciondelestado.es/FileSystem/servlet/GetDocumentByIdServlet?cifrado=QUC1GjXXSiLkydRHJBmbpw%3D%3D&amp;DocumentIdParam=li9ICb7PHXN6mYyu/aWS3JTSDJ0h%2BzTyaK6w7TfsSlXxswsZqo6TDiGRs/LqC9EgO%2BkgfEx/vLQDAE9P/bYpkHfbtpODudxJQx4X6QE0sV4ZyAJWGsSt0OzTSTyw9JAs" TargetMode="External" Id="rId3112" /><Relationship Type="http://schemas.openxmlformats.org/officeDocument/2006/relationships/hyperlink" Target="https://contrataciondelestado.es/wps/poc?uri=deeplink:detalle_licitacion&amp;idEvl=m%2FSsuKfgkTmFlFRHfEzEaw%3D%3D" TargetMode="External" Id="rId3113" /><Relationship Type="http://schemas.openxmlformats.org/officeDocument/2006/relationships/hyperlink" Target="https://contrataciondelestado.es/FileSystem/servlet/GetDocumentByIdServlet?cifrado=QUC1GjXXSiLkydRHJBmbpw%3D%3D&amp;DocumentIdParam=4kaoF8IG2gHMHgVWEUAJxmZCz6GU4bTOCDi8J6F0HpInJ7Psame5G4DWwH31XL/v6Vte6wx263HZ21LLAdH/l%2BzpJPKbYYR/34np6DDiQyR45ClyWkoJ44mKM70IFcOu" TargetMode="External" Id="rId3114" /><Relationship Type="http://schemas.openxmlformats.org/officeDocument/2006/relationships/hyperlink" Target="https://contrataciondelestado.es/wps/poc?uri=deeplink:detalle_licitacion&amp;idEvl=ZwTMQsdTOxfECtSnloz%2BZQ%3D%3D" TargetMode="External" Id="rId3115" /><Relationship Type="http://schemas.openxmlformats.org/officeDocument/2006/relationships/hyperlink" Target="https://contrataciondelestado.es/FileSystem/servlet/GetDocumentByIdServlet?cifrado=QUC1GjXXSiLkydRHJBmbpw%3D%3D&amp;DocumentIdParam=VAUOLtdhppifGIM83Y8aVySKfa5vvT0eP%2Brp8FFkfx4Q5IlGv0733MY8fhxIj0YTDvLAt2LVY%2BzzUBIwal9JAKXzs3HPfxjZlvV1Z/0HJwi1aXEvq3KHa/AEHgtDrQw0" TargetMode="External" Id="rId3116" /><Relationship Type="http://schemas.openxmlformats.org/officeDocument/2006/relationships/hyperlink" Target="https://contrataciondelestado.es/wps/poc?uri=deeplink:detalle_licitacion&amp;idEvl=Q%2Fsgwf4mJk5xseVhcqrkhw%3D%3D" TargetMode="External" Id="rId3117" /><Relationship Type="http://schemas.openxmlformats.org/officeDocument/2006/relationships/hyperlink" Target="https://contrataciondelestado.es/FileSystem/servlet/GetDocumentByIdServlet?cifrado=QUC1GjXXSiLkydRHJBmbpw%3D%3D&amp;DocumentIdParam=BuIpshcIQi14fdtBLm7SWouqN9HdUGHLFucoUU4uBxi1ZtK5woCphPlJBDzj0TcvNB%2BGuIE/ex23fzFEydEbN%2BRAet3dsBl/7PKwh0FBa8d45ClyWkoJ44mKM70IFcOu" TargetMode="External" Id="rId3118" /><Relationship Type="http://schemas.openxmlformats.org/officeDocument/2006/relationships/hyperlink" Target="https://contrataciondelestado.es/wps/poc?uri=deeplink:detalle_licitacion&amp;idEvl=7C7SNJZh16%2Bqb7rCcv76BA%3D%3D" TargetMode="External" Id="rId3119" /><Relationship Type="http://schemas.openxmlformats.org/officeDocument/2006/relationships/hyperlink" Target="https://contrataciondelestado.es/FileSystem/servlet/GetDocumentByIdServlet?cifrado=QUC1GjXXSiLkydRHJBmbpw%3D%3D&amp;DocumentIdParam=jultzgE9mi3Ogi/8i6eHCBG4/VFB8U7u2MG4JL79k5DqXmVDm7wmnJwFcc/OKDpHVLuS31EukMrGEIRX%2BwN23gR7GJmGS5MC/XLampp9yVR45ClyWkoJ44mKM70IFcOu" TargetMode="External" Id="rId3120" /><Relationship Type="http://schemas.openxmlformats.org/officeDocument/2006/relationships/hyperlink" Target="https://contrataciondelestado.es/wps/poc?uri=deeplink:detalle_licitacion&amp;idEvl=7zbD%2B5phX44Xhk1FZxEyvw%3D%3D" TargetMode="External" Id="rId3121" /><Relationship Type="http://schemas.openxmlformats.org/officeDocument/2006/relationships/hyperlink" Target="https://contrataciondelestado.es/FileSystem/servlet/GetDocumentByIdServlet?cifrado=QUC1GjXXSiLkydRHJBmbpw%3D%3D&amp;DocumentIdParam=uwgv0r4N7ti8h3jIHPa7IequJdvFZ%2B3h2Un7qezT67k/iijvVLkayR9HUNzE0nFYosC9AylVirhSSmJn/I98bi1yGjQ6jr5hduN6jHl2/kt7QB3HKyQaFUExmUVQCerk" TargetMode="External" Id="rId3122" /><Relationship Type="http://schemas.openxmlformats.org/officeDocument/2006/relationships/hyperlink" Target="https://contrataciondelestado.es/wps/poc?uri=deeplink:detalle_licitacion&amp;idEvl=6tTpCdA2nNQ2wEhQbcAqug%3D%3D" TargetMode="External" Id="rId3123" /><Relationship Type="http://schemas.openxmlformats.org/officeDocument/2006/relationships/hyperlink" Target="https://contrataciondelestado.es/FileSystem/servlet/GetDocumentByIdServlet?cifrado=QUC1GjXXSiLkydRHJBmbpw%3D%3D&amp;DocumentIdParam=Elzmc%2B7byAqiYxoVO5F5hBiwDVJILL9qfX2msSniPn9jypKiLQMf3/TxMAa/fMOpICCLgP9MQFDBzB6xcDFGqGlnuzvqfDLs2P2gxAFW5O9t/o8fNevwsujgRzaBbugn" TargetMode="External" Id="rId3124" /><Relationship Type="http://schemas.openxmlformats.org/officeDocument/2006/relationships/hyperlink" Target="https://contrataciondelestado.es/wps/poc?uri=deeplink:detalle_licitacion&amp;idEvl=TU55TD3BjYWP%2Bo96UAV7cQ%3D%3D" TargetMode="External" Id="rId3125" /><Relationship Type="http://schemas.openxmlformats.org/officeDocument/2006/relationships/hyperlink" Target="https://contrataciondelestado.es/FileSystem/servlet/GetDocumentByIdServlet?cifrado=QUC1GjXXSiLkydRHJBmbpw%3D%3D&amp;DocumentIdParam=RN6T2DnT2kgo9ozUn1uoh3uC%2B0D/0o6cndO0Y2bmzGg0wnxNRl7vun6SMp8psY8Q%2B55U6zTqajiy0I/VsYINS3c3TcoEeHm97mXIV7V6eMWB0nvVKRzfe4rpHcnlPhSZ" TargetMode="External" Id="rId3126" /><Relationship Type="http://schemas.openxmlformats.org/officeDocument/2006/relationships/hyperlink" Target="https://contrataciondelestado.es/wps/poc?uri=deeplink:detalle_licitacion&amp;idEvl=BRKRn4vEuLP10HRJw8TEnQ%3D%3D" TargetMode="External" Id="rId3127" /><Relationship Type="http://schemas.openxmlformats.org/officeDocument/2006/relationships/hyperlink" Target="https://contrataciondelestado.es/FileSystem/servlet/GetDocumentByIdServlet?cifrado=QUC1GjXXSiLkydRHJBmbpw%3D%3D&amp;DocumentIdParam=AOGtND1pET/D7zoygPXk6qrBxBMYVGawyXXyco0BtyYZJTvONciQQIdMRaG57KnsLnEry1r68ll6q2cPqifumUKblHTFyLsM8cEuCGdpz%2BjfdyQgZAdTm3EfcUAC7CJ6" TargetMode="External" Id="rId3128" /><Relationship Type="http://schemas.openxmlformats.org/officeDocument/2006/relationships/hyperlink" Target="https://contrataciondelestado.es/wps/poc?uri=deeplink:detalle_licitacion&amp;idEvl=Phvmq%2FzIAERJ8Trn0ZPzLw%3D%3D" TargetMode="External" Id="rId3129" /><Relationship Type="http://schemas.openxmlformats.org/officeDocument/2006/relationships/hyperlink" Target="https://contrataciondelestado.es/FileSystem/servlet/GetDocumentByIdServlet?cifrado=QUC1GjXXSiLkydRHJBmbpw%3D%3D&amp;DocumentIdParam=/GSYWiVxu%2BfHJYb0LBhgsRb7mlAi6%2BvX1f43EaCKqQgiyHvDFjKFy6bNZaGAr92wUZ9dyseqa4T3Cw8inX%2BC0HEpqzbNHiEtXvarfZjI/F1JOVDbGCDM%2BMigrvuVS7Rv" TargetMode="External" Id="rId3130" /><Relationship Type="http://schemas.openxmlformats.org/officeDocument/2006/relationships/hyperlink" Target="https://contrataciondelestado.es/wps/poc?uri=deeplink:detalle_licitacion&amp;idEvl=KKADxnzQ6vM4NavIWzMcHA%3D%3D" TargetMode="External" Id="rId3131" /><Relationship Type="http://schemas.openxmlformats.org/officeDocument/2006/relationships/hyperlink" Target="https://contrataciondelestado.es/FileSystem/servlet/GetDocumentByIdServlet?cifrado=QUC1GjXXSiLkydRHJBmbpw%3D%3D&amp;DocumentIdParam=sKliJ966CU5arDcbMeTgkIRFM3rX9McVMUlGZetxnIzlNxL3h7HKfiumlws1m60NUO6FW5FGYDHF6uG7I5TJn9dTwnZ6TlA4LpX1sqxY%2BGB45ClyWkoJ44mKM70IFcOu" TargetMode="External" Id="rId3132" /><Relationship Type="http://schemas.openxmlformats.org/officeDocument/2006/relationships/hyperlink" Target="https://contrataciondelestado.es/wps/poc?uri=deeplink:detalle_licitacion&amp;idEvl=%2B1WmVuSdDwbXOjazN1Dw9Q%3D%3D" TargetMode="External" Id="rId3133" /><Relationship Type="http://schemas.openxmlformats.org/officeDocument/2006/relationships/hyperlink" Target="https://contrataciondelestado.es/FileSystem/servlet/GetDocumentByIdServlet?DocumentIdParam=wRdx42YK7ORiAgHYjBHdd2DLDqXPKr8BXkDFKBSBlUeljKeR%2Bml%2BLMLxSI26HxrIysy5lkyKRBQZcw/%2B0xtBTWb573qB7G2bY9hdurTQqqjVTD3T98KC0nSgQFM0q%2B5s&amp;cifrado=QUC1GjXXSiLkydRHJBmbpw%3D%3D" TargetMode="External" Id="rId3134" /><Relationship Type="http://schemas.openxmlformats.org/officeDocument/2006/relationships/hyperlink" Target="https://contrataciondelestado.es/wps/poc?uri=deeplink:detalle_licitacion&amp;idEvl=L3EcYz8F7s2P66GS%2BONYvQ%3D%3D" TargetMode="External" Id="rId3135" /><Relationship Type="http://schemas.openxmlformats.org/officeDocument/2006/relationships/hyperlink" Target="https://contrataciondelestado.es/FileSystem/servlet/GetDocumentByIdServlet?cifrado=QUC1GjXXSiLkydRHJBmbpw%3D%3D&amp;DocumentIdParam=nu5dLNgK6ahC2MS8/ZKoyadJtO%2BzCBRZuVR%2BhEFabrpljEqtwKP/GJ0HNoRJjXC2RYaxTSiSkUn/9rxOqZ9ODjAtT3aSEE%2BJFdMvjXyUoBbVTD3T98KC0nSgQFM0q%2B5s" TargetMode="External" Id="rId3136" /><Relationship Type="http://schemas.openxmlformats.org/officeDocument/2006/relationships/hyperlink" Target="https://contrataciondelestado.es/wps/poc?uri=deeplink:detalle_licitacion&amp;idEvl=m78EY4%2BjNs4Xhk1FZxEyvw%3D%3D" TargetMode="External" Id="rId3137" /><Relationship Type="http://schemas.openxmlformats.org/officeDocument/2006/relationships/hyperlink" Target="https://contrataciondelestado.es/FileSystem/servlet/GetDocumentByIdServlet?cifrado=QUC1GjXXSiLkydRHJBmbpw%3D%3D&amp;DocumentIdParam=D0YJp5dcx6imuJIyV5h6HgskhB0oKH%2BPVrhjpxvw9odUy2Gbvp8BgaU5t1Tk/m8jQ9MLIbkR3Me/SKAF6bIioJWy0B5VKteaqLw8693r6NOB0nvVKRzfe4rpHcnlPhSZ" TargetMode="External" Id="rId3138" /><Relationship Type="http://schemas.openxmlformats.org/officeDocument/2006/relationships/hyperlink" Target="https://contrataciondelestado.es/wps/poc?uri=deeplink:detalle_licitacion&amp;idEvl=xr2U%2FsP3G1lxseVhcqrkhw%3D%3D" TargetMode="External" Id="rId3139" /><Relationship Type="http://schemas.openxmlformats.org/officeDocument/2006/relationships/hyperlink" Target="https://contrataciondelestado.es/FileSystem/servlet/GetDocumentByIdServlet?cifrado=QUC1GjXXSiLkydRHJBmbpw%3D%3D&amp;DocumentIdParam=fPKWMnkX6hfpOionXPcxY93lI0%2BKWdVFr44uxcyhqzjKLqQDrHEbcq/GIjjPjIfy5AhZGLTAxfqvkJ6Yr4rVfirzCebyTphnmq4UCu6nW4h45ClyWkoJ44mKM70IFcOu" TargetMode="External" Id="rId3140" /><Relationship Type="http://schemas.openxmlformats.org/officeDocument/2006/relationships/hyperlink" Target="https://contrataciondelestado.es/wps/poc?uri=deeplink:detalle_licitacion&amp;idEvl=eu89ZJaXvpCcCF8sV%2BqtYA%3D%3D" TargetMode="External" Id="rId3141" /><Relationship Type="http://schemas.openxmlformats.org/officeDocument/2006/relationships/hyperlink" Target="https://contrataciondelestado.es/FileSystem/servlet/GetDocumentByIdServlet?cifrado=QUC1GjXXSiLkydRHJBmbpw%3D%3D&amp;DocumentIdParam=0vf97H8LJaBGJ%2B6FS4wxFFFQjOa3y4YfPlPrE38KLDmkpzMqmN7U05zVkvYGMY4LHLh0wD99iMzfNyulyapbshgRR5idbqj4wGJxs082bUYC1/zDIE0Kw/PWNnLS0Z0z" TargetMode="External" Id="rId3142" /><Relationship Type="http://schemas.openxmlformats.org/officeDocument/2006/relationships/hyperlink" Target="https://contrataciondelestado.es/wps/poc?uri=deeplink:detalle_licitacion&amp;idEvl=GzJwRfafk2j%2Fa9DgO%2BoYKQ%3D%3D" TargetMode="External" Id="rId3143" /><Relationship Type="http://schemas.openxmlformats.org/officeDocument/2006/relationships/hyperlink" Target="https://contrataciondelestado.es/FileSystem/servlet/GetDocumentByIdServlet?cifrado=QUC1GjXXSiLkydRHJBmbpw%3D%3D&amp;DocumentIdParam=sM9WPUzcaVGZBchrLdiFIiPWd%2Bv8VitviXo5epe89zC8ewTl%2BTHV7ly51yXPjT2FF4hJDqGQhTbLUOnSRY/FzJbFCoFmjyxq0wofbbvzBRPDdQD9RyhUmzT4jZ2In4zL" TargetMode="External" Id="rId3144" /><Relationship Type="http://schemas.openxmlformats.org/officeDocument/2006/relationships/hyperlink" Target="https://contrataciondelestado.es/wps/poc?uri=deeplink:detalle_licitacion&amp;idEvl=i98OAluLp6T5Rey58Yagpg%3D%3D" TargetMode="External" Id="rId3145" /><Relationship Type="http://schemas.openxmlformats.org/officeDocument/2006/relationships/hyperlink" Target="https://contrataciondelestado.es/FileSystem/servlet/GetDocumentByIdServlet?cifrado=QUC1GjXXSiLkydRHJBmbpw%3D%3D&amp;DocumentIdParam=rhSjp%2Bk%2B9OIKofEqySQ9HGJxm0FfybBMV6%2BKXugjz4RrWRCkFXjMTeLbZnF2nE4Eyb7y6CvY9uMWVX0RiNVpvCnGB/crgRtD/oEq1wMBKY6HAj0WEJrB5sP7amrh2jBD" TargetMode="External" Id="rId3146" /><Relationship Type="http://schemas.openxmlformats.org/officeDocument/2006/relationships/hyperlink" Target="https://contrataciondelestado.es/wps/poc?uri=deeplink:detalle_licitacion&amp;idEvl=9n8%2Bd6o1Ey1rSd8H4b2soA%3D%3D" TargetMode="External" Id="rId3147" /><Relationship Type="http://schemas.openxmlformats.org/officeDocument/2006/relationships/hyperlink" Target="https://contrataciondelestado.es/FileSystem/servlet/GetDocumentByIdServlet?cifrado=QUC1GjXXSiLkydRHJBmbpw%3D%3D&amp;DocumentIdParam=TkCbghEBrebB4AUR4%2Bzanv5iXceufraB5TTR%2B4DyVRh0Df4I3T4ReBBp3rmsZyS5aaHwf3X5CnDOGBuq83vxKpWQqx36spg7GA66mT3QSyvfdyQgZAdTm3EfcUAC7CJ6" TargetMode="External" Id="rId3148" /><Relationship Type="http://schemas.openxmlformats.org/officeDocument/2006/relationships/hyperlink" Target="https://contrataciondelestado.es/wps/poc?uri=deeplink:detalle_licitacion&amp;idEvl=g%2F%2BAVZ1u1BoZDGvgaZEVxQ%3D%3D" TargetMode="External" Id="rId3149" /><Relationship Type="http://schemas.openxmlformats.org/officeDocument/2006/relationships/hyperlink" Target="https://contrataciondelestado.es/FileSystem/servlet/GetDocumentByIdServlet?cifrado=QUC1GjXXSiLkydRHJBmbpw%3D%3D&amp;DocumentIdParam=rr/2WyPETZLg1aoU8NXDxTaY4lhoxhw9uH1oVD38JU%2B6O7o5cPVLlVYrTi5MaJbQwA%2BUXhmcd6xQnNC5x/Rf6eIw8aAzHA%2BGbjW1p7QXsyDVTD3T98KC0nSgQFM0q%2B5s" TargetMode="External" Id="rId3150" /><Relationship Type="http://schemas.openxmlformats.org/officeDocument/2006/relationships/hyperlink" Target="https://contrataciondelestado.es/wps/poc?uri=deeplink:detalle_licitacion&amp;idEvl=YKbwx2ZefzAtm4eBPtV6eQ%3D%3D" TargetMode="External" Id="rId3151" /><Relationship Type="http://schemas.openxmlformats.org/officeDocument/2006/relationships/hyperlink" Target="https://contrataciondelestado.es/FileSystem/servlet/GetDocumentByIdServlet?cifrado=QUC1GjXXSiLkydRHJBmbpw%3D%3D&amp;DocumentIdParam=1L7CEdFicdRJKOjEWL0ItaiEuo2D73SNsZG2XGJX5p%2BXmlpj5/S51QxDCv1twMaEz0p%2ByjhD5zVT6bD/yK2h9/jNwJh%2BkFbW5%2BsNb%2B9NBEd45ClyWkoJ44mKM70IFcOu" TargetMode="External" Id="rId3152" /><Relationship Type="http://schemas.openxmlformats.org/officeDocument/2006/relationships/hyperlink" Target="https://contrataciondelestado.es/wps/poc?uri=deeplink:detalle_licitacion&amp;idEvl=QflapgVH0CfLIx6q1oPaMg%3D%3D" TargetMode="External" Id="rId3153" /><Relationship Type="http://schemas.openxmlformats.org/officeDocument/2006/relationships/hyperlink" Target="https://contrataciondelestado.es/FileSystem/servlet/GetDocumentByIdServlet?cifrado=QUC1GjXXSiLkydRHJBmbpw%3D%3D&amp;DocumentIdParam=bxP0MXBXt/NK/yaF9VmUt4tTOaAiSPFEJWJF8%2B3RjVpOsRB9O2ZP1y%2BOkVZuhPR/8pPZBAXs4ed1CFun/eC1VMhfFOtZ0I7BffJeWKMoczQC1/zDIE0Kw/PWNnLS0Z0z" TargetMode="External" Id="rId3154" /><Relationship Type="http://schemas.openxmlformats.org/officeDocument/2006/relationships/hyperlink" Target="https://contrataciondelestado.es/wps/poc?uri=deeplink:detalle_licitacion&amp;idEvl=SoLiAlFEic%2BGCFcHcNGIlQ%3D%3D" TargetMode="External" Id="rId3155" /><Relationship Type="http://schemas.openxmlformats.org/officeDocument/2006/relationships/hyperlink" Target="https://contrataciondelestado.es/FileSystem/servlet/GetDocumentByIdServlet?cifrado=QUC1GjXXSiLkydRHJBmbpw%3D%3D&amp;DocumentIdParam=60ANMEYqV1NPyzYPCfOzkXtD23Xca%2BuBDr3o3XTfVTwCkW5trnzCw34aRAMT4i/Qx3lI4UiPJAhiSa48KP8hK9%2BeJ6gTCcvaYXpt8mXaa0Y//q7NB2iMZvNyf0xrJmjt" TargetMode="External" Id="rId3156" /><Relationship Type="http://schemas.openxmlformats.org/officeDocument/2006/relationships/hyperlink" Target="https://contrataciondelestado.es/wps/poc?uri=deeplink:detalle_licitacion&amp;idEvl=xYAHiBdmiNTI8aL3PRS10Q%3D%3D" TargetMode="External" Id="rId3157" /><Relationship Type="http://schemas.openxmlformats.org/officeDocument/2006/relationships/hyperlink" Target="https://contrataciondelestado.es/wps/poc?uri=deeplink:detalle_licitacion&amp;idEvl=%2BzVRaR3GeHMQyBAnWzHfCg%3D%3D" TargetMode="External" Id="rId3158" /><Relationship Type="http://schemas.openxmlformats.org/officeDocument/2006/relationships/hyperlink" Target="https://contrataciondelestado.es/FileSystem/servlet/GetDocumentByIdServlet?cifrado=QUC1GjXXSiLkydRHJBmbpw%3D%3D&amp;DocumentIdParam=tlnNkDaZxcx2eBLwj8MwhksrEq5kPAg4pu5cQSAa5Er6c%2BpV7GNhz6JDJL3uKdMcfkp8ZicVp/OeqdsBoZJ/n0dOujrGo%2BHJEjVD/6ny/UQ//q7NB2iMZvNyf0xrJmjt" TargetMode="External" Id="rId3159" /><Relationship Type="http://schemas.openxmlformats.org/officeDocument/2006/relationships/hyperlink" Target="https://contrataciondelestado.es/wps/poc?uri=deeplink:detalle_licitacion&amp;idEvl=XxwiKmlbLa2sNfRW6APEDw%3D%3D" TargetMode="External" Id="rId3160" /><Relationship Type="http://schemas.openxmlformats.org/officeDocument/2006/relationships/hyperlink" Target="https://contrataciondelestado.es/FileSystem/servlet/GetDocumentByIdServlet?cifrado=QUC1GjXXSiLkydRHJBmbpw%3D%3D&amp;DocumentIdParam=QOzq4IQ8Cbzm6lfOFthGycenTjHAnHIkdc%2BLIQwoLFqpKrd8H9karsWK1WWwHjnHwlsnjjnd47iYvJlnF4KULHb5eN9Jht6WoFpldUAx3/Ft/o8fNevwsujgRzaBbugn" TargetMode="External" Id="rId3161" /><Relationship Type="http://schemas.openxmlformats.org/officeDocument/2006/relationships/hyperlink" Target="https://contrataciondelestado.es/wps/poc?uri=deeplink:detalle_licitacion&amp;idEvl=3ZhCGco12xDECtSnloz%2BZQ%3D%3D" TargetMode="External" Id="rId3162" /><Relationship Type="http://schemas.openxmlformats.org/officeDocument/2006/relationships/hyperlink" Target="https://contrataciondelestado.es/FileSystem/servlet/GetDocumentByIdServlet?cifrado=QUC1GjXXSiLkydRHJBmbpw%3D%3D&amp;DocumentIdParam=5%2BT805YeJhhUTwhGgqzhJUKl5tEuf1l7wZr1R0t5qXCtOaXkoh4JW5CIr%2BqHgDcZYpPJ2ZqUp6VLl1q9HulklNhLHmILOKF7OkQ51KdMvXPfdyQgZAdTm3EfcUAC7CJ6" TargetMode="External" Id="rId3163" /><Relationship Type="http://schemas.openxmlformats.org/officeDocument/2006/relationships/hyperlink" Target="https://contrataciondelestado.es/wps/poc?uri=deeplink:detalle_licitacion&amp;idEvl=0qHR7BPBQ0E%2Bk2oCbDosIw%3D%3D" TargetMode="External" Id="rId3164" /><Relationship Type="http://schemas.openxmlformats.org/officeDocument/2006/relationships/hyperlink" Target="https://contrataciondelestado.es/FileSystem/servlet/GetDocumentByIdServlet?cifrado=QUC1GjXXSiLkydRHJBmbpw%3D%3D&amp;DocumentIdParam=IUZx6ACC6fhtqKgbpDFHc9ccUGtLc0mQ50x/eWQN4w4YEoOeJF0HXCyffEaWLL/FXZawCUOZ1b9sCpO6ztId6m0DJxSks5XoACrO1mbxiXEC1/zDIE0Kw/PWNnLS0Z0z" TargetMode="External" Id="rId3165" /><Relationship Type="http://schemas.openxmlformats.org/officeDocument/2006/relationships/hyperlink" Target="https://contrataciondelestado.es/wps/poc?uri=deeplink:detalle_licitacion&amp;idEvl=V48NRVoNTRaiEJrVRqloyA%3D%3D" TargetMode="External" Id="rId3166" /><Relationship Type="http://schemas.openxmlformats.org/officeDocument/2006/relationships/hyperlink" Target="https://contrataciondelestado.es/wps/wcm/connect/PLACE_es/Site/area/docAccCmpnt?srv=cmpnt&amp;cmpntname=GetDocumentsById&amp;source=library&amp;DocumentIdParam=bcc70fe9-d5e4-4cb0-b2a1-30a99c33d1a6" TargetMode="External" Id="rId3167" /><Relationship Type="http://schemas.openxmlformats.org/officeDocument/2006/relationships/hyperlink" Target="https://contrataciondelestado.es/wps/poc?uri=deeplink:detalle_licitacion&amp;idEvl=p9cEWzMg3s7ua%2Fi14w%2FPLA%3D%3D" TargetMode="External" Id="rId3168" /><Relationship Type="http://schemas.openxmlformats.org/officeDocument/2006/relationships/hyperlink" Target="https://contrataciondelestado.es/FileSystem/servlet/GetDocumentByIdServlet?cifrado=QUC1GjXXSiLkydRHJBmbpw%3D%3D&amp;DocumentIdParam=47dHKqAqtfJ1wQ0TG75owY34ZJKyx9UZoMOxbdSgaWy6yQAbsYBeYG6y/Fi52GAapgNg8iVC3ficvCsu0bkTEqnGDJB3MSnJrgtZ2uNMN8z3GVhXrFFqN7yFncy7YfRK" TargetMode="External" Id="rId3169" /><Relationship Type="http://schemas.openxmlformats.org/officeDocument/2006/relationships/hyperlink" Target="https://contrataciondelestado.es/wps/poc?uri=deeplink:detalle_licitacion&amp;idEvl=k8dgnneIJDFPpzdqOdhuWg%3D%3D" TargetMode="External" Id="rId3170" /><Relationship Type="http://schemas.openxmlformats.org/officeDocument/2006/relationships/hyperlink" Target="https://contrataciondelestado.es/FileSystem/servlet/GetDocumentByIdServlet?cifrado=QUC1GjXXSiLkydRHJBmbpw%3D%3D&amp;DocumentIdParam=EXMs4%2BvRa2/hN31du%2B6eStB0mlVuk0mLu0WQyr%2Ba1ESM/7BmP9v/XNYHB1%2BmeRS3U/4MZlzYDdpQxRGtk0LM1wnD2WFu%2Bsf9/Z9TlyVYqMKB0nvVKRzfe4rpHcnlPhSZ" TargetMode="External" Id="rId3171" /><Relationship Type="http://schemas.openxmlformats.org/officeDocument/2006/relationships/hyperlink" Target="https://contrataciondelestado.es/wps/poc?uri=deeplink:detalle_licitacion&amp;idEvl=YUhObzOCEElVq4S9zvaQpQ%3D%3D" TargetMode="External" Id="rId3172" /><Relationship Type="http://schemas.openxmlformats.org/officeDocument/2006/relationships/hyperlink" Target="https://contrataciondelestado.es/FileSystem/servlet/GetDocumentByIdServlet?cifrado=QUC1GjXXSiLkydRHJBmbpw%3D%3D&amp;DocumentIdParam=TweDv8RMQCj8Uht5GvKUgkCNLvEa51qHei8hPI2mdGTty7NcDH4Ihhp1bR7Oeyj8tVrNwXsLk/9qKVlltI7cMyxuCDQQX5oNJrPzj5wB2szVTD3T98KC0nSgQFM0q%2B5s" TargetMode="External" Id="rId3173" /><Relationship Type="http://schemas.openxmlformats.org/officeDocument/2006/relationships/hyperlink" Target="https://contrataciondelestado.es/wps/poc?uri=deeplink:detalle_licitacion&amp;idEvl=SfSUDUGETGmS81gZFETWmA%3D%3D" TargetMode="External" Id="rId3174" /><Relationship Type="http://schemas.openxmlformats.org/officeDocument/2006/relationships/hyperlink" Target="https://contrataciondelestado.es/FileSystem/servlet/GetDocumentByIdServlet?cifrado=QUC1GjXXSiLkydRHJBmbpw%3D%3D&amp;DocumentIdParam=9agcZFFqcySablM4C8RZZJ3u4NRjtYyX0j5xeVwwTHx4gVhx7onjKmiGbyPPsTf3%2BNzynrzGzEI%2B7k8ie8kqDYb%2BfXmCHnC1QISPUwJlmrzVTD3T98KC0nSgQFM0q%2B5s" TargetMode="External" Id="rId3175" /><Relationship Type="http://schemas.openxmlformats.org/officeDocument/2006/relationships/hyperlink" Target="https://contrataciondelestado.es/wps/poc?uri=deeplink:detalle_licitacion&amp;idEvl=PiL4et0l7SM36J9Lctlsuw%3D%3D" TargetMode="External" Id="rId3176" /><Relationship Type="http://schemas.openxmlformats.org/officeDocument/2006/relationships/hyperlink" Target="https://contrataciondelestado.es/FileSystem/servlet/GetDocumentByIdServlet?cifrado=QUC1GjXXSiLkydRHJBmbpw%3D%3D&amp;DocumentIdParam=rAE5Fru2zjoFHjc/wB6AKAyEpO3XD9Y52m2ztCM9T/DkGoJM2S/D8W6Fra05def3p327RwRH5Dco5Y0GU4CIVLzgHXSHjiAnaqTnHVQTKd5t/o8fNevwsujgRzaBbugn" TargetMode="External" Id="rId3177" /><Relationship Type="http://schemas.openxmlformats.org/officeDocument/2006/relationships/hyperlink" Target="https://contrataciondelestado.es/wps/poc?uri=deeplink:detalle_licitacion&amp;idEvl=%2FgUzLbHDqXwQyBAnWzHfCg%3D%3D" TargetMode="External" Id="rId3178" /><Relationship Type="http://schemas.openxmlformats.org/officeDocument/2006/relationships/hyperlink" Target="https://contrataciondelestado.es/FileSystem/servlet/GetDocumentByIdServlet?cifrado=QUC1GjXXSiLkydRHJBmbpw%3D%3D&amp;DocumentIdParam=QJeToh9HfzlR5H6rkwjYPAbPFdDeCq74OhVjYAOAzwFgztvZjUn1DXe1H%2BbafGuzXXI6hShfmETgPfTNSIYkXFI7vawi39lE%2BlcLs/96hxw//q7NB2iMZvNyf0xrJmjt" TargetMode="External" Id="rId3179" /><Relationship Type="http://schemas.openxmlformats.org/officeDocument/2006/relationships/hyperlink" Target="https://contrataciondelestado.es/wps/poc?uri=deeplink:detalle_licitacion&amp;idEvl=K8XImBnkUHrgL1BHd3qjQA%3D%3D" TargetMode="External" Id="rId3180" /><Relationship Type="http://schemas.openxmlformats.org/officeDocument/2006/relationships/hyperlink" Target="https://contrataciondelestado.es/FileSystem/servlet/GetDocumentByIdServlet?cifrado=QUC1GjXXSiLkydRHJBmbpw%3D%3D&amp;DocumentIdParam=6oyHwfNedpezjiiejThZNIoeN0CuWALJBrW8vZi6M%2Bq2mk0MqiPp%2B8XEBzPhrMrRWlNpWW6lYyABHlyQXExvDmLbdG9lyGXBaaj5XmrSXI545ClyWkoJ44mKM70IFcOu" TargetMode="External" Id="rId3181" /><Relationship Type="http://schemas.openxmlformats.org/officeDocument/2006/relationships/hyperlink" Target="https://contrataciondelestado.es/wps/poc?uri=deeplink:detalle_licitacion&amp;idEvl=ps%2Fl84pVANqcCF8sV%2BqtYA%3D%3D" TargetMode="External" Id="rId3182" /><Relationship Type="http://schemas.openxmlformats.org/officeDocument/2006/relationships/hyperlink" Target="https://contrataciondelestado.es/FileSystem/servlet/GetDocumentByIdServlet?cifrado=QUC1GjXXSiLkydRHJBmbpw%3D%3D&amp;DocumentIdParam=%2ByRnY6I4M82gp5Nd8KbUAfp%2BC%2BYTpVMwJRARyL7Be7vMOcYXL7mKp7ivMIsTbfiSodvOt6GzFSo/H1EzmQKfYtUKdbr9iKlTqINtVudWzvR45ClyWkoJ44mKM70IFcOu" TargetMode="External" Id="rId3183" /><Relationship Type="http://schemas.openxmlformats.org/officeDocument/2006/relationships/hyperlink" Target="https://contrataciondelestado.es/wps/poc?uri=deeplink:detalle_licitacion&amp;idEvl=kq3MAnG9pb8eC9GJQOEBkQ%3D%3D" TargetMode="External" Id="rId3184" /><Relationship Type="http://schemas.openxmlformats.org/officeDocument/2006/relationships/hyperlink" Target="https://contrataciondelestado.es/FileSystem/servlet/GetDocumentByIdServlet?cifrado=QUC1GjXXSiLkydRHJBmbpw%3D%3D&amp;DocumentIdParam=QIhYoucOlhWf7GBKieFOuabGP6iSrIYN0mlc5SlkpFf56aMBViRo6ZwxV62KoNvdr8VXb3B/3s4GSbVaDG8Atxf71FHoo8c87Pz4twFsTwB45ClyWkoJ44mKM70IFcOu" TargetMode="External" Id="rId3185" /><Relationship Type="http://schemas.openxmlformats.org/officeDocument/2006/relationships/hyperlink" Target="https://contrataciondelestado.es/wps/poc?uri=deeplink:detalle_licitacion&amp;idEvl=UWTEU69ooRb10HRJw8TEnQ%3D%3D" TargetMode="External" Id="rId3186" /><Relationship Type="http://schemas.openxmlformats.org/officeDocument/2006/relationships/hyperlink" Target="https://contrataciondelestado.es/FileSystem/servlet/GetDocumentByIdServlet?cifrado=QUC1GjXXSiLkydRHJBmbpw%3D%3D&amp;DocumentIdParam=wqa/Exao78XC5J325RKvzf3/RBpeos31cbXW2ULITEEEoZflhRuOMevhVIrJ6uRGfh%2B7i%2B4kdGYRGZxndRCzn9aglQHauw49HXf3xWDfNpzDdQD9RyhUmzT4jZ2In4zL" TargetMode="External" Id="rId3187" /><Relationship Type="http://schemas.openxmlformats.org/officeDocument/2006/relationships/hyperlink" Target="https://contrataciondelestado.es/wps/poc?uri=deeplink:detalle_licitacion&amp;idEvl=i85xaeWOa6TN3k3tjedSGw%3D%3D" TargetMode="External" Id="rId3188" /><Relationship Type="http://schemas.openxmlformats.org/officeDocument/2006/relationships/hyperlink" Target="https://contrataciondelestado.es/FileSystem/servlet/GetDocumentByIdServlet?cifrado=QUC1GjXXSiLkydRHJBmbpw%3D%3D&amp;DocumentIdParam=QQAKMOhj/Lx3wmA6iFKNlFoW9swgQ4MqcVLg57b4Fi5YRkTeldValBQ/jzAj/t4LYCTfj%2BxjdHCji1ZZWwoILOdMqyWDpXsD6%2BhiLKXfkOO1aXEvq3KHa/AEHgtDrQw0" TargetMode="External" Id="rId3189" /><Relationship Type="http://schemas.openxmlformats.org/officeDocument/2006/relationships/hyperlink" Target="https://contrataciondelestado.es/wps/poc?uri=deeplink:detalle_licitacion&amp;idEvl=W4y2YsmYF1j5Rey58Yagpg%3D%3D" TargetMode="External" Id="rId3190" /><Relationship Type="http://schemas.openxmlformats.org/officeDocument/2006/relationships/hyperlink" Target="https://contrataciondelestado.es/FileSystem/servlet/GetDocumentByIdServlet?cifrado=QUC1GjXXSiLkydRHJBmbpw%3D%3D&amp;DocumentIdParam=UXG2L/597Fg8OlmAoKefQnJ3VIwN658wwjbSbHr6ZYcoMZgpHyfwGiSPnD7%2B657eAnVTtYZD8r16TTxrTOjl0nIuo1JWnD1eQw1EJ/067/JJOVDbGCDM%2BMigrvuVS7Rv" TargetMode="External" Id="rId3191" /><Relationship Type="http://schemas.openxmlformats.org/officeDocument/2006/relationships/hyperlink" Target="https://contrataciondelestado.es/wps/poc?uri=deeplink:detalle_licitacion&amp;idEvl=Z2RWE3Asco%2Fua%2Fi14w%2FPLA%3D%3D" TargetMode="External" Id="rId3192" /><Relationship Type="http://schemas.openxmlformats.org/officeDocument/2006/relationships/hyperlink" Target="https://contrataciondelestado.es/FileSystem/servlet/GetDocumentByIdServlet?cifrado=QUC1GjXXSiLkydRHJBmbpw%3D%3D&amp;DocumentIdParam=Y4wDTvx3Q1nxv/ovDiHNgDf8FobXLzq%2B4MRBPQnn6KDdHPiYNpowZFUv68IoksbC7ahnkhmT98c3fHHoMxRAdt6LCsNcHLxbr7qN7s7ha/qB0nvVKRzfe4rpHcnlPhSZ" TargetMode="External" Id="rId3193" /><Relationship Type="http://schemas.openxmlformats.org/officeDocument/2006/relationships/hyperlink" Target="https://contrataciondelestado.es/wps/poc?uri=deeplink:detalle_licitacion&amp;idEvl=InwZ7FGhmLB4zIRvjBVCSw%3D%3D" TargetMode="External" Id="rId3194" /><Relationship Type="http://schemas.openxmlformats.org/officeDocument/2006/relationships/hyperlink" Target="https://contrataciondelestado.es/FileSystem/servlet/GetDocumentByIdServlet?cifrado=QUC1GjXXSiLkydRHJBmbpw%3D%3D&amp;DocumentIdParam=IHZRSVptYXhWXt6KupKJQoOGVuFU2AwuZc389ZB6lkSuwgaZ%2BitdP11JQlRN9TjUG0hOzx3l9z9NGC0kjH8/ElD6xPRkx3SidOWaWmZLMrVt/o8fNevwsujgRzaBbugn" TargetMode="External" Id="rId3195" /><Relationship Type="http://schemas.openxmlformats.org/officeDocument/2006/relationships/hyperlink" Target="https://contrataciondelestado.es/wps/poc?uri=deeplink:detalle_licitacion&amp;idEvl=CIR2wRc6A7e2gkLQ8TeYKA%3D%3D" TargetMode="External" Id="rId3196" /><Relationship Type="http://schemas.openxmlformats.org/officeDocument/2006/relationships/hyperlink" Target="https://contrataciondelestado.es/FileSystem/servlet/GetDocumentByIdServlet?cifrado=QUC1GjXXSiLkydRHJBmbpw%3D%3D&amp;DocumentIdParam=8qtXq51/hzG3Yf30VFhichpvZEADaEDFlpT7cHzyFty1tdcRl88Ao9ldtwlZFVCpBi/vcE72MNyY5wWD8VxoYHAsMhBVVlKbNt68VPmCFrIC1/zDIE0Kw/PWNnLS0Z0z" TargetMode="External" Id="rId3197" /><Relationship Type="http://schemas.openxmlformats.org/officeDocument/2006/relationships/hyperlink" Target="https://contrataciondelestado.es/wps/poc?uri=deeplink:detalle_licitacion&amp;idEvl=yuBOYXAA35BVkTabT%2FRM8A%3D%3D" TargetMode="External" Id="rId3198" /><Relationship Type="http://schemas.openxmlformats.org/officeDocument/2006/relationships/hyperlink" Target="https://contrataciondelestado.es/FileSystem/servlet/GetDocumentByIdServlet?cifrado=QUC1GjXXSiLkydRHJBmbpw%3D%3D&amp;DocumentIdParam=61bQDv1xhJsnMZApKUX%2BMWr3oGoEfWJ0XwpUiGdjLHBI9rK4hHbAvYAF1U/y69gS4v3yXSGgdmZVjYJOOzQE%2BiPbkTWrgMWW167TJIbBf2I//q7NB2iMZvNyf0xrJmjt" TargetMode="External" Id="rId3199" /><Relationship Type="http://schemas.openxmlformats.org/officeDocument/2006/relationships/hyperlink" Target="https://contrataciondelestado.es/wps/poc?uri=deeplink:detalle_licitacion&amp;idEvl=LM85I7Bgsq6HCIsjvJ3rhQ%3D%3D" TargetMode="External" Id="rId3200" /><Relationship Type="http://schemas.openxmlformats.org/officeDocument/2006/relationships/hyperlink" Target="https://contrataciondelestado.es/FileSystem/servlet/GetDocumentByIdServlet?cifrado=QUC1GjXXSiLkydRHJBmbpw%3D%3D&amp;DocumentIdParam=cu0ZjbwUau8x/ecLmW4YGc46Uu0aSXnWQbDiY/xSaHYbmlM4bpt7ku5nfNrHaxjxhYGeFBgr4HEPH507T7BOaX%2BBlaUmULvwBx2owzqPEQ945ClyWkoJ44mKM70IFcOu" TargetMode="External" Id="rId3201" /><Relationship Type="http://schemas.openxmlformats.org/officeDocument/2006/relationships/hyperlink" Target="https://contrataciondelestado.es/wps/poc?uri=deeplink:detalle_licitacion&amp;idEvl=kkBSRq3ElDMeIBJRHQiPkQ%3D%3D" TargetMode="External" Id="rId3202" /><Relationship Type="http://schemas.openxmlformats.org/officeDocument/2006/relationships/hyperlink" Target="https://contrataciondelestado.es/FileSystem/servlet/GetDocumentByIdServlet?cifrado=QUC1GjXXSiLkydRHJBmbpw%3D%3D&amp;DocumentIdParam=76lSvH92PGLBZ3eDOaCN3txib9Bc1fMopfq%2BGALHyrYsH2u9QSxDFVG/63hGtUPhsU4xlOVeBXEi9c%2B0XdGkXnfsS%2B4hUo3MLDirmRo3rT7DdQD9RyhUmzT4jZ2In4zL" TargetMode="External" Id="rId3203" /><Relationship Type="http://schemas.openxmlformats.org/officeDocument/2006/relationships/hyperlink" Target="https://contrataciondelestado.es/wps/poc?uri=deeplink:detalle_licitacion&amp;idEvl=STgpvctlDLesNfRW6APEDw%3D%3D" TargetMode="External" Id="rId3204" /><Relationship Type="http://schemas.openxmlformats.org/officeDocument/2006/relationships/hyperlink" Target="https://contrataciondelestado.es/FileSystem/servlet/GetDocumentByIdServlet?cifrado=QUC1GjXXSiLkydRHJBmbpw%3D%3D&amp;DocumentIdParam=utdJKrcIIi8TnaqXvWAbH4g2tM17jxrjRRBX%2BSJ8HbZkeMkyoxbEysuV5xjo6/RJ7aJ7GeIBiYT/JpS9T7CjXGNKN4s0WDX4SAcVGaw5uX/3GVhXrFFqN7yFncy7YfRK" TargetMode="External" Id="rId3205" /><Relationship Type="http://schemas.openxmlformats.org/officeDocument/2006/relationships/hyperlink" Target="https://contrataciondelestado.es/wps/poc?uri=deeplink:detalle_licitacion&amp;idEvl=8KkOvVZVLVWzz8fXU2i3eQ%3D%3D" TargetMode="External" Id="rId3206" /><Relationship Type="http://schemas.openxmlformats.org/officeDocument/2006/relationships/hyperlink" Target="https://contrataciondelestado.es/FileSystem/servlet/GetDocumentByIdServlet?cifrado=QUC1GjXXSiLkydRHJBmbpw%3D%3D&amp;DocumentIdParam=788eBK2CtvseMHtdP1CXqSlLapMKuvk/6BaEuKwl4uD/iFIMNaAa57rOtbwUP5a5SFlkcXJ27rHVkA7iisxnxfxnot9Yh/BmJq75vS0Xq83DdQD9RyhUmzT4jZ2In4zL" TargetMode="External" Id="rId3207" /><Relationship Type="http://schemas.openxmlformats.org/officeDocument/2006/relationships/hyperlink" Target="https://contrataciondelestado.es/wps/poc?uri=deeplink:detalle_licitacion&amp;idEvl=UxTI%2Bb0zmyukU02jNGj1Fw%3D%3D" TargetMode="External" Id="rId3208" /><Relationship Type="http://schemas.openxmlformats.org/officeDocument/2006/relationships/hyperlink" Target="https://contrataciondelestado.es/FileSystem/servlet/GetDocumentByIdServlet?cifrado=QUC1GjXXSiLkydRHJBmbpw%3D%3D&amp;DocumentIdParam=sSaR55uBwqIyuCeoX8KNVa9K1ECBCG0EF2bA7jGs5uqNM4AFuHey5Hz5Yykj9A5if4gqJuxL3qlutkSLQuL22mVU9xDlHZs1nwpQsO1U/cxJOVDbGCDM%2BMigrvuVS7Rv" TargetMode="External" Id="rId3209" /><Relationship Type="http://schemas.openxmlformats.org/officeDocument/2006/relationships/hyperlink" Target="https://contrataciondelestado.es/wps/poc?uri=deeplink:detalle_licitacion&amp;idEvl=%2BR%2FTlY3aytYQyBAnWzHfCg%3D%3D" TargetMode="External" Id="rId3210" /><Relationship Type="http://schemas.openxmlformats.org/officeDocument/2006/relationships/hyperlink" Target="https://contrataciondelestado.es/FileSystem/servlet/GetDocumentByIdServlet?cifrado=QUC1GjXXSiLkydRHJBmbpw%3D%3D&amp;DocumentIdParam=7UjTW73E7rFQjNYYJp%2BDbI%2BIzta5DWeQE8%2B8F%2BCo3x1EcrwM5VnFiLztNBL562M4o3WlEaPTUawTxbkQTHusShRS42KhiQCsNYa6Te0KLAgC1/zDIE0Kw/PWNnLS0Z0z" TargetMode="External" Id="rId3211" /><Relationship Type="http://schemas.openxmlformats.org/officeDocument/2006/relationships/hyperlink" Target="https://contrataciondelestado.es/wps/poc?uri=deeplink:detalle_licitacion&amp;idEvl=pHCtf5fdUcKcCF8sV%2BqtYA%3D%3D" TargetMode="External" Id="rId3212" /><Relationship Type="http://schemas.openxmlformats.org/officeDocument/2006/relationships/hyperlink" Target="https://contrataciondelestado.es/FileSystem/servlet/GetDocumentByIdServlet?cifrado=QUC1GjXXSiLkydRHJBmbpw%3D%3D&amp;DocumentIdParam=WzdTopKQF2ZyBgtIWo08%2BK/0uSbGTv8MPAI2xQmtPi8ewx1RJ7OAGxHQpVn/HPyma8mKU%2B%2BKFoO1dnUrI5yPF/gmfbkd1KGumgwCg/CAZQUC1/zDIE0Kw/PWNnLS0Z0z" TargetMode="External" Id="rId3213" /><Relationship Type="http://schemas.openxmlformats.org/officeDocument/2006/relationships/hyperlink" Target="https://contrataciondelestado.es/wps/poc?uri=deeplink:detalle_licitacion&amp;idEvl=3g489Wszjb0%2FbjW6njtWLw%3D%3D" TargetMode="External" Id="rId3214" /><Relationship Type="http://schemas.openxmlformats.org/officeDocument/2006/relationships/hyperlink" Target="https://contrataciondelestado.es/FileSystem/servlet/GetDocumentByIdServlet?cifrado=QUC1GjXXSiLkydRHJBmbpw%3D%3D&amp;DocumentIdParam=%2ByRnY6I4M82gp5Nd8KbUAZI85aLVs2svgbr3v%2BfckzB4vM%2BiYpE%2BVyvCTJp0Z5DX9jV%2Bzx1Tcf/uZxlkE6HasZcDV5Qb%2BfufoQhryctGBwBJOVDbGCDM%2BMigrvuVS7Rv" TargetMode="External" Id="rId3215" /><Relationship Type="http://schemas.openxmlformats.org/officeDocument/2006/relationships/hyperlink" Target="https://contrataciondelestado.es/wps/poc?uri=deeplink:detalle_licitacion&amp;idEvl=2vpK8K3r5Uji0Kd8%2Brcp6w%3D%3D" TargetMode="External" Id="rId3216" /><Relationship Type="http://schemas.openxmlformats.org/officeDocument/2006/relationships/hyperlink" Target="https://contrataciondelestado.es/FileSystem/servlet/GetDocumentByIdServlet?cifrado=QUC1GjXXSiLkydRHJBmbpw%3D%3D&amp;DocumentIdParam=jHJ7kXxQa0YtBtevyOWq3mlK28S/wrZMStGq%2B2N6BAY4K/YwjuVKn7iHsSWN/GomDMGahRFS936QZKgYJLYzcNcKnvTGoau75x/ghu4SLgbVTD3T98KC0nSgQFM0q%2B5s" TargetMode="External" Id="rId3217" /><Relationship Type="http://schemas.openxmlformats.org/officeDocument/2006/relationships/hyperlink" Target="https://contrataciondelestado.es/wps/poc?uri=deeplink:detalle_licitacion&amp;idEvl=YooO3GxCacb5Rey58Yagpg%3D%3D" TargetMode="External" Id="rId3218" /><Relationship Type="http://schemas.openxmlformats.org/officeDocument/2006/relationships/hyperlink" Target="https://contrataciondelestado.es/FileSystem/servlet/GetDocumentByIdServlet?cifrado=QUC1GjXXSiLkydRHJBmbpw%3D%3D&amp;DocumentIdParam=w3OX99oF79BVfebzuQ4Czwq2JT0waiIIriN76injOZIP1YM7FfinLKMPpSxDNHLlhaKyhQMljhZ3NawuyTNS6AHKC/EG/3rOk2JPTrd63PO1aXEvq3KHa/AEHgtDrQw0" TargetMode="External" Id="rId3219" /><Relationship Type="http://schemas.openxmlformats.org/officeDocument/2006/relationships/hyperlink" Target="https://contrataciondelestado.es/wps/poc?uri=deeplink:detalle_licitacion&amp;idEvl=x2is%2FEgJyxL%2B3JAijKO%2Bkg%3D%3D" TargetMode="External" Id="rId3220" /><Relationship Type="http://schemas.openxmlformats.org/officeDocument/2006/relationships/hyperlink" Target="https://contrataciondelestado.es/FileSystem/servlet/GetDocumentByIdServlet?cifrado=QUC1GjXXSiLkydRHJBmbpw%3D%3D&amp;DocumentIdParam=YjFBtdqwBDUMNViL336p5AhVp0OHyWwmpu%2BOwMV2H02gAMnD%2BVZlK%2BBgsbodrKce%2B7S9yuJsxstr0GODow5DcfwmBrjf%2BZ0ffJwCFXO3GkqB0nvVKRzfe4rpHcnlPhSZ" TargetMode="External" Id="rId3221" /><Relationship Type="http://schemas.openxmlformats.org/officeDocument/2006/relationships/hyperlink" Target="https://contrataciondelestado.es/wps/poc?uri=deeplink:detalle_licitacion&amp;idEvl=FjnKAyia99hLAIVZdUs8KA%3D%3D" TargetMode="External" Id="rId3222" /><Relationship Type="http://schemas.openxmlformats.org/officeDocument/2006/relationships/hyperlink" Target="https://contrataciondelestado.es/FileSystem/servlet/GetDocumentByIdServlet?cifrado=QUC1GjXXSiLkydRHJBmbpw%3D%3D&amp;DocumentIdParam=O%2BpIzBGNyTNBlYtkTsdRj55KUkv6WBeVzvNBdVgASOa0ZUdQ6frQ%2BZZxiNFHAKZtKQ/aA9SAqig4JD4mASUj07g9LHPMUd1NB%2B681dOFP761aXEvq3KHa/AEHgtDrQw0" TargetMode="External" Id="rId3223" /><Relationship Type="http://schemas.openxmlformats.org/officeDocument/2006/relationships/hyperlink" Target="https://contrataciondelestado.es/wps/poc?uri=deeplink:detalle_licitacion&amp;idEvl=C4d1bFooPRHIGlsa0Wad%2Bw%3D%3D" TargetMode="External" Id="rId3224" /><Relationship Type="http://schemas.openxmlformats.org/officeDocument/2006/relationships/hyperlink" Target="https://contrataciondelestado.es/FileSystem/servlet/GetDocumentByIdServlet?cifrado=QUC1GjXXSiLkydRHJBmbpw%3D%3D&amp;DocumentIdParam=RfdUfSW1CPFtwwtTetPpGzFoJiYfdt04hIU8julWrejKEvQ1yODCa3OI4R26stW8xfhJK5ZjDFPiW/AMKBjx5ThibVbJDQeBrRqqcXT7Y%2Bht/o8fNevwsujgRzaBbugn" TargetMode="External" Id="rId3225" /><Relationship Type="http://schemas.openxmlformats.org/officeDocument/2006/relationships/hyperlink" Target="https://contrataciondelestado.es/wps/poc?uri=deeplink:detalle_licitacion&amp;idEvl=Tfq5WEVf26txseVhcqrkhw%3D%3D" TargetMode="External" Id="rId3226" /><Relationship Type="http://schemas.openxmlformats.org/officeDocument/2006/relationships/hyperlink" Target="https://contrataciondelestado.es/FileSystem/servlet/GetDocumentByIdServlet?cifrado=QUC1GjXXSiLkydRHJBmbpw%3D%3D&amp;DocumentIdParam=bskdD/HIHqMBjDUm/Gv0/Ca5y5yGdk2dzwsz7dIRPG2lr/DCvvI5AMu5%2Bro0scAWdHeCcfQIMqKI3vbDfqFwGhjHY58D74R9qM0x1qY3r4u1aXEvq3KHa/AEHgtDrQw0" TargetMode="External" Id="rId3227" /><Relationship Type="http://schemas.openxmlformats.org/officeDocument/2006/relationships/hyperlink" Target="https://contrataciondelestado.es/wps/poc?uri=deeplink:detalle_licitacion&amp;idEvl=VoZa1MKvV3Czz8fXU2i3eQ%3D%3D" TargetMode="External" Id="rId3228" /><Relationship Type="http://schemas.openxmlformats.org/officeDocument/2006/relationships/hyperlink" Target="https://contrataciondelestado.es/FileSystem/servlet/GetDocumentByIdServlet?cifrado=QUC1GjXXSiLkydRHJBmbpw%3D%3D&amp;DocumentIdParam=elbgiCfCHqJ2emC5VKZgJJ236AO3SrYjbX5BrSAY0uTkgv503ANE9qFS1MadVw14/FC9F0avARQjTkeOMUnFUz0dIPkJ2juU5Ke09piFVyL3GVhXrFFqN7yFncy7YfRK" TargetMode="External" Id="rId3229" /><Relationship Type="http://schemas.openxmlformats.org/officeDocument/2006/relationships/hyperlink" Target="https://contrataciondelestado.es/wps/poc?uri=deeplink:detalle_licitacion&amp;idEvl=iVTAYhXSN7vgL1BHd3qjQA%3D%3D" TargetMode="External" Id="rId3230" /><Relationship Type="http://schemas.openxmlformats.org/officeDocument/2006/relationships/hyperlink" Target="https://contrataciondelestado.es/FileSystem/servlet/GetDocumentByIdServlet?cifrado=QUC1GjXXSiLkydRHJBmbpw%3D%3D&amp;DocumentIdParam=zrW77aUWCPhuOudrphmql7W1UgCnqk3TvtWvAEc/lPUAz0jYfDYbyeCStvyuJ39OYSoDVwTQ50oAFJyrgaTmgmNLNntFpQh1hOH3Bp5W18CHAj0WEJrB5sP7amrh2jBD" TargetMode="External" Id="rId3231" /><Relationship Type="http://schemas.openxmlformats.org/officeDocument/2006/relationships/hyperlink" Target="https://contrataciondelestado.es/wps/poc?uri=deeplink:detalle_licitacion&amp;idEvl=Cpru1v2QsM%2Bqb7rCcv76BA%3D%3D" TargetMode="External" Id="rId3232" /><Relationship Type="http://schemas.openxmlformats.org/officeDocument/2006/relationships/hyperlink" Target="https://contrataciondelestado.es/FileSystem/servlet/GetDocumentByIdServlet?cifrado=QUC1GjXXSiLkydRHJBmbpw%3D%3D&amp;DocumentIdParam=OdEOnQSRxiruZ5bB8QBUJzSp51rbIvwhlkVwYYjwXQY2uOFKi0naV0Hwd74JYtZh3oQvZsk8yfgCCZB87tyhoqbNtkjNsUsRD/A5myyX1bjfdyQgZAdTm3EfcUAC7CJ6" TargetMode="External" Id="rId3233" /><Relationship Type="http://schemas.openxmlformats.org/officeDocument/2006/relationships/hyperlink" Target="https://contrataciondelestado.es/wps/poc?uri=deeplink:detalle_licitacion&amp;idEvl=L%2Fkm0f1W%2BC%2BcTfjQf3USOg%3D%3D" TargetMode="External" Id="rId3234" /><Relationship Type="http://schemas.openxmlformats.org/officeDocument/2006/relationships/hyperlink" Target="https://contrataciondelestado.es/FileSystem/servlet/GetDocumentByIdServlet?cifrado=QUC1GjXXSiLkydRHJBmbpw%3D%3D&amp;DocumentIdParam=UA/pKd8cPL89ZoU7j25qfM3Qo7na1myz0ujNnjPIpU64bgGb32kofoEPxSrMK4YCWBS0m3lYf7UHDpABnF3VZ%2BV0jOgTbq50MF4HgPfVNBmB0nvVKRzfe4rpHcnlPhSZ" TargetMode="External" Id="rId3235" /><Relationship Type="http://schemas.openxmlformats.org/officeDocument/2006/relationships/hyperlink" Target="https://contrataciondelestado.es/wps/poc?uri=deeplink:detalle_licitacion&amp;idEvl=29eoWQtSsPCP66GS%2BONYvQ%3D%3D" TargetMode="External" Id="rId3236" /><Relationship Type="http://schemas.openxmlformats.org/officeDocument/2006/relationships/hyperlink" Target="https://contrataciondelestado.es/FileSystem/servlet/GetDocumentByIdServlet?cifrado=QUC1GjXXSiLkydRHJBmbpw%3D%3D&amp;DocumentIdParam=4qHEunMqk9bPIllLIYUDtPnoSq3ZBsGcQKYl7NXTkBfT84n4ow8wI3mDzokKgB/qSPRQFOSiOjrOux6NBFVPDLxtzYRJTw7hcHISY/ZGwP7VTD3T98KC0nSgQFM0q%2B5s" TargetMode="External" Id="rId3237" /><Relationship Type="http://schemas.openxmlformats.org/officeDocument/2006/relationships/hyperlink" Target="https://contrataciondelestado.es/wps/poc?uri=deeplink:detalle_licitacion&amp;idEvl=V%2BBHea9QU4Bq1DdmE7eaXg%3D%3D" TargetMode="External" Id="rId3238" /><Relationship Type="http://schemas.openxmlformats.org/officeDocument/2006/relationships/hyperlink" Target="https://contrataciondelestado.es/FileSystem/servlet/GetDocumentByIdServlet?cifrado=QUC1GjXXSiLkydRHJBmbpw%3D%3D&amp;DocumentIdParam=TLy8iBScMNIm%2BeA5LhArDnAJRMoK91QXy1wFxagAtDUmJLo5AAwzvDejV0oWU77pgCfyeK6curN1%2BWjRg5GdJNvqMs0J%2B%2BaZJV3X07g0cREC1/zDIE0Kw/PWNnLS0Z0z" TargetMode="External" Id="rId3239" /><Relationship Type="http://schemas.openxmlformats.org/officeDocument/2006/relationships/hyperlink" Target="https://contrataciondelestado.es/wps/poc?uri=deeplink:detalle_licitacion&amp;idEvl=jv1VloDl6FCKeVWTb9Scog%3D%3D" TargetMode="External" Id="rId3240" /><Relationship Type="http://schemas.openxmlformats.org/officeDocument/2006/relationships/hyperlink" Target="https://contrataciondelestado.es/FileSystem/servlet/GetDocumentByIdServlet?cifrado=QUC1GjXXSiLkydRHJBmbpw%3D%3D&amp;DocumentIdParam=%2BqsKJjJ%2BtvLSyCeCefFFujK1m2DLBF6k4lz41cFMorCk%2BmWc7biQwZVhg18A9fF1ErOy6qX%2BtbrpYBoTNmUCtS45RcpogKiNrpjX0X6YjixJOVDbGCDM%2BMigrvuVS7Rv" TargetMode="External" Id="rId3241" /><Relationship Type="http://schemas.openxmlformats.org/officeDocument/2006/relationships/hyperlink" Target="https://contrataciondelestado.es/wps/poc?uri=deeplink:detalle_licitacion&amp;idEvl=qR2P7VNhPFES7pcxhTeWOg%3D%3D" TargetMode="External" Id="rId3242" /><Relationship Type="http://schemas.openxmlformats.org/officeDocument/2006/relationships/hyperlink" Target="https://contrataciondelestado.es/FileSystem/servlet/GetDocumentByIdServlet?cifrado=QUC1GjXXSiLkydRHJBmbpw%3D%3D&amp;DocumentIdParam=uVNbgEQaFFCIW8QXM3WVNu6QWfZgY0ZkbpbMLCFftU19zm21hh2gAzogmwHDzQCf5FarzMdBmFmWNPqY5QkqSsi6sPCw10HBwbjFPawi%2BpaHAj0WEJrB5sP7amrh2jBD" TargetMode="External" Id="rId3243" /><Relationship Type="http://schemas.openxmlformats.org/officeDocument/2006/relationships/hyperlink" Target="https://contrataciondelestado.es/wps/poc?uri=deeplink:detalle_licitacion&amp;idEvl=wM%2F%2FRSg%2FZl9PpzdqOdhuWg%3D%3D" TargetMode="External" Id="rId3244" /><Relationship Type="http://schemas.openxmlformats.org/officeDocument/2006/relationships/hyperlink" Target="https://contrataciondelestado.es/FileSystem/servlet/GetDocumentByIdServlet?cifrado=QUC1GjXXSiLkydRHJBmbpw%3D%3D&amp;DocumentIdParam=YG/Qg2H%2ByObZ77zuKN6PE9dOl/SdGPAow5XMfMQ0oaQE6zsEUO9KRd2KcqOWjpR9N7tpQoUWwejX20eidjjcisQbtKlUuUpVBpxE5oltkX33GVhXrFFqN7yFncy7YfRK" TargetMode="External" Id="rId3245" /><Relationship Type="http://schemas.openxmlformats.org/officeDocument/2006/relationships/hyperlink" Target="https://contrataciondelestado.es/wps/poc?uri=deeplink:detalle_licitacion&amp;idEvl=K70tbF2TNzc%2Bk2oCbDosIw%3D%3D" TargetMode="External" Id="rId3246" /><Relationship Type="http://schemas.openxmlformats.org/officeDocument/2006/relationships/hyperlink" Target="https://contrataciondelestado.es/FileSystem/servlet/GetDocumentByIdServlet?cifrado=QUC1GjXXSiLkydRHJBmbpw%3D%3D&amp;DocumentIdParam=CX4gnTl%2BNREoRtJiBF6DU9OpiL22D1owVT8ekbKpLrDoZHMejxLHuwMVe/fNTC07/jaAbDsf1BO%2BGi6XsKa53s2Y8ktMyFu5WVSLTVz9o9MZyAJWGsSt0OzTSTyw9JAs" TargetMode="External" Id="rId3247" /><Relationship Type="http://schemas.openxmlformats.org/officeDocument/2006/relationships/hyperlink" Target="https://contrataciondelestado.es/wps/poc?uri=deeplink:detalle_licitacion&amp;idEvl=g%2FgQDBbaHQLjHF5qKI4aaw%3D%3D" TargetMode="External" Id="rId3248" /><Relationship Type="http://schemas.openxmlformats.org/officeDocument/2006/relationships/hyperlink" Target="https://contrataciondelestado.es/FileSystem/servlet/GetDocumentByIdServlet?cifrado=QUC1GjXXSiLkydRHJBmbpw%3D%3D&amp;DocumentIdParam=/6ZF07JdSPkDtCvzGHT3VAw99w46PhGtPcm3Inif6F0wclU94ozJDoPHlw/Cvx0euzdh2U2zN4m4ajXLkywE/KWKWxyZi/n%2BErUJ3wzJqqZt/o8fNevwsujgRzaBbugn" TargetMode="External" Id="rId3249" /><Relationship Type="http://schemas.openxmlformats.org/officeDocument/2006/relationships/hyperlink" Target="https://contrataciondelestado.es/wps/poc?uri=deeplink:detalle_licitacion&amp;idEvl=QIMmqDY%2FMIN70UvEyYJSGw%3D%3D" TargetMode="External" Id="rId3250" /><Relationship Type="http://schemas.openxmlformats.org/officeDocument/2006/relationships/hyperlink" Target="https://contrataciondelestado.es/FileSystem/servlet/GetDocumentByIdServlet?cifrado=QUC1GjXXSiLkydRHJBmbpw%3D%3D&amp;DocumentIdParam=spM/wpiZ%2BLzi6%2BlXqwD92WgEoJ/SvBCGYKph9l1sXNYx/KnHns6dLhqPedboy66utKWg7tDCx0jaWf5qkM4bQ6AsUXZB4PNhIVJfcLE%2BIFvVTD3T98KC0nSgQFM0q%2B5s" TargetMode="External" Id="rId3251" /><Relationship Type="http://schemas.openxmlformats.org/officeDocument/2006/relationships/hyperlink" Target="https://contrataciondelestado.es/wps/poc?uri=deeplink:detalle_licitacion&amp;idEvl=ekyNTXaTRRM%2B1TMyIiZmzw%3D%3D" TargetMode="External" Id="rId3252" /><Relationship Type="http://schemas.openxmlformats.org/officeDocument/2006/relationships/hyperlink" Target="https://contrataciondelestado.es/FileSystem/servlet/GetDocumentByIdServlet?cifrado=QUC1GjXXSiLkydRHJBmbpw%3D%3D&amp;DocumentIdParam=g1DPnfSTfpbKBZguYRY6wRrNYqx7X0WgLMHHJuhiSvv0xutms4/8AeA%2BusKly0C7DjcKfbmoZ1JBLGRDFxEkNPfzCUKJ4ln8XMRD32FTKHX6CYyL7SIrUOBFfNf52ZqA" TargetMode="External" Id="rId3253" /><Relationship Type="http://schemas.openxmlformats.org/officeDocument/2006/relationships/hyperlink" Target="https://contrataciondelestado.es/wps/poc?uri=deeplink:detalle_licitacion&amp;idEvl=cnqxfc8xne5LAIVZdUs8KA%3D%3D" TargetMode="External" Id="rId3254" /><Relationship Type="http://schemas.openxmlformats.org/officeDocument/2006/relationships/hyperlink" Target="https://contrataciondelestado.es/FileSystem/servlet/GetDocumentByIdServlet?cifrado=QUC1GjXXSiLkydRHJBmbpw%3D%3D&amp;DocumentIdParam=ODvrx3ludu75wLT3ZEBsyH3eTwG4w3o4P0Uz8AJ6bPDFPvXbVwkY20cPswuVdECOBJu2%2BqRUeWM9P9FBTmMgL3WeFtNHKo9AhuhW2QiSIKzVTD3T98KC0nSgQFM0q%2B5s" TargetMode="External" Id="rId3255" /><Relationship Type="http://schemas.openxmlformats.org/officeDocument/2006/relationships/hyperlink" Target="https://contrataciondelestado.es/wps/poc?uri=deeplink:detalle_licitacion&amp;idEvl=vP2MZjo9ib2qb7rCcv76BA%3D%3D" TargetMode="External" Id="rId3256" /><Relationship Type="http://schemas.openxmlformats.org/officeDocument/2006/relationships/hyperlink" Target="https://contrataciondelestado.es/FileSystem/servlet/GetDocumentByIdServlet?cifrado=QUC1GjXXSiLkydRHJBmbpw%3D%3D&amp;DocumentIdParam=l3ocH%2BwozFz%2BtdEIa3ymNCSeEAB2WMsloNPjT7hiGvRlSlGjL2%2Bi5xZNd/VQT9yfG8%2Bs7X%2BWsO1SIalyxsmxPDHR/DSttZIpgrtv/7rlHCZ7QB3HKyQaFUExmUVQCerk" TargetMode="External" Id="rId3257" /><Relationship Type="http://schemas.openxmlformats.org/officeDocument/2006/relationships/hyperlink" Target="https://contrataciondelestado.es/wps/poc?uri=deeplink:detalle_licitacion&amp;idEvl=mJeSyOQH4XWExvMJXBMHHQ%3D%3D" TargetMode="External" Id="rId3258" /><Relationship Type="http://schemas.openxmlformats.org/officeDocument/2006/relationships/hyperlink" Target="https://contrataciondelestado.es/FileSystem/servlet/GetDocumentByIdServlet?cifrado=QUC1GjXXSiLkydRHJBmbpw%3D%3D&amp;DocumentIdParam=0AXUIWRbaAtchA1gkqxrdUxDZEPxBqwZErPNItS96c1qyB0zYO%2B/GsVWrRzfarY5Af9ezNLb7ND3O2iqWf5Ah0D1JHI3dUnij0HJ9PxHNqJJOVDbGCDM%2BMigrvuVS7Rv" TargetMode="External" Id="rId3259" /><Relationship Type="http://schemas.openxmlformats.org/officeDocument/2006/relationships/hyperlink" Target="https://contrataciondelestado.es/wps/poc?uri=deeplink:detalle_licitacion&amp;idEvl=D4UePnS5OTmKeVWTb9Scog%3D%3D" TargetMode="External" Id="rId3260" /><Relationship Type="http://schemas.openxmlformats.org/officeDocument/2006/relationships/hyperlink" Target="https://contrataciondelestado.es/FileSystem/servlet/GetDocumentByIdServlet?cifrado=QUC1GjXXSiLkydRHJBmbpw%3D%3D&amp;DocumentIdParam=xVF4jQ94NKPLaGhCqf3nbP%2B15Hum45knlCNctgUO0eHdLyxWwq1Y0cPvue5xd4gsk8QsORwzXXfBNnN0Q9yVxXMbrTFGb3mQShz0/9/hZMPDdQD9RyhUmzT4jZ2In4zL" TargetMode="External" Id="rId3261" /><Relationship Type="http://schemas.openxmlformats.org/officeDocument/2006/relationships/hyperlink" Target="https://contrataciondelestado.es/wps/poc?uri=deeplink:detalle_licitacion&amp;idEvl=G4DBmgJ6JNO9Hd5zqvq9cg%3D%3D" TargetMode="External" Id="rId3262" /><Relationship Type="http://schemas.openxmlformats.org/officeDocument/2006/relationships/hyperlink" Target="https://contrataciondelestado.es/FileSystem/servlet/GetDocumentByIdServlet?cifrado=QUC1GjXXSiLkydRHJBmbpw%3D%3D&amp;DocumentIdParam=mBUcrkzOk2CPcdCFkFIfYENp5/3pJdgNEpESxMDLxhGa7/jsDdofnnQeZ7CFf1WBwulksXc%2BZ8m6lMgdGyxH8/b2Bna7wZlxtwcpUG6SY6aHAj0WEJrB5sP7amrh2jBD" TargetMode="External" Id="rId3263" /><Relationship Type="http://schemas.openxmlformats.org/officeDocument/2006/relationships/hyperlink" Target="https://contrataciondelestado.es/wps/poc?uri=deeplink:detalle_licitacion&amp;idEvl=GKPzKvY85fiqb7rCcv76BA%3D%3D" TargetMode="External" Id="rId3264" /><Relationship Type="http://schemas.openxmlformats.org/officeDocument/2006/relationships/hyperlink" Target="https://contrataciondelestado.es/wps/poc?uri=deeplink:detalle_licitacion&amp;idEvl=PwG8jgXwfCYtm4eBPtV6eQ%3D%3D" TargetMode="External" Id="rId3265" /><Relationship Type="http://schemas.openxmlformats.org/officeDocument/2006/relationships/hyperlink" Target="https://contrataciondelestado.es/FileSystem/servlet/GetDocumentByIdServlet?cifrado=QUC1GjXXSiLkydRHJBmbpw%3D%3D&amp;DocumentIdParam=1VycsAYBSlGCNBJvKq/nNK/rgtmjWgzfjceKhlFp5mUC37vnz1al/bzwbQ%2BoXmlMVEaSpUg0qAq0yTE3rObnUaCfKLOhNOgWqT2cOcH%2B6Wx45ClyWkoJ44mKM70IFcOu" TargetMode="External" Id="rId3266" /><Relationship Type="http://schemas.openxmlformats.org/officeDocument/2006/relationships/hyperlink" Target="https://contrataciondelestado.es/wps/poc?uri=deeplink:detalle_licitacion&amp;idEvl=%2BowZ1JjLNKwkJPJS%2BPS9vg%3D%3D" TargetMode="External" Id="rId3267" /><Relationship Type="http://schemas.openxmlformats.org/officeDocument/2006/relationships/hyperlink" Target="https://contrataciondelestado.es/FileSystem/servlet/GetDocumentByIdServlet?cifrado=QUC1GjXXSiLkydRHJBmbpw%3D%3D&amp;DocumentIdParam=SoHAb6jy1XstgZ2qXEg/w192AgqQz0GdcJaiNsewZ%2BkOg%2Bg3VCblSZRR7RTzecDONbpnxdTtPH3MuTTPVkbCuXUVxVnCk5Xi5nBiS4B6XnPDdQD9RyhUmzT4jZ2In4zL" TargetMode="External" Id="rId3268" /><Relationship Type="http://schemas.openxmlformats.org/officeDocument/2006/relationships/hyperlink" Target="https://contrataciondelestado.es/wps/poc?uri=deeplink:detalle_licitacion&amp;idEvl=WW5Wsv8Yc48QyBAnWzHfCg%3D%3D" TargetMode="External" Id="rId3269" /><Relationship Type="http://schemas.openxmlformats.org/officeDocument/2006/relationships/hyperlink" Target="https://contrataciondelestado.es/FileSystem/servlet/GetDocumentByIdServlet?cifrado=QUC1GjXXSiLkydRHJBmbpw%3D%3D&amp;DocumentIdParam=HLWaDOnSof0uqVPxFsxzFqdWsNNGwt/dq5gxp1%2BDlyk%2BJNdUoVzZBTpnYp2x8HgiokNi9XhtnGLJ8YTJasHk5AISoIWrknAJMyfcbrf1kCg//q7NB2iMZvNyf0xrJmjt" TargetMode="External" Id="rId3270" /><Relationship Type="http://schemas.openxmlformats.org/officeDocument/2006/relationships/hyperlink" Target="https://contrataciondelestado.es/wps/poc?uri=deeplink:detalle_licitacion&amp;idEvl=s4EUo24XOkc7u6%2B%2FR7DUoA%3D%3D" TargetMode="External" Id="rId3271" /><Relationship Type="http://schemas.openxmlformats.org/officeDocument/2006/relationships/hyperlink" Target="https://contrataciondelestado.es/FileSystem/servlet/GetDocumentByIdServlet?cifrado=QUC1GjXXSiLkydRHJBmbpw%3D%3D&amp;DocumentIdParam=%2BHxs5yieCug43RqbKkhmJsHaB6OA3JV7Tow5qNAMoFNp8WHw1YZq9ACo4W0PqVDTYV/3L3cHeNL2Lh75usr35ezAnkp2hlSlRU3T/YHJDBa1aXEvq3KHa/AEHgtDrQw0" TargetMode="External" Id="rId3272" /><Relationship Type="http://schemas.openxmlformats.org/officeDocument/2006/relationships/hyperlink" Target="https://contrataciondelestado.es/wps/poc?uri=deeplink:detalle_licitacion&amp;idEvl=q%2BvTFQMeLPhPpzdqOdhuWg%3D%3D" TargetMode="External" Id="rId3273" /><Relationship Type="http://schemas.openxmlformats.org/officeDocument/2006/relationships/hyperlink" Target="https://contrataciondelestado.es/FileSystem/servlet/GetDocumentByIdServlet?cifrado=QUC1GjXXSiLkydRHJBmbpw%3D%3D&amp;DocumentIdParam=2XQ9MjSpjY%2ByYs/qku4gwPEtA/4vAa%2BSkT3bKJK8kkYCS5fUWtp%2BaIgJXShjnERHRMG5ZjrwdmyucLeEo2PVDnl33O8SKkRkXBhcpicJsQoZyAJWGsSt0OzTSTyw9JAs" TargetMode="External" Id="rId3274" /><Relationship Type="http://schemas.openxmlformats.org/officeDocument/2006/relationships/hyperlink" Target="https://contrataciondelestado.es/wps/poc?uri=deeplink:detalle_licitacion&amp;idEvl=WF0X%2B1XCX5h9Zh%2FyRJgM8w%3D%3D" TargetMode="External" Id="rId3275" /><Relationship Type="http://schemas.openxmlformats.org/officeDocument/2006/relationships/hyperlink" Target="https://contrataciondelestado.es/FileSystem/servlet/GetDocumentByIdServlet?cifrado=QUC1GjXXSiLkydRHJBmbpw%3D%3D&amp;DocumentIdParam=0XPE1eZtvQaNWeNsK8XThRbzqPr6NaFms45Rusb3aIiGLm7WNCYOYaSSRvdGG1ZgqhYu70pDHt%2B2l9uBigOpX1YxEyz8%2BVlsIDPn0c1pBvoZyAJWGsSt0OzTSTyw9JAs" TargetMode="External" Id="rId3276" /><Relationship Type="http://schemas.openxmlformats.org/officeDocument/2006/relationships/hyperlink" Target="https://contrataciondelestado.es/wps/poc?uri=deeplink:detalle_licitacion&amp;idEvl=Kvteo405Sjyzz8fXU2i3eQ%3D%3D" TargetMode="External" Id="rId3277" /><Relationship Type="http://schemas.openxmlformats.org/officeDocument/2006/relationships/hyperlink" Target="https://contrataciondelestado.es/FileSystem/servlet/GetDocumentByIdServlet?cifrado=QUC1GjXXSiLkydRHJBmbpw%3D%3D&amp;DocumentIdParam=chRqdY%2BeEFGK6SjkSam8IVxugGMtwu4dnga4mJxiOvEXIr4dszTdN5gRtlHaAaKyRSNdDjNMuN3BWlWSNzCHKszRO%2BMxd5h0riB62ru8Hqx45ClyWkoJ44mKM70IFcOu" TargetMode="External" Id="rId3278" /><Relationship Type="http://schemas.openxmlformats.org/officeDocument/2006/relationships/hyperlink" Target="https://contrataciondelestado.es/wps/poc?uri=deeplink:detalle_licitacion&amp;idEvl=w7AIROp8iBVrSd8H4b2soA%3D%3D" TargetMode="External" Id="rId3279" /><Relationship Type="http://schemas.openxmlformats.org/officeDocument/2006/relationships/hyperlink" Target="https://contrataciondelestado.es/FileSystem/servlet/GetDocumentByIdServlet?cifrado=QUC1GjXXSiLkydRHJBmbpw%3D%3D&amp;DocumentIdParam=VyjYB44OB6KsSPkY46IYPcRTmBw%2Bub4s%2BOCP79PDLDKlvZA1GI/SkQX8cQ%2B5Cg7vUCBWN86oPAdrZqzOwdJwrWLcroYjSQ5Y21xyhLHAEuNJOVDbGCDM%2BMigrvuVS7Rv" TargetMode="External" Id="rId3280" /><Relationship Type="http://schemas.openxmlformats.org/officeDocument/2006/relationships/hyperlink" Target="https://contrataciondelestado.es/wps/poc?uri=deeplink:detalle_licitacion&amp;idEvl=r0FDxHSU4HaGCFcHcNGIlQ%3D%3D" TargetMode="External" Id="rId3281" /><Relationship Type="http://schemas.openxmlformats.org/officeDocument/2006/relationships/hyperlink" Target="https://contrataciondelestado.es/FileSystem/servlet/GetDocumentByIdServlet?cifrado=QUC1GjXXSiLkydRHJBmbpw%3D%3D&amp;DocumentIdParam=nsucUA6upyrReAS/6HzaoCbYBuv2BPcopB%2BLKh3lMoOm5DBieeW8mu7cYlN%2B1tWwGWnNDWS32bYfSp41NRs2IgZT01k6x2wzvp/LJvYYiKbDdQD9RyhUmzT4jZ2In4zL" TargetMode="External" Id="rId3282" /><Relationship Type="http://schemas.openxmlformats.org/officeDocument/2006/relationships/hyperlink" Target="https://contrataciondelestado.es/wps/poc?uri=deeplink:detalle_licitacion&amp;idEvl=5EaLiaIqw78aF6cS8TCh%2FA%3D%3D" TargetMode="External" Id="rId3283" /><Relationship Type="http://schemas.openxmlformats.org/officeDocument/2006/relationships/hyperlink" Target="https://contrataciondelestado.es/FileSystem/servlet/GetDocumentByIdServlet?cifrado=QUC1GjXXSiLkydRHJBmbpw%3D%3D&amp;DocumentIdParam=cLUvA7JZDzryhAjWxRfB404ycpjdgiALhXCE7GfLTnZKu1zCFgR2P4CGcXDT0Ey4Pzg66/%2Bc5PaXaF0qN2vbhAIDCb4nrjc4PkAEX0ckgL7fdyQgZAdTm3EfcUAC7CJ6" TargetMode="External" Id="rId3284" /><Relationship Type="http://schemas.openxmlformats.org/officeDocument/2006/relationships/hyperlink" Target="https://contrataciondelestado.es/wps/poc?uri=deeplink:detalle_licitacion&amp;idEvl=QUifsp1xaw%2FIGlsa0Wad%2Bw%3D%3D" TargetMode="External" Id="rId3285" /><Relationship Type="http://schemas.openxmlformats.org/officeDocument/2006/relationships/hyperlink" Target="https://contrataciondelestado.es/FileSystem/servlet/GetDocumentByIdServlet?cifrado=QUC1GjXXSiLkydRHJBmbpw%3D%3D&amp;DocumentIdParam=xdDC9/MoVICEEdCuhYl3oElZb02SNdYIH77/VA1/pYp6cZhBZXZRawBzTylMMfgN2FXILOGE9pcON%2B1AH1tBYU7l6jfnokrddCcx9Y1nV6145ClyWkoJ44mKM70IFcOu" TargetMode="External" Id="rId3286" /><Relationship Type="http://schemas.openxmlformats.org/officeDocument/2006/relationships/hyperlink" Target="https://contrataciondelestado.es/wps/poc?uri=deeplink:detalle_licitacion&amp;idEvl=%2FxUo2BIcmXp70UvEyYJSGw%3D%3D" TargetMode="External" Id="rId3287" /><Relationship Type="http://schemas.openxmlformats.org/officeDocument/2006/relationships/hyperlink" Target="https://contrataciondelestado.es/FileSystem/servlet/GetDocumentByIdServlet?cifrado=QUC1GjXXSiLkydRHJBmbpw%3D%3D&amp;DocumentIdParam=kIWp99pFNomV4AtZoh39UNmNmSSjjfdZ%2BHfO/K4isulJQ05dULxAT00IeofuNztQy%2BTxbmhqt3EDAjX7gIk3/dL%2Btl%2B/AXVD%2Bk5MUFsZe8jDdQD9RyhUmzT4jZ2In4zL" TargetMode="External" Id="rId3288" /><Relationship Type="http://schemas.openxmlformats.org/officeDocument/2006/relationships/hyperlink" Target="https://contrataciondelestado.es/wps/poc?uri=deeplink:detalle_licitacion&amp;idEvl=iQZP39YXNIFWhbmkna2nXQ%3D%3D" TargetMode="External" Id="rId3289" /><Relationship Type="http://schemas.openxmlformats.org/officeDocument/2006/relationships/hyperlink" Target="https://contrataciondelestado.es/FileSystem/servlet/GetDocumentByIdServlet?cifrado=QUC1GjXXSiLkydRHJBmbpw%3D%3D&amp;DocumentIdParam=mi8hCxmbdvJjZIu4fDnywuiLCvv%2BmEVT/oPoQlOhc61w2DopBc8L9UHOEJEWGQMBBr2jpXjr0eu9Ek9JZgHtPDYGqV4EJ5koE4Jo0jOCxctJOVDbGCDM%2BMigrvuVS7Rv" TargetMode="External" Id="rId3290" /><Relationship Type="http://schemas.openxmlformats.org/officeDocument/2006/relationships/hyperlink" Target="https://contrataciondelestado.es/wps/poc?uri=deeplink:detalle_licitacion&amp;idEvl=Wtt%2BvYK0%2BG1SYrkJkLlFdw%3D%3D" TargetMode="External" Id="rId3291" /><Relationship Type="http://schemas.openxmlformats.org/officeDocument/2006/relationships/hyperlink" Target="https://contrataciondelestado.es/FileSystem/servlet/GetDocumentByIdServlet?cifrado=QUC1GjXXSiLkydRHJBmbpw%3D%3D&amp;DocumentIdParam=2YBJnezPfIxO8/tcpsgmIHv7iTAHPN7%2BPP79Pemt8lDgaYxR4B6gtekLRkOWd%2BBdbzj4cdT%2BIoT3Rng3KdUEzC5IyBp2bA%2BH63FnhULK4zvDdQD9RyhUmzT4jZ2In4zL" TargetMode="External" Id="rId3292" /><Relationship Type="http://schemas.openxmlformats.org/officeDocument/2006/relationships/hyperlink" Target="https://contrataciondelestado.es/wps/poc?uri=deeplink:detalle_licitacion&amp;idEvl=6tTL%2Bo9QEVh%2FP7lJ7Fu0SA%3D%3D" TargetMode="External" Id="rId3293" /><Relationship Type="http://schemas.openxmlformats.org/officeDocument/2006/relationships/hyperlink" Target="https://contrataciondelestado.es/FileSystem/servlet/GetDocumentByIdServlet?cifrado=QUC1GjXXSiLkydRHJBmbpw%3D%3D&amp;DocumentIdParam=Tta1dsxxqXVhW4KXgPFsZYDNTnD8jZPMer4Kcs1zbWOI%2BXtEWvjnUhX7WbfEyhQW8Vy/Ui6IfXBu7ulhUyZxhyS16XMoWQcWbP%2Bmz3OdDC%2B1aXEvq3KHa/AEHgtDrQw0" TargetMode="External" Id="rId3294" /><Relationship Type="http://schemas.openxmlformats.org/officeDocument/2006/relationships/hyperlink" Target="https://contrataciondelestado.es/wps/poc?uri=deeplink:detalle_licitacion&amp;idEvl=f5UAT4icjXV4zIRvjBVCSw%3D%3D" TargetMode="External" Id="rId3295" /><Relationship Type="http://schemas.openxmlformats.org/officeDocument/2006/relationships/hyperlink" Target="https://contrataciondelestado.es/FileSystem/servlet/GetDocumentByIdServlet?cifrado=QUC1GjXXSiLkydRHJBmbpw%3D%3D&amp;DocumentIdParam=4SkProNXk53BA0IkirQ7pRA9kbaUhkgEiAZR2NFl1S%2BCS6xwY9ejc26hYty6b9ujkuFcMP94oP7DKShJPc7FxFeaVz/qQc1Ni3L1S07xDsd7QB3HKyQaFUExmUVQCerk" TargetMode="External" Id="rId3296" /><Relationship Type="http://schemas.openxmlformats.org/officeDocument/2006/relationships/hyperlink" Target="https://contrataciondelestado.es/wps/poc?uri=deeplink:detalle_licitacion&amp;idEvl=vWky0cebmP1rSd8H4b2soA%3D%3D" TargetMode="External" Id="rId3297" /><Relationship Type="http://schemas.openxmlformats.org/officeDocument/2006/relationships/hyperlink" Target="https://contrataciondelestado.es/FileSystem/servlet/GetDocumentByIdServlet?cifrado=QUC1GjXXSiLkydRHJBmbpw%3D%3D&amp;DocumentIdParam=OWJpjPrbbBSrke9k3H56wlz33qWYF40l%2BPCfk2C6UwiMHxBoBKhfV5Ugx2cuITSp8HNG8Co/x7gezuntNEV8fMb2APrsicTqSYP1fJRvkaC1aXEvq3KHa/AEHgtDrQw0" TargetMode="External" Id="rId3298" /><Relationship Type="http://schemas.openxmlformats.org/officeDocument/2006/relationships/hyperlink" Target="https://contrataciondelestado.es/wps/poc?uri=deeplink:detalle_licitacion&amp;idEvl=ubKTRtSZg9prSd8H4b2soA%3D%3D" TargetMode="External" Id="rId3299" /><Relationship Type="http://schemas.openxmlformats.org/officeDocument/2006/relationships/hyperlink" Target="https://contrataciondelestado.es/FileSystem/servlet/GetDocumentByIdServlet?cifrado=QUC1GjXXSiLkydRHJBmbpw%3D%3D&amp;DocumentIdParam=ytX%2BrL7pPXhbxK7cnb6UDVibFS7MI99dQXPgOx35fuBHVKq19WkJM0PHh3A0nenRSuLSRPg0MtZaLOVNUysUBFY7nigtM5NwmdByElfDH14//q7NB2iMZvNyf0xrJmjt" TargetMode="External" Id="rId3300" /><Relationship Type="http://schemas.openxmlformats.org/officeDocument/2006/relationships/hyperlink" Target="https://contrataciondelestado.es/wps/poc?uri=deeplink:detalle_licitacion&amp;idEvl=9kxbkBrlFsFVq4S9zvaQpQ%3D%3D" TargetMode="External" Id="rId3301" /><Relationship Type="http://schemas.openxmlformats.org/officeDocument/2006/relationships/hyperlink" Target="https://contrataciondelestado.es/FileSystem/servlet/GetDocumentByIdServlet?cifrado=QUC1GjXXSiLkydRHJBmbpw%3D%3D&amp;DocumentIdParam=brpNW/HQUn6t5boFqzQC4o6fYtWOVT8lkBpBPpF0uSYy9pBXoguMCFcNY8%2B2Cluw8RdM20WlTEOL34ESRd0fWYpuxnhJviSLGut9nJPcd7iHAj0WEJrB5sP7amrh2jBD" TargetMode="External" Id="rId3302" /><Relationship Type="http://schemas.openxmlformats.org/officeDocument/2006/relationships/hyperlink" Target="https://contrataciondelestado.es/wps/poc?uri=deeplink:detalle_licitacion&amp;idEvl=U9KYjWGkeubVGIpKDxgsAQ%3D%3D" TargetMode="External" Id="rId3303" /><Relationship Type="http://schemas.openxmlformats.org/officeDocument/2006/relationships/hyperlink" Target="https://contrataciondelestado.es/FileSystem/servlet/GetDocumentByIdServlet?cifrado=QUC1GjXXSiLkydRHJBmbpw%3D%3D&amp;DocumentIdParam=d5odCYECRvRPVfXxQXv0%2BZRJt328L0aQkN3pmCZ0qLBhDZZpV3EXXLpRFP%2BJZJDv5LPr9sJQPZHaueemx%2BJjUV%2BwxZs0pScb7h3FTcTADz3DdQD9RyhUmzT4jZ2In4zL" TargetMode="External" Id="rId3304" /><Relationship Type="http://schemas.openxmlformats.org/officeDocument/2006/relationships/hyperlink" Target="https://contrataciondelestado.es/wps/poc?uri=deeplink:detalle_licitacion&amp;idEvl=DbQ1dyjFeeuFlFRHfEzEaw%3D%3D" TargetMode="External" Id="rId3305" /><Relationship Type="http://schemas.openxmlformats.org/officeDocument/2006/relationships/hyperlink" Target="https://contrataciondelestado.es/FileSystem/servlet/GetDocumentByIdServlet?cifrado=QUC1GjXXSiLkydRHJBmbpw%3D%3D&amp;DocumentIdParam=d2pU/wHR1wtzvzzA8kivjaFOvXjx3KvJ7y6OhQ4gPPAIQ4pgPiUj5fbVsdo3M50Gf1anLABQJj8zdjsLzxEDwmMzX4PLcrAvVp7UMApolgBJOVDbGCDM%2BMigrvuVS7Rv" TargetMode="External" Id="rId3306" /><Relationship Type="http://schemas.openxmlformats.org/officeDocument/2006/relationships/hyperlink" Target="https://contrataciondelestado.es/wps/poc?uri=deeplink:detalle_licitacion&amp;idEvl=xFF1fTTQVBX9pbnDwlaUlg%3D%3D" TargetMode="External" Id="rId3307" /><Relationship Type="http://schemas.openxmlformats.org/officeDocument/2006/relationships/hyperlink" Target="https://contrataciondelestado.es/FileSystem/servlet/GetDocumentByIdServlet?cifrado=QUC1GjXXSiLkydRHJBmbpw%3D%3D&amp;DocumentIdParam=/sUi26P2WE4JFNQgktk1T2U7cRGi6uOAQovQpKX0LMLQP1VO%2B5cv52Dex9rlOTJx%2BC4hoPQHCMfpoX8LwJXrfXssGQhW7eWWnT8KNSD92zjVTD3T98KC0nSgQFM0q%2B5s" TargetMode="External" Id="rId3308" /><Relationship Type="http://schemas.openxmlformats.org/officeDocument/2006/relationships/hyperlink" Target="https://contrataciondelestado.es/wps/poc?uri=deeplink:detalle_licitacion&amp;idEvl=aqjO5flT5Ff%2Fa9DgO%2BoYKQ%3D%3D" TargetMode="External" Id="rId3309" /><Relationship Type="http://schemas.openxmlformats.org/officeDocument/2006/relationships/hyperlink" Target="https://contrataciondelestado.es/FileSystem/servlet/GetDocumentByIdServlet?cifrado=QUC1GjXXSiLkydRHJBmbpw%3D%3D&amp;DocumentIdParam=WuTfmkqLvPE5/PACIl4Bb0Pm51yadS/57RNF4AT9Bfhldwh6Xc/0QJf8Nql3ChnwRRO9qSPOuSUi15wZr21zdjEmQml14Qeg1nHC2/%2Bu7Y7VTD3T98KC0nSgQFM0q%2B5s" TargetMode="External" Id="rId3310" /><Relationship Type="http://schemas.openxmlformats.org/officeDocument/2006/relationships/hyperlink" Target="https://contrataciondelestado.es/wps/poc?uri=deeplink:detalle_licitacion&amp;idEvl=quiyTxalfSfs%2BnLj3vAg5A%3D%3D" TargetMode="External" Id="rId3311" /><Relationship Type="http://schemas.openxmlformats.org/officeDocument/2006/relationships/hyperlink" Target="https://contrataciondelestado.es/FileSystem/servlet/GetDocumentByIdServlet?cifrado=QUC1GjXXSiLkydRHJBmbpw%3D%3D&amp;DocumentIdParam=xwLjrejys2TrR0YUrFhTvSWt7JiY6GrtxdfM6uilnUqIOyIdNrcBiGy7Kv4t1Xh7eJH/n%2BAVTkm5Hadini9lEZu%2B0Q8VjuCF04RgolM/vO3DdQD9RyhUmzT4jZ2In4zL" TargetMode="External" Id="rId3312" /><Relationship Type="http://schemas.openxmlformats.org/officeDocument/2006/relationships/hyperlink" Target="https://contrataciondelestado.es/wps/poc?uri=deeplink:detalle_licitacion&amp;idEvl=Rde4dXVVRsvgL1BHd3qjQA%3D%3D" TargetMode="External" Id="rId3313" /><Relationship Type="http://schemas.openxmlformats.org/officeDocument/2006/relationships/hyperlink" Target="https://contrataciondelestado.es/FileSystem/servlet/GetDocumentByIdServlet?cifrado=QUC1GjXXSiLkydRHJBmbpw%3D%3D&amp;DocumentIdParam=xQk2wtfTNOpDyOtkLhDUI7OCr/LFkIQsdwkOEVhr1w4vLVUFU/Z8f9PA0LxDDTab2PYXG2qC1gnQ4CcGc%2By8gYDEnaR0ReKMWbsUUUSr3K%2BCx2e6p7hqtlp2aFupgHMr" TargetMode="External" Id="rId3314" /><Relationship Type="http://schemas.openxmlformats.org/officeDocument/2006/relationships/hyperlink" Target="https://contrataciondelestado.es/wps/poc?uri=deeplink:detalle_licitacion&amp;idEvl=E2Yy8TxFMCpQFSeKCRun4Q%3D%3D" TargetMode="External" Id="rId3315" /><Relationship Type="http://schemas.openxmlformats.org/officeDocument/2006/relationships/hyperlink" Target="https://contrataciondelestado.es/FileSystem/servlet/GetDocumentByIdServlet?cifrado=QUC1GjXXSiLkydRHJBmbpw%3D%3D&amp;DocumentIdParam=zb0OHq2HQQ9I2UMe11YmYofJlPSt43G8HXIQ6R5arlO7DB%2BAzZ58GYmbNViEsrQg4eOkBD3o0jkr56bK7UCCPFJ6t5wtZ7lZu1K1m1XjYrN7QB3HKyQaFUExmUVQCerk" TargetMode="External" Id="rId3316" /><Relationship Type="http://schemas.openxmlformats.org/officeDocument/2006/relationships/hyperlink" Target="https://contrataciondelestado.es/wps/poc?uri=deeplink:detalle_licitacion&amp;idEvl=GWaXTOl7B%2FrVGIpKDxgsAQ%3D%3D" TargetMode="External" Id="rId3317" /><Relationship Type="http://schemas.openxmlformats.org/officeDocument/2006/relationships/hyperlink" Target="https://contrataciondelestado.es/FileSystem/servlet/GetDocumentByIdServlet?cifrado=QUC1GjXXSiLkydRHJBmbpw%3D%3D&amp;DocumentIdParam=VI3xA2IjraSbbNiyq5c3%2BmNq/ufeL7G1RNrCh6KFrda7K0MTY6jIU%2BucE4L8YPYgOhq0/1zx%2Bh0u87xMwVWoCYCILWX7/cq5IaD/r25YXvj3GVhXrFFqN7yFncy7YfRK" TargetMode="External" Id="rId3318" /><Relationship Type="http://schemas.openxmlformats.org/officeDocument/2006/relationships/hyperlink" Target="https://contrataciondelestado.es/wps/poc?uri=deeplink:detalle_licitacion&amp;idEvl=0aGgrSSZs53i0Kd8%2Brcp6w%3D%3D" TargetMode="External" Id="rId3319" /><Relationship Type="http://schemas.openxmlformats.org/officeDocument/2006/relationships/hyperlink" Target="https://contrataciondelestado.es/FileSystem/servlet/GetDocumentByIdServlet?cifrado=QUC1GjXXSiLkydRHJBmbpw%3D%3D&amp;DocumentIdParam=amuccgJWCtMXWqXXcPYU3M7%2BG70zJPV/qJV5L65TgEsEixjDD2oovdMt8UzwKkAiKHt%2B%2Bq67wWKdf3c1poPv5/%2BhV9c4ZnC%2B5aSLzBXEFPp7QB3HKyQaFUExmUVQCerk" TargetMode="External" Id="rId3320" /><Relationship Type="http://schemas.openxmlformats.org/officeDocument/2006/relationships/hyperlink" Target="https://contrataciondelestado.es/wps/poc?uri=deeplink:detalle_licitacion&amp;idEvl=THC%2BVp2hV%2Bh6nTs9LZ9RhQ%3D%3D" TargetMode="External" Id="rId3321" /><Relationship Type="http://schemas.openxmlformats.org/officeDocument/2006/relationships/hyperlink" Target="https://contrataciondelestado.es/FileSystem/servlet/GetDocumentByIdServlet?cifrado=QUC1GjXXSiLkydRHJBmbpw%3D%3D&amp;DocumentIdParam=CHgG80wJTEjv/YAIr0fJHrC7S0YTqQVDR0y/r3MR79TlhjP%2B4tEZjWMdArVgx7W0%2BgO7L2PTotsVr%2BhLFD0YwO9tcC53Q/RnBtnOAddoda/DdQD9RyhUmzT4jZ2In4zL" TargetMode="External" Id="rId3322" /><Relationship Type="http://schemas.openxmlformats.org/officeDocument/2006/relationships/hyperlink" Target="https://contrataciondelestado.es/wps/poc?uri=deeplink:detalle_licitacion&amp;idEvl=j%2BPlowDlItgQyBAnWzHfCg%3D%3D" TargetMode="External" Id="rId3323" /><Relationship Type="http://schemas.openxmlformats.org/officeDocument/2006/relationships/hyperlink" Target="https://contrataciondelestado.es/FileSystem/servlet/GetDocumentByIdServlet?cifrado=QUC1GjXXSiLkydRHJBmbpw%3D%3D&amp;DocumentIdParam=ljJZKAEkSp7rodSaLnsGBPDfop5Wrvxf6LQ4o/1hLz0w2sDP8lkAU/5hCM7R3EANPekp2wb6hjDJPUGFwsNr0sKFq5uLX3mVCGb0YT3eF221aXEvq3KHa/AEHgtDrQw0" TargetMode="External" Id="rId3324" /><Relationship Type="http://schemas.openxmlformats.org/officeDocument/2006/relationships/hyperlink" Target="https://contrataciondelestado.es/wps/poc?uri=deeplink:detalle_licitacion&amp;idEvl=dD%2FooQnPxn1QFSeKCRun4Q%3D%3D" TargetMode="External" Id="rId3325" /><Relationship Type="http://schemas.openxmlformats.org/officeDocument/2006/relationships/hyperlink" Target="https://contrataciondelestado.es/FileSystem/servlet/GetDocumentByIdServlet?cifrado=QUC1GjXXSiLkydRHJBmbpw%3D%3D&amp;DocumentIdParam=lygCXqwNANCYAYChvmfjT0o7k9ov4PaHLZwdseXdT4rH4zv714%2B6oLR2BvI1DEgKHqM1JMT2XQkvxVAE9tRi%2BWPcca4N7i65PLBzkqPGs17fdyQgZAdTm3EfcUAC7CJ6" TargetMode="External" Id="rId3326" /><Relationship Type="http://schemas.openxmlformats.org/officeDocument/2006/relationships/hyperlink" Target="https://contrataciondelestado.es/wps/poc?uri=deeplink:detalle_licitacion&amp;idEvl=wV9%2BSBQfMdg%2B1TMyIiZmzw%3D%3D" TargetMode="External" Id="rId3327" /><Relationship Type="http://schemas.openxmlformats.org/officeDocument/2006/relationships/hyperlink" Target="https://contrataciondelestado.es/FileSystem/servlet/GetDocumentByIdServlet?cifrado=QUC1GjXXSiLkydRHJBmbpw%3D%3D&amp;DocumentIdParam=MMShmC5gX8X3ZIwQTdNXk0Tgf7lKWgcWdRvAU9RPJVTFCRCo7JlGPMTPuEjf9UYFigPIPnnegezNAoDjNHqjaWuhw3%2BVZxGBv%2Bi9fsSFBOeHAj0WEJrB5sP7amrh2jBD" TargetMode="External" Id="rId3328" /><Relationship Type="http://schemas.openxmlformats.org/officeDocument/2006/relationships/hyperlink" Target="https://contrataciondelestado.es/wps/poc?uri=deeplink:detalle_licitacion&amp;idEvl=qhWusGuMHIYkJPJS%2BPS9vg%3D%3D" TargetMode="External" Id="rId3329" /><Relationship Type="http://schemas.openxmlformats.org/officeDocument/2006/relationships/hyperlink" Target="https://contrataciondelestado.es/FileSystem/servlet/GetDocumentByIdServlet?cifrado=QUC1GjXXSiLkydRHJBmbpw%3D%3D&amp;DocumentIdParam=gbDvrXeyAywq9VY3bvkQAz7gJ/ROD31nQrJwi2QhlQGVnH71P3ItyK9trsIUi3MDvYZIte/Fqg/qX7jurF/GBJypYHnXg/gn3NBafUcAvyQ//q7NB2iMZvNyf0xrJmjt" TargetMode="External" Id="rId3330" /><Relationship Type="http://schemas.openxmlformats.org/officeDocument/2006/relationships/hyperlink" Target="https://contrataciondelestado.es/wps/poc?uri=deeplink:detalle_licitacion&amp;idEvl=wAYeChv70RM3vLk2DU2Ddg%3D%3D" TargetMode="External" Id="rId3331" /><Relationship Type="http://schemas.openxmlformats.org/officeDocument/2006/relationships/hyperlink" Target="https://contrataciondelestado.es/FileSystem/servlet/GetDocumentByIdServlet?cifrado=QUC1GjXXSiLkydRHJBmbpw%3D%3D&amp;DocumentIdParam=Syu1OPjxFPdfPBzzCIbkQSh/JkTUsQb5bo9VP//69TDDRyD%2BKG16BZFHaE2te7G%2Bxe43/00f2C/zCoYxRCEQItf15OXJgVir%2BOoHvvfabw7DdQD9RyhUmzT4jZ2In4zL" TargetMode="External" Id="rId3332" /><Relationship Type="http://schemas.openxmlformats.org/officeDocument/2006/relationships/hyperlink" Target="https://contrataciondelestado.es/wps/poc?uri=deeplink:detalle_licitacion&amp;idEvl=8wN0CMx8ndkl5NjlNci%2BtA%3D%3D" TargetMode="External" Id="rId3333" /><Relationship Type="http://schemas.openxmlformats.org/officeDocument/2006/relationships/hyperlink" Target="https://contrataciondelestado.es/FileSystem/servlet/GetDocumentByIdServlet?cifrado=QUC1GjXXSiLkydRHJBmbpw%3D%3D&amp;DocumentIdParam=iDdKNitVdZRcP/tyY/WRV%2BTJ7RV8iQ7%2BDPxQEOOdptLhDrYNMiIY2etuSGwbAjhb3TZT0EjyNqPDk1ONFBmCIvdtGNQeALomO5yE5irZw60ZyAJWGsSt0OzTSTyw9JAs" TargetMode="External" Id="rId3334" /><Relationship Type="http://schemas.openxmlformats.org/officeDocument/2006/relationships/hyperlink" Target="https://contrataciondelestado.es/wps/poc?uri=deeplink:detalle_licitacion&amp;idEvl=FoHX4RJB4DP%2Fa9DgO%2BoYKQ%3D%3D" TargetMode="External" Id="rId3335" /><Relationship Type="http://schemas.openxmlformats.org/officeDocument/2006/relationships/hyperlink" Target="https://contrataciondelestado.es/FileSystem/servlet/GetDocumentByIdServlet?cifrado=QUC1GjXXSiLkydRHJBmbpw%3D%3D&amp;DocumentIdParam=M%2BwAgRprBMpnbfAFwgplTyrYMPw51XA14M5E%2B5EkA4LBfbPfr/vEfXBjk9uXde5WkHBaKTwavkkREgFeUR9MRQwAVedaUn93tbSHIJf83NeB0nvVKRzfe4rpHcnlPhSZ" TargetMode="External" Id="rId3336" /><Relationship Type="http://schemas.openxmlformats.org/officeDocument/2006/relationships/hyperlink" Target="https://contrataciondelestado.es/wps/poc?uri=deeplink:detalle_licitacion&amp;idEvl=Pt6WDb8%2F2k0mMOlAXxDEjw%3D%3D" TargetMode="External" Id="rId3337" /><Relationship Type="http://schemas.openxmlformats.org/officeDocument/2006/relationships/hyperlink" Target="https://contrataciondelestado.es/wps/poc?uri=deeplink:detalle_licitacion&amp;idEvl=foNIaqdzJoleKgd8LfVV9g%3D%3D" TargetMode="External" Id="rId3338" /><Relationship Type="http://schemas.openxmlformats.org/officeDocument/2006/relationships/hyperlink" Target="https://contrataciondelestado.es/FileSystem/servlet/GetDocumentByIdServlet?cifrado=QUC1GjXXSiLkydRHJBmbpw%3D%3D&amp;DocumentIdParam=QfV6t127Uv2Ju6p5%2BBPzSSJzmxYvBbnjvCvX2ekjXNc%2BXfoq0nbYIeCBOXkj0wGCAZw7mun2AbvHIPx1b0C6nL6DDQfu2wPj1mGl3wcNAUXfdyQgZAdTm3EfcUAC7CJ6" TargetMode="External" Id="rId3339" /><Relationship Type="http://schemas.openxmlformats.org/officeDocument/2006/relationships/hyperlink" Target="https://contrataciondelestado.es/wps/poc?uri=deeplink:detalle_licitacion&amp;idEvl=UUYyOPX06tJ6nTs9LZ9RhQ%3D%3D" TargetMode="External" Id="rId3340" /><Relationship Type="http://schemas.openxmlformats.org/officeDocument/2006/relationships/hyperlink" Target="https://contrataciondelestado.es/FileSystem/servlet/GetDocumentByIdServlet?cifrado=QUC1GjXXSiLkydRHJBmbpw%3D%3D&amp;DocumentIdParam=bLPV4Unj2bx1uUByrXlat6gRgrvGIeNRDIs5Ejb9VujfH5Qh%2BhBJY4kzBCFh%2B1%2Bon59R4DqUc5BneOIELmtWfo3mQK/vBk0pCf%2BFMJ02IQe1aXEvq3KHa/AEHgtDrQw0" TargetMode="External" Id="rId3341" /><Relationship Type="http://schemas.openxmlformats.org/officeDocument/2006/relationships/hyperlink" Target="https://contrataciondelestado.es/wps/poc?uri=deeplink:detalle_licitacion&amp;idEvl=ba6FY4T8VwKopEMYCmrbmw%3D%3D" TargetMode="External" Id="rId3342" /><Relationship Type="http://schemas.openxmlformats.org/officeDocument/2006/relationships/hyperlink" Target="https://contrataciondelestado.es/FileSystem/servlet/GetDocumentByIdServlet?cifrado=QUC1GjXXSiLkydRHJBmbpw%3D%3D&amp;DocumentIdParam=gdmHt7PqPRc39djbhNoU2NneFB7T0tpoajqTjrBXtE%2BUXrDBFNAdWHegEiX2glmb7CQ7ftOLtHJ8YxMCevWIPcI5CnvubzJH/DFtFwBWrn2B0nvVKRzfe4rpHcnlPhSZ" TargetMode="External" Id="rId3343" /><Relationship Type="http://schemas.openxmlformats.org/officeDocument/2006/relationships/hyperlink" Target="https://contrataciondelestado.es/wps/poc?uri=deeplink:detalle_licitacion&amp;idEvl=F%2BkewY5JxpM%2Bk2oCbDosIw%3D%3D" TargetMode="External" Id="rId3344" /><Relationship Type="http://schemas.openxmlformats.org/officeDocument/2006/relationships/hyperlink" Target="https://contrataciondelestado.es/FileSystem/servlet/GetDocumentByIdServlet?cifrado=QUC1GjXXSiLkydRHJBmbpw%3D%3D&amp;DocumentIdParam=fc3784eoqNwp76Yr9ZQ4X/XP%2Bnr3bx00bFw7Z0VD2lXVPE2ZeyqzjXaRRfKKonl0GNDw3rrRqrIqtY%2BpQXzoMjOjYMhGYZNJk55G9nqRYMWB0nvVKRzfe4rpHcnlPhSZ" TargetMode="External" Id="rId3345" /><Relationship Type="http://schemas.openxmlformats.org/officeDocument/2006/relationships/hyperlink" Target="https://contrataciondelestado.es/wps/poc?uri=deeplink:detalle_licitacion&amp;idEvl=gIC0%2B%2ByHjq6TylGzYmBF9Q%3D%3D" TargetMode="External" Id="rId3346" /><Relationship Type="http://schemas.openxmlformats.org/officeDocument/2006/relationships/hyperlink" Target="https://contrataciondelestado.es/FileSystem/servlet/GetDocumentByIdServlet?cifrado=QUC1GjXXSiLkydRHJBmbpw%3D%3D&amp;DocumentIdParam=mi8hCxmbdvJjZIu4fDnywrSFscGi5dLftRJwHCxbRAOqfFOQPzOscWefhajNzouZOEtXhBh/UjKsIxdGpcDtToLqUYoaKAwj4QmpQujVjK33GVhXrFFqN7yFncy7YfRK" TargetMode="External" Id="rId3347" /><Relationship Type="http://schemas.openxmlformats.org/officeDocument/2006/relationships/hyperlink" Target="https://contrataciondelestado.es/wps/poc?uri=deeplink:detalle_licitacion&amp;idEvl=CvkZzCQnmFAkJPJS%2BPS9vg%3D%3D" TargetMode="External" Id="rId3348" /><Relationship Type="http://schemas.openxmlformats.org/officeDocument/2006/relationships/hyperlink" Target="https://contrataciondelestado.es/FileSystem/servlet/GetDocumentByIdServlet?cifrado=QUC1GjXXSiLkydRHJBmbpw%3D%3D&amp;DocumentIdParam=9A6e90uzu3%2BPhILdVCExdEcOKTlNyAUKOi6qiK5q7DChjY3P4PZd72SxXAZG953woXJRzX1K4zsvrtta6cuycr2b9hgG2Efi/WwR7dkY3StJOVDbGCDM%2BMigrvuVS7Rv" TargetMode="External" Id="rId3349" /><Relationship Type="http://schemas.openxmlformats.org/officeDocument/2006/relationships/hyperlink" Target="https://contrataciondelestado.es/wps/poc?uri=deeplink:detalle_licitacion&amp;idEvl=FuUfFe4c%2FCJ9PLkba5eRog%3D%3D" TargetMode="External" Id="rId3350" /><Relationship Type="http://schemas.openxmlformats.org/officeDocument/2006/relationships/hyperlink" Target="https://contrataciondelestado.es/FileSystem/servlet/GetDocumentByIdServlet?cifrado=QUC1GjXXSiLkydRHJBmbpw%3D%3D&amp;DocumentIdParam=DFVj7FE7mmR%2B33nDCJrNpBJ47qkHcpgR31KIDfGr8xw4yYJQemFCqCEkMbBrotGKpHN3eQs8rc4oGEnUWyJYLLEdhi3VGDf3Zv/nfwAEUPnfdyQgZAdTm3EfcUAC7CJ6" TargetMode="External" Id="rId3351" /><Relationship Type="http://schemas.openxmlformats.org/officeDocument/2006/relationships/hyperlink" Target="https://contrataciondelestado.es/wps/poc?uri=deeplink:detalle_licitacion&amp;idEvl=MukClzzLGT%2B7JOCXkOhcDg%3D%3D" TargetMode="External" Id="rId3352" /><Relationship Type="http://schemas.openxmlformats.org/officeDocument/2006/relationships/hyperlink" Target="https://contrataciondelestado.es/FileSystem/servlet/GetDocumentByIdServlet?cifrado=QUC1GjXXSiLkydRHJBmbpw%3D%3D&amp;DocumentIdParam=HRksmpw0Gk2StmmY0ECgb9%2BTidgfYePI1cUdrbJbpvjyloopiWo8h0n15TFJaH9bZswBRUDTPmjJeLi47Lv1yj56oKRkqCOmstJIq7YIEdD3GVhXrFFqN7yFncy7YfRK" TargetMode="External" Id="rId3353" /><Relationship Type="http://schemas.openxmlformats.org/officeDocument/2006/relationships/hyperlink" Target="https://contrataciondelestado.es/wps/poc?uri=deeplink:detalle_licitacion&amp;idEvl=%2FCq12lPoK7uopEMYCmrbmw%3D%3D" TargetMode="External" Id="rId3354" /><Relationship Type="http://schemas.openxmlformats.org/officeDocument/2006/relationships/hyperlink" Target="https://contrataciondelestado.es/FileSystem/servlet/GetDocumentByIdServlet?cifrado=QUC1GjXXSiLkydRHJBmbpw%3D%3D&amp;DocumentIdParam=wuSiMGhiFz/8HJswcgbFU%2B/HGc2YFhcOAfNbfFRjzeVUfFfSBF2SX0nZxWoEwE7S1S6e5h3MJnN4uaJe1j5d4A77xTGo/u/hPS/4WsoVogIC1/zDIE0Kw/PWNnLS0Z0z" TargetMode="External" Id="rId3355" /><Relationship Type="http://schemas.openxmlformats.org/officeDocument/2006/relationships/hyperlink" Target="https://contrataciondelestado.es/wps/poc?uri=deeplink:detalle_licitacion&amp;idEvl=Oius1aSXezqFQ%2FlhRK79lA%3D%3D" TargetMode="External" Id="rId3356" /><Relationship Type="http://schemas.openxmlformats.org/officeDocument/2006/relationships/hyperlink" Target="https://contrataciondelestado.es/FileSystem/servlet/GetDocumentByIdServlet?cifrado=QUC1GjXXSiLkydRHJBmbpw%3D%3D&amp;DocumentIdParam=FNt%2BHRIcseD6BTEKj8NWNP0ZKmMohI16zDSd4XhsUs/WqAqSqkgu3IUjbaX79LErlM944qaw50tzXZkpU8hDfiA55pRvLfRp7QmCBQNf1097QB3HKyQaFUExmUVQCerk" TargetMode="External" Id="rId3357" /><Relationship Type="http://schemas.openxmlformats.org/officeDocument/2006/relationships/hyperlink" Target="https://contrataciondelestado.es/wps/poc?uri=deeplink:detalle_licitacion&amp;idEvl=2%2FrVS1eMVs8zjChw4z%2FXvw%3D%3D" TargetMode="External" Id="rId3358" /><Relationship Type="http://schemas.openxmlformats.org/officeDocument/2006/relationships/hyperlink" Target="https://contrataciondelestado.es/FileSystem/servlet/GetDocumentByIdServlet?cifrado=QUC1GjXXSiLkydRHJBmbpw%3D%3D&amp;DocumentIdParam=%2BkFLefBxiszcH%2BK2l491kDIP2EIycX0BMrrvKFvSDaoBH%2BTX9RlzXGYO/g6p2BJMSs8Jf875DvceDaUUHX2yEg%2BFU6vG5AdXGajabP/tR46HAj0WEJrB5sP7amrh2jBD" TargetMode="External" Id="rId3359" /><Relationship Type="http://schemas.openxmlformats.org/officeDocument/2006/relationships/hyperlink" Target="https://contrataciondelestado.es/wps/poc?uri=deeplink:detalle_licitacion&amp;idEvl=i1jUKg0H2ko%2Bk2oCbDosIw%3D%3D" TargetMode="External" Id="rId3360" /><Relationship Type="http://schemas.openxmlformats.org/officeDocument/2006/relationships/hyperlink" Target="https://contrataciondelestado.es/FileSystem/servlet/GetDocumentByIdServlet?cifrado=QUC1GjXXSiLkydRHJBmbpw%3D%3D&amp;DocumentIdParam=NLiGvrlBZKDB8mPb4bhZxpHy3WhmLO0NiJymbrQd0fzlb9Bzbe5Ml3PDKiMIyIkau7yGz3BnwtC6c5IYWdfCyOyBJmIQr%2B7etdZ6w70U29l7QB3HKyQaFUExmUVQCerk" TargetMode="External" Id="rId3361" /><Relationship Type="http://schemas.openxmlformats.org/officeDocument/2006/relationships/hyperlink" Target="https://contrataciondelestado.es/wps/poc?uri=deeplink:detalle_licitacion&amp;idEvl=RHln4O1U8%2FQ7%2B9FIQYNjeQ%3D%3D" TargetMode="External" Id="rId3362" /><Relationship Type="http://schemas.openxmlformats.org/officeDocument/2006/relationships/hyperlink" Target="https://contrataciondelestado.es/FileSystem/servlet/GetDocumentByIdServlet?cifrado=QUC1GjXXSiLkydRHJBmbpw%3D%3D&amp;DocumentIdParam=Hpsc5jfAXjKP2FupxHufT5ke4KG3/47RUENGklfme2iHCQT1pZJ8szBMwI6MxohQmnMrakwwj6GthiSQWqRbF0%2BUJCu5fChKrqI3AtbbkZK1aXEvq3KHa/AEHgtDrQw0" TargetMode="External" Id="rId3363" /><Relationship Type="http://schemas.openxmlformats.org/officeDocument/2006/relationships/hyperlink" Target="https://contrataciondelestado.es/wps/poc?uri=deeplink:detalle_licitacion&amp;idEvl=0ElQojJH8aj5Rey58Yagpg%3D%3D" TargetMode="External" Id="rId3364" /><Relationship Type="http://schemas.openxmlformats.org/officeDocument/2006/relationships/hyperlink" Target="https://contrataciondelestado.es/wps/poc?uri=deeplink:detalle_licitacion&amp;idEvl=WLqIvohEiKgXhk1FZxEyvw%3D%3D" TargetMode="External" Id="rId3365" /><Relationship Type="http://schemas.openxmlformats.org/officeDocument/2006/relationships/hyperlink" Target="https://contrataciondelestado.es/FileSystem/servlet/GetDocumentByIdServlet?cifrado=QUC1GjXXSiLkydRHJBmbpw%3D%3D&amp;DocumentIdParam=CgBl4aTm83f7XlBFDyWuctvfPQSJHu7IiQzrr10mOSmCTybf1/siUZ9plZZHiZUTAk8NDOhlb75MzVBbzaPqHcIdUJ5Jx0OSLevgpLZQXe5JOVDbGCDM%2BMigrvuVS7Rv" TargetMode="External" Id="rId3366" /><Relationship Type="http://schemas.openxmlformats.org/officeDocument/2006/relationships/hyperlink" Target="https://contrataciondelestado.es/wps/poc?uri=deeplink:detalle_licitacion&amp;idEvl=dV4NErk5RcisNfRW6APEDw%3D%3D" TargetMode="External" Id="rId3367" /><Relationship Type="http://schemas.openxmlformats.org/officeDocument/2006/relationships/hyperlink" Target="https://contrataciondelestado.es/FileSystem/servlet/GetDocumentByIdServlet?cifrado=QUC1GjXXSiLkydRHJBmbpw%3D%3D&amp;DocumentIdParam=YDz7PhOijrSV0f7C7pE8fSrPC/5Nf1dSxPmorBehGoglBHkpvMfrZrNLGDFj7mPMGmenpUb/k3jRZkWO2dtMxqd2/NA0vvtYkxQORYOXvNtJOVDbGCDM%2BMigrvuVS7Rv" TargetMode="External" Id="rId3368" /><Relationship Type="http://schemas.openxmlformats.org/officeDocument/2006/relationships/hyperlink" Target="https://contrataciondelestado.es/wps/poc?uri=deeplink:detalle_licitacion&amp;idEvl=M5Sfj09dtWDkY6rls5tG9A%3D%3D" TargetMode="External" Id="rId3369" /><Relationship Type="http://schemas.openxmlformats.org/officeDocument/2006/relationships/hyperlink" Target="https://contrataciondelestado.es/FileSystem/servlet/GetDocumentByIdServlet?cifrado=QUC1GjXXSiLkydRHJBmbpw%3D%3D&amp;DocumentIdParam=ivtTStE/1CLxID1rSEmMd1sDLSDkkXx8mrz4ry9oeGVZ3rP7HrNPb25HCbfe/a64GR8qMKZiLfBxGWRiS27R/U0HB6adQNtpA5uGATUck0sC1/zDIE0Kw/PWNnLS0Z0z" TargetMode="External" Id="rId3370" /><Relationship Type="http://schemas.openxmlformats.org/officeDocument/2006/relationships/hyperlink" Target="https://contrataciondelestado.es/wps/poc?uri=deeplink:detalle_licitacion&amp;idEvl=weILdLlBNJyKeVWTb9Scog%3D%3D" TargetMode="External" Id="rId3371" /><Relationship Type="http://schemas.openxmlformats.org/officeDocument/2006/relationships/hyperlink" Target="https://contrataciondelestado.es/FileSystem/servlet/GetDocumentByIdServlet?cifrado=QUC1GjXXSiLkydRHJBmbpw%3D%3D&amp;DocumentIdParam=9Kp9L0watlwu%2BEyLdKrWYgiOd2/zjzmh3NE4xO%2B4uzGLFBYKRkBXDY/AIYwwym0b%2BU63b2eAzyx3tnYDw9mWfcZWecDYso8/TOkyn16gAXOHAj0WEJrB5sP7amrh2jBD" TargetMode="External" Id="rId3372" /><Relationship Type="http://schemas.openxmlformats.org/officeDocument/2006/relationships/hyperlink" Target="https://contrataciondelestado.es/wps/poc?uri=deeplink:detalle_licitacion&amp;idEvl=IzlPmUaw1iSzz8fXU2i3eQ%3D%3D" TargetMode="External" Id="rId3373" /><Relationship Type="http://schemas.openxmlformats.org/officeDocument/2006/relationships/hyperlink" Target="https://contrataciondelestado.es/wps/poc?uri=deeplink:detalle_licitacion&amp;idEvl=zEbPnh5PIFGLAncw3qdZkA%3D%3D" TargetMode="External" Id="rId3374" /><Relationship Type="http://schemas.openxmlformats.org/officeDocument/2006/relationships/hyperlink" Target="https://contrataciondelestado.es/FileSystem/servlet/GetDocumentByIdServlet?cifrado=QUC1GjXXSiLkydRHJBmbpw%3D%3D&amp;DocumentIdParam=EL2riNCLKqI7nDpa5ier1RxuNKoAJYlXO8nzuKPfCGtsBPfH7WMMPlOZUi5WmQq4/vDq5v3HfXydXDWQrQ8oUpuZSlBL48jEGHi1pCgXCI%2BHAj0WEJrB5sP7amrh2jBD" TargetMode="External" Id="rId3375" /><Relationship Type="http://schemas.openxmlformats.org/officeDocument/2006/relationships/hyperlink" Target="https://contrataciondelestado.es/wps/poc?uri=deeplink:detalle_licitacion&amp;idEvl=C7fsUQfHxmLIGlsa0Wad%2Bw%3D%3D" TargetMode="External" Id="rId3376" /><Relationship Type="http://schemas.openxmlformats.org/officeDocument/2006/relationships/hyperlink" Target="https://contrataciondelestado.es/FileSystem/servlet/GetDocumentByIdServlet?cifrado=QUC1GjXXSiLkydRHJBmbpw%3D%3D&amp;DocumentIdParam=0u2TZW3rNstUCLL2rHnK9Jtc000/j4eqahAEk0%2B9J67ZNZtGDbDLc4banV5mNYYyOB2yAiXXYCHnqcxuHc9k0VE2Eo1uhZzwkOBn5QqkOF33GVhXrFFqN7yFncy7YfRK" TargetMode="External" Id="rId3377" /><Relationship Type="http://schemas.openxmlformats.org/officeDocument/2006/relationships/hyperlink" Target="https://contrataciondelestado.es/wps/poc?uri=deeplink:detalle_licitacion&amp;idEvl=ryRQPrroZDyFQ%2FlhRK79lA%3D%3D" TargetMode="External" Id="rId3378" /><Relationship Type="http://schemas.openxmlformats.org/officeDocument/2006/relationships/hyperlink" Target="https://contrataciondelestado.es/FileSystem/servlet/GetDocumentByIdServlet?cifrado=QUC1GjXXSiLkydRHJBmbpw%3D%3D&amp;DocumentIdParam=mZwoOjDzaSWSiMCrBoLnceoHR/3efW/RFZZ/9UepTkBDr8GaJGT0xvn/htU%2BBMuBy%2B/LKSO5MZBVeQ0XYlxAgyGWZdGpNOOY%2BJViQRULEb7fdyQgZAdTm3EfcUAC7CJ6" TargetMode="External" Id="rId3379" /><Relationship Type="http://schemas.openxmlformats.org/officeDocument/2006/relationships/hyperlink" Target="https://contrataciondelestado.es/wps/poc?uri=deeplink:detalle_licitacion&amp;idEvl=j5GgH95YG5qzz8fXU2i3eQ%3D%3D" TargetMode="External" Id="rId3380" /><Relationship Type="http://schemas.openxmlformats.org/officeDocument/2006/relationships/hyperlink" Target="https://contrataciondelestado.es/FileSystem/servlet/GetDocumentByIdServlet?cifrado=QUC1GjXXSiLkydRHJBmbpw%3D%3D&amp;DocumentIdParam=o/QaVMI52Ol7JIzcwhRahTVmZwWFKDJiy/JFshB1aXCFDDVGYQ6N9DCGdfnUsmyvir%2BFXAxdl%2B/O0ViAVUqu%2BlES5bzevyf9HsEfX/WEmw4//q7NB2iMZvNyf0xrJmjt" TargetMode="External" Id="rId3381" /><Relationship Type="http://schemas.openxmlformats.org/officeDocument/2006/relationships/hyperlink" Target="https://contrataciondelestado.es/wps/poc?uri=deeplink:detalle_licitacion&amp;idEvl=jLPz7YdbMmLua%2Fi14w%2FPLA%3D%3D" TargetMode="External" Id="rId3382" /><Relationship Type="http://schemas.openxmlformats.org/officeDocument/2006/relationships/hyperlink" Target="https://contrataciondelestado.es/FileSystem/servlet/GetDocumentByIdServlet?cifrado=QUC1GjXXSiLkydRHJBmbpw%3D%3D&amp;DocumentIdParam=XuTwjMY97XNBb7llccMQ1erDqVnXjtIv9ck5LRa%2BY/YMH3AvquNO78D0YO4QOgj7TXYCOGgRp62UECewxbuCEo4Vh7f/D1XKQMwVNek7yn/VTD3T98KC0nSgQFM0q%2B5s" TargetMode="External" Id="rId3383" /><Relationship Type="http://schemas.openxmlformats.org/officeDocument/2006/relationships/hyperlink" Target="https://contrataciondelestado.es/wps/poc?uri=deeplink:detalle_licitacion&amp;idEvl=F%2FZXf4Ayy%2Fs3vLk2DU2Ddg%3D%3D" TargetMode="External" Id="rId3384" /><Relationship Type="http://schemas.openxmlformats.org/officeDocument/2006/relationships/hyperlink" Target="https://contrataciondelestado.es/FileSystem/servlet/GetDocumentByIdServlet?cifrado=QUC1GjXXSiLkydRHJBmbpw%3D%3D&amp;DocumentIdParam=ur/0kDpjQ80YoJpyKqs0cWr1fgeFkikBospAObmAE%2BVLtlt/kgFiPXKAugeMRI0t/xqs0R0xG8XXEkyQliup9S%2BCp0zD%2BJsGk4eR%2BX1brIPDdQD9RyhUmzT4jZ2In4zL" TargetMode="External" Id="rId3385" /><Relationship Type="http://schemas.openxmlformats.org/officeDocument/2006/relationships/hyperlink" Target="https://contrataciondelestado.es/wps/poc?uri=deeplink:detalle_licitacion&amp;idEvl=2OxGaFqeEo4S7pcxhTeWOg%3D%3D" TargetMode="External" Id="rId3386" /><Relationship Type="http://schemas.openxmlformats.org/officeDocument/2006/relationships/hyperlink" Target="https://contrataciondelestado.es/FileSystem/servlet/GetDocumentByIdServlet?DocumentIdParam=azSJcjNbfd%2BTFoK9DxkeKA/tsICXd7uDTt5pEgaWPWfjLWJLhliD7AYQ0bPbQI9HlT9W4iOOxHyit2JjQzEA3e05AW4PIjjTwxHqsOkMJGCB0nvVKRzfe4rpHcnlPhSZ&amp;cifrado=QUC1GjXXSiLkydRHJBmbpw%3D%3D" TargetMode="External" Id="rId3387" /><Relationship Type="http://schemas.openxmlformats.org/officeDocument/2006/relationships/hyperlink" Target="https://contrataciondelestado.es/wps/poc?uri=deeplink:detalle_licitacion&amp;idEvl=ngjRnQ2s1lsIYE3ZiZ%2BxmQ%3D%3D" TargetMode="External" Id="rId3388" /><Relationship Type="http://schemas.openxmlformats.org/officeDocument/2006/relationships/hyperlink" Target="https://contrataciondelestado.es/FileSystem/servlet/GetDocumentByIdServlet?cifrado=QUC1GjXXSiLkydRHJBmbpw%3D%3D&amp;DocumentIdParam=fB7E9XZ0Ypp5g%2Bpq97zA9zFdtoC9lp2Uysr6zJzvEAL/DQo7VekTrM9ejHqhPgEO0T2BE61HE15iOCom%2BRm8TQgOlPdSg0/H7lPChd/EqmFJOVDbGCDM%2BMigrvuVS7Rv" TargetMode="External" Id="rId3389" /><Relationship Type="http://schemas.openxmlformats.org/officeDocument/2006/relationships/hyperlink" Target="https://contrataciondelestado.es/wps/poc?uri=deeplink:detalle_licitacion&amp;idEvl=Kg3KZxJBEw9t5r0ngvMetA%3D%3D" TargetMode="External" Id="rId3390" /><Relationship Type="http://schemas.openxmlformats.org/officeDocument/2006/relationships/hyperlink" Target="https://contrataciondelestado.es/FileSystem/servlet/GetDocumentByIdServlet?DocumentIdParam=SwaGzgRX3jAVJin2G4fO%2B2IT7aMw30gShFPGHV567g77idTBRjRhuYQf7Jbvq80oz/SXnd45UqFB/RcEbZvx55mGMkVNL5IMbtaxw4TRUNaHAj0WEJrB5sP7amrh2jBD&amp;cifrado=QUC1GjXXSiLkydRHJBmbpw%3D%3D" TargetMode="External" Id="rId3391" /><Relationship Type="http://schemas.openxmlformats.org/officeDocument/2006/relationships/hyperlink" Target="https://contrataciondelestado.es/wps/poc?uri=deeplink:detalle_licitacion&amp;idEvl=mYyKCsfeSnQS7pcxhTeWOg%3D%3D" TargetMode="External" Id="rId3392" /><Relationship Type="http://schemas.openxmlformats.org/officeDocument/2006/relationships/hyperlink" Target="https://contrataciondelestado.es/FileSystem/servlet/GetDocumentByIdServlet?cifrado=QUC1GjXXSiLkydRHJBmbpw%3D%3D&amp;DocumentIdParam=gbDvrXeyAywq9VY3bvkQA42KPZo3pgcooKZbmnvr0RSUiOqN08g/V4bRkLoeBvRCgy3PfaIwW8UaPOvYDu1MltZ/Yv84WiaAfRResBTrPiN45ClyWkoJ44mKM70IFcOu" TargetMode="External" Id="rId3393" /><Relationship Type="http://schemas.openxmlformats.org/officeDocument/2006/relationships/hyperlink" Target="https://contrataciondelestado.es/wps/poc?uri=deeplink:detalle_licitacion&amp;idEvl=f8AQHjWV2KPjHF5qKI4aaw%3D%3D" TargetMode="External" Id="rId3394" /><Relationship Type="http://schemas.openxmlformats.org/officeDocument/2006/relationships/hyperlink" Target="https://contrataciondelestado.es/FileSystem/servlet/GetDocumentByIdServlet?cifrado=QUC1GjXXSiLkydRHJBmbpw%3D%3D&amp;DocumentIdParam=83u/YwoFC24xNgFVH/k/MXyhWn72%2BOg60lj%2B7e5WB56c7VkjRmOnvT9JpjqodB0sBqXFoH8/S0THzwXNww1vxjsaFG%2BqZGY2FvXchqsgiOiCx2e6p7hqtlp2aFupgHMr" TargetMode="External" Id="rId3395" /><Relationship Type="http://schemas.openxmlformats.org/officeDocument/2006/relationships/hyperlink" Target="https://contrataciondelestado.es/wps/poc?uri=deeplink:detalle_licitacion&amp;idEvl=YTWotuVboIQSugstABGr5A%3D%3D" TargetMode="External" Id="rId3396" /><Relationship Type="http://schemas.openxmlformats.org/officeDocument/2006/relationships/hyperlink" Target="https://contrataciondelestado.es/wps/wcm/connect/PLACE_es/Site/area/docAccCmpnt?srv=cmpnt&amp;cmpntname=GetDocumentsById&amp;source=library&amp;DocumentIdParam=7bb52821-ac76-4750-b110-7493c8a7879d" TargetMode="External" Id="rId3397" /><Relationship Type="http://schemas.openxmlformats.org/officeDocument/2006/relationships/hyperlink" Target="https://contrataciondelestado.es/wps/poc?uri=deeplink:detalle_licitacion&amp;idEvl=rxqVb7THKATzAq95uGTrDQ%3D%3D" TargetMode="External" Id="rId3398" /><Relationship Type="http://schemas.openxmlformats.org/officeDocument/2006/relationships/hyperlink" Target="https://contrataciondelestado.es/FileSystem/servlet/GetDocumentByIdServlet?cifrado=QUC1GjXXSiLkydRHJBmbpw%3D%3D&amp;DocumentIdParam=PmNFld%2BHKE3L2b%2BPb9qtQaeCG%2BPCAh6/hxhgs6WKWnvLhWKeegwumkLGhMwDfmTZwpmErRF0EkGIiagYrV7unkCM5EcN5u3jrd4cRE6oqwNt/o8fNevwsujgRzaBbugn" TargetMode="External" Id="rId3399" /><Relationship Type="http://schemas.openxmlformats.org/officeDocument/2006/relationships/hyperlink" Target="https://contrataciondelestado.es/wps/poc?uri=deeplink:detalle_licitacion&amp;idEvl=ntgUSiKsrmLkY6rls5tG9A%3D%3D" TargetMode="External" Id="rId3400" /><Relationship Type="http://schemas.openxmlformats.org/officeDocument/2006/relationships/hyperlink" Target="https://contrataciondelestado.es/FileSystem/servlet/GetDocumentByIdServlet?cifrado=QUC1GjXXSiLkydRHJBmbpw%3D%3D&amp;DocumentIdParam=puqKb1Pjw8FBdp4ryqjjUEEeL6fydLGP7mbW8qiuM0aQf4hZPehZUTS%2B%2BWYNjuAUrTdsNY7/rHjTTaKw/Euy4nTDex5O6mYvi6YhQqJ9A0G1aXEvq3KHa/AEHgtDrQw0" TargetMode="External" Id="rId3401" /><Relationship Type="http://schemas.openxmlformats.org/officeDocument/2006/relationships/hyperlink" Target="https://contrataciondelestado.es/wps/poc?uri=deeplink:detalle_licitacion&amp;idEvl=lVIcwwPkEg9rSd8H4b2soA%3D%3D" TargetMode="External" Id="rId3402" /><Relationship Type="http://schemas.openxmlformats.org/officeDocument/2006/relationships/hyperlink" Target="https://contrataciondelestado.es/FileSystem/servlet/GetDocumentByIdServlet?cifrado=QUC1GjXXSiLkydRHJBmbpw%3D%3D&amp;DocumentIdParam=qbzFgh%2B3o8Y8zXXeGFN5gpdI7MeM9kFZyx%2BaY4iy3ifxVToKRDNnLHIYaWdNeBUhkVOJL8C9RHw4uiTAU77%2BFcZ6hsy5XeIWO%2BOXahvdnXmCx2e6p7hqtlp2aFupgHMr" TargetMode="External" Id="rId3403" /><Relationship Type="http://schemas.openxmlformats.org/officeDocument/2006/relationships/hyperlink" Target="https://contrataciondelestado.es/wps/poc?uri=deeplink:detalle_licitacion&amp;idEvl=DiJPuGS7p30%2B1TMyIiZmzw%3D%3D" TargetMode="External" Id="rId3404" /><Relationship Type="http://schemas.openxmlformats.org/officeDocument/2006/relationships/hyperlink" Target="https://contrataciondelestado.es/FileSystem/servlet/GetDocumentByIdServlet?cifrado=QUC1GjXXSiLkydRHJBmbpw%3D%3D&amp;DocumentIdParam=b/Lz0GucaQMbsx%2BB8aC0Y2kVnAiirYmqrlaCmBlrwQUigjxMrimYqJMfmu6N29Sk8BSfLcY6JqX8b1AsKA97vA4QvnVrI0QMMkUVNKQhnqpJOVDbGCDM%2BMigrvuVS7Rv" TargetMode="External" Id="rId3405" /><Relationship Type="http://schemas.openxmlformats.org/officeDocument/2006/relationships/hyperlink" Target="https://contrataciondelestado.es/wps/poc?uri=deeplink:detalle_licitacion&amp;idEvl=nfO4f2ADf41xseVhcqrkhw%3D%3D" TargetMode="External" Id="rId3406" /><Relationship Type="http://schemas.openxmlformats.org/officeDocument/2006/relationships/hyperlink" Target="https://contrataciondelestado.es/FileSystem/servlet/GetDocumentByIdServlet?cifrado=QUC1GjXXSiLkydRHJBmbpw%3D%3D&amp;DocumentIdParam=KfP82l0%2B2Fw85WlM0aqSL5EqEExroTAw2ERzp54mt0ZsP%2BoWAirqd22LhkjNIw/0fyPZ8IjlXyt2N3dFvI%2BMk2PlQIzsgXsFU5JYem9gd7eHAj0WEJrB5sP7amrh2jBD" TargetMode="External" Id="rId3407" /><Relationship Type="http://schemas.openxmlformats.org/officeDocument/2006/relationships/hyperlink" Target="https://contrataciondelestado.es/wps/poc?uri=deeplink:detalle_licitacion&amp;idEvl=S%2FSrgSAdadAZDGvgaZEVxQ%3D%3D" TargetMode="External" Id="rId3408" /><Relationship Type="http://schemas.openxmlformats.org/officeDocument/2006/relationships/hyperlink" Target="https://contrataciondelestado.es/FileSystem/servlet/GetDocumentByIdServlet?cifrado=QUC1GjXXSiLkydRHJBmbpw%3D%3D&amp;DocumentIdParam=TjhDF/IOBW6fTv3sykNHtFgjK8oa7ayMYod0wRaC%2BATN8xp9reY8caEdqbfwz9NJMlbaFC0AfLf4pQZ4N8Whk01zR/KPwXOcTgpWU/KlAN1JOVDbGCDM%2BMigrvuVS7Rv" TargetMode="External" Id="rId3409" /><Relationship Type="http://schemas.openxmlformats.org/officeDocument/2006/relationships/hyperlink" Target="https://contrataciondelestado.es/wps/poc?uri=deeplink:detalle_licitacion&amp;idEvl=SeqUt4MEEaLE6P%2FuLemXRw%3D%3D" TargetMode="External" Id="rId3410" /><Relationship Type="http://schemas.openxmlformats.org/officeDocument/2006/relationships/hyperlink" Target="https://contrataciondelestado.es/FileSystem/servlet/GetDocumentByIdServlet?cifrado=QUC1GjXXSiLkydRHJBmbpw%3D%3D&amp;DocumentIdParam=V%2BlHKXu2OvOaanudyrMSd9uONMAZBxRet9oX3CEMfwYgI4ZB5%2BFIodGPSYKly7smQEi5TwF6j9hb6h0eQwElz%2BfFxCJGrrQTdowtVzCPkgWHAj0WEJrB5sP7amrh2jBD" TargetMode="External" Id="rId3411" /><Relationship Type="http://schemas.openxmlformats.org/officeDocument/2006/relationships/hyperlink" Target="https://contrataciondelestado.es/wps/poc?uri=deeplink:detalle_licitacion&amp;idEvl=0uRpOxX5n7PVGIpKDxgsAQ%3D%3D" TargetMode="External" Id="rId3412" /><Relationship Type="http://schemas.openxmlformats.org/officeDocument/2006/relationships/hyperlink" Target="https://contrataciondelestado.es/FileSystem/servlet/GetDocumentByIdServlet?cifrado=QUC1GjXXSiLkydRHJBmbpw%3D%3D&amp;DocumentIdParam=fl5Xm%2Bwq5dBAIUDTGD51dmS7wzUlgEtwaPd%2BDN/Td2VJInnLB87fCxBiJ1%2BCnsThQ1mGcqr0w9Tp8Zw8wA8zVVgad5bf9txYqbCRXiwyNeOB0nvVKRzfe4rpHcnlPhSZ" TargetMode="External" Id="rId3413" /><Relationship Type="http://schemas.openxmlformats.org/officeDocument/2006/relationships/hyperlink" Target="https://contrataciondelestado.es/wps/poc?uri=deeplink:detalle_licitacion&amp;idEvl=%2BepjU5KiVjKHCIsjvJ3rhQ%3D%3D" TargetMode="External" Id="rId3414" /><Relationship Type="http://schemas.openxmlformats.org/officeDocument/2006/relationships/hyperlink" Target="https://contrataciondelestado.es/FileSystem/servlet/GetDocumentByIdServlet?cifrado=QUC1GjXXSiLkydRHJBmbpw%3D%3D&amp;DocumentIdParam=a5htdh0Put1s1h1x8MxognASWMFRu1Y1XiJGnrYDmj8HbD1JsiEeTIvG6FWnn5Vp0dX2hRCMni2EQeuOCr7zTtqUB2xIdKn4o/BFv7hKtWL6CYyL7SIrUOBFfNf52ZqA" TargetMode="External" Id="rId3415" /><Relationship Type="http://schemas.openxmlformats.org/officeDocument/2006/relationships/hyperlink" Target="https://contrataciondelestado.es/wps/poc?uri=deeplink:detalle_licitacion&amp;idEvl=QbUDxI2oMrh70UvEyYJSGw%3D%3D" TargetMode="External" Id="rId3416" /><Relationship Type="http://schemas.openxmlformats.org/officeDocument/2006/relationships/hyperlink" Target="https://contrataciondelestado.es/FileSystem/servlet/GetDocumentByIdServlet?cifrado=QUC1GjXXSiLkydRHJBmbpw%3D%3D&amp;DocumentIdParam=wGSSzG7Es%2BDniwbr4AMv3QB97WV4sJApCdbf3V38j8hpirju6sFF03kvd7jiRAERF1WwJ8xsaHHbqcrV7MYYN6AGqr3oPYiKSnWYeOrlZHF45ClyWkoJ44mKM70IFcOu" TargetMode="External" Id="rId3417" /><Relationship Type="http://schemas.openxmlformats.org/officeDocument/2006/relationships/hyperlink" Target="https://contrataciondelestado.es/wps/poc?uri=deeplink:detalle_licitacion&amp;idEvl=FYnbpu9rjPSzz8fXU2i3eQ%3D%3D" TargetMode="External" Id="rId3418" /><Relationship Type="http://schemas.openxmlformats.org/officeDocument/2006/relationships/hyperlink" Target="https://contrataciondelestado.es/FileSystem/servlet/GetDocumentByIdServlet?cifrado=QUC1GjXXSiLkydRHJBmbpw%3D%3D&amp;DocumentIdParam=KrqEeG5CQOpHgxQRTzBJT0vfil6aLcS3nFKD7ItlElcnou/iL3hnIGBD1HrPXtvZrsyOC2PbyhPc2tzuSezt2TQk/DxB9O0tAfMD5XjNpWFt/o8fNevwsujgRzaBbugn" TargetMode="External" Id="rId3419" /><Relationship Type="http://schemas.openxmlformats.org/officeDocument/2006/relationships/hyperlink" Target="https://contrataciondelestado.es/wps/poc?uri=deeplink:detalle_licitacion&amp;idEvl=8zGIO6k%2BO%2FXI8aL3PRS10Q%3D%3D" TargetMode="External" Id="rId3420" /><Relationship Type="http://schemas.openxmlformats.org/officeDocument/2006/relationships/hyperlink" Target="https://contrataciondelestado.es/FileSystem/servlet/GetDocumentByIdServlet?cifrado=QUC1GjXXSiLkydRHJBmbpw%3D%3D&amp;DocumentIdParam=Xzkw6iSlRcNY96oaWMw9%2BEblWoIKsKz9N9BW8i3ElzIv24DoXqIf/WaZd3k4Z0CYkfYWCVi3NILF4cH%2Bc0rIGjxs1fNkdyy8L9A%2BACWw/VJ45ClyWkoJ44mKM70IFcOu" TargetMode="External" Id="rId3421" /><Relationship Type="http://schemas.openxmlformats.org/officeDocument/2006/relationships/hyperlink" Target="https://contrataciondelestado.es/wps/poc?uri=deeplink:detalle_licitacion&amp;idEvl=RleDfGIgCCv5Rey58Yagpg%3D%3D" TargetMode="External" Id="rId3422" /><Relationship Type="http://schemas.openxmlformats.org/officeDocument/2006/relationships/hyperlink" Target="https://contrataciondelestado.es/FileSystem/servlet/GetDocumentByIdServlet?cifrado=QUC1GjXXSiLkydRHJBmbpw%3D%3D&amp;DocumentIdParam=Sf4vIdJy9fCIuM2WgYFsj%2B2zN1Ja7v4Mfb6jIK7UOVzvbpcy60GvOLmhhFXYSkK9B5%2BLgLWH6gqA/yHd%2B4Z5Mtdv/7O9/evElZXVWgRXpMPfdyQgZAdTm3EfcUAC7CJ6" TargetMode="External" Id="rId3423" /><Relationship Type="http://schemas.openxmlformats.org/officeDocument/2006/relationships/hyperlink" Target="https://contrataciondelestado.es/wps/poc?uri=deeplink:detalle_licitacion&amp;idEvl=YzbI%2F%2FaUh5M4NavIWzMcHA%3D%3D" TargetMode="External" Id="rId3424" /><Relationship Type="http://schemas.openxmlformats.org/officeDocument/2006/relationships/hyperlink" Target="https://contrataciondelestado.es/FileSystem/servlet/GetDocumentByIdServlet?cifrado=QUC1GjXXSiLkydRHJBmbpw%3D%3D&amp;DocumentIdParam=CozDMF4PSDg%2Bg6VcYihGvS8FcpSbtMIxceWf90RMPJfd4DmFA0VYXACcugpHjx8KuJ2noZak3851R8spdesPYFNg0l4yPXzf3WvSJr%2BW9je1aXEvq3KHa/AEHgtDrQw0" TargetMode="External" Id="rId3425" /><Relationship Type="http://schemas.openxmlformats.org/officeDocument/2006/relationships/hyperlink" Target="https://contrataciondelestado.es/wps/poc?uri=deeplink:detalle_licitacion&amp;idEvl=sbi0gLGaXBGExvMJXBMHHQ%3D%3D" TargetMode="External" Id="rId3426" /><Relationship Type="http://schemas.openxmlformats.org/officeDocument/2006/relationships/hyperlink" Target="https://contrataciondelestado.es/FileSystem/servlet/GetDocumentByIdServlet?cifrado=QUC1GjXXSiLkydRHJBmbpw%3D%3D&amp;DocumentIdParam=eDXl0/bmuDQcXx2nSz5rdXOJG6uwQvcAJXXcObyzmsNDLa09znqtE0euLP6GwuEu/Mkxcs/S7dYsoIf/pNXzW9UFcI37YpizWuYowTqfVnO1aXEvq3KHa/AEHgtDrQw0" TargetMode="External" Id="rId3427" /><Relationship Type="http://schemas.openxmlformats.org/officeDocument/2006/relationships/hyperlink" Target="https://contrataciondelestado.es/wps/poc?uri=deeplink:detalle_licitacion&amp;idEvl=zso0KsUSwMV6nTs9LZ9RhQ%3D%3D" TargetMode="External" Id="rId3428" /><Relationship Type="http://schemas.openxmlformats.org/officeDocument/2006/relationships/hyperlink" Target="https://contrataciondelestado.es/FileSystem/servlet/GetDocumentByIdServlet?cifrado=QUC1GjXXSiLkydRHJBmbpw%3D%3D&amp;DocumentIdParam=jqfKjzCLhfrGqSZ5tlGRwLxnjAnGMiab6LZsLvK5Arx2hGG6pB%2BilnPOdvllArgd2SADwSKVprl%2BpFMbFTFuaIn3h4gAjoJFfL9XiVAiMKJ7QB3HKyQaFUExmUVQCerk" TargetMode="External" Id="rId3429" /><Relationship Type="http://schemas.openxmlformats.org/officeDocument/2006/relationships/hyperlink" Target="https://contrataciondelestado.es/wps/poc?uri=deeplink:detalle_licitacion&amp;idEvl=EB6e8sLa3JEaF6cS8TCh%2FA%3D%3D" TargetMode="External" Id="rId3430" /><Relationship Type="http://schemas.openxmlformats.org/officeDocument/2006/relationships/hyperlink" Target="https://contrataciondelestado.es/FileSystem/servlet/GetDocumentByIdServlet?cifrado=QUC1GjXXSiLkydRHJBmbpw%3D%3D&amp;DocumentIdParam=5HFggzRHS/4AyI9QmFxuuGugbQEQCLX8Ah14AhtJqKhXYie%2BQcrX4mM3kwUa1w6/z%2BAseEPo0sfRO9wc9GqlkJhPZkleyj/AImRzEri/x7bfdyQgZAdTm3EfcUAC7CJ6" TargetMode="External" Id="rId3431" /><Relationship Type="http://schemas.openxmlformats.org/officeDocument/2006/relationships/hyperlink" Target="https://contrataciondelestado.es/wps/poc?uri=deeplink:detalle_licitacion&amp;idEvl=uSI0EPypqPPgL1BHd3qjQA%3D%3D" TargetMode="External" Id="rId3432" /><Relationship Type="http://schemas.openxmlformats.org/officeDocument/2006/relationships/hyperlink" Target="https://contrataciondelestado.es/FileSystem/servlet/GetDocumentByIdServlet?cifrado=QUC1GjXXSiLkydRHJBmbpw%3D%3D&amp;DocumentIdParam=8%2BNy/zDb/c/n7TsJ/CfYuyKugJs21bq/KZ1tPKBKc40UJDYBrsB50EEkWgWOiLPYJreHhoKnT3BPSd1QxP%2B0OYRq/Ml3kfExUE7B9Ncl06B45ClyWkoJ44mKM70IFcOu" TargetMode="External" Id="rId3433" /><Relationship Type="http://schemas.openxmlformats.org/officeDocument/2006/relationships/hyperlink" Target="https://contrataciondelestado.es/wps/poc?uri=deeplink:detalle_licitacion&amp;idEvl=WY39vfob6NydkQsA7ROvsg%3D%3D" TargetMode="External" Id="rId3434" /><Relationship Type="http://schemas.openxmlformats.org/officeDocument/2006/relationships/hyperlink" Target="https://contrataciondelestado.es/FileSystem/servlet/GetDocumentByIdServlet?cifrado=QUC1GjXXSiLkydRHJBmbpw%3D%3D&amp;DocumentIdParam=Fr8vDMRS5M%2BTM%2BYEDioPCIOvginua8ZUyYoPmo2/4UsDFg1O0q7qVPJGCB4sGZvEaFVAPF2qW%2BebM47ddzA6OhIIQmYK0sgZTy9iHw9e2i33GVhXrFFqN7yFncy7YfRK" TargetMode="External" Id="rId3435" /><Relationship Type="http://schemas.openxmlformats.org/officeDocument/2006/relationships/hyperlink" Target="https://contrataciondelestado.es/wps/poc?uri=deeplink:detalle_licitacion&amp;idEvl=vlT1Hojaml4mMOlAXxDEjw%3D%3D" TargetMode="External" Id="rId3436" /><Relationship Type="http://schemas.openxmlformats.org/officeDocument/2006/relationships/hyperlink" Target="https://contrataciondelestado.es/FileSystem/servlet/GetDocumentByIdServlet?cifrado=QUC1GjXXSiLkydRHJBmbpw%3D%3D&amp;DocumentIdParam=Dg1QrP8VtyF76ndnASg5vR8X/%2BZQr0dQPX3oS38wWjZ%2BdOtY8sSuHSYZCg7K5sTpQjYPDJiUottfOyUQ/0lkCrP%2BirYwU05XuCWFD9nHIxc//q7NB2iMZvNyf0xrJmjt" TargetMode="External" Id="rId3437" /><Relationship Type="http://schemas.openxmlformats.org/officeDocument/2006/relationships/hyperlink" Target="https://contrataciondelestado.es/wps/poc?uri=deeplink:detalle_licitacion&amp;idEvl=%2BEngMnoWfmh9PLkba5eRog%3D%3D" TargetMode="External" Id="rId3438" /><Relationship Type="http://schemas.openxmlformats.org/officeDocument/2006/relationships/hyperlink" Target="https://contrataciondelestado.es/FileSystem/servlet/GetDocumentByIdServlet?cifrado=QUC1GjXXSiLkydRHJBmbpw%3D%3D&amp;DocumentIdParam=%2B3X3byww8FwXejWIcm4VTALenFtxWANMtMQmyrPUJ64oLe8kYsIS/94STRXj1afYCxyu3MwNw3wnNSVWymy0l990QG50IwiGHCJE6K1ZEn8//q7NB2iMZvNyf0xrJmjt" TargetMode="External" Id="rId3439" /><Relationship Type="http://schemas.openxmlformats.org/officeDocument/2006/relationships/hyperlink" Target="https://contrataciondelestado.es/wps/poc?uri=deeplink:detalle_licitacion&amp;idEvl=tPq6dBPKOZWExvMJXBMHHQ%3D%3D" TargetMode="External" Id="rId3440" /><Relationship Type="http://schemas.openxmlformats.org/officeDocument/2006/relationships/hyperlink" Target="https://contrataciondelestado.es/FileSystem/servlet/GetDocumentByIdServlet?cifrado=QUC1GjXXSiLkydRHJBmbpw%3D%3D&amp;DocumentIdParam=Ni8vmjYGnY7TfhTmvCJxkL7VTp4kmleJvqzdFaJ/W3qN2Xrz6SBMHGcjbcW3AsWN5BxE4lkoxD8dHCxkKrPa%2B4mNjUHmbULgswyG6vAN90cZyAJWGsSt0OzTSTyw9JAs" TargetMode="External" Id="rId3441" /><Relationship Type="http://schemas.openxmlformats.org/officeDocument/2006/relationships/hyperlink" Target="https://contrataciondelestado.es/wps/poc?uri=deeplink:detalle_licitacion&amp;idEvl=naiqzfHxsBvE6P%2FuLemXRw%3D%3D" TargetMode="External" Id="rId3442" /><Relationship Type="http://schemas.openxmlformats.org/officeDocument/2006/relationships/hyperlink" Target="https://contrataciondelestado.es/FileSystem/servlet/GetDocumentByIdServlet?cifrado=QUC1GjXXSiLkydRHJBmbpw%3D%3D&amp;DocumentIdParam=ucc7d7wXf8pCJSUqnlLRlsoanjBn5kYfd98Ou/KxCKzzYs%2BCtRdSh/jLt4gY1NPG9jDxTej/IJzicyIKNnStK2Mwn59TR4LB7/f7T04gXPMZyAJWGsSt0OzTSTyw9JAs" TargetMode="External" Id="rId3443" /><Relationship Type="http://schemas.openxmlformats.org/officeDocument/2006/relationships/hyperlink" Target="https://contrataciondelestado.es/wps/poc?uri=deeplink:detalle_licitacion&amp;idEvl=9EX80%2FnPwTY2wEhQbcAqug%3D%3D" TargetMode="External" Id="rId3444" /><Relationship Type="http://schemas.openxmlformats.org/officeDocument/2006/relationships/hyperlink" Target="https://contrataciondelestado.es/FileSystem/servlet/GetDocumentByIdServlet?cifrado=QUC1GjXXSiLkydRHJBmbpw%3D%3D&amp;DocumentIdParam=Fe6UsSXGfnIOpMeNt2PRTH0sSTCCdp5T%2BQw9aV6kqnQab4rfQpcnzTfVgMjjpAVbO7ACjJaTq1l9eUvChEKSEfzsomK%2BM5MIf81TjUeEZkp7QB3HKyQaFUExmUVQCerk" TargetMode="External" Id="rId3445" /><Relationship Type="http://schemas.openxmlformats.org/officeDocument/2006/relationships/hyperlink" Target="https://contrataciondelestado.es/wps/poc?uri=deeplink:detalle_licitacion&amp;idEvl=fy5FnSJpPPtLAIVZdUs8KA%3D%3D" TargetMode="External" Id="rId3446" /><Relationship Type="http://schemas.openxmlformats.org/officeDocument/2006/relationships/hyperlink" Target="https://contrataciondelestado.es/FileSystem/servlet/GetDocumentByIdServlet?cifrado=QUC1GjXXSiLkydRHJBmbpw%3D%3D&amp;DocumentIdParam=jBrDLAnUH6fzxvdbrSU5cgwLQQo6h1ASOEs5rxdxo2SSMTnpJvWXn%2Bogk8DxWoM0lmCs0ZO4QPQuf7Opnt7p0BfO3v23WpRAzWPvRwFSQe2B0nvVKRzfe4rpHcnlPhSZ" TargetMode="External" Id="rId3447" /><Relationship Type="http://schemas.openxmlformats.org/officeDocument/2006/relationships/hyperlink" Target="https://contrataciondelestado.es/wps/poc?uri=deeplink:detalle_licitacion&amp;idEvl=bUGZuEEwJn5LAIVZdUs8KA%3D%3D" TargetMode="External" Id="rId3448" /><Relationship Type="http://schemas.openxmlformats.org/officeDocument/2006/relationships/hyperlink" Target="https://contrataciondelestado.es/wps/poc?uri=deeplink:detalle_licitacion&amp;idEvl=D5wO2xem9bA7%2B9FIQYNjeQ%3D%3D" TargetMode="External" Id="rId3449" /><Relationship Type="http://schemas.openxmlformats.org/officeDocument/2006/relationships/hyperlink" Target="https://contrataciondelestado.es/FileSystem/servlet/GetDocumentByIdServlet?cifrado=QUC1GjXXSiLkydRHJBmbpw%3D%3D&amp;DocumentIdParam=ftXJmS4tvU4VNKDsyhYDjEpqZZM/yuZtX/pV%2B9vbGbpFJ59Pv3DlpD2/EE7jCp3w%2BfIW3lm7CUBdKcf%2B9UhsT66kbm/tCVbvSxCSeBqBzy1JOVDbGCDM%2BMigrvuVS7Rv" TargetMode="External" Id="rId3450" /><Relationship Type="http://schemas.openxmlformats.org/officeDocument/2006/relationships/table" Target="/xl/tables/table2.xml" Id="rId3451" /></Relationships>
</file>

<file path=xl/worksheets/sheet1.xml><?xml version="1.0" encoding="utf-8"?>
<worksheet xmlns="http://schemas.openxmlformats.org/spreadsheetml/2006/main">
  <sheetPr>
    <outlinePr summaryBelow="1" summaryRight="1"/>
    <pageSetUpPr fitToPage="1"/>
  </sheetPr>
  <dimension ref="A1:Y10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9" customWidth="1" min="3" max="3"/>
    <col width="16" customWidth="1" min="4" max="4"/>
    <col width="16" customWidth="1" min="5" max="5"/>
    <col width="20" customWidth="1" min="6" max="6"/>
    <col width="12" customWidth="1" min="7" max="7"/>
    <col width="20" customWidth="1" min="8" max="8"/>
    <col width="40" customWidth="1" min="9" max="9"/>
    <col width="70" customWidth="1" min="10" max="10"/>
    <col width="20" customWidth="1" min="11" max="11"/>
    <col width="18" customWidth="1" min="12" max="12"/>
    <col width="11" customWidth="1" min="13" max="13"/>
    <col width="16" customWidth="1" min="14" max="14"/>
    <col width="9" customWidth="1" min="15" max="15"/>
    <col width="60" customWidth="1" min="16" max="16"/>
    <col width="22" customWidth="1" min="17" max="17"/>
    <col width="18" customWidth="1" min="18" max="18"/>
    <col width="7" customWidth="1" min="19" max="19"/>
    <col width="28" customWidth="1" min="20" max="20"/>
    <col width="7" customWidth="1" min="21" max="21"/>
    <col width="7" customWidth="1" min="22" max="22"/>
    <col width="9" customWidth="1" min="23" max="23"/>
    <col width="12" customWidth="1" min="24" max="24"/>
    <col width="50" customWidth="1" min="25" max="25"/>
  </cols>
  <sheetData>
    <row r="1" ht="32" customHeight="1">
      <c r="A1" s="1" t="inlineStr">
        <is>
          <t>Nueva</t>
        </is>
      </c>
      <c r="B1" s="1" t="inlineStr">
        <is>
          <t>Fecha límite</t>
        </is>
      </c>
      <c r="C1" s="1" t="inlineStr">
        <is>
          <t>Días restantes</t>
        </is>
      </c>
      <c r="D1" s="1" t="inlineStr">
        <is>
          <t>Presupuesto base sin IVA</t>
        </is>
      </c>
      <c r="E1" s="1" t="inlineStr">
        <is>
          <t>Valor estimado</t>
        </is>
      </c>
      <c r="F1" s="1" t="inlineStr">
        <is>
          <t>Comunidad</t>
        </is>
      </c>
      <c r="G1" s="1" t="inlineStr">
        <is>
          <t>Provincia</t>
        </is>
      </c>
      <c r="H1" s="1" t="inlineStr">
        <is>
          <t>Municipio</t>
        </is>
      </c>
      <c r="I1" s="1" t="inlineStr">
        <is>
          <t>Órgano de contratación</t>
        </is>
      </c>
      <c r="J1" s="1" t="inlineStr">
        <is>
          <t>Objeto</t>
        </is>
      </c>
      <c r="K1" s="1" t="inlineStr">
        <is>
          <t>Expediente</t>
        </is>
      </c>
      <c r="L1" s="1" t="inlineStr">
        <is>
          <t>Procedimiento</t>
        </is>
      </c>
      <c r="M1" s="1" t="inlineStr">
        <is>
          <t>Plazo de ejecución (meses)</t>
        </is>
      </c>
      <c r="N1" s="1" t="inlineStr">
        <is>
          <t>Clasificación exigida</t>
        </is>
      </c>
      <c r="O1" s="1" t="inlineStr">
        <is>
          <t>Juicio de valor</t>
        </is>
      </c>
      <c r="P1" s="1" t="inlineStr">
        <is>
          <t>Criterios de adjudicación</t>
        </is>
      </c>
      <c r="Q1" s="1" t="inlineStr">
        <is>
          <t>Garantías</t>
        </is>
      </c>
      <c r="R1" s="1" t="inlineStr">
        <is>
          <t>Revisión de precios</t>
        </is>
      </c>
      <c r="S1" s="1" t="inlineStr">
        <is>
          <t>Nº lotes</t>
        </is>
      </c>
      <c r="T1" s="1" t="inlineStr">
        <is>
          <t>CPV</t>
        </is>
      </c>
      <c r="U1" s="1" t="inlineStr">
        <is>
          <t>PCAP</t>
        </is>
      </c>
      <c r="V1" s="1" t="inlineStr">
        <is>
          <t>PPT</t>
        </is>
      </c>
      <c r="W1" s="1" t="inlineStr">
        <is>
          <t>Ficha PLACSP</t>
        </is>
      </c>
      <c r="X1" s="1" t="inlineStr">
        <is>
          <t>Primera detección</t>
        </is>
      </c>
      <c r="Y1" s="1" t="inlineStr">
        <is>
          <t>Cambios</t>
        </is>
      </c>
    </row>
    <row r="2">
      <c r="A2" s="2" t="n"/>
      <c r="B2" s="3" t="n">
        <v>46321.375</v>
      </c>
      <c r="C2" s="4">
        <f>IF(B2="","",INT(B2)-TODAY())</f>
        <v/>
      </c>
      <c r="D2" s="5" t="n">
        <v>889866.1</v>
      </c>
      <c r="E2" s="5" t="n">
        <v>1067839.32</v>
      </c>
      <c r="F2" s="2" t="inlineStr">
        <is>
          <t>Comunitat Valenciana</t>
        </is>
      </c>
      <c r="G2" s="2" t="inlineStr">
        <is>
          <t>Alicante</t>
        </is>
      </c>
      <c r="H2" s="2" t="inlineStr">
        <is>
          <t>Alicante</t>
        </is>
      </c>
      <c r="I2" s="2" t="inlineStr">
        <is>
          <t>Mercados Centrales De Abastecimiento de Alicante S.A.</t>
        </is>
      </c>
      <c r="J2" s="2" t="inlineStr">
        <is>
          <t>Sustitución de las cubiertas de fibrocemento de la nave III de Mercalicante</t>
        </is>
      </c>
      <c r="K2" s="2" t="inlineStr">
        <is>
          <t>21/2026EXPL</t>
        </is>
      </c>
      <c r="L2" s="2" t="inlineStr">
        <is>
          <t>Abierto simplificado</t>
        </is>
      </c>
      <c r="M2" s="6" t="n">
        <v>10</v>
      </c>
      <c r="N2" s="2" t="n"/>
      <c r="O2" s="7" t="n">
        <v>0.25</v>
      </c>
      <c r="P2" s="2" t="inlineStr">
        <is>
          <t>Plan de obra 5 (JV) | Experiencia del jefe y del encargado de obra 10 | Ampliación del plazo de garantía 5 | Memoria y estudio de obra 20 (JV) | Oferta económica 54 | Mantenimiento de la cubierta y líneas de vida 6</t>
        </is>
      </c>
      <c r="Q2" s="2" t="inlineStr">
        <is>
          <t>complementaria 5%; definitiva 5%</t>
        </is>
      </c>
      <c r="R2" s="2" t="n"/>
      <c r="S2" s="4" t="n"/>
      <c r="T2" s="2" t="inlineStr">
        <is>
          <t>45000000; 45421160; 45261220; 45262660; 45261420</t>
        </is>
      </c>
      <c r="U2" s="8" t="inlineStr">
        <is>
          <t>PCAP</t>
        </is>
      </c>
      <c r="V2" s="8" t="inlineStr">
        <is>
          <t>PPT</t>
        </is>
      </c>
      <c r="W2" s="8" t="inlineStr">
        <is>
          <t>Ver</t>
        </is>
      </c>
      <c r="X2" s="9" t="n">
        <v>46310</v>
      </c>
      <c r="Y2" s="2" t="n"/>
    </row>
    <row r="3">
      <c r="A3" s="2" t="n"/>
      <c r="B3" s="3" t="n">
        <v>46321.54166666666</v>
      </c>
      <c r="C3" s="4">
        <f>IF(B3="","",INT(B3)-TODAY())</f>
        <v/>
      </c>
      <c r="D3" s="5" t="n">
        <v>3837538.71</v>
      </c>
      <c r="E3" s="5" t="n">
        <v>4221292.58</v>
      </c>
      <c r="F3" s="2" t="inlineStr">
        <is>
          <t>Andalucía</t>
        </is>
      </c>
      <c r="G3" s="2" t="inlineStr">
        <is>
          <t>Sevilla</t>
        </is>
      </c>
      <c r="H3" s="2" t="n"/>
      <c r="I3" s="2" t="inlineStr">
        <is>
          <t>Gerencia de Sevilla Activa SAU</t>
        </is>
      </c>
      <c r="J3" s="2" t="inlineStr">
        <is>
          <t>Terminación de 50 Viviendas Protegidas</t>
        </is>
      </c>
      <c r="K3" s="2" t="inlineStr">
        <is>
          <t>A41420191-2026/000082-PaA</t>
        </is>
      </c>
      <c r="L3" s="2" t="inlineStr">
        <is>
          <t>Abierto</t>
        </is>
      </c>
      <c r="M3" s="6" t="n">
        <v>12</v>
      </c>
      <c r="N3" s="2" t="inlineStr">
        <is>
          <t>C*-5; G*-5; G6-4; C4-4</t>
        </is>
      </c>
      <c r="O3" s="7" t="n">
        <v>0.3</v>
      </c>
      <c r="P3" s="2" t="inlineStr">
        <is>
          <t>memoria técnica [1] 30 (JV) | ampliación del plazo de garantía de la obra sobre el mínimo de un año [3] 15 | visita guiada [2] 15 | Aspecto Económico (precio) [1] 40</t>
        </is>
      </c>
      <c r="Q3" s="2" t="n"/>
      <c r="R3" s="2" t="n"/>
      <c r="S3" s="4" t="n"/>
      <c r="T3" s="2" t="inlineStr">
        <is>
          <t>45211000</t>
        </is>
      </c>
      <c r="U3" s="8" t="inlineStr">
        <is>
          <t>PCAP</t>
        </is>
      </c>
      <c r="V3" s="8" t="inlineStr">
        <is>
          <t>PPT</t>
        </is>
      </c>
      <c r="W3" s="8" t="inlineStr">
        <is>
          <t>Ver</t>
        </is>
      </c>
      <c r="X3" s="9" t="n">
        <v>46310</v>
      </c>
      <c r="Y3" s="2" t="n"/>
    </row>
    <row r="4">
      <c r="A4" s="2" t="n"/>
      <c r="B4" s="3" t="n">
        <v>46321.58333333334</v>
      </c>
      <c r="C4" s="4">
        <f>IF(B4="","",INT(B4)-TODAY())</f>
        <v/>
      </c>
      <c r="D4" s="5" t="n">
        <v>585223.15</v>
      </c>
      <c r="E4" s="5" t="n">
        <v>585223.15</v>
      </c>
      <c r="F4" s="2" t="inlineStr">
        <is>
          <t>Comunitat Valenciana</t>
        </is>
      </c>
      <c r="G4" s="2" t="inlineStr">
        <is>
          <t>Valencia</t>
        </is>
      </c>
      <c r="H4" s="2" t="n"/>
      <c r="I4" s="2" t="inlineStr">
        <is>
          <t>Presidencia de la Entidad Valenciana de Vivienda y Suelo</t>
        </is>
      </c>
      <c r="J4" s="2" t="inlineStr">
        <is>
          <t>Obras de Reparación y Refuerzo Estructural e Intervenciones puntuales en Fachadas y Cubiertas, así como Obras de Reparación y Refuerzo Estructural e Intervenciones puntuales en el interior de los edificios de la Manzana D del Grupo de Viviendas de Promoción Pública 030001 Miguel Hernández de Alicante.</t>
        </is>
      </c>
      <c r="K4" s="2" t="inlineStr">
        <is>
          <t>CMAYOR/2026/EVHA0/0011</t>
        </is>
      </c>
      <c r="L4" s="2" t="inlineStr">
        <is>
          <t>Abierto simplificado</t>
        </is>
      </c>
      <c r="M4" s="6" t="n">
        <v>4</v>
      </c>
      <c r="N4" s="2" t="inlineStr">
        <is>
          <t>C4-3; C*-4</t>
        </is>
      </c>
      <c r="O4" s="7" t="n">
        <v>0.2</v>
      </c>
      <c r="P4" s="2" t="inlineStr">
        <is>
          <t>CALIDAD 20 (JV) | Oferta económica 80</t>
        </is>
      </c>
      <c r="Q4" s="2" t="inlineStr">
        <is>
          <t>definitiva 5%</t>
        </is>
      </c>
      <c r="R4" s="2" t="n"/>
      <c r="S4" s="4" t="n"/>
      <c r="T4" s="2" t="inlineStr">
        <is>
          <t>45200000</t>
        </is>
      </c>
      <c r="U4" s="8" t="inlineStr">
        <is>
          <t>PCAP</t>
        </is>
      </c>
      <c r="V4" s="8" t="inlineStr">
        <is>
          <t>PPT</t>
        </is>
      </c>
      <c r="W4" s="8" t="inlineStr">
        <is>
          <t>Ver</t>
        </is>
      </c>
      <c r="X4" s="9" t="n">
        <v>46317</v>
      </c>
      <c r="Y4" s="2" t="n"/>
    </row>
    <row r="5">
      <c r="A5" s="2" t="n"/>
      <c r="B5" s="3" t="n">
        <v>46321.58333333334</v>
      </c>
      <c r="C5" s="4">
        <f>IF(B5="","",INT(B5)-TODAY())</f>
        <v/>
      </c>
      <c r="D5" s="5" t="n">
        <v>792000</v>
      </c>
      <c r="E5" s="5" t="n">
        <v>1742400</v>
      </c>
      <c r="F5" s="2" t="inlineStr">
        <is>
          <t>Comunitat Valenciana</t>
        </is>
      </c>
      <c r="G5" s="2" t="inlineStr">
        <is>
          <t>Valencia</t>
        </is>
      </c>
      <c r="H5" s="2" t="n"/>
      <c r="I5" s="2" t="inlineStr">
        <is>
          <t>Presidencia de la Entidad Valenciana de Vivienda y Suelo</t>
        </is>
      </c>
      <c r="J5" s="2" t="inlineStr">
        <is>
          <t>Mantenimiento correctivo (incluyendo la gestión integral de reclamaciones) de los inmuebles que componen el patrimonio público de viviendas de la Generalitat en la provincia de Castellón para los ejercicios 2027/2028.</t>
        </is>
      </c>
      <c r="K5" s="2" t="inlineStr">
        <is>
          <t>CMAYOR/2026/EVHA0/0012</t>
        </is>
      </c>
      <c r="L5" s="2" t="inlineStr">
        <is>
          <t>Abierto</t>
        </is>
      </c>
      <c r="M5" s="6" t="n">
        <v>24</v>
      </c>
      <c r="N5" s="2" t="inlineStr">
        <is>
          <t>I6-1; C4-2; J4-1; C9-2</t>
        </is>
      </c>
      <c r="O5" s="7" t="n">
        <v>0.4</v>
      </c>
      <c r="P5" s="2" t="inlineStr">
        <is>
          <t>Seguridad y Salud 5 (JV) | Control de calidad 5 (JV) | Propuesta organizativa 10 (JV) | Oferta económica 60 | Propuesta metodológica 10 (JV) | Análisis Plazos estimados y Base de Precios 10 (JV)</t>
        </is>
      </c>
      <c r="Q5" s="2" t="inlineStr">
        <is>
          <t>definitiva 5%</t>
        </is>
      </c>
      <c r="R5" s="2" t="n"/>
      <c r="S5" s="4" t="n"/>
      <c r="T5" s="2" t="inlineStr">
        <is>
          <t>45200000; 71000000</t>
        </is>
      </c>
      <c r="U5" s="8" t="inlineStr">
        <is>
          <t>PCAP</t>
        </is>
      </c>
      <c r="V5" s="2" t="n"/>
      <c r="W5" s="8" t="inlineStr">
        <is>
          <t>Ver</t>
        </is>
      </c>
      <c r="X5" s="9" t="n">
        <v>46317</v>
      </c>
      <c r="Y5" s="2" t="n"/>
    </row>
    <row r="6">
      <c r="A6" s="2" t="n"/>
      <c r="B6" s="3" t="n">
        <v>46321.79166666666</v>
      </c>
      <c r="C6" s="4">
        <f>IF(B6="","",INT(B6)-TODAY())</f>
        <v/>
      </c>
      <c r="D6" s="5" t="n">
        <v>1650495.98</v>
      </c>
      <c r="E6" s="5" t="n">
        <v>1650495.98</v>
      </c>
      <c r="F6" s="2" t="inlineStr">
        <is>
          <t>Andalucía</t>
        </is>
      </c>
      <c r="G6" s="2" t="inlineStr">
        <is>
          <t>Málaga</t>
        </is>
      </c>
      <c r="H6" s="2" t="n"/>
      <c r="I6" s="2" t="inlineStr">
        <is>
          <t>Instituto de Turismo de España (TURESPAÑA)</t>
        </is>
      </c>
      <c r="J6" s="2" t="inlineStr">
        <is>
          <t>Contrato para la ejecución de obras de la Fase II de las obras para la protección y consolidación del frente de acantilado del parador de turismo de Nerja (Málaga)</t>
        </is>
      </c>
      <c r="K6" s="2" t="inlineStr">
        <is>
          <t>020026C00098</t>
        </is>
      </c>
      <c r="L6" s="2" t="inlineStr">
        <is>
          <t>Abierto simplificado</t>
        </is>
      </c>
      <c r="M6" s="6" t="n">
        <v>10</v>
      </c>
      <c r="N6" s="2" t="n"/>
      <c r="O6" s="7" t="n">
        <v>0</v>
      </c>
      <c r="P6" s="2" t="inlineStr">
        <is>
          <t>OFERTA ECONÓMICA 65 | OTROS CRITERIOS CUANTIFICABLES AUTOMATICAMENTE 35</t>
        </is>
      </c>
      <c r="Q6" s="2" t="inlineStr">
        <is>
          <t>complementaria 5%; definitiva 5%</t>
        </is>
      </c>
      <c r="R6" s="2" t="n"/>
      <c r="S6" s="4" t="n"/>
      <c r="T6" s="2" t="inlineStr">
        <is>
          <t>45200000</t>
        </is>
      </c>
      <c r="U6" s="8" t="inlineStr">
        <is>
          <t>PCAP</t>
        </is>
      </c>
      <c r="V6" s="8" t="inlineStr">
        <is>
          <t>PPT</t>
        </is>
      </c>
      <c r="W6" s="8" t="inlineStr">
        <is>
          <t>Ver</t>
        </is>
      </c>
      <c r="X6" s="9" t="n">
        <v>46310</v>
      </c>
      <c r="Y6" s="2" t="n"/>
    </row>
    <row r="7">
      <c r="A7" s="2" t="n"/>
      <c r="B7" s="3" t="n">
        <v>46321.99930555555</v>
      </c>
      <c r="C7" s="4">
        <f>IF(B7="","",INT(B7)-TODAY())</f>
        <v/>
      </c>
      <c r="D7" s="5" t="n">
        <v>636363.64</v>
      </c>
      <c r="E7" s="5" t="n">
        <v>636363.64</v>
      </c>
      <c r="F7" s="2" t="inlineStr">
        <is>
          <t>Andalucía</t>
        </is>
      </c>
      <c r="G7" s="2" t="inlineStr">
        <is>
          <t>Huelva</t>
        </is>
      </c>
      <c r="H7" s="2" t="n"/>
      <c r="I7" s="2" t="inlineStr">
        <is>
          <t>Junta de Gobierno del Ayuntamiento de Almonte</t>
        </is>
      </c>
      <c r="J7" s="2" t="inlineStr">
        <is>
          <t>ejecución de obras del proyecto de ejecución para la rehabilitación energética del edificio "hacienda santa maría" -proyectos Miteco- derivadas de proyecto subvencionado por el ministerio para la transición ecológica y el reto demográfico en aplicación del Real decreto 842/2024, de 27 de agosto,</t>
        </is>
      </c>
      <c r="K7" s="2" t="inlineStr">
        <is>
          <t>12054/2026</t>
        </is>
      </c>
      <c r="L7" s="2" t="inlineStr">
        <is>
          <t>Abierto simplificado</t>
        </is>
      </c>
      <c r="M7" s="6" t="n">
        <v>10</v>
      </c>
      <c r="N7" s="2" t="inlineStr">
        <is>
          <t>C*-3</t>
        </is>
      </c>
      <c r="O7" s="7" t="n">
        <v>0.25</v>
      </c>
      <c r="P7" s="2" t="inlineStr">
        <is>
          <t>Procedencia de materiales y proveedores 4 (JV) | Compromiso de reducción del plazo de ejecución de la obra 25 | Recursos: personal, maquinaria y medios auxiliares 7 (JV) | Mejoras sociales de inserción 10 | Propuesta Plan de Obra 5 (JV) | Organización de los trabajos 5 (JV) | Ampliación de garantía 10 | Mejoras ambientales y/o de accesibilidad 20 | Propuesta del Plan de Aseguramiento de la Calidad 4 (JV) | Medidas medioambientales 10</t>
        </is>
      </c>
      <c r="Q7" s="2" t="inlineStr">
        <is>
          <t>definitiva 5%</t>
        </is>
      </c>
      <c r="R7" s="2" t="n"/>
      <c r="S7" s="4" t="n"/>
      <c r="T7" s="2" t="inlineStr">
        <is>
          <t>45200000</t>
        </is>
      </c>
      <c r="U7" s="8" t="inlineStr">
        <is>
          <t>PCAP</t>
        </is>
      </c>
      <c r="V7" s="8" t="inlineStr">
        <is>
          <t>PPT</t>
        </is>
      </c>
      <c r="W7" s="8" t="inlineStr">
        <is>
          <t>Ver</t>
        </is>
      </c>
      <c r="X7" s="9" t="n">
        <v>46310</v>
      </c>
      <c r="Y7" s="2" t="n"/>
    </row>
    <row r="8">
      <c r="A8" s="2" t="n"/>
      <c r="B8" s="3" t="n">
        <v>46321.99930555555</v>
      </c>
      <c r="C8" s="4">
        <f>IF(B8="","",INT(B8)-TODAY())</f>
        <v/>
      </c>
      <c r="D8" s="5" t="n">
        <v>1025843.16</v>
      </c>
      <c r="E8" s="5" t="n">
        <v>1025843.16</v>
      </c>
      <c r="F8" s="2" t="inlineStr">
        <is>
          <t>Andalucía</t>
        </is>
      </c>
      <c r="G8" s="2" t="inlineStr">
        <is>
          <t>Málaga</t>
        </is>
      </c>
      <c r="H8" s="2" t="inlineStr">
        <is>
          <t>Alhaurín el Grande</t>
        </is>
      </c>
      <c r="I8" s="2" t="inlineStr">
        <is>
          <t>Alcaldía del Ayuntamiento de Alhaurín el Grande</t>
        </is>
      </c>
      <c r="J8" s="2" t="inlineStr">
        <is>
          <t>Proyecto de obras de renaturalización de las Avenidas Blas Infante y Libertad. Tramo 4</t>
        </is>
      </c>
      <c r="K8" s="2" t="inlineStr">
        <is>
          <t>25734/2026 BLAS INFANTE Y LIBERTAD</t>
        </is>
      </c>
      <c r="L8" s="2" t="inlineStr">
        <is>
          <t>Abierto simplificado</t>
        </is>
      </c>
      <c r="M8" s="6" t="n">
        <v>14</v>
      </c>
      <c r="N8" s="2" t="n"/>
      <c r="O8" s="7" t="n">
        <v>0.1</v>
      </c>
      <c r="P8" s="2" t="inlineStr">
        <is>
          <t>Proposición económica 80 | Memoria constructiva y programa de trabajo 4 (JV) | Medidas para reducir el impacto Ambiental 2 (JV) | Medidas para reducir el impacto urbano de la obra 4 (JV) | ampliación en el plazo de garantía 10</t>
        </is>
      </c>
      <c r="Q8" s="2" t="inlineStr">
        <is>
          <t>definitiva 5%</t>
        </is>
      </c>
      <c r="R8" s="2" t="n"/>
      <c r="S8" s="4" t="n"/>
      <c r="T8" s="2" t="inlineStr">
        <is>
          <t>45223210; 45262520; 45233140; 45262210; 45112000; 45232100</t>
        </is>
      </c>
      <c r="U8" s="8" t="inlineStr">
        <is>
          <t>PCAP</t>
        </is>
      </c>
      <c r="V8" s="8" t="inlineStr">
        <is>
          <t>PPT</t>
        </is>
      </c>
      <c r="W8" s="8" t="inlineStr">
        <is>
          <t>Ver</t>
        </is>
      </c>
      <c r="X8" s="9" t="n">
        <v>46310</v>
      </c>
      <c r="Y8" s="2" t="n"/>
    </row>
    <row r="9">
      <c r="A9" s="2" t="n"/>
      <c r="B9" s="3" t="n">
        <v>46321.99930555555</v>
      </c>
      <c r="C9" s="4">
        <f>IF(B9="","",INT(B9)-TODAY())</f>
        <v/>
      </c>
      <c r="D9" s="5" t="n">
        <v>4198877.43</v>
      </c>
      <c r="E9" s="5" t="n">
        <v>4198877.43</v>
      </c>
      <c r="F9" s="2" t="inlineStr">
        <is>
          <t>Comunitat Valenciana</t>
        </is>
      </c>
      <c r="G9" s="2" t="inlineStr">
        <is>
          <t>Alicante</t>
        </is>
      </c>
      <c r="H9" s="2" t="n"/>
      <c r="I9" s="2" t="inlineStr">
        <is>
          <t>Consejo de Administración de Promociones e Iniciativas Municipales de Elche, S.A. (PIMESA)</t>
        </is>
      </c>
      <c r="J9" s="2" t="inlineStr">
        <is>
          <t>Obras de Construcción de un Edificio de 45 viviendas protegidas (VPNC), local, sótano para 44 aparcamientos y urbanización interior en la calle Obispo Cubero, nº2, Parcela nº5 del PRIM, Barrio San Antón de Elche.</t>
        </is>
      </c>
      <c r="K9" s="2" t="inlineStr">
        <is>
          <t>2026/A/003</t>
        </is>
      </c>
      <c r="L9" s="2" t="inlineStr">
        <is>
          <t>Abierto</t>
        </is>
      </c>
      <c r="M9" s="6" t="n">
        <v>24</v>
      </c>
      <c r="N9" s="2" t="inlineStr">
        <is>
          <t>C*-4</t>
        </is>
      </c>
      <c r="O9" s="7" t="n">
        <v>0.25</v>
      </c>
      <c r="P9" s="2" t="inlineStr">
        <is>
          <t>Criterios evaluables mediante juicio de valor. 25 (JV) | Criterio evaluable de forma automática. Otros criterios 15 | Criterios evaluables de forma automática. Oferta Económica 60</t>
        </is>
      </c>
      <c r="Q9" s="2" t="inlineStr">
        <is>
          <t>definitiva 5%</t>
        </is>
      </c>
      <c r="R9" s="2" t="n"/>
      <c r="S9" s="4" t="n"/>
      <c r="T9" s="2" t="inlineStr">
        <is>
          <t>45211340</t>
        </is>
      </c>
      <c r="U9" s="8" t="inlineStr">
        <is>
          <t>PCAP</t>
        </is>
      </c>
      <c r="V9" s="2" t="n"/>
      <c r="W9" s="8" t="inlineStr">
        <is>
          <t>Ver</t>
        </is>
      </c>
      <c r="X9" s="9" t="n">
        <v>46311</v>
      </c>
      <c r="Y9" s="2" t="n"/>
    </row>
    <row r="10">
      <c r="A10" s="2" t="n"/>
      <c r="B10" s="3" t="n">
        <v>46321.99930555555</v>
      </c>
      <c r="C10" s="4">
        <f>IF(B10="","",INT(B10)-TODAY())</f>
        <v/>
      </c>
      <c r="D10" s="5" t="n">
        <v>725142.59</v>
      </c>
      <c r="E10" s="5" t="n">
        <v>725142.59</v>
      </c>
      <c r="F10" s="2" t="inlineStr">
        <is>
          <t>Andalucía</t>
        </is>
      </c>
      <c r="G10" s="2" t="inlineStr">
        <is>
          <t>Almería</t>
        </is>
      </c>
      <c r="H10" s="2" t="n"/>
      <c r="I10" s="2" t="inlineStr">
        <is>
          <t>Junta de Gobierno de la Diputación Provincial de Almería</t>
        </is>
      </c>
      <c r="J10" s="2" t="inlineStr">
        <is>
          <t>Consolidacióin Primaria Cortijo Del Fraile 1PGM2026</t>
        </is>
      </c>
      <c r="K10" s="2" t="inlineStr">
        <is>
          <t>2026/D31000/006-013/00029</t>
        </is>
      </c>
      <c r="L10" s="2" t="inlineStr">
        <is>
          <t>Abierto simplificado</t>
        </is>
      </c>
      <c r="M10" s="6" t="n">
        <v>10</v>
      </c>
      <c r="N10" s="2" t="n"/>
      <c r="O10" s="7" t="n">
        <v>0.25</v>
      </c>
      <c r="P10" s="2" t="inlineStr">
        <is>
          <t>Oferta Técnica 25 (JV) | Precio 75</t>
        </is>
      </c>
      <c r="Q10" s="2" t="inlineStr">
        <is>
          <t>complementaria 5%; definitiva 5%</t>
        </is>
      </c>
      <c r="R10" s="2" t="n"/>
      <c r="S10" s="4" t="n"/>
      <c r="T10" s="2" t="inlineStr">
        <is>
          <t>45212350</t>
        </is>
      </c>
      <c r="U10" s="8" t="inlineStr">
        <is>
          <t>PCAP</t>
        </is>
      </c>
      <c r="V10" s="8" t="inlineStr">
        <is>
          <t>PPT</t>
        </is>
      </c>
      <c r="W10" s="8" t="inlineStr">
        <is>
          <t>Ver</t>
        </is>
      </c>
      <c r="X10" s="9" t="n">
        <v>46317</v>
      </c>
      <c r="Y10" s="2" t="n"/>
    </row>
    <row r="11">
      <c r="A11" s="2" t="n"/>
      <c r="B11" s="3" t="n">
        <v>46322.99930555555</v>
      </c>
      <c r="C11" s="4">
        <f>IF(B11="","",INT(B11)-TODAY())</f>
        <v/>
      </c>
      <c r="D11" s="5" t="n">
        <v>1408264.46</v>
      </c>
      <c r="E11" s="5" t="n">
        <v>1408264.46</v>
      </c>
      <c r="F11" s="2" t="inlineStr">
        <is>
          <t>Andalucía</t>
        </is>
      </c>
      <c r="G11" s="2" t="inlineStr">
        <is>
          <t>Almería</t>
        </is>
      </c>
      <c r="H11" s="2" t="n"/>
      <c r="I11" s="2" t="inlineStr">
        <is>
          <t>Junta de Gobierno de la Diputación Provincial de Almería</t>
        </is>
      </c>
      <c r="J11" s="2" t="inlineStr">
        <is>
          <t>Obras De Urbanización Para Un Complejo Deportivo. Vera 72PPOS24-27BI</t>
        </is>
      </c>
      <c r="K11" s="2" t="inlineStr">
        <is>
          <t>2026/D31000/006-013/00078</t>
        </is>
      </c>
      <c r="L11" s="2" t="inlineStr">
        <is>
          <t>Abierto simplificado</t>
        </is>
      </c>
      <c r="M11" s="6" t="n">
        <v>12.2</v>
      </c>
      <c r="N11" s="2" t="inlineStr">
        <is>
          <t>G6-4</t>
        </is>
      </c>
      <c r="O11" s="7" t="n">
        <v>0.25</v>
      </c>
      <c r="P11" s="2" t="inlineStr">
        <is>
          <t>Oferta técnica 25 (JV) | Precio 75</t>
        </is>
      </c>
      <c r="Q11" s="2" t="inlineStr">
        <is>
          <t>definitiva 5%; complementaria 5%</t>
        </is>
      </c>
      <c r="R11" s="2" t="n"/>
      <c r="S11" s="4" t="n"/>
      <c r="T11" s="2" t="inlineStr">
        <is>
          <t>45233200</t>
        </is>
      </c>
      <c r="U11" s="8" t="inlineStr">
        <is>
          <t>PCAP</t>
        </is>
      </c>
      <c r="V11" s="8" t="inlineStr">
        <is>
          <t>PPT</t>
        </is>
      </c>
      <c r="W11" s="8" t="inlineStr">
        <is>
          <t>Ver</t>
        </is>
      </c>
      <c r="X11" s="9" t="n">
        <v>46310</v>
      </c>
      <c r="Y11" s="2" t="n"/>
    </row>
    <row r="12">
      <c r="A12" s="2" t="n"/>
      <c r="B12" s="3" t="n">
        <v>46322.99930555555</v>
      </c>
      <c r="C12" s="4">
        <f>IF(B12="","",INT(B12)-TODAY())</f>
        <v/>
      </c>
      <c r="D12" s="5" t="n">
        <v>826446.28</v>
      </c>
      <c r="E12" s="5" t="n">
        <v>826446.28</v>
      </c>
      <c r="F12" s="2" t="inlineStr">
        <is>
          <t>Andalucía</t>
        </is>
      </c>
      <c r="G12" s="2" t="inlineStr">
        <is>
          <t>Almería</t>
        </is>
      </c>
      <c r="H12" s="2" t="n"/>
      <c r="I12" s="2" t="inlineStr">
        <is>
          <t>Junta de Gobierno de la Diputación Provincial de Almería</t>
        </is>
      </c>
      <c r="J12" s="2" t="inlineStr">
        <is>
          <t>Rehabilitación Y Mejora De Edificios Municipales. Benahadux 19PPOS24-27BII</t>
        </is>
      </c>
      <c r="K12" s="2" t="inlineStr">
        <is>
          <t>2026/D31000/006-013/00009</t>
        </is>
      </c>
      <c r="L12" s="2" t="inlineStr">
        <is>
          <t>Abierto simplificado</t>
        </is>
      </c>
      <c r="M12" s="6" t="n">
        <v>15</v>
      </c>
      <c r="N12" s="2" t="inlineStr">
        <is>
          <t>C6-3; C4-3</t>
        </is>
      </c>
      <c r="O12" s="7" t="n">
        <v>0.25</v>
      </c>
      <c r="P12" s="2" t="inlineStr">
        <is>
          <t>Oferta Técnica 25 (JV) | Precio 75</t>
        </is>
      </c>
      <c r="Q12" s="2" t="inlineStr">
        <is>
          <t>complementaria 5%; definitiva 5%</t>
        </is>
      </c>
      <c r="R12" s="2" t="n"/>
      <c r="S12" s="4" t="n"/>
      <c r="T12" s="2" t="inlineStr">
        <is>
          <t>45214000</t>
        </is>
      </c>
      <c r="U12" s="8" t="inlineStr">
        <is>
          <t>PCAP</t>
        </is>
      </c>
      <c r="V12" s="8" t="inlineStr">
        <is>
          <t>PPT</t>
        </is>
      </c>
      <c r="W12" s="8" t="inlineStr">
        <is>
          <t>Ver</t>
        </is>
      </c>
      <c r="X12" s="9" t="n">
        <v>46310</v>
      </c>
      <c r="Y12" s="2" t="n"/>
    </row>
    <row r="13">
      <c r="A13" s="2" t="n"/>
      <c r="B13" s="3" t="n">
        <v>46323.04097222222</v>
      </c>
      <c r="C13" s="4">
        <f>IF(B13="","",INT(B13)-TODAY())</f>
        <v/>
      </c>
      <c r="D13" s="5" t="n">
        <v>547041.28</v>
      </c>
      <c r="E13" s="5" t="n">
        <v>547041.28</v>
      </c>
      <c r="F13" s="2" t="inlineStr">
        <is>
          <t>Andalucía</t>
        </is>
      </c>
      <c r="G13" s="2" t="inlineStr">
        <is>
          <t>Sevilla</t>
        </is>
      </c>
      <c r="H13" s="2" t="inlineStr">
        <is>
          <t>Sevilla</t>
        </is>
      </c>
      <c r="I13" s="2" t="inlineStr">
        <is>
          <t>Consejo de Administración de la Agencia de Régimen Especial Ciclo Integral Aguas del Retortillo</t>
        </is>
      </c>
      <c r="J13" s="2" t="inlineStr">
        <is>
          <t>PAS/OBRAS/007/2026 Obras construcción EDAR Natural Puerto de la Encina</t>
        </is>
      </c>
      <c r="K13" s="2" t="inlineStr">
        <is>
          <t>1009/2026</t>
        </is>
      </c>
      <c r="L13" s="2" t="inlineStr">
        <is>
          <t>Abierto simplificado</t>
        </is>
      </c>
      <c r="M13" s="6" t="n">
        <v>6</v>
      </c>
      <c r="N13" s="2" t="inlineStr">
        <is>
          <t>E1-3</t>
        </is>
      </c>
      <c r="O13" s="7" t="n">
        <v>0</v>
      </c>
      <c r="P13" s="2" t="inlineStr">
        <is>
          <t>Calidad: Ampliación Garantía 6 | Calidad. Experiencia Jefe de Obras 10 | PRECIO 84</t>
        </is>
      </c>
      <c r="Q13" s="2" t="inlineStr">
        <is>
          <t>definitiva 5%</t>
        </is>
      </c>
      <c r="R13" s="2" t="n"/>
      <c r="S13" s="4" t="n"/>
      <c r="T13" s="2" t="inlineStr">
        <is>
          <t>45252100</t>
        </is>
      </c>
      <c r="U13" s="8" t="inlineStr">
        <is>
          <t>PCAP</t>
        </is>
      </c>
      <c r="V13" s="8" t="inlineStr">
        <is>
          <t>PPT</t>
        </is>
      </c>
      <c r="W13" s="8" t="inlineStr">
        <is>
          <t>Ver</t>
        </is>
      </c>
      <c r="X13" s="9" t="n">
        <v>46310</v>
      </c>
      <c r="Y13" s="2" t="n"/>
    </row>
    <row r="14">
      <c r="A14" s="2" t="n"/>
      <c r="B14" s="3" t="n">
        <v>46323.5</v>
      </c>
      <c r="C14" s="4">
        <f>IF(B14="","",INT(B14)-TODAY())</f>
        <v/>
      </c>
      <c r="D14" s="5" t="n">
        <v>794991.59</v>
      </c>
      <c r="E14" s="5" t="n">
        <v>794991.59</v>
      </c>
      <c r="F14" s="2" t="inlineStr">
        <is>
          <t>Andalucía</t>
        </is>
      </c>
      <c r="G14" s="2" t="inlineStr">
        <is>
          <t>Málaga</t>
        </is>
      </c>
      <c r="H14" s="2" t="inlineStr">
        <is>
          <t>Málaga</t>
        </is>
      </c>
      <c r="I14" s="2" t="inlineStr">
        <is>
          <t>Aena. Dirección del Aeropuerto de Málaga-Costa del Sol</t>
        </is>
      </c>
      <c r="J14" s="2" t="inlineStr">
        <is>
          <t>Ampliación Y Adecuación De Aseo 208 En El Aeropuerto De Málaga ¿ Costa Del Sol</t>
        </is>
      </c>
      <c r="K14" s="2" t="inlineStr">
        <is>
          <t>AGP-147/2026</t>
        </is>
      </c>
      <c r="L14" s="2" t="inlineStr">
        <is>
          <t>Normas internas</t>
        </is>
      </c>
      <c r="M14" s="6" t="n">
        <v>14</v>
      </c>
      <c r="N14" s="2" t="n"/>
      <c r="O14" s="7" t="n">
        <v>0</v>
      </c>
      <c r="P14" s="2" t="inlineStr">
        <is>
          <t>Precio 100</t>
        </is>
      </c>
      <c r="Q14" s="2" t="n"/>
      <c r="R14" s="2" t="n"/>
      <c r="S14" s="4" t="n"/>
      <c r="T14" s="2" t="inlineStr">
        <is>
          <t>45211310</t>
        </is>
      </c>
      <c r="U14" s="8" t="inlineStr">
        <is>
          <t>PCAP</t>
        </is>
      </c>
      <c r="V14" s="8" t="inlineStr">
        <is>
          <t>PPT</t>
        </is>
      </c>
      <c r="W14" s="8" t="inlineStr">
        <is>
          <t>Ver</t>
        </is>
      </c>
      <c r="X14" s="9" t="n">
        <v>46310</v>
      </c>
      <c r="Y14" s="2" t="n"/>
    </row>
    <row r="15">
      <c r="A15" s="2" t="n"/>
      <c r="B15" s="3" t="n">
        <v>46323.5</v>
      </c>
      <c r="C15" s="4">
        <f>IF(B15="","",INT(B15)-TODAY())</f>
        <v/>
      </c>
      <c r="D15" s="5" t="n">
        <v>653963.23</v>
      </c>
      <c r="E15" s="5" t="n">
        <v>653963.23</v>
      </c>
      <c r="F15" s="2" t="inlineStr">
        <is>
          <t>Comunitat Valenciana</t>
        </is>
      </c>
      <c r="G15" s="2" t="inlineStr">
        <is>
          <t>Alicante</t>
        </is>
      </c>
      <c r="H15" s="2" t="inlineStr">
        <is>
          <t>Almoradí</t>
        </is>
      </c>
      <c r="I15" s="2" t="inlineStr">
        <is>
          <t>Junta de Gobierno del Ayuntamiento de Almoradí</t>
        </is>
      </c>
      <c r="J15" s="2" t="inlineStr">
        <is>
          <t>Mejora de la accesibilidad y la escena urbana en el entorno del Teatro Cortés y Museo del Terremoto (Plan de Actuación Integrado PAI, cofinanciado con la Unión Europea - FEDER)</t>
        </is>
      </c>
      <c r="K15" s="2" t="inlineStr">
        <is>
          <t>6981/2026</t>
        </is>
      </c>
      <c r="L15" s="2" t="inlineStr">
        <is>
          <t>Abierto simplificado</t>
        </is>
      </c>
      <c r="M15" s="6" t="n">
        <v>5</v>
      </c>
      <c r="N15" s="2" t="n"/>
      <c r="O15" s="7" t="n">
        <v>0.25</v>
      </c>
      <c r="P15" s="2" t="inlineStr">
        <is>
          <t>Proposición económica 75 | Memoria Técnica 25 (JV)</t>
        </is>
      </c>
      <c r="Q15" s="2" t="inlineStr">
        <is>
          <t>complementaria 5%; definitiva 5%</t>
        </is>
      </c>
      <c r="R15" s="2" t="n"/>
      <c r="S15" s="4" t="n"/>
      <c r="T15" s="2" t="inlineStr">
        <is>
          <t>45233200; 45000000; 45111100; 45233140; 45233253; 45211360</t>
        </is>
      </c>
      <c r="U15" s="8" t="inlineStr">
        <is>
          <t>PCAP</t>
        </is>
      </c>
      <c r="V15" s="2" t="n"/>
      <c r="W15" s="8" t="inlineStr">
        <is>
          <t>Ver</t>
        </is>
      </c>
      <c r="X15" s="9" t="n">
        <v>46310</v>
      </c>
      <c r="Y15" s="2" t="n"/>
    </row>
    <row r="16">
      <c r="A16" s="2" t="n"/>
      <c r="B16" s="3" t="n">
        <v>46323.99930555555</v>
      </c>
      <c r="C16" s="4">
        <f>IF(B16="","",INT(B16)-TODAY())</f>
        <v/>
      </c>
      <c r="D16" s="5" t="n">
        <v>734951.3100000001</v>
      </c>
      <c r="E16" s="5" t="n">
        <v>734951.3100000001</v>
      </c>
      <c r="F16" s="2" t="inlineStr">
        <is>
          <t>Comunitat Valenciana</t>
        </is>
      </c>
      <c r="G16" s="2" t="inlineStr">
        <is>
          <t>Valencia</t>
        </is>
      </c>
      <c r="H16" s="2" t="n"/>
      <c r="I16" s="2" t="inlineStr">
        <is>
          <t>Alcaldía del Ayuntamiento de Manises</t>
        </is>
      </c>
      <c r="J16" s="2" t="inlineStr">
        <is>
          <t>Reasfaltado de la travesia de Manises de la CV-370 desde Avenida dels Tranvies hasta la V-11 de acceso al aeropuerto y sustitución del alumbrado del puente de la CV-371 en el término de Manises</t>
        </is>
      </c>
      <c r="K16" s="2" t="inlineStr">
        <is>
          <t>3034000P</t>
        </is>
      </c>
      <c r="L16" s="2" t="inlineStr">
        <is>
          <t>Abierto simplificado</t>
        </is>
      </c>
      <c r="M16" s="6" t="n">
        <v>2</v>
      </c>
      <c r="N16" s="2" t="inlineStr">
        <is>
          <t>G4-3</t>
        </is>
      </c>
      <c r="O16" s="7" t="n">
        <v>0</v>
      </c>
      <c r="P16" s="2" t="inlineStr">
        <is>
          <t>Oferta económica 70 | Amplliación del plazo de garantia 30</t>
        </is>
      </c>
      <c r="Q16" s="2" t="n"/>
      <c r="R16" s="2" t="n"/>
      <c r="S16" s="4" t="n"/>
      <c r="T16" s="2" t="inlineStr">
        <is>
          <t>45233222; 45233252; 45233223; 45233251; 34928530; 34991000; 50232100</t>
        </is>
      </c>
      <c r="U16" s="8" t="inlineStr">
        <is>
          <t>PCAP</t>
        </is>
      </c>
      <c r="V16" s="8" t="inlineStr">
        <is>
          <t>PPT</t>
        </is>
      </c>
      <c r="W16" s="8" t="inlineStr">
        <is>
          <t>Ver</t>
        </is>
      </c>
      <c r="X16" s="9" t="n">
        <v>46310</v>
      </c>
      <c r="Y16" s="2" t="n"/>
    </row>
    <row r="17">
      <c r="A17" s="2" t="n"/>
      <c r="B17" s="3" t="n">
        <v>46323.99930555555</v>
      </c>
      <c r="C17" s="4">
        <f>IF(B17="","",INT(B17)-TODAY())</f>
        <v/>
      </c>
      <c r="D17" s="5" t="n">
        <v>812294</v>
      </c>
      <c r="E17" s="5" t="n">
        <v>812294</v>
      </c>
      <c r="F17" s="2" t="inlineStr">
        <is>
          <t>Comunitat Valenciana</t>
        </is>
      </c>
      <c r="G17" s="2" t="inlineStr">
        <is>
          <t>Valencia</t>
        </is>
      </c>
      <c r="H17" s="2" t="inlineStr">
        <is>
          <t>el Genovés</t>
        </is>
      </c>
      <c r="I17" s="2" t="inlineStr">
        <is>
          <t>Pleno del Ayuntamiento de Genovés</t>
        </is>
      </c>
      <c r="J17" s="2" t="inlineStr">
        <is>
          <t>Construcción de un edificio de nueva planta, destinado a la población joven de la localidad, emplazado en calle Maestro Serrano nº 4 de El Genovés.</t>
        </is>
      </c>
      <c r="K17" s="2" t="inlineStr">
        <is>
          <t>2222/2026</t>
        </is>
      </c>
      <c r="L17" s="2" t="inlineStr">
        <is>
          <t>Abierto simplificado</t>
        </is>
      </c>
      <c r="M17" s="6" t="n">
        <v>10</v>
      </c>
      <c r="N17" s="2" t="inlineStr">
        <is>
          <t>C*-3</t>
        </is>
      </c>
      <c r="O17" s="7" t="n">
        <v>0</v>
      </c>
      <c r="P17" s="2" t="inlineStr">
        <is>
          <t>Mejor oferta económica 100</t>
        </is>
      </c>
      <c r="Q17" s="2" t="inlineStr">
        <is>
          <t>definitiva 5%</t>
        </is>
      </c>
      <c r="R17" s="2" t="n"/>
      <c r="S17" s="4" t="n"/>
      <c r="T17" s="2" t="inlineStr">
        <is>
          <t>45000000; 45220000; 45200000</t>
        </is>
      </c>
      <c r="U17" s="8" t="inlineStr">
        <is>
          <t>PCAP</t>
        </is>
      </c>
      <c r="V17" s="8" t="inlineStr">
        <is>
          <t>PPT</t>
        </is>
      </c>
      <c r="W17" s="8" t="inlineStr">
        <is>
          <t>Ver</t>
        </is>
      </c>
      <c r="X17" s="9" t="n">
        <v>46310</v>
      </c>
      <c r="Y17" s="2" t="n"/>
    </row>
    <row r="18">
      <c r="A18" s="2" t="n"/>
      <c r="B18" s="3" t="n">
        <v>46323.99930555555</v>
      </c>
      <c r="C18" s="4">
        <f>IF(B18="","",INT(B18)-TODAY())</f>
        <v/>
      </c>
      <c r="D18" s="5" t="n">
        <v>675994.61</v>
      </c>
      <c r="E18" s="5" t="n">
        <v>743594.0699999999</v>
      </c>
      <c r="F18" s="2" t="inlineStr">
        <is>
          <t>Comunitat Valenciana</t>
        </is>
      </c>
      <c r="G18" s="2" t="inlineStr">
        <is>
          <t>Valencia</t>
        </is>
      </c>
      <c r="H18" s="2" t="n"/>
      <c r="I18" s="2" t="inlineStr">
        <is>
          <t>Junta de Gobierno del Ajuntament de València</t>
        </is>
      </c>
      <c r="J18" s="2" t="inlineStr">
        <is>
          <t>Ejecución de las Obras denominadas Limpieza y mantenimiento de las fachadas del Mercado Central de València.-</t>
        </is>
      </c>
      <c r="K18" s="2" t="inlineStr">
        <is>
          <t>04101/2026/236-O</t>
        </is>
      </c>
      <c r="L18" s="2" t="inlineStr">
        <is>
          <t>Abierto simplificado</t>
        </is>
      </c>
      <c r="M18" s="6" t="n">
        <v>5</v>
      </c>
      <c r="N18" s="2" t="inlineStr">
        <is>
          <t>K7-3</t>
        </is>
      </c>
      <c r="O18" s="7" t="n">
        <v>0</v>
      </c>
      <c r="P18" s="2" t="inlineStr">
        <is>
          <t>REDUCCIÓN DEL PLAZO DE EJECUCIÓN 20 | BAJA ECONÓMICA AL PRESUPUESTO BASE DE LICITACIÓN 40 | EXPERIENCIA PROFESIONAL ESPECÍFICA DE LAS PERSONAS INTEGRANTES DEL EQUIPO DE TRABAJO 30 | AMPLIACIÓN PLAZO DE GARANTIA 10</t>
        </is>
      </c>
      <c r="Q18" s="2" t="inlineStr">
        <is>
          <t>definitiva 5%</t>
        </is>
      </c>
      <c r="R18" s="2" t="n"/>
      <c r="S18" s="4" t="n"/>
      <c r="T18" s="2" t="inlineStr">
        <is>
          <t>45213141</t>
        </is>
      </c>
      <c r="U18" s="8" t="inlineStr">
        <is>
          <t>PCAP</t>
        </is>
      </c>
      <c r="V18" s="8" t="inlineStr">
        <is>
          <t>PPT</t>
        </is>
      </c>
      <c r="W18" s="8" t="inlineStr">
        <is>
          <t>Ver</t>
        </is>
      </c>
      <c r="X18" s="9" t="n">
        <v>46310</v>
      </c>
      <c r="Y18" s="2" t="n"/>
    </row>
    <row r="19">
      <c r="A19" s="2" t="n"/>
      <c r="B19" s="3" t="n">
        <v>46324.5</v>
      </c>
      <c r="C19" s="4">
        <f>IF(B19="","",INT(B19)-TODAY())</f>
        <v/>
      </c>
      <c r="D19" s="5" t="n">
        <v>20327126.55</v>
      </c>
      <c r="E19" s="5" t="n">
        <v>21140211.61</v>
      </c>
      <c r="F19" s="2" t="inlineStr">
        <is>
          <t>Andalucía</t>
        </is>
      </c>
      <c r="G19" s="2" t="inlineStr">
        <is>
          <t>Málaga</t>
        </is>
      </c>
      <c r="H19" s="2" t="inlineStr">
        <is>
          <t>Málaga</t>
        </is>
      </c>
      <c r="I19" s="2" t="inlineStr">
        <is>
          <t>Aena. Consejo de Administración</t>
        </is>
      </c>
      <c r="J19" s="2" t="inlineStr">
        <is>
          <t>Actuaciones En Pavimento En Rodadura A Y Salidas Asociadas. Aeropuerto De Málaga - Costa Del Sol.</t>
        </is>
      </c>
      <c r="K19" s="2" t="inlineStr">
        <is>
          <t>DIN-442/2026</t>
        </is>
      </c>
      <c r="L19" s="2" t="inlineStr">
        <is>
          <t>Licitación con negociación</t>
        </is>
      </c>
      <c r="M19" s="6" t="n">
        <v>37</v>
      </c>
      <c r="N19" s="2" t="n"/>
      <c r="O19" s="7" t="n">
        <v>0</v>
      </c>
      <c r="P19" s="2" t="inlineStr">
        <is>
          <t>Precio 100</t>
        </is>
      </c>
      <c r="Q19" s="2" t="n"/>
      <c r="R19" s="2" t="n"/>
      <c r="S19" s="4" t="n"/>
      <c r="T19" s="2" t="inlineStr">
        <is>
          <t>45235311</t>
        </is>
      </c>
      <c r="U19" s="8" t="inlineStr">
        <is>
          <t>PCAP</t>
        </is>
      </c>
      <c r="V19" s="8" t="inlineStr">
        <is>
          <t>PPT</t>
        </is>
      </c>
      <c r="W19" s="8" t="inlineStr">
        <is>
          <t>Ver</t>
        </is>
      </c>
      <c r="X19" s="9" t="n">
        <v>46314</v>
      </c>
      <c r="Y19" s="2" t="n"/>
    </row>
    <row r="20">
      <c r="A20" s="2" t="n"/>
      <c r="B20" s="3" t="n">
        <v>46324.58333333334</v>
      </c>
      <c r="C20" s="4">
        <f>IF(B20="","",INT(B20)-TODAY())</f>
        <v/>
      </c>
      <c r="D20" s="5" t="n">
        <v>743801.65</v>
      </c>
      <c r="E20" s="5" t="n">
        <v>743801.65</v>
      </c>
      <c r="F20" s="2" t="inlineStr">
        <is>
          <t>Andalucía</t>
        </is>
      </c>
      <c r="G20" s="2" t="inlineStr">
        <is>
          <t>Sevilla</t>
        </is>
      </c>
      <c r="H20" s="2" t="n"/>
      <c r="I20" s="2" t="inlineStr">
        <is>
          <t>Alcaldia del Ayuntamiento de Pilas</t>
        </is>
      </c>
      <c r="J20" s="2" t="inlineStr">
        <is>
          <t>Ejecución de la obra "Proyecto de reasfaltado 2026, de Pilas (Sevilla).</t>
        </is>
      </c>
      <c r="K20" s="2" t="inlineStr">
        <is>
          <t>P4107500C-2026/000082-PAAS</t>
        </is>
      </c>
      <c r="L20" s="2" t="inlineStr">
        <is>
          <t>Abierto simplificado</t>
        </is>
      </c>
      <c r="M20" s="6" t="n">
        <v>6</v>
      </c>
      <c r="N20" s="2" t="inlineStr">
        <is>
          <t>G4-3; G*-3</t>
        </is>
      </c>
      <c r="O20" s="7" t="n">
        <v>0</v>
      </c>
      <c r="P20" s="2" t="inlineStr">
        <is>
          <t>Reducción del plazo de ejecución [2] 10 | Aspecto Económico (precio) [1] 75 | Mejoras [3] 15</t>
        </is>
      </c>
      <c r="Q20" s="2" t="n"/>
      <c r="R20" s="2" t="n"/>
      <c r="S20" s="4" t="n"/>
      <c r="T20" s="2" t="inlineStr">
        <is>
          <t>45233222</t>
        </is>
      </c>
      <c r="U20" s="8" t="inlineStr">
        <is>
          <t>PCAP</t>
        </is>
      </c>
      <c r="V20" s="8" t="inlineStr">
        <is>
          <t>PPT</t>
        </is>
      </c>
      <c r="W20" s="8" t="inlineStr">
        <is>
          <t>Ver</t>
        </is>
      </c>
      <c r="X20" s="9" t="n">
        <v>46310</v>
      </c>
      <c r="Y20" s="2" t="n"/>
    </row>
    <row r="21">
      <c r="A21" s="2" t="n"/>
      <c r="B21" s="3" t="n">
        <v>46324.625</v>
      </c>
      <c r="C21" s="4">
        <f>IF(B21="","",INT(B21)-TODAY())</f>
        <v/>
      </c>
      <c r="D21" s="5" t="n">
        <v>799446.1899999999</v>
      </c>
      <c r="E21" s="5" t="n">
        <v>959335.4300000001</v>
      </c>
      <c r="F21" s="2" t="inlineStr">
        <is>
          <t>Andalucía</t>
        </is>
      </c>
      <c r="G21" s="2" t="inlineStr">
        <is>
          <t>Málaga</t>
        </is>
      </c>
      <c r="H21" s="2" t="inlineStr">
        <is>
          <t>Torre de Benagalbón, término municipal de Rincón de la Victoria</t>
        </is>
      </c>
      <c r="I21" s="2" t="inlineStr">
        <is>
          <t>Alcaldía del Ayuntamiento de Rincón de la Victoria</t>
        </is>
      </c>
      <c r="J21" s="2" t="inlineStr">
        <is>
          <t>Aparcamientos en sótano del Pabellón Rubén Ruzafa</t>
        </is>
      </c>
      <c r="K21" s="2" t="inlineStr">
        <is>
          <t>Contratación 57/26</t>
        </is>
      </c>
      <c r="L21" s="2" t="inlineStr">
        <is>
          <t>Abierto simplificado</t>
        </is>
      </c>
      <c r="M21" s="6" t="n">
        <v>8</v>
      </c>
      <c r="N21" s="2" t="inlineStr">
        <is>
          <t>C4-3</t>
        </is>
      </c>
      <c r="O21" s="7" t="n">
        <v>0.25</v>
      </c>
      <c r="P21" s="2" t="inlineStr">
        <is>
          <t>Reducción del plazo de ejecución al estipulado en el PCAP 30 | Programa de los trabajos compatibilizando la ejecución de obra con el funcionamiento del Pabellón 10 (JV) | Memoria de desarrollo del proyecto, las obras y propuestas para la mejora de la eficiencia y calidad de los trabajos 15 (JV) | Oferta económica 30 | Ampliación del plazo de garantía a añadir al estipulado en el PCAP 15</t>
        </is>
      </c>
      <c r="Q21" s="2" t="inlineStr">
        <is>
          <t>definitiva 5%</t>
        </is>
      </c>
      <c r="R21" s="2" t="inlineStr">
        <is>
          <t>No procede (Punto 6 del Anexo I)</t>
        </is>
      </c>
      <c r="S21" s="4" t="n"/>
      <c r="T21" s="2" t="inlineStr">
        <is>
          <t>45000000; 45223310</t>
        </is>
      </c>
      <c r="U21" s="8" t="inlineStr">
        <is>
          <t>PCAP</t>
        </is>
      </c>
      <c r="V21" s="8" t="inlineStr">
        <is>
          <t>PPT</t>
        </is>
      </c>
      <c r="W21" s="8" t="inlineStr">
        <is>
          <t>Ver</t>
        </is>
      </c>
      <c r="X21" s="9" t="n">
        <v>46317</v>
      </c>
      <c r="Y21" s="2" t="inlineStr">
        <is>
          <t>2026-10-23: plazo 2026-10-26 15:00 → 2026-10-29 15:00</t>
        </is>
      </c>
    </row>
    <row r="22">
      <c r="A22" s="2" t="n"/>
      <c r="B22" s="3" t="n">
        <v>46324.99930555555</v>
      </c>
      <c r="C22" s="4">
        <f>IF(B22="","",INT(B22)-TODAY())</f>
        <v/>
      </c>
      <c r="D22" s="5" t="n">
        <v>667189.24</v>
      </c>
      <c r="E22" s="5" t="n">
        <v>667189.24</v>
      </c>
      <c r="F22" s="2" t="inlineStr">
        <is>
          <t>Andalucía</t>
        </is>
      </c>
      <c r="G22" s="2" t="inlineStr">
        <is>
          <t>Huelva</t>
        </is>
      </c>
      <c r="H22" s="2" t="inlineStr">
        <is>
          <t>ISLA CRISTINA</t>
        </is>
      </c>
      <c r="I22" s="2" t="inlineStr">
        <is>
          <t>Alcaldía del Ayuntamiento de Isla Cristina</t>
        </is>
      </c>
      <c r="J22" s="2" t="inlineStr">
        <is>
          <t>Obras Proyecto de renovación y mejora de la eficiencia energética de las instalaciones de alumbrado público exterior del municipio de Isla Cristina.</t>
        </is>
      </c>
      <c r="K22" s="2" t="inlineStr">
        <is>
          <t>5773/2026</t>
        </is>
      </c>
      <c r="L22" s="2" t="inlineStr">
        <is>
          <t>Abierto simplificado</t>
        </is>
      </c>
      <c r="M22" s="6" t="n">
        <v>6.1</v>
      </c>
      <c r="N22" s="2" t="inlineStr">
        <is>
          <t>I1-3</t>
        </is>
      </c>
      <c r="O22" s="7" t="n">
        <v>0.25</v>
      </c>
      <c r="P22" s="2" t="inlineStr">
        <is>
          <t>Ampliación plazo garantía 10 | Calidad técnica de la propuesta de ejecución 25 (JV) | Oferta económica 60 | Primera intervención efectiva ante incidencias cubiertas por la garantía 5</t>
        </is>
      </c>
      <c r="Q22" s="2" t="inlineStr">
        <is>
          <t>definitiva 5%</t>
        </is>
      </c>
      <c r="R22" s="2" t="n"/>
      <c r="S22" s="4" t="n"/>
      <c r="T22" s="2" t="inlineStr">
        <is>
          <t>45316100; 45315600</t>
        </is>
      </c>
      <c r="U22" s="8" t="inlineStr">
        <is>
          <t>PCAP</t>
        </is>
      </c>
      <c r="V22" s="8" t="inlineStr">
        <is>
          <t>PPT</t>
        </is>
      </c>
      <c r="W22" s="8" t="inlineStr">
        <is>
          <t>Ver</t>
        </is>
      </c>
      <c r="X22" s="9" t="n">
        <v>46310</v>
      </c>
      <c r="Y22" s="2" t="n"/>
    </row>
    <row r="23">
      <c r="A23" s="2" t="n"/>
      <c r="B23" s="3" t="n">
        <v>46324.99930555555</v>
      </c>
      <c r="C23" s="4">
        <f>IF(B23="","",INT(B23)-TODAY())</f>
        <v/>
      </c>
      <c r="D23" s="5" t="n">
        <v>568417.8100000001</v>
      </c>
      <c r="E23" s="5" t="n">
        <v>568417.8100000001</v>
      </c>
      <c r="F23" s="2" t="inlineStr">
        <is>
          <t>Andalucía</t>
        </is>
      </c>
      <c r="G23" s="2" t="inlineStr">
        <is>
          <t>Huelva</t>
        </is>
      </c>
      <c r="H23" s="2" t="inlineStr">
        <is>
          <t>BONARES</t>
        </is>
      </c>
      <c r="I23" s="2" t="inlineStr">
        <is>
          <t>Alcaldia del Ayuntamiento de Bonares</t>
        </is>
      </c>
      <c r="J23" s="2" t="inlineStr">
        <is>
          <t>Creación de aparcamiento y plaza pública ajardinada en Avda. Nuestra Señora del Rocío nº 3 de Bonares (Huelva</t>
        </is>
      </c>
      <c r="K23" s="2" t="inlineStr">
        <is>
          <t>4654/2026</t>
        </is>
      </c>
      <c r="L23" s="2" t="inlineStr">
        <is>
          <t>Abierto simplificado</t>
        </is>
      </c>
      <c r="M23" s="6" t="n">
        <v>12</v>
      </c>
      <c r="N23" s="2" t="inlineStr">
        <is>
          <t>C*-3</t>
        </is>
      </c>
      <c r="O23" s="7" t="n">
        <v>0</v>
      </c>
      <c r="P23" s="2" t="inlineStr">
        <is>
          <t>REDUCCIÓN DEL PLAZO DE EJECUCIÓN 12 | OFERTA ECONÓMICA 68 | AUMENTO PLAZO DE GARANTÍA 20</t>
        </is>
      </c>
      <c r="Q23" s="2" t="inlineStr">
        <is>
          <t>definitiva 5%</t>
        </is>
      </c>
      <c r="R23" s="2" t="inlineStr">
        <is>
          <t>No se prevé la revisión de precios (Cláusula 6.9. del PCAP).</t>
        </is>
      </c>
      <c r="S23" s="4" t="n"/>
      <c r="T23" s="2" t="inlineStr">
        <is>
          <t>45220000; 45223000; 45000000</t>
        </is>
      </c>
      <c r="U23" s="8" t="inlineStr">
        <is>
          <t>PCAP</t>
        </is>
      </c>
      <c r="V23" s="8" t="inlineStr">
        <is>
          <t>PPT</t>
        </is>
      </c>
      <c r="W23" s="8" t="inlineStr">
        <is>
          <t>Ver</t>
        </is>
      </c>
      <c r="X23" s="9" t="n">
        <v>46310</v>
      </c>
      <c r="Y23" s="2" t="n"/>
    </row>
    <row r="24">
      <c r="A24" s="2" t="n"/>
      <c r="B24" s="3" t="n">
        <v>46325.58333333334</v>
      </c>
      <c r="C24" s="4">
        <f>IF(B24="","",INT(B24)-TODAY())</f>
        <v/>
      </c>
      <c r="D24" s="5" t="n">
        <v>1540129.68</v>
      </c>
      <c r="E24" s="5" t="n">
        <v>1540129.68</v>
      </c>
      <c r="F24" s="2" t="inlineStr">
        <is>
          <t>Andalucía</t>
        </is>
      </c>
      <c r="G24" s="2" t="inlineStr">
        <is>
          <t>Granada</t>
        </is>
      </c>
      <c r="H24" s="2" t="inlineStr">
        <is>
          <t>Granada</t>
        </is>
      </c>
      <c r="I24" s="2" t="inlineStr">
        <is>
          <t>Secretaría General de la Agencia Estatal Consejo Superior de Investigaciones Científicas</t>
        </is>
      </c>
      <c r="J24" s="2" t="inlineStr">
        <is>
          <t>Obras de nuevo edificio del Instituto de Astrofísica de Andalucía</t>
        </is>
      </c>
      <c r="K24" s="2" t="inlineStr">
        <is>
          <t>35349/26</t>
        </is>
      </c>
      <c r="L24" s="2" t="inlineStr">
        <is>
          <t>Abierto simplificado</t>
        </is>
      </c>
      <c r="M24" s="6" t="n">
        <v>12</v>
      </c>
      <c r="N24" s="2" t="n"/>
      <c r="O24" s="7" t="n">
        <v>0.25</v>
      </c>
      <c r="P24" s="2" t="inlineStr">
        <is>
          <t>Documentación complementaria 4 (JV) | Características técnicas del control de calidad de la ejecución de la obra 3 (JV) | Plan de mantenimiento técnico-legal 15 | Estudio del proyecto 8 (JV) | Memoria de ejecución de las obras y análisis y programa de trabajos 10 (JV) | Porcentaje ofertado de control de calidad 8 | Ampliación del plazo de garantía 12 | Oferta economica 40</t>
        </is>
      </c>
      <c r="Q24" s="2" t="n"/>
      <c r="R24" s="2" t="n"/>
      <c r="S24" s="4" t="n"/>
      <c r="T24" s="2" t="inlineStr">
        <is>
          <t>45214000; 45214600; 45213150</t>
        </is>
      </c>
      <c r="U24" s="8" t="inlineStr">
        <is>
          <t>PCAP</t>
        </is>
      </c>
      <c r="V24" s="8" t="inlineStr">
        <is>
          <t>PPT</t>
        </is>
      </c>
      <c r="W24" s="8" t="inlineStr">
        <is>
          <t>Ver</t>
        </is>
      </c>
      <c r="X24" s="9" t="n">
        <v>46310</v>
      </c>
      <c r="Y24" s="2" t="n"/>
    </row>
    <row r="25">
      <c r="A25" s="2" t="n"/>
      <c r="B25" s="3" t="n">
        <v>46328.33333333334</v>
      </c>
      <c r="C25" s="4">
        <f>IF(B25="","",INT(B25)-TODAY())</f>
        <v/>
      </c>
      <c r="D25" s="5" t="n">
        <v>1189873.92</v>
      </c>
      <c r="E25" s="5" t="n">
        <v>1189873.92</v>
      </c>
      <c r="F25" s="2" t="inlineStr">
        <is>
          <t>Comunitat Valenciana</t>
        </is>
      </c>
      <c r="G25" s="2" t="inlineStr">
        <is>
          <t>Alicante</t>
        </is>
      </c>
      <c r="H25" s="2" t="inlineStr">
        <is>
          <t>ORIHUELA</t>
        </is>
      </c>
      <c r="I25" s="2" t="inlineStr">
        <is>
          <t>Junta de Gobierno del Ayuntamiento de Orihuela</t>
        </is>
      </c>
      <c r="J25" s="2" t="inlineStr">
        <is>
          <t>Rehabilitación de Paramentos y Acondicionamiento de Sala de hombres en el Museo Arqueológico Comarcal de Orihuela</t>
        </is>
      </c>
      <c r="K25" s="2" t="inlineStr">
        <is>
          <t>4727/2026 BIS</t>
        </is>
      </c>
      <c r="L25" s="2" t="inlineStr">
        <is>
          <t>Abierto simplificado</t>
        </is>
      </c>
      <c r="M25" s="6" t="n">
        <v>12</v>
      </c>
      <c r="N25" s="2" t="inlineStr">
        <is>
          <t>C*-3; K7-3</t>
        </is>
      </c>
      <c r="O25" s="7" t="n">
        <v>0.25</v>
      </c>
      <c r="P25" s="2" t="inlineStr">
        <is>
          <t>Ampliación del plazo de garantía 30 | OFERTA ECONÓMICA (Sin IVA) 45 | Estudio de unidades de obra del proyecto 15 (JV) | Estudio de mediciones del proyecto 10 (JV)</t>
        </is>
      </c>
      <c r="Q25" s="2" t="inlineStr">
        <is>
          <t>complementaria 5%; definitiva 5%</t>
        </is>
      </c>
      <c r="R25" s="2" t="n"/>
      <c r="S25" s="4" t="n"/>
      <c r="T25" s="2" t="inlineStr">
        <is>
          <t>45000000; 45454100; 45453000</t>
        </is>
      </c>
      <c r="U25" s="8" t="inlineStr">
        <is>
          <t>PCAP</t>
        </is>
      </c>
      <c r="V25" s="8" t="inlineStr">
        <is>
          <t>PPT</t>
        </is>
      </c>
      <c r="W25" s="8" t="inlineStr">
        <is>
          <t>Ver</t>
        </is>
      </c>
      <c r="X25" s="9" t="n">
        <v>46310</v>
      </c>
      <c r="Y25" s="2" t="n"/>
    </row>
    <row r="26">
      <c r="A26" s="2" t="n"/>
      <c r="B26" s="3" t="n">
        <v>46328.58333333334</v>
      </c>
      <c r="C26" s="4">
        <f>IF(B26="","",INT(B26)-TODAY())</f>
        <v/>
      </c>
      <c r="D26" s="5" t="n">
        <v>557102.23</v>
      </c>
      <c r="E26" s="5" t="n">
        <v>557102.23</v>
      </c>
      <c r="F26" s="2" t="inlineStr">
        <is>
          <t>Comunitat Valenciana</t>
        </is>
      </c>
      <c r="G26" s="2" t="inlineStr">
        <is>
          <t>Valencia</t>
        </is>
      </c>
      <c r="H26" s="2" t="inlineStr">
        <is>
          <t>REQUENA</t>
        </is>
      </c>
      <c r="I26" s="2" t="inlineStr">
        <is>
          <t>Junta de Gobierno Local del Ayuntamiento de Requena</t>
        </is>
      </c>
      <c r="J26" s="2" t="inlineStr">
        <is>
          <t>Demolicion y construccion Centro Social de Campo Arcís</t>
        </is>
      </c>
      <c r="K26" s="2" t="inlineStr">
        <is>
          <t>2896352M</t>
        </is>
      </c>
      <c r="L26" s="2" t="inlineStr">
        <is>
          <t>Abierto simplificado</t>
        </is>
      </c>
      <c r="M26" s="6" t="n">
        <v>24</v>
      </c>
      <c r="N26" s="2" t="n"/>
      <c r="O26" s="7" t="n">
        <v>0</v>
      </c>
      <c r="P26" s="2" t="inlineStr">
        <is>
          <t>Mejora en el Precio, 100 puntos 100</t>
        </is>
      </c>
      <c r="Q26" s="2" t="inlineStr">
        <is>
          <t>definitiva 5%</t>
        </is>
      </c>
      <c r="R26" s="2" t="n"/>
      <c r="S26" s="4" t="n"/>
      <c r="T26" s="2" t="inlineStr">
        <is>
          <t>45211350; 45111100</t>
        </is>
      </c>
      <c r="U26" s="8" t="inlineStr">
        <is>
          <t>PCAP</t>
        </is>
      </c>
      <c r="V26" s="8" t="inlineStr">
        <is>
          <t>PPT</t>
        </is>
      </c>
      <c r="W26" s="8" t="inlineStr">
        <is>
          <t>Ver</t>
        </is>
      </c>
      <c r="X26" s="9" t="n">
        <v>46310</v>
      </c>
      <c r="Y26" s="2" t="n"/>
    </row>
    <row r="27">
      <c r="A27" s="2" t="n"/>
      <c r="B27" s="3" t="n">
        <v>46328.58333333334</v>
      </c>
      <c r="C27" s="4">
        <f>IF(B27="","",INT(B27)-TODAY())</f>
        <v/>
      </c>
      <c r="D27" s="5" t="n">
        <v>814296.7</v>
      </c>
      <c r="E27" s="5" t="n">
        <v>814296.7</v>
      </c>
      <c r="F27" s="2" t="inlineStr">
        <is>
          <t>Comunitat Valenciana</t>
        </is>
      </c>
      <c r="G27" s="2" t="inlineStr">
        <is>
          <t>Valencia</t>
        </is>
      </c>
      <c r="H27" s="2" t="inlineStr">
        <is>
          <t>Turís</t>
        </is>
      </c>
      <c r="I27" s="2" t="inlineStr">
        <is>
          <t>Alcaldía del Ayuntamiento de Turis</t>
        </is>
      </c>
      <c r="J27" s="2" t="inlineStr">
        <is>
          <t>Urbanización calles perimetrales parcela nuevo CEIP</t>
        </is>
      </c>
      <c r="K27" s="2" t="inlineStr">
        <is>
          <t>3385/2026</t>
        </is>
      </c>
      <c r="L27" s="2" t="inlineStr">
        <is>
          <t>Abierto simplificado</t>
        </is>
      </c>
      <c r="M27" s="6" t="n">
        <v>5</v>
      </c>
      <c r="N27" s="2" t="n"/>
      <c r="O27" s="7" t="n">
        <v>0</v>
      </c>
      <c r="P27" s="2" t="inlineStr">
        <is>
          <t>Precio 100</t>
        </is>
      </c>
      <c r="Q27" s="2" t="inlineStr">
        <is>
          <t>definitiva 5%</t>
        </is>
      </c>
      <c r="R27" s="2" t="n"/>
      <c r="S27" s="4" t="n"/>
      <c r="T27" s="2" t="inlineStr">
        <is>
          <t>45233140</t>
        </is>
      </c>
      <c r="U27" s="8" t="inlineStr">
        <is>
          <t>PCAP</t>
        </is>
      </c>
      <c r="V27" s="8" t="inlineStr">
        <is>
          <t>PPT</t>
        </is>
      </c>
      <c r="W27" s="8" t="inlineStr">
        <is>
          <t>Ver</t>
        </is>
      </c>
      <c r="X27" s="9" t="n">
        <v>46310</v>
      </c>
      <c r="Y27" s="2" t="n"/>
    </row>
    <row r="28">
      <c r="A28" s="2" t="n"/>
      <c r="B28" s="3" t="n">
        <v>46328.58333333334</v>
      </c>
      <c r="C28" s="4">
        <f>IF(B28="","",INT(B28)-TODAY())</f>
        <v/>
      </c>
      <c r="D28" s="5" t="n">
        <v>40000000</v>
      </c>
      <c r="E28" s="5" t="n">
        <v>80000000</v>
      </c>
      <c r="F28" s="2" t="inlineStr">
        <is>
          <t>Andalucía</t>
        </is>
      </c>
      <c r="G28" s="2" t="inlineStr">
        <is>
          <t>Almería</t>
        </is>
      </c>
      <c r="H28" s="2" t="n"/>
      <c r="I28" s="2" t="inlineStr">
        <is>
          <t>Empresa de Transformación Agraria S.A.,S.M.E., M.P., (TRAGSA)</t>
        </is>
      </c>
      <c r="J28" s="2" t="inlineStr">
        <is>
          <t>Conclusión del Acuerdo Marco Para La Contratación de Las Obras Alquiler De Maquinaria De Obra Civil, Agrícola y Forestal, y Camiones, Dotada de Operario, Para Las Actuaciones de La Gerencia Provincial de Tragsa en Almería, Incluidas Obras Financiadas Con Fondos Europeos</t>
        </is>
      </c>
      <c r="K28" s="2" t="inlineStr">
        <is>
          <t>TSA0084163</t>
        </is>
      </c>
      <c r="L28" s="2" t="inlineStr">
        <is>
          <t>Abierto</t>
        </is>
      </c>
      <c r="M28" s="6" t="n">
        <v>24</v>
      </c>
      <c r="N28" s="2" t="inlineStr">
        <is>
          <t>D*-1; A*-1; K*-1; C*-1; G*-1; E*-1</t>
        </is>
      </c>
      <c r="O28" s="7" t="n">
        <v>0</v>
      </c>
      <c r="P28" s="2" t="inlineStr">
        <is>
          <t>Precio de la oferta 100</t>
        </is>
      </c>
      <c r="Q28" s="2" t="n"/>
      <c r="R28" s="2" t="inlineStr">
        <is>
          <t>No</t>
        </is>
      </c>
      <c r="S28" s="4" t="n"/>
      <c r="T28" s="2" t="inlineStr">
        <is>
          <t>45500000</t>
        </is>
      </c>
      <c r="U28" s="8" t="inlineStr">
        <is>
          <t>PCAP</t>
        </is>
      </c>
      <c r="V28" s="8" t="inlineStr">
        <is>
          <t>PPT</t>
        </is>
      </c>
      <c r="W28" s="8" t="inlineStr">
        <is>
          <t>Ver</t>
        </is>
      </c>
      <c r="X28" s="9" t="n">
        <v>46314</v>
      </c>
      <c r="Y28" s="2" t="inlineStr">
        <is>
          <t>2026-10-20: estado PRE → PUB</t>
        </is>
      </c>
    </row>
    <row r="29">
      <c r="A29" s="2" t="n"/>
      <c r="B29" s="3" t="n">
        <v>46328.99930555555</v>
      </c>
      <c r="C29" s="4">
        <f>IF(B29="","",INT(B29)-TODAY())</f>
        <v/>
      </c>
      <c r="D29" s="5" t="n">
        <v>4502927.26</v>
      </c>
      <c r="E29" s="5" t="n">
        <v>4502927.26</v>
      </c>
      <c r="F29" s="2" t="inlineStr">
        <is>
          <t>Comunitat Valenciana</t>
        </is>
      </c>
      <c r="G29" s="2" t="inlineStr">
        <is>
          <t>Valencia</t>
        </is>
      </c>
      <c r="H29" s="2" t="n"/>
      <c r="I29" s="2" t="inlineStr">
        <is>
          <t>Pleno del Ayuntamiento de Carlet</t>
        </is>
      </c>
      <c r="J29" s="2" t="inlineStr">
        <is>
          <t>Obras de restitución de las canalizaciones de la red de agua potable y de la red de saneamiento y pavimentación de la Ronda Malecón, financiadas con cargo al Fondo de Solidaridad de la Unión Europea</t>
        </is>
      </c>
      <c r="K29" s="2" t="inlineStr">
        <is>
          <t>3018/2026</t>
        </is>
      </c>
      <c r="L29" s="2" t="inlineStr">
        <is>
          <t>Abierto</t>
        </is>
      </c>
      <c r="M29" s="6" t="n">
        <v>12</v>
      </c>
      <c r="N29" s="2" t="inlineStr">
        <is>
          <t>E*-5</t>
        </is>
      </c>
      <c r="O29" s="7" t="n">
        <v>0</v>
      </c>
      <c r="P29" s="2" t="inlineStr">
        <is>
          <t>Ampliación del plazo de garantía 10 | Uso de materiales con menor huella de carbono 20 | Reducción del plazo de ejecución 20 | Oferta económica 50</t>
        </is>
      </c>
      <c r="Q29" s="2" t="inlineStr">
        <is>
          <t>definitiva 5%</t>
        </is>
      </c>
      <c r="R29" s="2" t="n"/>
      <c r="S29" s="4" t="n"/>
      <c r="T29" s="2" t="inlineStr">
        <is>
          <t>45240000; 45233200; 45232150; 45232440</t>
        </is>
      </c>
      <c r="U29" s="8" t="inlineStr">
        <is>
          <t>PCAP</t>
        </is>
      </c>
      <c r="V29" s="8" t="inlineStr">
        <is>
          <t>PPT</t>
        </is>
      </c>
      <c r="W29" s="8" t="inlineStr">
        <is>
          <t>Ver</t>
        </is>
      </c>
      <c r="X29" s="9" t="n">
        <v>46310</v>
      </c>
      <c r="Y29" s="2" t="n"/>
    </row>
    <row r="30">
      <c r="A30" s="2" t="n"/>
      <c r="B30" s="3" t="n">
        <v>46329.45833333334</v>
      </c>
      <c r="C30" s="4">
        <f>IF(B30="","",INT(B30)-TODAY())</f>
        <v/>
      </c>
      <c r="D30" s="5" t="n">
        <v>590000</v>
      </c>
      <c r="E30" s="5" t="n">
        <v>590000</v>
      </c>
      <c r="F30" s="2" t="inlineStr">
        <is>
          <t>Andalucía</t>
        </is>
      </c>
      <c r="G30" s="2" t="inlineStr">
        <is>
          <t>Cádiz</t>
        </is>
      </c>
      <c r="H30" s="2" t="n"/>
      <c r="I30" s="2" t="inlineStr">
        <is>
          <t>Comité Central de Compras de Navantia S.A., S.M.E.</t>
        </is>
      </c>
      <c r="J30" s="2" t="inlineStr">
        <is>
          <t>Licitación para la adjudicación de un Contrato para los trabajos de rehabilitación de accesos, protecciones colectivas y líneas de vida en grúas en Navantia Cádiz.</t>
        </is>
      </c>
      <c r="K30" s="2" t="inlineStr">
        <is>
          <t>5100075545 Líneas Vida Grúas Navantia Cádiz</t>
        </is>
      </c>
      <c r="L30" s="2" t="inlineStr">
        <is>
          <t>Normas internas</t>
        </is>
      </c>
      <c r="M30" s="6" t="n">
        <v>7</v>
      </c>
      <c r="N30" s="2" t="n"/>
      <c r="O30" s="7" t="n">
        <v>1</v>
      </c>
      <c r="P30" s="2" t="inlineStr">
        <is>
          <t>Según PPT y PCP 100 (JV)</t>
        </is>
      </c>
      <c r="Q30" s="2" t="n"/>
      <c r="R30" s="2" t="n"/>
      <c r="S30" s="4" t="n"/>
      <c r="T30" s="2" t="inlineStr">
        <is>
          <t>45262600; 45340000</t>
        </is>
      </c>
      <c r="U30" s="8" t="inlineStr">
        <is>
          <t>PCAP</t>
        </is>
      </c>
      <c r="V30" s="8" t="inlineStr">
        <is>
          <t>PPT</t>
        </is>
      </c>
      <c r="W30" s="8" t="inlineStr">
        <is>
          <t>Ver</t>
        </is>
      </c>
      <c r="X30" s="9" t="n">
        <v>46310</v>
      </c>
      <c r="Y30" s="2" t="inlineStr">
        <is>
          <t>2026-10-26: plazo 2026-10-28 12:00 → 2026-11-03 11:00</t>
        </is>
      </c>
    </row>
    <row r="31">
      <c r="A31" s="2" t="n"/>
      <c r="B31" s="3" t="n">
        <v>46329.5</v>
      </c>
      <c r="C31" s="4">
        <f>IF(B31="","",INT(B31)-TODAY())</f>
        <v/>
      </c>
      <c r="D31" s="5" t="n">
        <v>41658023.15</v>
      </c>
      <c r="E31" s="5" t="n">
        <v>43324344.08</v>
      </c>
      <c r="F31" s="2" t="inlineStr">
        <is>
          <t>Comunitat Valenciana</t>
        </is>
      </c>
      <c r="G31" s="2" t="inlineStr">
        <is>
          <t>Valencia</t>
        </is>
      </c>
      <c r="H31" s="2" t="inlineStr">
        <is>
          <t>Valencia / València</t>
        </is>
      </c>
      <c r="I31" s="2" t="inlineStr">
        <is>
          <t>Aena. Consejo de Administración</t>
        </is>
      </c>
      <c r="J31" s="2" t="inlineStr">
        <is>
          <t>Recrecido De Pista, Adecuación De Calles De Rodaje Y Mejora Del Camino Perimetral. Aeropuerto De Valencia</t>
        </is>
      </c>
      <c r="K31" s="2" t="inlineStr">
        <is>
          <t>DIN-350/2026</t>
        </is>
      </c>
      <c r="L31" s="2" t="inlineStr">
        <is>
          <t>Licitación con negociación</t>
        </is>
      </c>
      <c r="M31" s="6" t="n">
        <v>27</v>
      </c>
      <c r="N31" s="2" t="n"/>
      <c r="O31" s="7" t="n">
        <v>0</v>
      </c>
      <c r="P31" s="2" t="inlineStr">
        <is>
          <t>Precio 100</t>
        </is>
      </c>
      <c r="Q31" s="2" t="n"/>
      <c r="R31" s="2" t="n"/>
      <c r="S31" s="4" t="n"/>
      <c r="T31" s="2" t="inlineStr">
        <is>
          <t>45235000</t>
        </is>
      </c>
      <c r="U31" s="8" t="inlineStr">
        <is>
          <t>PCAP</t>
        </is>
      </c>
      <c r="V31" s="8" t="inlineStr">
        <is>
          <t>PPT</t>
        </is>
      </c>
      <c r="W31" s="8" t="inlineStr">
        <is>
          <t>Ver</t>
        </is>
      </c>
      <c r="X31" s="9" t="n">
        <v>46317</v>
      </c>
      <c r="Y31" s="2" t="n"/>
    </row>
    <row r="32">
      <c r="A32" s="2" t="n"/>
      <c r="B32" s="3" t="n">
        <v>46329.58333333334</v>
      </c>
      <c r="C32" s="4">
        <f>IF(B32="","",INT(B32)-TODAY())</f>
        <v/>
      </c>
      <c r="D32" s="5" t="n">
        <v>988010.83</v>
      </c>
      <c r="E32" s="5" t="n">
        <v>988010.83</v>
      </c>
      <c r="F32" s="2" t="inlineStr">
        <is>
          <t>Andalucía</t>
        </is>
      </c>
      <c r="G32" s="2" t="inlineStr">
        <is>
          <t>Sevilla</t>
        </is>
      </c>
      <c r="H32" s="2" t="inlineStr">
        <is>
          <t>Gines</t>
        </is>
      </c>
      <c r="I32" s="2" t="inlineStr">
        <is>
          <t>Junta de Gobierno Local del Ayuntamiento de Gines</t>
        </is>
      </c>
      <c r="J32" s="2" t="inlineStr">
        <is>
          <t>Obras de rehabilitación y adecuación de inmueble municipal en plantas baja y sótano para aparcamiento público municipal y locales de usos culturales y sociales.</t>
        </is>
      </c>
      <c r="K32" s="2" t="inlineStr">
        <is>
          <t>6859/2026</t>
        </is>
      </c>
      <c r="L32" s="2" t="inlineStr">
        <is>
          <t>Abierto simplificado</t>
        </is>
      </c>
      <c r="M32" s="6" t="n">
        <v>6</v>
      </c>
      <c r="N32" s="2" t="inlineStr">
        <is>
          <t>C*-2</t>
        </is>
      </c>
      <c r="O32" s="7" t="n">
        <v>0.25</v>
      </c>
      <c r="P32" s="2" t="inlineStr">
        <is>
          <t>AMPLIACIÓN DEL PLAZO DE GARANTÍA DE LAS OBRAS 10 | VALORACIÓN DE RESIDUOS DE CONSTRUCCIÓN Y DEMOLICIÓN 5 | MEJORA 2: SISTEMA DE MONITORIZACIÓN ENERGÉTICA 5 | MEMORIA TÉCNICA DE EJECUCIÓN DE LA OBRA 10 (JV) | OFERTA ECONÓMICA 45 | PLAN DE MINIMIZACIÓN DE AFECCIONES AL ENTORNO 5 (JV) | PLAN DE COORDINACIÓN CON LA ACTIVIDAD MUNICIPAL Y LOS EQUIPAMIENTOS ADYACENTES 5 (JV) | MEJORA 1: CANALIZACIONES ADICIONALES 5 | CONTROL DE CALIDAD ADICIONAL 5 | PLAN DE INFORMACIÓN PÚBLICA Y DE GESTIÓN DE INCIDENCIAS 5 (JV)</t>
        </is>
      </c>
      <c r="Q32" s="2" t="inlineStr">
        <is>
          <t>definitiva 5%</t>
        </is>
      </c>
      <c r="R32" s="2" t="n"/>
      <c r="S32" s="4" t="n"/>
      <c r="T32" s="2" t="inlineStr">
        <is>
          <t>45453100; 45313100; 45331210</t>
        </is>
      </c>
      <c r="U32" s="8" t="inlineStr">
        <is>
          <t>PCAP</t>
        </is>
      </c>
      <c r="V32" s="8" t="inlineStr">
        <is>
          <t>PPT</t>
        </is>
      </c>
      <c r="W32" s="8" t="inlineStr">
        <is>
          <t>Ver</t>
        </is>
      </c>
      <c r="X32" s="9" t="n">
        <v>46310</v>
      </c>
      <c r="Y32" s="2" t="n"/>
    </row>
    <row r="33">
      <c r="A33" s="2" t="n"/>
      <c r="B33" s="3" t="n">
        <v>46329.79166666666</v>
      </c>
      <c r="C33" s="4">
        <f>IF(B33="","",INT(B33)-TODAY())</f>
        <v/>
      </c>
      <c r="D33" s="5" t="n">
        <v>669122.0600000001</v>
      </c>
      <c r="E33" s="5" t="n">
        <v>669122.0600000001</v>
      </c>
      <c r="F33" s="2" t="inlineStr">
        <is>
          <t>Andalucía</t>
        </is>
      </c>
      <c r="G33" s="2" t="inlineStr">
        <is>
          <t>Córdoba</t>
        </is>
      </c>
      <c r="H33" s="2" t="inlineStr">
        <is>
          <t>Córdoba</t>
        </is>
      </c>
      <c r="I33" s="2" t="inlineStr">
        <is>
          <t>Presidencia del Consejo de Administración de la Empresa Provincial de Aguas de Córdoba S.A.</t>
        </is>
      </c>
      <c r="J33" s="2" t="inlineStr">
        <is>
          <t>Obra de Red de Abastecimiento Aldea del Villar (Fuente Palmera).</t>
        </is>
      </c>
      <c r="K33" s="2" t="inlineStr">
        <is>
          <t>CC 55/2026</t>
        </is>
      </c>
      <c r="L33" s="2" t="inlineStr">
        <is>
          <t>Abierto</t>
        </is>
      </c>
      <c r="M33" s="6" t="n">
        <v>12</v>
      </c>
      <c r="N33" s="2" t="inlineStr">
        <is>
          <t>E1-3</t>
        </is>
      </c>
      <c r="O33" s="7" t="n">
        <v>0.5</v>
      </c>
      <c r="P33" s="2" t="inlineStr">
        <is>
          <t>Ampliación plazo de garantía 10 (JV) | Oferta económica 50 | Oferta técnica 40 (JV)</t>
        </is>
      </c>
      <c r="Q33" s="2" t="n"/>
      <c r="R33" s="2" t="n"/>
      <c r="S33" s="4" t="n"/>
      <c r="T33" s="2" t="inlineStr">
        <is>
          <t>45240000</t>
        </is>
      </c>
      <c r="U33" s="8" t="inlineStr">
        <is>
          <t>PCAP</t>
        </is>
      </c>
      <c r="V33" s="8" t="inlineStr">
        <is>
          <t>PPT</t>
        </is>
      </c>
      <c r="W33" s="8" t="inlineStr">
        <is>
          <t>Ver</t>
        </is>
      </c>
      <c r="X33" s="9" t="n">
        <v>46310</v>
      </c>
      <c r="Y33" s="2" t="n"/>
    </row>
    <row r="34">
      <c r="A34" s="2" t="n"/>
      <c r="B34" s="3" t="n">
        <v>46329.79166666666</v>
      </c>
      <c r="C34" s="4">
        <f>IF(B34="","",INT(B34)-TODAY())</f>
        <v/>
      </c>
      <c r="D34" s="5" t="n">
        <v>1071077.53</v>
      </c>
      <c r="E34" s="5" t="n">
        <v>1071077.53</v>
      </c>
      <c r="F34" s="2" t="inlineStr">
        <is>
          <t>Andalucía</t>
        </is>
      </c>
      <c r="G34" s="2" t="inlineStr">
        <is>
          <t>Almería</t>
        </is>
      </c>
      <c r="H34" s="2" t="inlineStr">
        <is>
          <t>Almería</t>
        </is>
      </c>
      <c r="I34" s="2" t="inlineStr">
        <is>
          <t>Presidencia de la Autoridad Portuaria de Almería</t>
        </is>
      </c>
      <c r="J34" s="2" t="inlineStr">
        <is>
          <t>Obras de Reforma de Pasarelas 4 y 5 en Puerto de Almería</t>
        </is>
      </c>
      <c r="K34" s="2" t="inlineStr">
        <is>
          <t>31/O/A/AL26</t>
        </is>
      </c>
      <c r="L34" s="2" t="inlineStr">
        <is>
          <t>Abierto</t>
        </is>
      </c>
      <c r="M34" s="6" t="n">
        <v>12</v>
      </c>
      <c r="N34" s="2" t="inlineStr">
        <is>
          <t>C3-4</t>
        </is>
      </c>
      <c r="O34" s="7" t="n">
        <v>0.25</v>
      </c>
      <c r="P34" s="2" t="inlineStr">
        <is>
          <t>Cuantitativos 75 | Cualitativos 25 (JV)</t>
        </is>
      </c>
      <c r="Q34" s="2" t="n"/>
      <c r="R34" s="2" t="n"/>
      <c r="S34" s="4" t="n"/>
      <c r="T34" s="2" t="inlineStr">
        <is>
          <t>45223210; 45223100</t>
        </is>
      </c>
      <c r="U34" s="8" t="inlineStr">
        <is>
          <t>PCAP</t>
        </is>
      </c>
      <c r="V34" s="8" t="inlineStr">
        <is>
          <t>PPT</t>
        </is>
      </c>
      <c r="W34" s="8" t="inlineStr">
        <is>
          <t>Ver</t>
        </is>
      </c>
      <c r="X34" s="9" t="n">
        <v>46310</v>
      </c>
      <c r="Y34" s="2" t="n"/>
    </row>
    <row r="35">
      <c r="A35" s="2" t="n"/>
      <c r="B35" s="3" t="n">
        <v>46329.79166666666</v>
      </c>
      <c r="C35" s="4">
        <f>IF(B35="","",INT(B35)-TODAY())</f>
        <v/>
      </c>
      <c r="D35" s="5" t="n">
        <v>13104056.72</v>
      </c>
      <c r="E35" s="5" t="n">
        <v>13104056.72</v>
      </c>
      <c r="F35" s="2" t="inlineStr">
        <is>
          <t>Andalucía</t>
        </is>
      </c>
      <c r="G35" s="2" t="inlineStr">
        <is>
          <t>Jaén</t>
        </is>
      </c>
      <c r="H35" s="2" t="n"/>
      <c r="I35" s="2" t="inlineStr">
        <is>
          <t>Pleno del Ayuntamiento de Jaén</t>
        </is>
      </c>
      <c r="J35" s="2" t="inlineStr">
        <is>
          <t>Contratación de las obras de reparación de pavimentos de calles del municipio de Jaén tras concatenación de borrascas durante los meses de enero y febrero de 2026, financiadas por la Administración General del Estado, a través del Ministerio de Política Territorial y Memoria Democrática, al amparo del art. 7 del Real Decreto-Ley 5/2026, de 17 de febrero.</t>
        </is>
      </c>
      <c r="K35" s="2" t="inlineStr">
        <is>
          <t>2026000083</t>
        </is>
      </c>
      <c r="L35" s="2" t="inlineStr">
        <is>
          <t>Abierto</t>
        </is>
      </c>
      <c r="M35" s="6" t="n">
        <v>4</v>
      </c>
      <c r="N35" s="2" t="n"/>
      <c r="O35" s="7" t="n">
        <v>0.25</v>
      </c>
      <c r="P35" s="2" t="inlineStr">
        <is>
          <t>Proceso constructivo 10 (JV) | Precio 55 | Disponibilidad para trabajos nocturnos 10 | Programa de trabajo 15 (JV) | Plazo de garantía 10</t>
        </is>
      </c>
      <c r="Q35" s="2" t="inlineStr">
        <is>
          <t>definitiva 5%</t>
        </is>
      </c>
      <c r="R35" s="2" t="n"/>
      <c r="S35" s="4" t="n">
        <v>6</v>
      </c>
      <c r="T35" s="2" t="inlineStr">
        <is>
          <t>45233252; 45111100; 45262300; 45262522</t>
        </is>
      </c>
      <c r="U35" s="8" t="inlineStr">
        <is>
          <t>PCAP</t>
        </is>
      </c>
      <c r="V35" s="8" t="inlineStr">
        <is>
          <t>PPT</t>
        </is>
      </c>
      <c r="W35" s="8" t="inlineStr">
        <is>
          <t>Ver</t>
        </is>
      </c>
      <c r="X35" s="9" t="n">
        <v>46310</v>
      </c>
      <c r="Y35" s="2" t="n"/>
    </row>
    <row r="36">
      <c r="A36" s="2" t="n"/>
      <c r="B36" s="3" t="n">
        <v>46329.79166666666</v>
      </c>
      <c r="C36" s="4">
        <f>IF(B36="","",INT(B36)-TODAY())</f>
        <v/>
      </c>
      <c r="D36" s="5" t="n">
        <v>1565254.69</v>
      </c>
      <c r="E36" s="5" t="n">
        <v>1565254.69</v>
      </c>
      <c r="F36" s="2" t="inlineStr">
        <is>
          <t>Andalucía</t>
        </is>
      </c>
      <c r="G36" s="2" t="inlineStr">
        <is>
          <t>Almería</t>
        </is>
      </c>
      <c r="H36" s="2" t="inlineStr">
        <is>
          <t>Almería</t>
        </is>
      </c>
      <c r="I36" s="2" t="inlineStr">
        <is>
          <t>Presidencia de la Autoridad Portuaria de Almería</t>
        </is>
      </c>
      <c r="J36" s="2" t="inlineStr">
        <is>
          <t>Obras de reforma de Pasarelas 2 y 3 en Puerto de Almería</t>
        </is>
      </c>
      <c r="K36" s="2" t="inlineStr">
        <is>
          <t>26/O/A/AL26</t>
        </is>
      </c>
      <c r="L36" s="2" t="inlineStr">
        <is>
          <t>Abierto</t>
        </is>
      </c>
      <c r="M36" s="6" t="n">
        <v>6</v>
      </c>
      <c r="N36" s="2" t="inlineStr">
        <is>
          <t>C3-4</t>
        </is>
      </c>
      <c r="O36" s="7" t="n">
        <v>0.25</v>
      </c>
      <c r="P36" s="2" t="inlineStr">
        <is>
          <t>Cuantitativos 75 | Cualitativos 25 (JV)</t>
        </is>
      </c>
      <c r="Q36" s="2" t="n"/>
      <c r="R36" s="2" t="n"/>
      <c r="S36" s="4" t="n"/>
      <c r="T36" s="2" t="inlineStr">
        <is>
          <t>45223210; 45223100</t>
        </is>
      </c>
      <c r="U36" s="8" t="inlineStr">
        <is>
          <t>PCAP</t>
        </is>
      </c>
      <c r="V36" s="8" t="inlineStr">
        <is>
          <t>PPT</t>
        </is>
      </c>
      <c r="W36" s="8" t="inlineStr">
        <is>
          <t>Ver</t>
        </is>
      </c>
      <c r="X36" s="9" t="n">
        <v>46310</v>
      </c>
      <c r="Y36" s="2" t="n"/>
    </row>
    <row r="37">
      <c r="A37" s="2" t="n"/>
      <c r="B37" s="3" t="n">
        <v>46329.99930555555</v>
      </c>
      <c r="C37" s="4">
        <f>IF(B37="","",INT(B37)-TODAY())</f>
        <v/>
      </c>
      <c r="D37" s="5" t="n">
        <v>564012.4</v>
      </c>
      <c r="E37" s="5" t="n">
        <v>564012.4</v>
      </c>
      <c r="F37" s="2" t="inlineStr">
        <is>
          <t>Comunitat Valenciana</t>
        </is>
      </c>
      <c r="G37" s="2" t="n"/>
      <c r="H37" s="2" t="inlineStr">
        <is>
          <t>Oliva</t>
        </is>
      </c>
      <c r="I37" s="2" t="inlineStr">
        <is>
          <t>Concejal de Contratación del Ayuntamiento de Oliva</t>
        </is>
      </c>
      <c r="J37" s="2" t="inlineStr">
        <is>
          <t>Mejora de la accesibilidad en espacios públicos y renovación de la red de abastecimiento de agua potable</t>
        </is>
      </c>
      <c r="K37" s="2" t="inlineStr">
        <is>
          <t>15056/2026</t>
        </is>
      </c>
      <c r="L37" s="2" t="inlineStr">
        <is>
          <t>Abierto simplificado</t>
        </is>
      </c>
      <c r="M37" s="6" t="n">
        <v>5</v>
      </c>
      <c r="N37" s="2" t="n"/>
      <c r="O37" s="7" t="n">
        <v>0</v>
      </c>
      <c r="P37" s="2" t="inlineStr">
        <is>
          <t>Ampliación adicional plazo de garantía 10 | Baja económica en el tipo de licitación 20 | Conjunto de mejoras 70</t>
        </is>
      </c>
      <c r="Q37" s="2" t="inlineStr">
        <is>
          <t>definitiva 5%; complementaria 2%</t>
        </is>
      </c>
      <c r="R37" s="2" t="n"/>
      <c r="S37" s="4" t="n"/>
      <c r="T37" s="2" t="inlineStr">
        <is>
          <t>45200000</t>
        </is>
      </c>
      <c r="U37" s="8" t="inlineStr">
        <is>
          <t>PCAP</t>
        </is>
      </c>
      <c r="V37" s="8" t="inlineStr">
        <is>
          <t>PPT</t>
        </is>
      </c>
      <c r="W37" s="8" t="inlineStr">
        <is>
          <t>Ver</t>
        </is>
      </c>
      <c r="X37" s="9" t="n">
        <v>46310</v>
      </c>
      <c r="Y37" s="2" t="n"/>
    </row>
    <row r="38">
      <c r="A38" s="2" t="n"/>
      <c r="B38" s="3" t="n">
        <v>46329.99930555555</v>
      </c>
      <c r="C38" s="4">
        <f>IF(B38="","",INT(B38)-TODAY())</f>
        <v/>
      </c>
      <c r="D38" s="5" t="n">
        <v>1106611.57</v>
      </c>
      <c r="E38" s="5" t="n">
        <v>1106611.57</v>
      </c>
      <c r="F38" s="2" t="inlineStr">
        <is>
          <t>Andalucía</t>
        </is>
      </c>
      <c r="G38" s="2" t="inlineStr">
        <is>
          <t>Sevilla</t>
        </is>
      </c>
      <c r="H38" s="2" t="n"/>
      <c r="I38" s="2" t="inlineStr">
        <is>
          <t>Alcaldía del Ayuntamiento de Alcalá del Río</t>
        </is>
      </c>
      <c r="J38" s="2" t="inlineStr">
        <is>
          <t>Contrato de obras relativo al Proyecto básico y de ejecución de Reforma y Acondicionamiento de la Piscina Municipal y el entorno periférico</t>
        </is>
      </c>
      <c r="K38" s="2" t="inlineStr">
        <is>
          <t>P4100500J-2026/000021-PAAS</t>
        </is>
      </c>
      <c r="L38" s="2" t="inlineStr">
        <is>
          <t>Abierto simplificado</t>
        </is>
      </c>
      <c r="M38" s="6" t="n">
        <v>16</v>
      </c>
      <c r="N38" s="2" t="inlineStr">
        <is>
          <t>J2-2; C3-2; C*-2; J*-2</t>
        </is>
      </c>
      <c r="O38" s="7" t="n">
        <v>0</v>
      </c>
      <c r="P38" s="2" t="inlineStr">
        <is>
          <t>Aspecto Económico (precio) [1] 40 | Mejora 1 Nuevo sistema de Riego para las zonas de césped [2] 20 | Mejora 2 Retirada y renovación del césped [3] 40</t>
        </is>
      </c>
      <c r="Q38" s="2" t="n"/>
      <c r="R38" s="2" t="n"/>
      <c r="S38" s="4" t="n"/>
      <c r="T38" s="2" t="inlineStr">
        <is>
          <t>45212220</t>
        </is>
      </c>
      <c r="U38" s="8" t="inlineStr">
        <is>
          <t>PCAP</t>
        </is>
      </c>
      <c r="V38" s="8" t="inlineStr">
        <is>
          <t>PPT</t>
        </is>
      </c>
      <c r="W38" s="8" t="inlineStr">
        <is>
          <t>Ver</t>
        </is>
      </c>
      <c r="X38" s="9" t="n">
        <v>46310</v>
      </c>
      <c r="Y38" s="2" t="n"/>
    </row>
    <row r="39">
      <c r="A39" s="2" t="n"/>
      <c r="B39" s="3" t="n">
        <v>46329.99930555555</v>
      </c>
      <c r="C39" s="4">
        <f>IF(B39="","",INT(B39)-TODAY())</f>
        <v/>
      </c>
      <c r="D39" s="5" t="n">
        <v>3060580.6</v>
      </c>
      <c r="E39" s="5" t="n">
        <v>3060580.6</v>
      </c>
      <c r="F39" s="2" t="inlineStr">
        <is>
          <t>Andalucía</t>
        </is>
      </c>
      <c r="G39" s="2" t="inlineStr">
        <is>
          <t>Huelva</t>
        </is>
      </c>
      <c r="H39" s="2" t="n"/>
      <c r="I39" s="2" t="inlineStr">
        <is>
          <t>Pleno del Ayuntamiento de Punta umbría</t>
        </is>
      </c>
      <c r="J39" s="2" t="inlineStr">
        <is>
          <t>Ejecución de las obras para la renovación y mejora de la eficiencia energética de las instalaciones de alumbrado público exterior en el Municipio de Punta Umbría (Huelva)</t>
        </is>
      </c>
      <c r="K39" s="2" t="inlineStr">
        <is>
          <t>5163/2026</t>
        </is>
      </c>
      <c r="L39" s="2" t="inlineStr">
        <is>
          <t>Abierto</t>
        </is>
      </c>
      <c r="M39" s="6" t="n">
        <v>9</v>
      </c>
      <c r="N39" s="2" t="inlineStr">
        <is>
          <t>I1-4</t>
        </is>
      </c>
      <c r="O39" s="7" t="n">
        <v>0.25</v>
      </c>
      <c r="P39" s="2" t="inlineStr">
        <is>
          <t>Memoria Técnica 25 (JV) | Reducción de Plazos 20 | Oferta económica 35 | Experiencia Profesional 20</t>
        </is>
      </c>
      <c r="Q39" s="2" t="inlineStr">
        <is>
          <t>definitiva 5%</t>
        </is>
      </c>
      <c r="R39" s="2" t="n"/>
      <c r="S39" s="4" t="n"/>
      <c r="T39" s="2" t="inlineStr">
        <is>
          <t>45316100; 45315600; 34928500</t>
        </is>
      </c>
      <c r="U39" s="8" t="inlineStr">
        <is>
          <t>PCAP</t>
        </is>
      </c>
      <c r="V39" s="8" t="inlineStr">
        <is>
          <t>PPT</t>
        </is>
      </c>
      <c r="W39" s="8" t="inlineStr">
        <is>
          <t>Ver</t>
        </is>
      </c>
      <c r="X39" s="9" t="n">
        <v>46310</v>
      </c>
      <c r="Y39" s="2" t="n"/>
    </row>
    <row r="40">
      <c r="A40" s="2" t="n"/>
      <c r="B40" s="3" t="n">
        <v>46329.99930555555</v>
      </c>
      <c r="C40" s="4">
        <f>IF(B40="","",INT(B40)-TODAY())</f>
        <v/>
      </c>
      <c r="D40" s="5" t="n">
        <v>2370624.52</v>
      </c>
      <c r="E40" s="5" t="n">
        <v>2844749.42</v>
      </c>
      <c r="F40" s="2" t="inlineStr">
        <is>
          <t>Andalucía</t>
        </is>
      </c>
      <c r="G40" s="2" t="inlineStr">
        <is>
          <t>Almería</t>
        </is>
      </c>
      <c r="H40" s="2" t="n"/>
      <c r="I40" s="2" t="inlineStr">
        <is>
          <t>Junta de Gobierno Local del Ayuntamiento de El Ejido</t>
        </is>
      </c>
      <c r="J40" s="2" t="inlineStr">
        <is>
          <t>Es objeto de la presente licitación es la contratación de la ejecución del proyecto de obras denominado: Proyecto de construcción de adecuación del complejo deportivo en el núcleo de Almerimar. Fase II, conforme a las especificaciones y características expuestas en el presente pliego y en el proyecto técnico.</t>
        </is>
      </c>
      <c r="K40" s="2" t="inlineStr">
        <is>
          <t>2026 1137</t>
        </is>
      </c>
      <c r="L40" s="2" t="inlineStr">
        <is>
          <t>Abierto</t>
        </is>
      </c>
      <c r="M40" s="6" t="n">
        <v>6</v>
      </c>
      <c r="N40" s="2" t="n"/>
      <c r="O40" s="7" t="n">
        <v>0.25</v>
      </c>
      <c r="P40" s="2" t="inlineStr">
        <is>
          <t>Proposición económica 75 | Criterios evaluables mediante un juicio de valor 25 (JV)</t>
        </is>
      </c>
      <c r="Q40" s="2" t="inlineStr">
        <is>
          <t>provisional 5%</t>
        </is>
      </c>
      <c r="R40" s="2" t="n"/>
      <c r="S40" s="4" t="n"/>
      <c r="T40" s="2" t="inlineStr">
        <is>
          <t>45200000</t>
        </is>
      </c>
      <c r="U40" s="8" t="inlineStr">
        <is>
          <t>PCAP</t>
        </is>
      </c>
      <c r="V40" s="8" t="inlineStr">
        <is>
          <t>PPT</t>
        </is>
      </c>
      <c r="W40" s="8" t="inlineStr">
        <is>
          <t>Ver</t>
        </is>
      </c>
      <c r="X40" s="9" t="n">
        <v>46310</v>
      </c>
      <c r="Y40" s="2" t="n"/>
    </row>
    <row r="41">
      <c r="A41" s="2" t="n"/>
      <c r="B41" s="3" t="n">
        <v>46329.99930555555</v>
      </c>
      <c r="C41" s="4">
        <f>IF(B41="","",INT(B41)-TODAY())</f>
        <v/>
      </c>
      <c r="D41" s="5" t="n">
        <v>2153684.34</v>
      </c>
      <c r="E41" s="5" t="n">
        <v>2153684.34</v>
      </c>
      <c r="F41" s="2" t="inlineStr">
        <is>
          <t>Comunitat Valenciana</t>
        </is>
      </c>
      <c r="G41" s="2" t="inlineStr">
        <is>
          <t>Valencia</t>
        </is>
      </c>
      <c r="H41" s="2" t="inlineStr">
        <is>
          <t>Torrent</t>
        </is>
      </c>
      <c r="I41" s="2" t="inlineStr">
        <is>
          <t>Junta de Gobierno del Ayuntamiento de Torrent</t>
        </is>
      </c>
      <c r="J41" s="2" t="inlineStr">
        <is>
          <t>Obras de mejora de baños, eficiencia energética, accesibilidad, patios, adaptación al CTE del CEIP Virgen del Rosario de Torrent, en el marco del Pla Edificant</t>
        </is>
      </c>
      <c r="K41" s="2" t="inlineStr">
        <is>
          <t>32643/2026</t>
        </is>
      </c>
      <c r="L41" s="2" t="inlineStr">
        <is>
          <t>Abierto</t>
        </is>
      </c>
      <c r="M41" s="6" t="n">
        <v>12</v>
      </c>
      <c r="N41" s="2" t="n"/>
      <c r="O41" s="7" t="n">
        <v>0</v>
      </c>
      <c r="P41" s="2" t="inlineStr">
        <is>
          <t>Oferta económica 100</t>
        </is>
      </c>
      <c r="Q41" s="2" t="inlineStr">
        <is>
          <t>definitiva 5%</t>
        </is>
      </c>
      <c r="R41" s="2" t="n"/>
      <c r="S41" s="4" t="n"/>
      <c r="T41" s="2" t="inlineStr">
        <is>
          <t>45214210</t>
        </is>
      </c>
      <c r="U41" s="8" t="inlineStr">
        <is>
          <t>PCAP</t>
        </is>
      </c>
      <c r="V41" s="8" t="inlineStr">
        <is>
          <t>PPT</t>
        </is>
      </c>
      <c r="W41" s="8" t="inlineStr">
        <is>
          <t>Ver</t>
        </is>
      </c>
      <c r="X41" s="9" t="n">
        <v>46317</v>
      </c>
      <c r="Y41" s="2" t="n"/>
    </row>
    <row r="42">
      <c r="A42" s="2" t="n"/>
      <c r="B42" s="3" t="n">
        <v>46329.99930555555</v>
      </c>
      <c r="C42" s="4">
        <f>IF(B42="","",INT(B42)-TODAY())</f>
        <v/>
      </c>
      <c r="D42" s="5" t="n">
        <v>563608.27</v>
      </c>
      <c r="E42" s="5" t="n">
        <v>563608.27</v>
      </c>
      <c r="F42" s="2" t="inlineStr">
        <is>
          <t>Andalucía</t>
        </is>
      </c>
      <c r="G42" s="2" t="inlineStr">
        <is>
          <t>Málaga</t>
        </is>
      </c>
      <c r="H42" s="2" t="n"/>
      <c r="I42" s="2" t="inlineStr">
        <is>
          <t>Alcaldía del Ayuntamiento de Ronda</t>
        </is>
      </c>
      <c r="J42" s="2" t="inlineStr">
        <is>
          <t>C. Obras. Proyecto de Adecuación de solar colindante a la Estación de Ferrocarril para aparcamiento de vehículos de Ronda (Málaga).</t>
        </is>
      </c>
      <c r="K42" s="2" t="inlineStr">
        <is>
          <t>17561/2026</t>
        </is>
      </c>
      <c r="L42" s="2" t="inlineStr">
        <is>
          <t>Abierto</t>
        </is>
      </c>
      <c r="M42" s="6" t="n">
        <v>10</v>
      </c>
      <c r="N42" s="2" t="inlineStr">
        <is>
          <t>G6-3</t>
        </is>
      </c>
      <c r="O42" s="7" t="n">
        <v>0</v>
      </c>
      <c r="P42" s="2" t="inlineStr">
        <is>
          <t>Mejor precio ofertado por los licitadores 90 | Incremento del plazo de garantía previsto 10</t>
        </is>
      </c>
      <c r="Q42" s="2" t="inlineStr">
        <is>
          <t>definitiva 5%</t>
        </is>
      </c>
      <c r="R42" s="2" t="n"/>
      <c r="S42" s="4" t="n"/>
      <c r="T42" s="2" t="inlineStr">
        <is>
          <t>45000000; 45233140</t>
        </is>
      </c>
      <c r="U42" s="8" t="inlineStr">
        <is>
          <t>PCAP</t>
        </is>
      </c>
      <c r="V42" s="8" t="inlineStr">
        <is>
          <t>PPT</t>
        </is>
      </c>
      <c r="W42" s="8" t="inlineStr">
        <is>
          <t>Ver</t>
        </is>
      </c>
      <c r="X42" s="9" t="n">
        <v>46317</v>
      </c>
      <c r="Y42" s="2" t="n"/>
    </row>
    <row r="43">
      <c r="A43" s="2" t="n"/>
      <c r="B43" s="3" t="n">
        <v>46329.99930555555</v>
      </c>
      <c r="C43" s="4">
        <f>IF(B43="","",INT(B43)-TODAY())</f>
        <v/>
      </c>
      <c r="D43" s="5" t="n">
        <v>1221212.29</v>
      </c>
      <c r="E43" s="5" t="n">
        <v>1221212.29</v>
      </c>
      <c r="F43" s="2" t="inlineStr">
        <is>
          <t>Andalucía</t>
        </is>
      </c>
      <c r="G43" s="2" t="inlineStr">
        <is>
          <t>Córdoba</t>
        </is>
      </c>
      <c r="H43" s="2" t="n"/>
      <c r="I43" s="2" t="inlineStr">
        <is>
          <t>Junta de Gobierno de la Diputación Provincial de Córdoba</t>
        </is>
      </c>
      <c r="J43" s="2" t="inlineStr">
        <is>
          <t>Nuevo campo de fútbol de césped artificial en el SG-D6 y SG-V7 "LLanos de Cristo" del PGOU vigente, en Puente Genil (Córdoba). Obra incluida en el Plan Provincial de Obras y Servicios 2024-2027 (bienio 2025-2026)</t>
        </is>
      </c>
      <c r="K43" s="2" t="inlineStr">
        <is>
          <t>646/26 BIS</t>
        </is>
      </c>
      <c r="L43" s="2" t="inlineStr">
        <is>
          <t>Abierto</t>
        </is>
      </c>
      <c r="M43" s="6" t="n">
        <v>12</v>
      </c>
      <c r="N43" s="2" t="n"/>
      <c r="O43" s="7" t="n">
        <v>0</v>
      </c>
      <c r="P43" s="2" t="inlineStr">
        <is>
          <t>Compromiso de ampliación del plazo de garantía de la obra 20 | Oferta económica respecto al presupuesto base de licitación 80</t>
        </is>
      </c>
      <c r="Q43" s="2" t="inlineStr">
        <is>
          <t>definitiva 5%; complementaria 5%</t>
        </is>
      </c>
      <c r="R43" s="2" t="n"/>
      <c r="S43" s="4" t="n"/>
      <c r="T43" s="2" t="inlineStr">
        <is>
          <t>45200000; 45212221; 45212200; 45212224; 45212213; 45212230</t>
        </is>
      </c>
      <c r="U43" s="8" t="inlineStr">
        <is>
          <t>PCAP</t>
        </is>
      </c>
      <c r="V43" s="8" t="inlineStr">
        <is>
          <t>PPT</t>
        </is>
      </c>
      <c r="W43" s="8" t="inlineStr">
        <is>
          <t>Ver</t>
        </is>
      </c>
      <c r="X43" s="9" t="n">
        <v>46317</v>
      </c>
      <c r="Y43" s="2" t="n"/>
    </row>
    <row r="44">
      <c r="A44" s="2" t="n"/>
      <c r="B44" s="3" t="n">
        <v>46330.79166666666</v>
      </c>
      <c r="C44" s="4">
        <f>IF(B44="","",INT(B44)-TODAY())</f>
        <v/>
      </c>
      <c r="D44" s="5" t="n">
        <v>5022149.12</v>
      </c>
      <c r="E44" s="5" t="n">
        <v>5022149.12</v>
      </c>
      <c r="F44" s="2" t="inlineStr">
        <is>
          <t>Andalucía</t>
        </is>
      </c>
      <c r="G44" s="2" t="inlineStr">
        <is>
          <t>Cádiz</t>
        </is>
      </c>
      <c r="H44" s="2" t="inlineStr">
        <is>
          <t>TARIFA</t>
        </is>
      </c>
      <c r="I44" s="2" t="inlineStr">
        <is>
          <t>Pleno del Ayuntamiento de Tarifa</t>
        </is>
      </c>
      <c r="J44" s="2" t="inlineStr">
        <is>
          <t>construcción de 59 viviendas en alquiler social en edificios energéticamente eficientes, en el marco del capítulo VII del Real Decreto 853/2021, de 5 de octubre, por el que se regulan los programas de ayuda en materia de rehabilitación residencial y vivienda social del Plan de Recuperación, transformación y resiliencia, mediante procedimiento simplificado urgente</t>
        </is>
      </c>
      <c r="K44" s="2" t="inlineStr">
        <is>
          <t>2026/8791</t>
        </is>
      </c>
      <c r="L44" s="2" t="inlineStr">
        <is>
          <t>Abierto simplificado</t>
        </is>
      </c>
      <c r="M44" s="6" t="n">
        <v>18</v>
      </c>
      <c r="N44" s="2" t="inlineStr">
        <is>
          <t>C*-5</t>
        </is>
      </c>
      <c r="O44" s="7" t="n">
        <v>0</v>
      </c>
      <c r="P44" s="2" t="inlineStr">
        <is>
          <t>mejora del plazo de ejecucion 10 | oferta economica 75 | MEJORA DEL SERVICIO DE MANTENIMIENTO DE APARATOS ELEVADORES (ASCENSORES) 5 | MEJORA DEL PLAZO DE GARANTÍA 10</t>
        </is>
      </c>
      <c r="Q44" s="2" t="inlineStr">
        <is>
          <t>definitiva 5%</t>
        </is>
      </c>
      <c r="R44" s="2" t="n"/>
      <c r="S44" s="4" t="n"/>
      <c r="T44" s="2" t="inlineStr">
        <is>
          <t>45211000</t>
        </is>
      </c>
      <c r="U44" s="8" t="inlineStr">
        <is>
          <t>PCAP</t>
        </is>
      </c>
      <c r="V44" s="2" t="n"/>
      <c r="W44" s="8" t="inlineStr">
        <is>
          <t>Ver</t>
        </is>
      </c>
      <c r="X44" s="9" t="n">
        <v>46317</v>
      </c>
      <c r="Y44" s="2" t="n"/>
    </row>
    <row r="45">
      <c r="A45" s="2" t="n"/>
      <c r="B45" s="3" t="n">
        <v>46330.99930555555</v>
      </c>
      <c r="C45" s="4">
        <f>IF(B45="","",INT(B45)-TODAY())</f>
        <v/>
      </c>
      <c r="D45" s="5" t="n">
        <v>617734.71</v>
      </c>
      <c r="E45" s="5" t="n">
        <v>617734.71</v>
      </c>
      <c r="F45" s="2" t="inlineStr">
        <is>
          <t>Andalucía</t>
        </is>
      </c>
      <c r="G45" s="2" t="inlineStr">
        <is>
          <t>Huelva</t>
        </is>
      </c>
      <c r="H45" s="2" t="inlineStr">
        <is>
          <t>BONARES</t>
        </is>
      </c>
      <c r="I45" s="2" t="inlineStr">
        <is>
          <t>Alcaldia del Ayuntamiento de Bonares</t>
        </is>
      </c>
      <c r="J45" s="2" t="inlineStr">
        <is>
          <t>Mejora de las instalaciones deportivas en el Polígono Industrial El Corchito.</t>
        </is>
      </c>
      <c r="K45" s="2" t="inlineStr">
        <is>
          <t>3624/2026</t>
        </is>
      </c>
      <c r="L45" s="2" t="inlineStr">
        <is>
          <t>Abierto simplificado</t>
        </is>
      </c>
      <c r="M45" s="6" t="n">
        <v>8</v>
      </c>
      <c r="N45" s="2" t="n"/>
      <c r="O45" s="7" t="n">
        <v>0</v>
      </c>
      <c r="P45" s="2" t="inlineStr">
        <is>
          <t>[lote 1] | MEJORA DE LA DENSIDAD DE LA FIBRA (MEJORAS DEL CÉSPED ARTIFICIAL) 10 | AUMENTO DE GARANTÍA LOTE 1 10 | DENSIDAD DE FILAMENTOS (MEJORAS DEL CÉSPED ARTIFICIAL) 5 | MEJORA CALIDAD Y CARACTERÍSTICAS (MEJORAS DEL CÉSPED ARTIFICIAL) 10 | MEJORA DE LOS CRITERIOS MEDIOAMBIENTALES (MEJORAS DEL CÉSPED ARTIFICIAL) 15 | CALIDAD VISUAL MEDIANTE DIFERENTES TONALIDADES DEL CÉSPED (MEJORAS DEL CÉSPED ARTIFICIAL) 11 | MEJORA DE CALIDAD EN PESO TOTAL DE LA FIBRA (MEJORAS DEL CÉSPED ARTIFICIAL) 5 | OTRAS MEJORAS (MEJORAS DEL CÉSPED ARTIFICIAL) 14 | OFERTA ECONÓMICA LOTE 1 15 | MEJORA CALIDAD AUMENTANDO EL ESPESOR DEL FILAMENTO (MEJORAS DEL CÉSPED ARTIFICIAL) 5</t>
        </is>
      </c>
      <c r="Q45" s="2" t="inlineStr">
        <is>
          <t>definitiva 5%</t>
        </is>
      </c>
      <c r="R45" s="2" t="inlineStr">
        <is>
          <t>No se prevé la revisión de precios (Cláusula 6.9. del PCAP).</t>
        </is>
      </c>
      <c r="S45" s="4" t="n">
        <v>3</v>
      </c>
      <c r="T45" s="2" t="inlineStr">
        <is>
          <t>45212200; 43324000; 45236119; 45315300; 45261210; 09331200; 39293400; 39522100; 45232453; 45421144; 45261215</t>
        </is>
      </c>
      <c r="U45" s="8" t="inlineStr">
        <is>
          <t>PCAP</t>
        </is>
      </c>
      <c r="V45" s="8" t="inlineStr">
        <is>
          <t>PPT</t>
        </is>
      </c>
      <c r="W45" s="8" t="inlineStr">
        <is>
          <t>Ver</t>
        </is>
      </c>
      <c r="X45" s="9" t="n">
        <v>46311</v>
      </c>
      <c r="Y45" s="2" t="n"/>
    </row>
    <row r="46">
      <c r="A46" s="2" t="n"/>
      <c r="B46" s="3" t="n">
        <v>46330.99930555555</v>
      </c>
      <c r="C46" s="4">
        <f>IF(B46="","",INT(B46)-TODAY())</f>
        <v/>
      </c>
      <c r="D46" s="5" t="n">
        <v>1846516.62</v>
      </c>
      <c r="E46" s="5" t="n">
        <v>1846516.62</v>
      </c>
      <c r="F46" s="2" t="inlineStr">
        <is>
          <t>Andalucía</t>
        </is>
      </c>
      <c r="G46" s="2" t="inlineStr">
        <is>
          <t>Sevilla</t>
        </is>
      </c>
      <c r="H46" s="2" t="inlineStr">
        <is>
          <t>Bormujos</t>
        </is>
      </c>
      <c r="I46" s="2" t="inlineStr">
        <is>
          <t>Alcaldía del Ayuntamiento de Bormujos</t>
        </is>
      </c>
      <c r="J46" s="2" t="inlineStr">
        <is>
          <t>Ejecución de las obras de “Remodelación de Bulevar Avenida San Juan de Dios”.</t>
        </is>
      </c>
      <c r="K46" s="2" t="inlineStr">
        <is>
          <t>12483/2026</t>
        </is>
      </c>
      <c r="L46" s="2" t="inlineStr">
        <is>
          <t>Abierto simplificado</t>
        </is>
      </c>
      <c r="M46" s="6" t="n">
        <v>5</v>
      </c>
      <c r="N46" s="2" t="inlineStr">
        <is>
          <t>G6-4</t>
        </is>
      </c>
      <c r="O46" s="7" t="n">
        <v>0.2</v>
      </c>
      <c r="P46" s="2" t="inlineStr">
        <is>
          <t>Mejora Video en 3D resultado de la obra 5 | Memoria Descriptiva 20 (JV) | Oferta Económica 75</t>
        </is>
      </c>
      <c r="Q46" s="2" t="inlineStr">
        <is>
          <t>definitiva 5%</t>
        </is>
      </c>
      <c r="R46" s="2" t="n"/>
      <c r="S46" s="4" t="n"/>
      <c r="T46" s="2" t="inlineStr">
        <is>
          <t>45233252</t>
        </is>
      </c>
      <c r="U46" s="8" t="inlineStr">
        <is>
          <t>PCAP</t>
        </is>
      </c>
      <c r="V46" s="8" t="inlineStr">
        <is>
          <t>PPT</t>
        </is>
      </c>
      <c r="W46" s="8" t="inlineStr">
        <is>
          <t>Ver</t>
        </is>
      </c>
      <c r="X46" s="9" t="n">
        <v>46311</v>
      </c>
      <c r="Y46" s="2" t="n"/>
    </row>
    <row r="47">
      <c r="A47" s="2" t="n"/>
      <c r="B47" s="3" t="n">
        <v>46331.99930555555</v>
      </c>
      <c r="C47" s="4">
        <f>IF(B47="","",INT(B47)-TODAY())</f>
        <v/>
      </c>
      <c r="D47" s="5" t="n">
        <v>2543636.15</v>
      </c>
      <c r="E47" s="5" t="n">
        <v>2543636.15</v>
      </c>
      <c r="F47" s="2" t="inlineStr">
        <is>
          <t>Andalucía</t>
        </is>
      </c>
      <c r="G47" s="2" t="inlineStr">
        <is>
          <t>Sevilla</t>
        </is>
      </c>
      <c r="H47" s="2" t="n"/>
      <c r="I47" s="2" t="inlineStr">
        <is>
          <t>Presidencia de la Diputación Provincial de Sevilla</t>
        </is>
      </c>
      <c r="J47" s="2" t="inlineStr">
        <is>
          <t>Obra para la mejora de la estación de bombeo de agua potable al Consorcio de Aguas Sierra Sur, nuevo depósito y sistemas antiariete, Osuna</t>
        </is>
      </c>
      <c r="K47" s="2" t="inlineStr">
        <is>
          <t>2026/000697-PAA</t>
        </is>
      </c>
      <c r="L47" s="2" t="inlineStr">
        <is>
          <t>Abierto</t>
        </is>
      </c>
      <c r="M47" s="6" t="n">
        <v>8</v>
      </c>
      <c r="N47" s="2" t="inlineStr">
        <is>
          <t>E1-5</t>
        </is>
      </c>
      <c r="O47" s="7" t="n">
        <v>0.25</v>
      </c>
      <c r="P47" s="2" t="inlineStr">
        <is>
          <t>Calidad [1] 25 (JV) | Aspecto Económico (precio) [1] 75</t>
        </is>
      </c>
      <c r="Q47" s="2" t="n"/>
      <c r="R47" s="2" t="n"/>
      <c r="S47" s="4" t="n"/>
      <c r="T47" s="2" t="inlineStr">
        <is>
          <t>45213260; 45232152</t>
        </is>
      </c>
      <c r="U47" s="8" t="inlineStr">
        <is>
          <t>PCAP</t>
        </is>
      </c>
      <c r="V47" s="8" t="inlineStr">
        <is>
          <t>PPT</t>
        </is>
      </c>
      <c r="W47" s="8" t="inlineStr">
        <is>
          <t>Ver</t>
        </is>
      </c>
      <c r="X47" s="9" t="n">
        <v>46310</v>
      </c>
      <c r="Y47" s="2" t="n"/>
    </row>
    <row r="48">
      <c r="A48" s="2" t="n"/>
      <c r="B48" s="3" t="n">
        <v>46331.99930555555</v>
      </c>
      <c r="C48" s="4">
        <f>IF(B48="","",INT(B48)-TODAY())</f>
        <v/>
      </c>
      <c r="D48" s="5" t="n">
        <v>952036.08</v>
      </c>
      <c r="E48" s="5" t="n">
        <v>952036.08</v>
      </c>
      <c r="F48" s="2" t="inlineStr">
        <is>
          <t>Comunitat Valenciana</t>
        </is>
      </c>
      <c r="G48" s="2" t="inlineStr">
        <is>
          <t>Castellón</t>
        </is>
      </c>
      <c r="H48" s="2" t="inlineStr">
        <is>
          <t>Burriana (Castellón)</t>
        </is>
      </c>
      <c r="I48" s="2" t="inlineStr">
        <is>
          <t>Alcaldía del Ayuntamiento de Borriana</t>
        </is>
      </c>
      <c r="J48" s="2" t="inlineStr">
        <is>
          <t>Son objeto de contratación: - Lote 1 Obras de ejecución del proyecto "Dotación de accesibilidad al polideportivo Sant Blai de Burriana" - Lote 2 Obras de ejecución del proyecto "Mejora de las condiciones de estanqueidad del polideportivo municipal Sant Blai en Burriana"</t>
        </is>
      </c>
      <c r="K48" s="2" t="inlineStr">
        <is>
          <t>BURR16660/2026-PM9-PM 10</t>
        </is>
      </c>
      <c r="L48" s="2" t="inlineStr">
        <is>
          <t>Abierto simplificado</t>
        </is>
      </c>
      <c r="M48" s="6" t="n">
        <v>7</v>
      </c>
      <c r="N48" s="2" t="n"/>
      <c r="O48" s="7" t="n">
        <v>0</v>
      </c>
      <c r="P48" s="2" t="inlineStr">
        <is>
          <t>Plazo de ejecución del contrato 25 | Oferta económica 75</t>
        </is>
      </c>
      <c r="Q48" s="2" t="inlineStr">
        <is>
          <t>complementaria 2%; definitiva 5%</t>
        </is>
      </c>
      <c r="R48" s="2" t="inlineStr">
        <is>
          <t>No</t>
        </is>
      </c>
      <c r="S48" s="4" t="n">
        <v>2</v>
      </c>
      <c r="T48" s="2" t="inlineStr">
        <is>
          <t>45000000; 45212221; 45261000; 45443000; 45200000; 45212200</t>
        </is>
      </c>
      <c r="U48" s="8" t="inlineStr">
        <is>
          <t>PCAP</t>
        </is>
      </c>
      <c r="V48" s="8" t="inlineStr">
        <is>
          <t>PPT</t>
        </is>
      </c>
      <c r="W48" s="8" t="inlineStr">
        <is>
          <t>Ver</t>
        </is>
      </c>
      <c r="X48" s="9" t="n">
        <v>46314</v>
      </c>
      <c r="Y48" s="2" t="n"/>
    </row>
    <row r="49">
      <c r="A49" s="2" t="n"/>
      <c r="B49" s="3" t="n">
        <v>46331.99930555555</v>
      </c>
      <c r="C49" s="4">
        <f>IF(B49="","",INT(B49)-TODAY())</f>
        <v/>
      </c>
      <c r="D49" s="5" t="n">
        <v>810884.09</v>
      </c>
      <c r="E49" s="5" t="n">
        <v>810884.09</v>
      </c>
      <c r="F49" s="2" t="inlineStr">
        <is>
          <t>Comunitat Valenciana</t>
        </is>
      </c>
      <c r="G49" s="2" t="inlineStr">
        <is>
          <t>Castellón</t>
        </is>
      </c>
      <c r="H49" s="2" t="n"/>
      <c r="I49" s="2" t="inlineStr">
        <is>
          <t>Junta de Gobierno del Ayuntamiento de Borriana</t>
        </is>
      </c>
      <c r="J49" s="2" t="inlineStr">
        <is>
          <t>Ejecución de las obras "Acondicionamiento del Cami Fondo entre la avda. Vicente Cañada Blanch y la avda. Unión Europea" (PM 8/2026).</t>
        </is>
      </c>
      <c r="K49" s="2" t="inlineStr">
        <is>
          <t>BURR 16353/2026-PM 8/2026</t>
        </is>
      </c>
      <c r="L49" s="2" t="inlineStr">
        <is>
          <t>Abierto simplificado</t>
        </is>
      </c>
      <c r="M49" s="6" t="n">
        <v>6</v>
      </c>
      <c r="N49" s="2" t="inlineStr">
        <is>
          <t>G4-3</t>
        </is>
      </c>
      <c r="O49" s="7" t="n">
        <v>0.25</v>
      </c>
      <c r="P49" s="2" t="inlineStr">
        <is>
          <t>B.2. Aumento del plazo de garantía de la obra 15 | A.1 Conocimiento del proyecto aprobado 25 (JV) | B.1. Oferta económica 60</t>
        </is>
      </c>
      <c r="Q49" s="2" t="inlineStr">
        <is>
          <t>complementaria 2%; definitiva 5%</t>
        </is>
      </c>
      <c r="R49" s="2" t="inlineStr">
        <is>
          <t>No</t>
        </is>
      </c>
      <c r="S49" s="4" t="n"/>
      <c r="T49" s="2" t="inlineStr">
        <is>
          <t>45230000</t>
        </is>
      </c>
      <c r="U49" s="8" t="inlineStr">
        <is>
          <t>PCAP</t>
        </is>
      </c>
      <c r="V49" s="8" t="inlineStr">
        <is>
          <t>PPT</t>
        </is>
      </c>
      <c r="W49" s="8" t="inlineStr">
        <is>
          <t>Ver</t>
        </is>
      </c>
      <c r="X49" s="9" t="n">
        <v>46314</v>
      </c>
      <c r="Y49" s="2" t="n"/>
    </row>
    <row r="50">
      <c r="A50" s="2" t="n"/>
      <c r="B50" s="3" t="n">
        <v>46331.99930555555</v>
      </c>
      <c r="C50" s="4">
        <f>IF(B50="","",INT(B50)-TODAY())</f>
        <v/>
      </c>
      <c r="D50" s="5" t="n">
        <v>691158.8</v>
      </c>
      <c r="E50" s="5" t="n">
        <v>691158.8</v>
      </c>
      <c r="F50" s="2" t="inlineStr">
        <is>
          <t>Andalucía</t>
        </is>
      </c>
      <c r="G50" s="2" t="inlineStr">
        <is>
          <t>Córdoba</t>
        </is>
      </c>
      <c r="H50" s="2" t="inlineStr">
        <is>
          <t>Villa del Río</t>
        </is>
      </c>
      <c r="I50" s="2" t="inlineStr">
        <is>
          <t>Alcaldía del Ayuntamiento de Villa del Río</t>
        </is>
      </c>
      <c r="J50" s="2" t="inlineStr">
        <is>
          <t>Redacción del proyecto de ejecución a partir de proyecto básico, redacción de estudio de seguridad y salud, proyectos de instalaciones y de actividad y ejecución de obras para la construcción de edificio destinado a biblioteca pública municipal y salas de usos múltiples (primera fase).</t>
        </is>
      </c>
      <c r="K50" s="2" t="inlineStr">
        <is>
          <t>8223/2026</t>
        </is>
      </c>
      <c r="L50" s="2" t="inlineStr">
        <is>
          <t>Abierto simplificado</t>
        </is>
      </c>
      <c r="M50" s="6" t="n">
        <v>20</v>
      </c>
      <c r="N50" s="2" t="n"/>
      <c r="O50" s="7" t="n">
        <v>0</v>
      </c>
      <c r="P50" s="2" t="inlineStr">
        <is>
          <t>Pluralidad de criterios 100</t>
        </is>
      </c>
      <c r="Q50" s="2" t="inlineStr">
        <is>
          <t>definitiva 5%</t>
        </is>
      </c>
      <c r="R50" s="2" t="n"/>
      <c r="S50" s="4" t="n"/>
      <c r="T50" s="2" t="inlineStr">
        <is>
          <t>45212330; 71317200; 71242000; 45212170; 71000000</t>
        </is>
      </c>
      <c r="U50" s="8" t="inlineStr">
        <is>
          <t>PCAP</t>
        </is>
      </c>
      <c r="V50" s="8" t="inlineStr">
        <is>
          <t>PPT</t>
        </is>
      </c>
      <c r="W50" s="8" t="inlineStr">
        <is>
          <t>Ver</t>
        </is>
      </c>
      <c r="X50" s="9" t="n">
        <v>46317</v>
      </c>
      <c r="Y50" s="2" t="n"/>
    </row>
    <row r="51">
      <c r="A51" s="2" t="inlineStr">
        <is>
          <t>SÍ</t>
        </is>
      </c>
      <c r="B51" s="3" t="n">
        <v>46331.99930555555</v>
      </c>
      <c r="C51" s="4">
        <f>IF(B51="","",INT(B51)-TODAY())</f>
        <v/>
      </c>
      <c r="D51" s="5" t="n">
        <v>5236971.63</v>
      </c>
      <c r="E51" s="5" t="n">
        <v>5236971.63</v>
      </c>
      <c r="F51" s="2" t="inlineStr">
        <is>
          <t>Andalucía</t>
        </is>
      </c>
      <c r="G51" s="2" t="inlineStr">
        <is>
          <t>Huelva</t>
        </is>
      </c>
      <c r="H51" s="2" t="inlineStr">
        <is>
          <t>HUELVA</t>
        </is>
      </c>
      <c r="I51" s="2" t="inlineStr">
        <is>
          <t>Junta de Gobierno de la Diputación Provincial de Huelva</t>
        </is>
      </c>
      <c r="J51" s="2" t="inlineStr">
        <is>
          <t>El presente contrato tiene por objeto la rehabilitación del firme de diversas carreteras provinciales pertenecientes al Plan de inversiones del Servicio de Carreteras y Caminos 2025 y Tu Diputación Actua.</t>
        </is>
      </c>
      <c r="K51" s="2" t="inlineStr">
        <is>
          <t>2026/CMY_03/000148</t>
        </is>
      </c>
      <c r="L51" s="2" t="inlineStr">
        <is>
          <t>Abierto</t>
        </is>
      </c>
      <c r="M51" s="6" t="n">
        <v>3</v>
      </c>
      <c r="N51" s="2" t="n"/>
      <c r="O51" s="7" t="n">
        <v>0</v>
      </c>
      <c r="P51" s="2" t="inlineStr">
        <is>
          <t>REDUCCIÓN DEL PLAZO DE EJECUCIÓN 15 | MEJORA EN EL IMPORTE A DEDICAR AL CONTROL DE CALIDAD OBLIGATORIO 15 | Incremento del Plazo de Garantía 15 | PRECIO 55</t>
        </is>
      </c>
      <c r="Q51" s="2" t="inlineStr">
        <is>
          <t>definitiva 5%</t>
        </is>
      </c>
      <c r="R51" s="2" t="n"/>
      <c r="S51" s="4" t="n">
        <v>6</v>
      </c>
      <c r="T51" s="2" t="inlineStr">
        <is>
          <t>45233000</t>
        </is>
      </c>
      <c r="U51" s="8" t="inlineStr">
        <is>
          <t>PCAP</t>
        </is>
      </c>
      <c r="V51" s="8" t="inlineStr">
        <is>
          <t>PPT</t>
        </is>
      </c>
      <c r="W51" s="8" t="inlineStr">
        <is>
          <t>Ver</t>
        </is>
      </c>
      <c r="X51" s="9" t="n">
        <v>46321</v>
      </c>
      <c r="Y51" s="2" t="n"/>
    </row>
    <row r="52">
      <c r="A52" s="2" t="n"/>
      <c r="B52" s="3" t="n">
        <v>46332.41666666666</v>
      </c>
      <c r="C52" s="4">
        <f>IF(B52="","",INT(B52)-TODAY())</f>
        <v/>
      </c>
      <c r="D52" s="5" t="n">
        <v>638220.99</v>
      </c>
      <c r="E52" s="5" t="n">
        <v>638220.99</v>
      </c>
      <c r="F52" s="2" t="inlineStr">
        <is>
          <t>Andalucía</t>
        </is>
      </c>
      <c r="G52" s="2" t="inlineStr">
        <is>
          <t>Huelva</t>
        </is>
      </c>
      <c r="H52" s="2" t="n"/>
      <c r="I52" s="2" t="inlineStr">
        <is>
          <t>Empresa de Transformación Agraria S.A.,S.M.E., M.P., (TRAGSA)</t>
        </is>
      </c>
      <c r="J52" s="2" t="inlineStr">
        <is>
          <t>Suministro y ejecución de instalaciones eléctricas, seguridad, comunicaciones y fotovoltaica en edificio administrativo de Huelva, en Plaza de La Constitución, No1, Huelva</t>
        </is>
      </c>
      <c r="K52" s="2" t="inlineStr">
        <is>
          <t>TSA0083804</t>
        </is>
      </c>
      <c r="L52" s="2" t="inlineStr">
        <is>
          <t>Abierto simplificado</t>
        </is>
      </c>
      <c r="M52" s="6" t="n">
        <v>18</v>
      </c>
      <c r="N52" s="2" t="n"/>
      <c r="O52" s="7" t="n">
        <v>0</v>
      </c>
      <c r="P52" s="2" t="inlineStr">
        <is>
          <t>PRECIO 100</t>
        </is>
      </c>
      <c r="Q52" s="2" t="inlineStr">
        <is>
          <t>definitiva 5%</t>
        </is>
      </c>
      <c r="R52" s="2" t="inlineStr">
        <is>
          <t>No aplica la revisión de precios en esta licitación</t>
        </is>
      </c>
      <c r="S52" s="4" t="n">
        <v>3</v>
      </c>
      <c r="T52" s="2" t="inlineStr">
        <is>
          <t>45315600; 45315500; 45310000</t>
        </is>
      </c>
      <c r="U52" s="8" t="inlineStr">
        <is>
          <t>PCAP</t>
        </is>
      </c>
      <c r="V52" s="8" t="inlineStr">
        <is>
          <t>PPT</t>
        </is>
      </c>
      <c r="W52" s="8" t="inlineStr">
        <is>
          <t>Ver</t>
        </is>
      </c>
      <c r="X52" s="9" t="n">
        <v>46314</v>
      </c>
      <c r="Y52" s="2" t="n"/>
    </row>
    <row r="53">
      <c r="A53" s="2" t="n"/>
      <c r="B53" s="3" t="n">
        <v>46332.5</v>
      </c>
      <c r="C53" s="4">
        <f>IF(B53="","",INT(B53)-TODAY())</f>
        <v/>
      </c>
      <c r="D53" s="5" t="n">
        <v>1959411.99</v>
      </c>
      <c r="E53" s="5" t="n">
        <v>1959411.99</v>
      </c>
      <c r="F53" s="2" t="inlineStr">
        <is>
          <t>Comunitat Valenciana</t>
        </is>
      </c>
      <c r="G53" s="2" t="inlineStr">
        <is>
          <t>Alicante</t>
        </is>
      </c>
      <c r="H53" s="2" t="inlineStr">
        <is>
          <t>Almoradí</t>
        </is>
      </c>
      <c r="I53" s="2" t="inlineStr">
        <is>
          <t>Junta de Gobierno del Ayuntamiento de Almoradí</t>
        </is>
      </c>
      <c r="J53" s="2" t="inlineStr">
        <is>
          <t>Obras “Actuación 3.1. Reurbanización de la Avda. Dr. Marañón. Mejora de acceso al Centro Comercial, Tipo de Acción 4, Subtipo 4.1 y la Actuación 3.2. Infraestructura ciclista en la Avda. Dr. Marañón, Tipo de Acción 2, Subtipo 2.3, en el marco del Plan de Actuación Integrado de Almoradí, operación cofinanciada por el Fondo Europeo de Desarrollo Regional (FEDER)”.</t>
        </is>
      </c>
      <c r="K53" s="2" t="inlineStr">
        <is>
          <t>7981/2026</t>
        </is>
      </c>
      <c r="L53" s="2" t="inlineStr">
        <is>
          <t>Abierto simplificado</t>
        </is>
      </c>
      <c r="M53" s="6" t="n">
        <v>5</v>
      </c>
      <c r="N53" s="2" t="n"/>
      <c r="O53" s="7" t="n">
        <v>0.25</v>
      </c>
      <c r="P53" s="2" t="inlineStr">
        <is>
          <t>Memoria Técnica 25 (JV) | Proposición Económica 75</t>
        </is>
      </c>
      <c r="Q53" s="2" t="inlineStr">
        <is>
          <t>definitiva 5%; complementaria 5%</t>
        </is>
      </c>
      <c r="R53" s="2" t="n"/>
      <c r="S53" s="4" t="n"/>
      <c r="T53" s="2" t="inlineStr">
        <is>
          <t>45233200; 45211360; 45233253; 45111100; 45233162; 45000000; 45233140</t>
        </is>
      </c>
      <c r="U53" s="8" t="inlineStr">
        <is>
          <t>PCAP</t>
        </is>
      </c>
      <c r="V53" s="2" t="n"/>
      <c r="W53" s="8" t="inlineStr">
        <is>
          <t>Ver</t>
        </is>
      </c>
      <c r="X53" s="9" t="n">
        <v>46314</v>
      </c>
      <c r="Y53" s="2" t="n"/>
    </row>
    <row r="54">
      <c r="A54" s="2" t="n"/>
      <c r="B54" s="3" t="n">
        <v>46332.54166666666</v>
      </c>
      <c r="C54" s="4">
        <f>IF(B54="","",INT(B54)-TODAY())</f>
        <v/>
      </c>
      <c r="D54" s="5" t="n">
        <v>30728972.25</v>
      </c>
      <c r="E54" s="5" t="n">
        <v>30728972.25</v>
      </c>
      <c r="F54" s="2" t="inlineStr">
        <is>
          <t>Andalucía</t>
        </is>
      </c>
      <c r="G54" s="2" t="inlineStr">
        <is>
          <t>Jaén</t>
        </is>
      </c>
      <c r="H54" s="2" t="inlineStr">
        <is>
          <t>JAEN</t>
        </is>
      </c>
      <c r="I54" s="2" t="inlineStr">
        <is>
          <t>Consejo de Administración de Sociedad Mercantil Estatal Aguas de las Cuencas de España, S.A. (ACUAES)</t>
        </is>
      </c>
      <c r="J54" s="2" t="inlineStr">
        <is>
          <t>Ejecución de las obras del Proyecto de construcción de la Nueva Planta de tratamiento de agua potable del Rumblar (Jaén)</t>
        </is>
      </c>
      <c r="K54" s="2" t="inlineStr">
        <is>
          <t>ACE/318.50/26/OBRA/01</t>
        </is>
      </c>
      <c r="L54" s="2" t="inlineStr">
        <is>
          <t>Abierto</t>
        </is>
      </c>
      <c r="M54" s="6" t="n">
        <v>26</v>
      </c>
      <c r="N54" s="2" t="inlineStr">
        <is>
          <t>K8-4</t>
        </is>
      </c>
      <c r="O54" s="7" t="n">
        <v>0.45</v>
      </c>
      <c r="P54" s="2" t="inlineStr">
        <is>
          <t>Compromiso de ampliación del plazo de garantía 10 | Oferta evaluable conforme a criterios dependientes de juicios de valor - Oferta técnica 45 (JV) | Criterios cuantificables mediante la mera aplicación de fórmulas 45</t>
        </is>
      </c>
      <c r="Q54" s="2" t="inlineStr">
        <is>
          <t>complementaria 5%; definitiva 5%</t>
        </is>
      </c>
      <c r="R54" s="2" t="inlineStr">
        <is>
          <t>Fórmula referida a obras hidráulicas nº 561</t>
        </is>
      </c>
      <c r="S54" s="4" t="n"/>
      <c r="T54" s="2" t="inlineStr">
        <is>
          <t>45252120</t>
        </is>
      </c>
      <c r="U54" s="8" t="inlineStr">
        <is>
          <t>PCAP</t>
        </is>
      </c>
      <c r="V54" s="8" t="inlineStr">
        <is>
          <t>PPT</t>
        </is>
      </c>
      <c r="W54" s="8" t="inlineStr">
        <is>
          <t>Ver</t>
        </is>
      </c>
      <c r="X54" s="9" t="n">
        <v>46311</v>
      </c>
      <c r="Y54" s="2" t="n"/>
    </row>
    <row r="55">
      <c r="A55" s="2" t="n"/>
      <c r="B55" s="3" t="n">
        <v>46332.54166666666</v>
      </c>
      <c r="C55" s="4">
        <f>IF(B55="","",INT(B55)-TODAY())</f>
        <v/>
      </c>
      <c r="D55" s="5" t="n">
        <v>3949255.46</v>
      </c>
      <c r="E55" s="5" t="n">
        <v>4344181.01</v>
      </c>
      <c r="F55" s="2" t="inlineStr">
        <is>
          <t>Comunitat Valenciana</t>
        </is>
      </c>
      <c r="G55" s="2" t="inlineStr">
        <is>
          <t>Valencia</t>
        </is>
      </c>
      <c r="H55" s="2" t="n"/>
      <c r="I55" s="2" t="inlineStr">
        <is>
          <t>Presidencia de la Diputación Provincial de Valencia</t>
        </is>
      </c>
      <c r="J55" s="2" t="inlineStr">
        <is>
          <t>Ac-576A/O. Ampliación de plataforma y mejora del drenaje de la carretera CV-598 de Autovía A35 a Canals en los términos municipales de Montesa y Canals.</t>
        </is>
      </c>
      <c r="K55" s="2" t="inlineStr">
        <is>
          <t>59/19/CAR</t>
        </is>
      </c>
      <c r="L55" s="2" t="inlineStr">
        <is>
          <t>Abierto</t>
        </is>
      </c>
      <c r="M55" s="6" t="n">
        <v>15</v>
      </c>
      <c r="N55" s="2" t="inlineStr">
        <is>
          <t>G4-5</t>
        </is>
      </c>
      <c r="O55" s="7" t="n">
        <v>0.46</v>
      </c>
      <c r="P55" s="2" t="inlineStr">
        <is>
          <t>1. Oferta económica 54 | 2. Garantía de suministro 26 (JV) | 3. Programa de trabajos 20 (JV)</t>
        </is>
      </c>
      <c r="Q55" s="2" t="inlineStr">
        <is>
          <t>complementaria 5%; definitiva 5%</t>
        </is>
      </c>
      <c r="R55" s="2" t="n"/>
      <c r="S55" s="4" t="n"/>
      <c r="T55" s="2" t="inlineStr">
        <is>
          <t>45233120</t>
        </is>
      </c>
      <c r="U55" s="8" t="inlineStr">
        <is>
          <t>PCAP</t>
        </is>
      </c>
      <c r="V55" s="2" t="n"/>
      <c r="W55" s="8" t="inlineStr">
        <is>
          <t>Ver</t>
        </is>
      </c>
      <c r="X55" s="9" t="n">
        <v>46317</v>
      </c>
      <c r="Y55" s="2" t="n"/>
    </row>
    <row r="56">
      <c r="A56" s="2" t="n"/>
      <c r="B56" s="3" t="n">
        <v>46332.99930555555</v>
      </c>
      <c r="C56" s="4">
        <f>IF(B56="","",INT(B56)-TODAY())</f>
        <v/>
      </c>
      <c r="D56" s="5" t="n">
        <v>1089694.08</v>
      </c>
      <c r="E56" s="5" t="n">
        <v>1089694.08</v>
      </c>
      <c r="F56" s="2" t="inlineStr">
        <is>
          <t>Andalucía</t>
        </is>
      </c>
      <c r="G56" s="2" t="inlineStr">
        <is>
          <t>Sevilla</t>
        </is>
      </c>
      <c r="H56" s="2" t="n"/>
      <c r="I56" s="2" t="inlineStr">
        <is>
          <t>Alcaldia del Ayuntamiento de San Nicolás del Puerto</t>
        </is>
      </c>
      <c r="J56" s="2" t="inlineStr">
        <is>
          <t>PAS. Construcción de Piscina Municipal y de vesturarios en San Nicolás del Puerto. Plan ACTUA 2022 Diputación.</t>
        </is>
      </c>
      <c r="K56" s="2" t="inlineStr">
        <is>
          <t>P4108800F-2026/000032-PAAS</t>
        </is>
      </c>
      <c r="L56" s="2" t="inlineStr">
        <is>
          <t>Abierto simplificado</t>
        </is>
      </c>
      <c r="M56" s="6" t="n">
        <v>10</v>
      </c>
      <c r="N56" s="2" t="inlineStr">
        <is>
          <t>C6-6; C*-4; C4-4</t>
        </is>
      </c>
      <c r="O56" s="7" t="n">
        <v>0</v>
      </c>
      <c r="P56" s="2" t="inlineStr">
        <is>
          <t>Aspecto Económico (precio) [1] 100</t>
        </is>
      </c>
      <c r="Q56" s="2" t="n"/>
      <c r="R56" s="2" t="n"/>
      <c r="S56" s="4" t="n"/>
      <c r="T56" s="2" t="inlineStr">
        <is>
          <t>45000000</t>
        </is>
      </c>
      <c r="U56" s="8" t="inlineStr">
        <is>
          <t>PCAP</t>
        </is>
      </c>
      <c r="V56" s="8" t="inlineStr">
        <is>
          <t>PPT</t>
        </is>
      </c>
      <c r="W56" s="8" t="inlineStr">
        <is>
          <t>Ver</t>
        </is>
      </c>
      <c r="X56" s="9" t="n">
        <v>46310</v>
      </c>
      <c r="Y56" s="2" t="n"/>
    </row>
    <row r="57">
      <c r="A57" s="2" t="n"/>
      <c r="B57" s="3" t="n">
        <v>46335.79166666666</v>
      </c>
      <c r="C57" s="4">
        <f>IF(B57="","",INT(B57)-TODAY())</f>
        <v/>
      </c>
      <c r="D57" s="5" t="n">
        <v>1240704.74</v>
      </c>
      <c r="E57" s="5" t="n">
        <v>1488845.69</v>
      </c>
      <c r="F57" s="2" t="inlineStr">
        <is>
          <t>Comunitat Valenciana</t>
        </is>
      </c>
      <c r="G57" s="2" t="inlineStr">
        <is>
          <t>Alicante</t>
        </is>
      </c>
      <c r="H57" s="2" t="inlineStr">
        <is>
          <t>Alicante (Alacant)</t>
        </is>
      </c>
      <c r="I57" s="2" t="inlineStr">
        <is>
          <t>Alcaldía del Ayuntamiento de Santa Pola</t>
        </is>
      </c>
      <c r="J57" s="2" t="inlineStr">
        <is>
          <t>Licitación para la contratación de las Obras de Reforma y adecuación del campo municipal Manolo Maciá de Santa Pola, susceptible de ser confinanciado por la UE a través del Fondo Europeo de Desarrollo</t>
        </is>
      </c>
      <c r="K57" s="2" t="inlineStr">
        <is>
          <t>18226/2026</t>
        </is>
      </c>
      <c r="L57" s="2" t="inlineStr">
        <is>
          <t>Abierto simplificado</t>
        </is>
      </c>
      <c r="M57" s="6" t="n">
        <v>4</v>
      </c>
      <c r="N57" s="2" t="inlineStr">
        <is>
          <t>G*-3</t>
        </is>
      </c>
      <c r="O57" s="7" t="n">
        <v>0.45</v>
      </c>
      <c r="P57" s="2" t="inlineStr">
        <is>
          <t>A.2. AMPLIACIÓN DE GARANTÍA 15 (JV) | A.3. SOSTENIBILIDAD AMBIENTAL EN LA EJECUCIÓN 30 (JV) | A.1. OFERTA ECONÓMICA 55</t>
        </is>
      </c>
      <c r="Q57" s="2" t="n"/>
      <c r="R57" s="2" t="n"/>
      <c r="S57" s="4" t="n"/>
      <c r="T57" s="2" t="inlineStr">
        <is>
          <t>45212200; 45212224; 45212220; 45310000</t>
        </is>
      </c>
      <c r="U57" s="8" t="inlineStr">
        <is>
          <t>PCAP</t>
        </is>
      </c>
      <c r="V57" s="8" t="inlineStr">
        <is>
          <t>PPT</t>
        </is>
      </c>
      <c r="W57" s="8" t="inlineStr">
        <is>
          <t>Ver</t>
        </is>
      </c>
      <c r="X57" s="9" t="n">
        <v>46315</v>
      </c>
      <c r="Y57" s="2" t="n"/>
    </row>
    <row r="58">
      <c r="A58" s="2" t="n"/>
      <c r="B58" s="3" t="n">
        <v>46335.99930555555</v>
      </c>
      <c r="C58" s="4">
        <f>IF(B58="","",INT(B58)-TODAY())</f>
        <v/>
      </c>
      <c r="D58" s="5" t="n">
        <v>929839.95</v>
      </c>
      <c r="E58" s="5" t="n">
        <v>929839.95</v>
      </c>
      <c r="F58" s="2" t="inlineStr">
        <is>
          <t>Andalucía</t>
        </is>
      </c>
      <c r="G58" s="2" t="inlineStr">
        <is>
          <t>Córdoba</t>
        </is>
      </c>
      <c r="H58" s="2" t="inlineStr">
        <is>
          <t>CABRA</t>
        </is>
      </c>
      <c r="I58" s="2" t="inlineStr">
        <is>
          <t>Alcaldía del Ayuntamiento de Cabra</t>
        </is>
      </c>
      <c r="J58" s="2" t="inlineStr">
        <is>
          <t>Servicio de redacción del proyecto básico y ejecución de obras, coordinación en materia de seguridad y salud durante la elaboración del proyecto, estudio de libro del edificio y la posterior ejecución de las obras de construcción de seis viviendas en alquiler social en edificios energéticamente eficientes, en el marco del capítulo VII del real decreto 853/2021 de 5 de octubre</t>
        </is>
      </c>
      <c r="K58" s="2" t="inlineStr">
        <is>
          <t>2026/21080</t>
        </is>
      </c>
      <c r="L58" s="2" t="inlineStr">
        <is>
          <t>Abierto</t>
        </is>
      </c>
      <c r="M58" s="6" t="n">
        <v>12</v>
      </c>
      <c r="N58" s="2" t="n"/>
      <c r="O58" s="7" t="n">
        <v>0</v>
      </c>
      <c r="P58" s="2" t="inlineStr">
        <is>
          <t>Redacción proyecto en formato BIM 10 | Menor precio ofertado sobre el precio de licitación, hasta un máximo de 75 puntos. 75 | Compromiso de Ampliación de Plazo de Garantía 15</t>
        </is>
      </c>
      <c r="Q58" s="2" t="inlineStr">
        <is>
          <t>definitiva 5%</t>
        </is>
      </c>
      <c r="R58" s="2" t="n"/>
      <c r="S58" s="4" t="n"/>
      <c r="T58" s="2" t="inlineStr">
        <is>
          <t>45211000; 71200000</t>
        </is>
      </c>
      <c r="U58" s="8" t="inlineStr">
        <is>
          <t>PCAP</t>
        </is>
      </c>
      <c r="V58" s="8" t="inlineStr">
        <is>
          <t>PPT</t>
        </is>
      </c>
      <c r="W58" s="8" t="inlineStr">
        <is>
          <t>Ver</t>
        </is>
      </c>
      <c r="X58" s="9" t="n">
        <v>46310</v>
      </c>
      <c r="Y58" s="2" t="n"/>
    </row>
    <row r="59">
      <c r="A59" s="2" t="n"/>
      <c r="B59" s="3" t="n">
        <v>46335.99930555555</v>
      </c>
      <c r="C59" s="4">
        <f>IF(B59="","",INT(B59)-TODAY())</f>
        <v/>
      </c>
      <c r="D59" s="5" t="n">
        <v>4895758.65</v>
      </c>
      <c r="E59" s="5" t="n">
        <v>4895758.65</v>
      </c>
      <c r="F59" s="2" t="inlineStr">
        <is>
          <t>Comunitat Valenciana</t>
        </is>
      </c>
      <c r="G59" s="2" t="inlineStr">
        <is>
          <t>Valencia</t>
        </is>
      </c>
      <c r="H59" s="2" t="inlineStr">
        <is>
          <t>Estivella</t>
        </is>
      </c>
      <c r="I59" s="2" t="inlineStr">
        <is>
          <t>Pleno del Ayuntamiento de Estivella</t>
        </is>
      </c>
      <c r="J59" s="2" t="inlineStr">
        <is>
          <t>Demolició i reposició del CENTRE CEIP EL BRAÇAL en la mateixa parcel·la</t>
        </is>
      </c>
      <c r="K59" s="2" t="inlineStr">
        <is>
          <t>271/2026</t>
        </is>
      </c>
      <c r="L59" s="2" t="inlineStr">
        <is>
          <t>Abierto</t>
        </is>
      </c>
      <c r="M59" s="6" t="n">
        <v>18</v>
      </c>
      <c r="N59" s="2" t="inlineStr">
        <is>
          <t>C*-5</t>
        </is>
      </c>
      <c r="O59" s="7" t="n">
        <v>0.2</v>
      </c>
      <c r="P59" s="2" t="inlineStr">
        <is>
          <t>Planificación de los trabajos y conocimiento del proyecto (Hasta 5 puntos) 5 (JV) | Aumento del plazo de garantía 2 | Compromiso de realización de un reportaje fotográfico de la obra terminada 4 | Medidas para la reducción de los impactos generados en el entorno durante el proceso constructivo (Hasta 5 puntos) 5 (JV) | Compromiso de limpieza fina de obra 3 | Implantación y organización de la obra (Hasta 10 puntos) 10 (JV) | Compromiso de calidad en personal asignado 6 | Menor precio ofertado 65</t>
        </is>
      </c>
      <c r="Q59" s="2" t="inlineStr">
        <is>
          <t>definitiva 5%</t>
        </is>
      </c>
      <c r="R59" s="2" t="inlineStr">
        <is>
          <t>Conforme al artículo 10 del PCAP.</t>
        </is>
      </c>
      <c r="S59" s="4" t="n"/>
      <c r="T59" s="2" t="inlineStr">
        <is>
          <t>45214000</t>
        </is>
      </c>
      <c r="U59" s="8" t="inlineStr">
        <is>
          <t>PCAP</t>
        </is>
      </c>
      <c r="V59" s="8" t="inlineStr">
        <is>
          <t>PPT</t>
        </is>
      </c>
      <c r="W59" s="8" t="inlineStr">
        <is>
          <t>Ver</t>
        </is>
      </c>
      <c r="X59" s="9" t="n">
        <v>46310</v>
      </c>
      <c r="Y59" s="2" t="n"/>
    </row>
    <row r="60">
      <c r="A60" s="2" t="n"/>
      <c r="B60" s="3" t="n">
        <v>46335.99930555555</v>
      </c>
      <c r="C60" s="4">
        <f>IF(B60="","",INT(B60)-TODAY())</f>
        <v/>
      </c>
      <c r="D60" s="5" t="n">
        <v>4566296.26</v>
      </c>
      <c r="E60" s="5" t="n">
        <v>4566296.26</v>
      </c>
      <c r="F60" s="2" t="inlineStr">
        <is>
          <t>Andalucía</t>
        </is>
      </c>
      <c r="G60" s="2" t="inlineStr">
        <is>
          <t>Granada</t>
        </is>
      </c>
      <c r="H60" s="2" t="inlineStr">
        <is>
          <t>OGIJARES</t>
        </is>
      </c>
      <c r="I60" s="2" t="inlineStr">
        <is>
          <t>Presidencia de la Diputación Provincial de Granada</t>
        </is>
      </c>
      <c r="J60" s="2" t="inlineStr">
        <is>
          <t>Refundido final urbanización del Plan Especial "La Aurora" en Ogíjares.</t>
        </is>
      </c>
      <c r="K60" s="2" t="inlineStr">
        <is>
          <t>OB-037/26</t>
        </is>
      </c>
      <c r="L60" s="2" t="inlineStr">
        <is>
          <t>Abierto</t>
        </is>
      </c>
      <c r="M60" s="6" t="n">
        <v>18</v>
      </c>
      <c r="N60" s="2" t="inlineStr">
        <is>
          <t>G6-5; E7-5; I9-4</t>
        </is>
      </c>
      <c r="O60" s="7" t="n">
        <v>0</v>
      </c>
      <c r="P60" s="2" t="inlineStr">
        <is>
          <t>Ampliación del plazo de garantía 10 | El precio más bajo 90</t>
        </is>
      </c>
      <c r="Q60" s="2" t="inlineStr">
        <is>
          <t>definitiva 5%</t>
        </is>
      </c>
      <c r="R60" s="2" t="n"/>
      <c r="S60" s="4" t="n"/>
      <c r="T60" s="2" t="inlineStr">
        <is>
          <t>45220000; 45233252; 45232200; 45316110; 45232150; 45232410; 45233140</t>
        </is>
      </c>
      <c r="U60" s="8" t="inlineStr">
        <is>
          <t>PCAP</t>
        </is>
      </c>
      <c r="V60" s="8" t="inlineStr">
        <is>
          <t>PPT</t>
        </is>
      </c>
      <c r="W60" s="8" t="inlineStr">
        <is>
          <t>Ver</t>
        </is>
      </c>
      <c r="X60" s="9" t="n">
        <v>46310</v>
      </c>
      <c r="Y60" s="2" t="n"/>
    </row>
    <row r="61">
      <c r="A61" s="2" t="n"/>
      <c r="B61" s="3" t="n">
        <v>46335.99930555555</v>
      </c>
      <c r="C61" s="4">
        <f>IF(B61="","",INT(B61)-TODAY())</f>
        <v/>
      </c>
      <c r="D61" s="5" t="n">
        <v>1793227</v>
      </c>
      <c r="E61" s="5" t="n">
        <v>1793227</v>
      </c>
      <c r="F61" s="2" t="inlineStr">
        <is>
          <t>Andalucía</t>
        </is>
      </c>
      <c r="G61" s="2" t="inlineStr">
        <is>
          <t>Granada</t>
        </is>
      </c>
      <c r="H61" s="2" t="n"/>
      <c r="I61" s="2" t="inlineStr">
        <is>
          <t>Dirección Gerente de la Empresa Municipal de Abastecimiento y Saneamiento de Granada, S.A.</t>
        </is>
      </c>
      <c r="J61" s="2" t="inlineStr">
        <is>
          <t>Mejora de las infraestructuras y resiliencia hídrica en el ciclo integral del agua en la Avenida Don Bosco, entre la Avenida de Cádiz y la Avenida Fernando de los Ríos (Granada).</t>
        </is>
      </c>
      <c r="K61" s="2" t="inlineStr">
        <is>
          <t>Obra 2025-00017_3</t>
        </is>
      </c>
      <c r="L61" s="2" t="inlineStr">
        <is>
          <t>Abierto</t>
        </is>
      </c>
      <c r="M61" s="6" t="n">
        <v>144</v>
      </c>
      <c r="N61" s="2" t="inlineStr">
        <is>
          <t>E*-4</t>
        </is>
      </c>
      <c r="O61" s="7" t="n">
        <v>0.4</v>
      </c>
      <c r="P61" s="2" t="inlineStr">
        <is>
          <t>Oferta económica 60 | Oferta técnica 40 (JV)</t>
        </is>
      </c>
      <c r="Q61" s="2" t="n"/>
      <c r="R61" s="2" t="n"/>
      <c r="S61" s="4" t="n"/>
      <c r="T61" s="2" t="inlineStr">
        <is>
          <t>45232150</t>
        </is>
      </c>
      <c r="U61" s="8" t="inlineStr">
        <is>
          <t>PCAP</t>
        </is>
      </c>
      <c r="V61" s="8" t="inlineStr">
        <is>
          <t>PPT</t>
        </is>
      </c>
      <c r="W61" s="8" t="inlineStr">
        <is>
          <t>Ver</t>
        </is>
      </c>
      <c r="X61" s="9" t="n">
        <v>46310</v>
      </c>
      <c r="Y61" s="2" t="n"/>
    </row>
    <row r="62">
      <c r="A62" s="2" t="n"/>
      <c r="B62" s="3" t="n">
        <v>46335.99930555555</v>
      </c>
      <c r="C62" s="4">
        <f>IF(B62="","",INT(B62)-TODAY())</f>
        <v/>
      </c>
      <c r="D62" s="5" t="n">
        <v>1170584.07</v>
      </c>
      <c r="E62" s="5" t="n">
        <v>1170584.07</v>
      </c>
      <c r="F62" s="2" t="inlineStr">
        <is>
          <t>Andalucía</t>
        </is>
      </c>
      <c r="G62" s="2" t="inlineStr">
        <is>
          <t>Sevilla</t>
        </is>
      </c>
      <c r="H62" s="2" t="n"/>
      <c r="I62" s="2" t="inlineStr">
        <is>
          <t>Pleno del Ayuntamiento de La Roda de Andalucía</t>
        </is>
      </c>
      <c r="J62" s="2" t="inlineStr">
        <is>
          <t>Contrato de obras para ejecución del "Proyecto básico y de terminación del pabellón polideportivo cubierto municipal"</t>
        </is>
      </c>
      <c r="K62" s="2" t="inlineStr">
        <is>
          <t>P4108200I-2026/000011-PAAS</t>
        </is>
      </c>
      <c r="L62" s="2" t="inlineStr">
        <is>
          <t>Abierto simplificado</t>
        </is>
      </c>
      <c r="M62" s="6" t="n">
        <v>18</v>
      </c>
      <c r="N62" s="2" t="inlineStr">
        <is>
          <t>C4-3</t>
        </is>
      </c>
      <c r="O62" s="7" t="n">
        <v>0</v>
      </c>
      <c r="P62" s="2" t="inlineStr">
        <is>
          <t>Aspecto Económico (precio) [1] 100</t>
        </is>
      </c>
      <c r="Q62" s="2" t="n"/>
      <c r="R62" s="2" t="n"/>
      <c r="S62" s="4" t="n"/>
      <c r="T62" s="2" t="inlineStr">
        <is>
          <t>45000000</t>
        </is>
      </c>
      <c r="U62" s="8" t="inlineStr">
        <is>
          <t>PCAP</t>
        </is>
      </c>
      <c r="V62" s="8" t="inlineStr">
        <is>
          <t>PPT</t>
        </is>
      </c>
      <c r="W62" s="8" t="inlineStr">
        <is>
          <t>Ver</t>
        </is>
      </c>
      <c r="X62" s="9" t="n">
        <v>46310</v>
      </c>
      <c r="Y62" s="2" t="inlineStr">
        <is>
          <t>2026-10-22: plazo 2026-10-29 23:59 → 2026-11-09 23:59</t>
        </is>
      </c>
    </row>
    <row r="63">
      <c r="A63" s="2" t="n"/>
      <c r="B63" s="3" t="n">
        <v>46335.99930555555</v>
      </c>
      <c r="C63" s="4">
        <f>IF(B63="","",INT(B63)-TODAY())</f>
        <v/>
      </c>
      <c r="D63" s="5" t="n">
        <v>638659.75</v>
      </c>
      <c r="E63" s="5" t="n">
        <v>638659.75</v>
      </c>
      <c r="F63" s="2" t="inlineStr">
        <is>
          <t>Comunitat Valenciana</t>
        </is>
      </c>
      <c r="G63" s="2" t="inlineStr">
        <is>
          <t>Valencia</t>
        </is>
      </c>
      <c r="H63" s="2" t="n"/>
      <c r="I63" s="2" t="inlineStr">
        <is>
          <t>Alcaldía del Ayuntamiento de Quart de Poblet</t>
        </is>
      </c>
      <c r="J63" s="2" t="inlineStr">
        <is>
          <t>Proyecto de habilitación del local situado en la C/ Joanot Martorell, 6 para dependencias de la Policía Local del municipio de Quart de Poblet, incluido dentro del Pla Obert d´Inversions 24-27 de la Diputación Provincial e Valencia</t>
        </is>
      </c>
      <c r="K63" s="2" t="inlineStr">
        <is>
          <t>2870452P</t>
        </is>
      </c>
      <c r="L63" s="2" t="inlineStr">
        <is>
          <t>Abierto simplificado</t>
        </is>
      </c>
      <c r="M63" s="6" t="n">
        <v>5</v>
      </c>
      <c r="N63" s="2" t="n"/>
      <c r="O63" s="7" t="n">
        <v>0.25</v>
      </c>
      <c r="P63" s="2" t="inlineStr">
        <is>
          <t>Personal adscrito a la ejecución del contrato 15 | Mejoras 40 | Ampliación plazo garantía 20 | Metodología propuesta para la ejecución de los trabajos 25 (JV)</t>
        </is>
      </c>
      <c r="Q63" s="2" t="inlineStr">
        <is>
          <t>definitiva 5%</t>
        </is>
      </c>
      <c r="R63" s="2" t="n"/>
      <c r="S63" s="4" t="n"/>
      <c r="T63" s="2" t="inlineStr">
        <is>
          <t>45000000; 45450000; 45213100</t>
        </is>
      </c>
      <c r="U63" s="8" t="inlineStr">
        <is>
          <t>PCAP</t>
        </is>
      </c>
      <c r="V63" s="8" t="inlineStr">
        <is>
          <t>PPT</t>
        </is>
      </c>
      <c r="W63" s="8" t="inlineStr">
        <is>
          <t>Ver</t>
        </is>
      </c>
      <c r="X63" s="9" t="n">
        <v>46315</v>
      </c>
      <c r="Y63" s="2" t="n"/>
    </row>
    <row r="64">
      <c r="A64" s="2" t="n"/>
      <c r="B64" s="3" t="n">
        <v>46335.99930555555</v>
      </c>
      <c r="C64" s="4">
        <f>IF(B64="","",INT(B64)-TODAY())</f>
        <v/>
      </c>
      <c r="D64" s="5" t="n">
        <v>709293.76</v>
      </c>
      <c r="E64" s="5" t="n">
        <v>709293.76</v>
      </c>
      <c r="F64" s="2" t="inlineStr">
        <is>
          <t>Comunitat Valenciana</t>
        </is>
      </c>
      <c r="G64" s="2" t="inlineStr">
        <is>
          <t>Valencia</t>
        </is>
      </c>
      <c r="H64" s="2" t="n"/>
      <c r="I64" s="2" t="inlineStr">
        <is>
          <t>Alcaldía del Ayuntamiento de Quart de Poblet</t>
        </is>
      </c>
      <c r="J64" s="2" t="inlineStr">
        <is>
          <t>Obra Proyecto de Mejora de la accesibilidad y de parte de las infraestructuras de la calle Jaume Balmes de Quart de Poblet, actuación incluida dentro del Plan Obert d´Inversions 24-27 de la Diputación Provincial de Valencia</t>
        </is>
      </c>
      <c r="K64" s="2" t="inlineStr">
        <is>
          <t>2287483K</t>
        </is>
      </c>
      <c r="L64" s="2" t="inlineStr">
        <is>
          <t>Abierto simplificado</t>
        </is>
      </c>
      <c r="M64" s="6" t="n">
        <v>6</v>
      </c>
      <c r="N64" s="2" t="inlineStr">
        <is>
          <t>G6-2</t>
        </is>
      </c>
      <c r="O64" s="7" t="n">
        <v>0.25</v>
      </c>
      <c r="P64" s="2" t="inlineStr">
        <is>
          <t>Mejoras vinculadas con el objeto del contrato 40 | Personal adscrito a la ejecución del contrato 15 | Ampliación plazo garantía 20 | Metodología propuesta para la ejecución de los trabajos 25 (JV)</t>
        </is>
      </c>
      <c r="Q64" s="2" t="inlineStr">
        <is>
          <t>definitiva 5%</t>
        </is>
      </c>
      <c r="R64" s="2" t="n"/>
      <c r="S64" s="4" t="n"/>
      <c r="T64" s="2" t="inlineStr">
        <is>
          <t>45233140</t>
        </is>
      </c>
      <c r="U64" s="8" t="inlineStr">
        <is>
          <t>PCAP</t>
        </is>
      </c>
      <c r="V64" s="8" t="inlineStr">
        <is>
          <t>PPT</t>
        </is>
      </c>
      <c r="W64" s="8" t="inlineStr">
        <is>
          <t>Ver</t>
        </is>
      </c>
      <c r="X64" s="9" t="n">
        <v>46315</v>
      </c>
      <c r="Y64" s="2" t="n"/>
    </row>
    <row r="65">
      <c r="A65" s="2" t="n"/>
      <c r="B65" s="3" t="n">
        <v>46335.99930555555</v>
      </c>
      <c r="C65" s="4">
        <f>IF(B65="","",INT(B65)-TODAY())</f>
        <v/>
      </c>
      <c r="D65" s="5" t="n">
        <v>527483.73</v>
      </c>
      <c r="E65" s="5" t="n">
        <v>527483.73</v>
      </c>
      <c r="F65" s="2" t="inlineStr">
        <is>
          <t>Andalucía</t>
        </is>
      </c>
      <c r="G65" s="2" t="inlineStr">
        <is>
          <t>Jaén</t>
        </is>
      </c>
      <c r="H65" s="2" t="inlineStr">
        <is>
          <t>Santisteban del Puerto</t>
        </is>
      </c>
      <c r="I65" s="2" t="inlineStr">
        <is>
          <t>Pleno del Ayuntamiento de Santisteban del Puerto</t>
        </is>
      </c>
      <c r="J65" s="2" t="inlineStr">
        <is>
          <t>Actuaciones de estabilización en el cerro de la Guaría en Santisteban del Puerto (Jaén).</t>
        </is>
      </c>
      <c r="K65" s="2" t="inlineStr">
        <is>
          <t>611/2026</t>
        </is>
      </c>
      <c r="L65" s="2" t="inlineStr">
        <is>
          <t>Abierto simplificado</t>
        </is>
      </c>
      <c r="M65" s="6" t="n">
        <v>6</v>
      </c>
      <c r="N65" s="2" t="inlineStr">
        <is>
          <t>K3-3; K2-3</t>
        </is>
      </c>
      <c r="O65" s="7" t="n">
        <v>0</v>
      </c>
      <c r="P65" s="2" t="inlineStr">
        <is>
          <t>Plazo de garantía adicional 40 | Menor plazo de ejecución de obra 40 | Mejor oferta economica 20</t>
        </is>
      </c>
      <c r="Q65" s="2" t="inlineStr">
        <is>
          <t>definitiva 5%</t>
        </is>
      </c>
      <c r="R65" s="2" t="n"/>
      <c r="S65" s="4" t="n"/>
      <c r="T65" s="2" t="inlineStr">
        <is>
          <t>45111230; 45222000</t>
        </is>
      </c>
      <c r="U65" s="8" t="inlineStr">
        <is>
          <t>PCAP</t>
        </is>
      </c>
      <c r="V65" s="8" t="inlineStr">
        <is>
          <t>PPT</t>
        </is>
      </c>
      <c r="W65" s="8" t="inlineStr">
        <is>
          <t>Ver</t>
        </is>
      </c>
      <c r="X65" s="9" t="n">
        <v>46315</v>
      </c>
      <c r="Y65" s="2" t="n"/>
    </row>
    <row r="66">
      <c r="A66" s="2" t="n"/>
      <c r="B66" s="3" t="n">
        <v>46335.99930555555</v>
      </c>
      <c r="C66" s="4">
        <f>IF(B66="","",INT(B66)-TODAY())</f>
        <v/>
      </c>
      <c r="D66" s="5" t="n">
        <v>661157.01</v>
      </c>
      <c r="E66" s="5" t="n">
        <v>661157.01</v>
      </c>
      <c r="F66" s="2" t="inlineStr">
        <is>
          <t>Andalucía</t>
        </is>
      </c>
      <c r="G66" s="2" t="inlineStr">
        <is>
          <t>Almería</t>
        </is>
      </c>
      <c r="H66" s="2" t="n"/>
      <c r="I66" s="2" t="inlineStr">
        <is>
          <t>Junta de Gobierno del Ayuntamiento de Almería</t>
        </is>
      </c>
      <c r="J66" s="2" t="inlineStr">
        <is>
          <t>Contratación de obras de Reforma integral de la Plaza de la Iglesia y calles Iglesia de Cabo de Gata, La Estrella de Mar, Chozas y Las Barcas de la barriada de San Miguel de Cabo de Gata (Almería)</t>
        </is>
      </c>
      <c r="K66" s="2" t="inlineStr">
        <is>
          <t>AYAL-2026000221</t>
        </is>
      </c>
      <c r="L66" s="2" t="inlineStr">
        <is>
          <t>Abierto simplificado</t>
        </is>
      </c>
      <c r="M66" s="6" t="n">
        <v>6</v>
      </c>
      <c r="N66" s="2" t="n"/>
      <c r="O66" s="7" t="n">
        <v>0</v>
      </c>
      <c r="P66" s="2" t="inlineStr">
        <is>
          <t>CRITERIOS EVALUABLES MEDIANTE FÓRMULAS- oferta economica 55 | Criterios cualitativos objetivos - Aumento en la frecuencia de la presentación del Programa de Trabajos 10 | Criterios cualitativos objetivos - ampliacion del plazo inicial de garantia 35</t>
        </is>
      </c>
      <c r="Q66" s="2" t="inlineStr">
        <is>
          <t>definitiva 5%</t>
        </is>
      </c>
      <c r="R66" s="2" t="inlineStr">
        <is>
          <t>No</t>
        </is>
      </c>
      <c r="S66" s="4" t="n"/>
      <c r="T66" s="2" t="inlineStr">
        <is>
          <t>45233140</t>
        </is>
      </c>
      <c r="U66" s="8" t="inlineStr">
        <is>
          <t>PCAP</t>
        </is>
      </c>
      <c r="V66" s="8" t="inlineStr">
        <is>
          <t>PPT</t>
        </is>
      </c>
      <c r="W66" s="8" t="inlineStr">
        <is>
          <t>Ver</t>
        </is>
      </c>
      <c r="X66" s="9" t="n">
        <v>46315</v>
      </c>
      <c r="Y66" s="2" t="n"/>
    </row>
    <row r="67">
      <c r="A67" s="2" t="n"/>
      <c r="B67" s="3" t="n">
        <v>46335.99930555555</v>
      </c>
      <c r="C67" s="4">
        <f>IF(B67="","",INT(B67)-TODAY())</f>
        <v/>
      </c>
      <c r="D67" s="5" t="n">
        <v>1915620.68</v>
      </c>
      <c r="E67" s="5" t="n">
        <v>1915620.68</v>
      </c>
      <c r="F67" s="2" t="inlineStr">
        <is>
          <t>Andalucía</t>
        </is>
      </c>
      <c r="G67" s="2" t="inlineStr">
        <is>
          <t>Sevilla</t>
        </is>
      </c>
      <c r="H67" s="2" t="inlineStr">
        <is>
          <t>sevilla</t>
        </is>
      </c>
      <c r="I67" s="2" t="inlineStr">
        <is>
          <t>Comisión Ejecutiva del Patronato del Real Alcázar y Casa Consistorial de Sevilla</t>
        </is>
      </c>
      <c r="J67" s="2" t="inlineStr">
        <is>
          <t>Obra de intervencion y restauracion de la sala de exposiciones del real alcazar de sevilla</t>
        </is>
      </c>
      <c r="K67" s="2" t="inlineStr">
        <is>
          <t>2026/000719</t>
        </is>
      </c>
      <c r="L67" s="2" t="inlineStr">
        <is>
          <t>Abierto simplificado</t>
        </is>
      </c>
      <c r="M67" s="6" t="n">
        <v>9</v>
      </c>
      <c r="N67" s="2" t="inlineStr">
        <is>
          <t>K7-4</t>
        </is>
      </c>
      <c r="O67" s="7" t="n">
        <v>0.2</v>
      </c>
      <c r="P67" s="2" t="inlineStr">
        <is>
          <t>Calidad técnica de la solución propuesta para la sobrecubierta andamiada provisional 20 (JV) | Mejora del equipo técnico 30 | Realización de memoria editada 10 | Ampliación del plazo de garantía 10 | OFERTA ECONÓMICA: 30</t>
        </is>
      </c>
      <c r="Q67" s="2" t="inlineStr">
        <is>
          <t>complementaria 5%; definitiva 5%</t>
        </is>
      </c>
      <c r="R67" s="2" t="inlineStr">
        <is>
          <t>No</t>
        </is>
      </c>
      <c r="S67" s="4" t="n"/>
      <c r="T67" s="2" t="inlineStr">
        <is>
          <t>45212350</t>
        </is>
      </c>
      <c r="U67" s="8" t="inlineStr">
        <is>
          <t>PCAP</t>
        </is>
      </c>
      <c r="V67" s="8" t="inlineStr">
        <is>
          <t>PPT</t>
        </is>
      </c>
      <c r="W67" s="8" t="inlineStr">
        <is>
          <t>Ver</t>
        </is>
      </c>
      <c r="X67" s="9" t="n">
        <v>46317</v>
      </c>
      <c r="Y67" s="2" t="n"/>
    </row>
    <row r="68">
      <c r="A68" s="2" t="n"/>
      <c r="B68" s="3" t="n">
        <v>46335.99930555555</v>
      </c>
      <c r="C68" s="4">
        <f>IF(B68="","",INT(B68)-TODAY())</f>
        <v/>
      </c>
      <c r="D68" s="5" t="n">
        <v>829996.61</v>
      </c>
      <c r="E68" s="5" t="n">
        <v>829996.61</v>
      </c>
      <c r="F68" s="2" t="inlineStr">
        <is>
          <t>Andalucía</t>
        </is>
      </c>
      <c r="G68" s="2" t="inlineStr">
        <is>
          <t>Huelva</t>
        </is>
      </c>
      <c r="H68" s="2" t="n"/>
      <c r="I68" s="2" t="inlineStr">
        <is>
          <t>Junta de Gobierno del Ayuntamiento de Huelva</t>
        </is>
      </c>
      <c r="J68" s="2" t="inlineStr">
        <is>
          <t>Obras de renaturalización y ordenación de espacio público entorno calle Los Emires de Huelva.</t>
        </is>
      </c>
      <c r="K68" s="2" t="inlineStr">
        <is>
          <t>906/2026/12</t>
        </is>
      </c>
      <c r="L68" s="2" t="inlineStr">
        <is>
          <t>Abierto simplificado</t>
        </is>
      </c>
      <c r="M68" s="6" t="n">
        <v>6</v>
      </c>
      <c r="N68" s="2" t="inlineStr">
        <is>
          <t>G6-3</t>
        </is>
      </c>
      <c r="O68" s="7" t="n">
        <v>0</v>
      </c>
      <c r="P68" s="2" t="inlineStr">
        <is>
          <t>Mejoras al proyecto 14 | Ampliación del plazo de garantía 10 | Oferta económica 66 | Experiencia del Jefe de Obra 10</t>
        </is>
      </c>
      <c r="Q68" s="2" t="inlineStr">
        <is>
          <t>definitiva 5%</t>
        </is>
      </c>
      <c r="R68" s="2" t="n"/>
      <c r="S68" s="4" t="n"/>
      <c r="T68" s="2" t="inlineStr">
        <is>
          <t>45111100; 45316000; 45233293; 45233252; 45262520; 45451300</t>
        </is>
      </c>
      <c r="U68" s="8" t="inlineStr">
        <is>
          <t>PCAP</t>
        </is>
      </c>
      <c r="V68" s="8" t="inlineStr">
        <is>
          <t>PPT</t>
        </is>
      </c>
      <c r="W68" s="8" t="inlineStr">
        <is>
          <t>Ver</t>
        </is>
      </c>
      <c r="X68" s="9" t="n">
        <v>46317</v>
      </c>
      <c r="Y68" s="2" t="n"/>
    </row>
    <row r="69">
      <c r="A69" s="2" t="n"/>
      <c r="B69" s="3" t="n">
        <v>46335.99930555555</v>
      </c>
      <c r="C69" s="4">
        <f>IF(B69="","",INT(B69)-TODAY())</f>
        <v/>
      </c>
      <c r="D69" s="5" t="n">
        <v>1156866.81</v>
      </c>
      <c r="E69" s="5" t="n">
        <v>1156866.81</v>
      </c>
      <c r="F69" s="2" t="inlineStr">
        <is>
          <t>Andalucía</t>
        </is>
      </c>
      <c r="G69" s="2" t="inlineStr">
        <is>
          <t>Huelva</t>
        </is>
      </c>
      <c r="H69" s="2" t="n"/>
      <c r="I69" s="2" t="inlineStr">
        <is>
          <t>Junta de Gobierno del Ayuntamiento de Huelva</t>
        </is>
      </c>
      <c r="J69" s="2" t="inlineStr">
        <is>
          <t>Ejecución de las obras del Plan de Asfaltado 2027.</t>
        </is>
      </c>
      <c r="K69" s="2" t="inlineStr">
        <is>
          <t>497/2026</t>
        </is>
      </c>
      <c r="L69" s="2" t="inlineStr">
        <is>
          <t>Abierto simplificado</t>
        </is>
      </c>
      <c r="M69" s="6" t="n">
        <v>6</v>
      </c>
      <c r="N69" s="2" t="inlineStr">
        <is>
          <t>G4-4</t>
        </is>
      </c>
      <c r="O69" s="7" t="n">
        <v>0</v>
      </c>
      <c r="P69" s="2" t="inlineStr">
        <is>
          <t>Oferta económica 70 | Plazo de garantía 30</t>
        </is>
      </c>
      <c r="Q69" s="2" t="inlineStr">
        <is>
          <t>definitiva 5%</t>
        </is>
      </c>
      <c r="R69" s="2" t="n"/>
      <c r="S69" s="4" t="n">
        <v>2</v>
      </c>
      <c r="T69" s="2" t="inlineStr">
        <is>
          <t>45233223; 45233221</t>
        </is>
      </c>
      <c r="U69" s="8" t="inlineStr">
        <is>
          <t>PCAP</t>
        </is>
      </c>
      <c r="V69" s="8" t="inlineStr">
        <is>
          <t>PPT</t>
        </is>
      </c>
      <c r="W69" s="8" t="inlineStr">
        <is>
          <t>Ver</t>
        </is>
      </c>
      <c r="X69" s="9" t="n">
        <v>46317</v>
      </c>
      <c r="Y69" s="2" t="n"/>
    </row>
    <row r="70">
      <c r="A70" s="2" t="n"/>
      <c r="B70" s="3" t="n">
        <v>46335.99930555555</v>
      </c>
      <c r="C70" s="4">
        <f>IF(B70="","",INT(B70)-TODAY())</f>
        <v/>
      </c>
      <c r="D70" s="5" t="n">
        <v>682807.9300000001</v>
      </c>
      <c r="E70" s="5" t="n">
        <v>819369.52</v>
      </c>
      <c r="F70" s="2" t="inlineStr">
        <is>
          <t>Andalucía</t>
        </is>
      </c>
      <c r="G70" s="2" t="inlineStr">
        <is>
          <t>Almería</t>
        </is>
      </c>
      <c r="H70" s="2" t="n"/>
      <c r="I70" s="2" t="inlineStr">
        <is>
          <t>Presidencia del Consorcio de Residuos Sólidos del Poniente Almeriense</t>
        </is>
      </c>
      <c r="J70" s="2" t="inlineStr">
        <is>
          <t>Proyecto constructivo para la habilitación de nuevos vasos de rechazo para la planta de recuperación y compostaje de residuos sólidos urbanos de Gádor Almería: separata para impermeabilización de franja de 100m, conforme a las especificaciones y características expuestas en el presente pliego y en el proyecto técnico.</t>
        </is>
      </c>
      <c r="K70" s="2" t="inlineStr">
        <is>
          <t>2026 1481</t>
        </is>
      </c>
      <c r="L70" s="2" t="inlineStr">
        <is>
          <t>Abierto simplificado</t>
        </is>
      </c>
      <c r="M70" s="6" t="n">
        <v>5</v>
      </c>
      <c r="N70" s="2" t="n"/>
      <c r="O70" s="7" t="n">
        <v>0.25</v>
      </c>
      <c r="P70" s="2" t="inlineStr">
        <is>
          <t>Criterios evaluables mediante un juicio de valor 25 (JV) | precio 65 | AMPLIACIÓN DEL PLAZO DE GARANTÍA DE LA OBRA EXIGIBLE 10</t>
        </is>
      </c>
      <c r="Q70" s="2" t="inlineStr">
        <is>
          <t>definitiva 5%</t>
        </is>
      </c>
      <c r="R70" s="2" t="n"/>
      <c r="S70" s="4" t="n"/>
      <c r="T70" s="2" t="inlineStr">
        <is>
          <t>45112000; 45261420</t>
        </is>
      </c>
      <c r="U70" s="8" t="inlineStr">
        <is>
          <t>PCAP</t>
        </is>
      </c>
      <c r="V70" s="8" t="inlineStr">
        <is>
          <t>PPT</t>
        </is>
      </c>
      <c r="W70" s="8" t="inlineStr">
        <is>
          <t>Ver</t>
        </is>
      </c>
      <c r="X70" s="9" t="n">
        <v>46317</v>
      </c>
      <c r="Y70" s="2" t="n"/>
    </row>
    <row r="71">
      <c r="A71" s="2" t="n"/>
      <c r="B71" s="3" t="n">
        <v>46336.5</v>
      </c>
      <c r="C71" s="4">
        <f>IF(B71="","",INT(B71)-TODAY())</f>
        <v/>
      </c>
      <c r="D71" s="5" t="n">
        <v>826446.28</v>
      </c>
      <c r="E71" s="5" t="n">
        <v>826446.28</v>
      </c>
      <c r="F71" s="2" t="inlineStr">
        <is>
          <t>Comunitat Valenciana</t>
        </is>
      </c>
      <c r="G71" s="2" t="inlineStr">
        <is>
          <t>Alicante</t>
        </is>
      </c>
      <c r="H71" s="2" t="inlineStr">
        <is>
          <t>Almoradí</t>
        </is>
      </c>
      <c r="I71" s="2" t="inlineStr">
        <is>
          <t>Junta de Gobierno del Ayuntamiento de Almoradí</t>
        </is>
      </c>
      <c r="J71" s="2" t="inlineStr">
        <is>
          <t>Renovación de firme, señalización vial y calmado del tráfico en el término municipal de Almoradí.</t>
        </is>
      </c>
      <c r="K71" s="2" t="inlineStr">
        <is>
          <t>6799/2026</t>
        </is>
      </c>
      <c r="L71" s="2" t="inlineStr">
        <is>
          <t>Abierto simplificado</t>
        </is>
      </c>
      <c r="M71" s="6" t="n">
        <v>3</v>
      </c>
      <c r="N71" s="2" t="n"/>
      <c r="O71" s="7" t="n">
        <v>0</v>
      </c>
      <c r="P71" s="2" t="inlineStr">
        <is>
          <t>Mejoras 60 | Proposición Económica 40</t>
        </is>
      </c>
      <c r="Q71" s="2" t="inlineStr">
        <is>
          <t>definitiva 5%</t>
        </is>
      </c>
      <c r="R71" s="2" t="n"/>
      <c r="S71" s="4" t="n"/>
      <c r="T71" s="2" t="inlineStr">
        <is>
          <t>45233222</t>
        </is>
      </c>
      <c r="U71" s="8" t="inlineStr">
        <is>
          <t>PCAP</t>
        </is>
      </c>
      <c r="V71" s="2" t="n"/>
      <c r="W71" s="8" t="inlineStr">
        <is>
          <t>Ver</t>
        </is>
      </c>
      <c r="X71" s="9" t="n">
        <v>46317</v>
      </c>
      <c r="Y71" s="2" t="n"/>
    </row>
    <row r="72">
      <c r="A72" s="2" t="n"/>
      <c r="B72" s="3" t="n">
        <v>46336.99930555555</v>
      </c>
      <c r="C72" s="4">
        <f>IF(B72="","",INT(B72)-TODAY())</f>
        <v/>
      </c>
      <c r="D72" s="5" t="n">
        <v>1191404.96</v>
      </c>
      <c r="E72" s="5" t="n">
        <v>1191404.96</v>
      </c>
      <c r="F72" s="2" t="inlineStr">
        <is>
          <t>Andalucía</t>
        </is>
      </c>
      <c r="G72" s="2" t="inlineStr">
        <is>
          <t>Almería</t>
        </is>
      </c>
      <c r="H72" s="2" t="n"/>
      <c r="I72" s="2" t="inlineStr">
        <is>
          <t>Junta de Gobierno de la Diputación Provincial de Almería</t>
        </is>
      </c>
      <c r="J72" s="2" t="inlineStr">
        <is>
          <t>Renovación De Calles Casco Histórico. Carboneras 85PPOS24-27BI</t>
        </is>
      </c>
      <c r="K72" s="2" t="inlineStr">
        <is>
          <t>2025/D31000/006-013/00198</t>
        </is>
      </c>
      <c r="L72" s="2" t="inlineStr">
        <is>
          <t>Abierto simplificado</t>
        </is>
      </c>
      <c r="M72" s="6" t="n">
        <v>10</v>
      </c>
      <c r="N72" s="2" t="inlineStr">
        <is>
          <t>E1-4; G6-4</t>
        </is>
      </c>
      <c r="O72" s="7" t="n">
        <v>0.25</v>
      </c>
      <c r="P72" s="2" t="inlineStr">
        <is>
          <t>PRECIO 75 | OTROS 25 (JV)</t>
        </is>
      </c>
      <c r="Q72" s="2" t="inlineStr">
        <is>
          <t>definitiva 5%; complementaria 5%</t>
        </is>
      </c>
      <c r="R72" s="2" t="n"/>
      <c r="S72" s="4" t="n"/>
      <c r="T72" s="2" t="inlineStr">
        <is>
          <t>45233250</t>
        </is>
      </c>
      <c r="U72" s="8" t="inlineStr">
        <is>
          <t>PCAP</t>
        </is>
      </c>
      <c r="V72" s="8" t="inlineStr">
        <is>
          <t>PPT</t>
        </is>
      </c>
      <c r="W72" s="8" t="inlineStr">
        <is>
          <t>Ver</t>
        </is>
      </c>
      <c r="X72" s="9" t="n">
        <v>46317</v>
      </c>
      <c r="Y72" s="2" t="n"/>
    </row>
    <row r="73">
      <c r="A73" s="2" t="n"/>
      <c r="B73" s="3" t="n">
        <v>46337.58333333334</v>
      </c>
      <c r="C73" s="4">
        <f>IF(B73="","",INT(B73)-TODAY())</f>
        <v/>
      </c>
      <c r="D73" s="5" t="n">
        <v>3019728.74</v>
      </c>
      <c r="E73" s="5" t="n">
        <v>3019728.74</v>
      </c>
      <c r="F73" s="2" t="inlineStr">
        <is>
          <t>Andalucía</t>
        </is>
      </c>
      <c r="G73" s="2" t="inlineStr">
        <is>
          <t>Cádiz</t>
        </is>
      </c>
      <c r="H73" s="2" t="n"/>
      <c r="I73" s="2" t="inlineStr">
        <is>
          <t>Alcaldía del Ayuntamiento de la Línea de la Concepción</t>
        </is>
      </c>
      <c r="J73" s="2" t="inlineStr">
        <is>
          <t>Obra viales en diferentes calles de La Línea de la Concepción (Cádiz)</t>
        </is>
      </c>
      <c r="K73" s="2" t="inlineStr">
        <is>
          <t>93/26</t>
        </is>
      </c>
      <c r="L73" s="2" t="inlineStr">
        <is>
          <t>Abierto</t>
        </is>
      </c>
      <c r="M73" s="6" t="n">
        <v>12</v>
      </c>
      <c r="N73" s="2" t="inlineStr">
        <is>
          <t>E1-4</t>
        </is>
      </c>
      <c r="O73" s="7" t="n">
        <v>0.25</v>
      </c>
      <c r="P73" s="2" t="inlineStr">
        <is>
          <t>Compromiso ejecución de mejoras 20 | Plan de Control de Calidad de los trabajos 5 (JV) | oferta económica 30 | Análisis del proyecto base de licitación 10 (JV) | Implantación norma UNE ISO 9001 para el extendido de mezclas bituminosas en caliente: máx 4 puntos 4 | Memoria constructiva y programa de trabajos. Hasta un máximo de 10 puntos 10 (JV) | Implantación norma UNE ISO 14001 para el extendido de mezclas bituminosas en caliente: máx 3,5 puntos 3,5 | Experiencia laboral de técnico adscrito al contrato 10 | Implantación norma UNE ISO 14001 para la ejecución de obras de abastecimiento y/o saneamiento: 3,5 | Implantación norma UNE ISO 9001 para la ejecución de obras de abastecimiento y/o saneamiento: máx 4 puntos 4</t>
        </is>
      </c>
      <c r="Q73" s="2" t="inlineStr">
        <is>
          <t>definitiva 5%</t>
        </is>
      </c>
      <c r="R73" s="2" t="n"/>
      <c r="S73" s="4" t="n"/>
      <c r="T73" s="2" t="inlineStr">
        <is>
          <t>45233222; 45000000; 45230000; 45232000; 45233220; 45200000; 45233000; 45233200</t>
        </is>
      </c>
      <c r="U73" s="8" t="inlineStr">
        <is>
          <t>PCAP</t>
        </is>
      </c>
      <c r="V73" s="8" t="inlineStr">
        <is>
          <t>PPT</t>
        </is>
      </c>
      <c r="W73" s="8" t="inlineStr">
        <is>
          <t>Ver</t>
        </is>
      </c>
      <c r="X73" s="9" t="n">
        <v>46314</v>
      </c>
      <c r="Y73" s="2" t="n"/>
    </row>
    <row r="74">
      <c r="A74" s="2" t="inlineStr">
        <is>
          <t>SÍ</t>
        </is>
      </c>
      <c r="B74" s="3" t="n">
        <v>46337.79166666666</v>
      </c>
      <c r="C74" s="4">
        <f>IF(B74="","",INT(B74)-TODAY())</f>
        <v/>
      </c>
      <c r="D74" s="5" t="n">
        <v>639142.6800000001</v>
      </c>
      <c r="E74" s="5" t="n">
        <v>692237.37</v>
      </c>
      <c r="F74" s="2" t="inlineStr">
        <is>
          <t>Comunitat Valenciana</t>
        </is>
      </c>
      <c r="G74" s="2" t="inlineStr">
        <is>
          <t>Alicante</t>
        </is>
      </c>
      <c r="H74" s="2" t="inlineStr">
        <is>
          <t>Alicante (Alacant)</t>
        </is>
      </c>
      <c r="I74" s="2" t="inlineStr">
        <is>
          <t>Junta de Gobierno del Ayuntamiento de Santa Pola</t>
        </is>
      </c>
      <c r="J74" s="2" t="inlineStr">
        <is>
          <t>Licitación para la contratación de las Obras de urbanización de los viales de la parcela del polígono 7.2.C de Gran Alacant (Consultorio)</t>
        </is>
      </c>
      <c r="K74" s="2" t="inlineStr">
        <is>
          <t>21085/2026</t>
        </is>
      </c>
      <c r="L74" s="2" t="inlineStr">
        <is>
          <t>Abierto simplificado</t>
        </is>
      </c>
      <c r="M74" s="6" t="n">
        <v>5</v>
      </c>
      <c r="N74" s="2" t="inlineStr">
        <is>
          <t>G*-3</t>
        </is>
      </c>
      <c r="O74" s="7" t="n">
        <v>0.45</v>
      </c>
      <c r="P74" s="2" t="inlineStr">
        <is>
          <t>Precio 55 | Mejora 20 (JV) | Juicios de Valor 25 (JV)</t>
        </is>
      </c>
      <c r="Q74" s="2" t="n"/>
      <c r="R74" s="2" t="n"/>
      <c r="S74" s="4" t="n"/>
      <c r="T74" s="2" t="inlineStr">
        <is>
          <t>45112500; 45211360</t>
        </is>
      </c>
      <c r="U74" s="8" t="inlineStr">
        <is>
          <t>PCAP</t>
        </is>
      </c>
      <c r="V74" s="8" t="inlineStr">
        <is>
          <t>PPT</t>
        </is>
      </c>
      <c r="W74" s="8" t="inlineStr">
        <is>
          <t>Ver</t>
        </is>
      </c>
      <c r="X74" s="9" t="n">
        <v>46321</v>
      </c>
      <c r="Y74" s="2" t="n"/>
    </row>
    <row r="75">
      <c r="A75" s="2" t="inlineStr">
        <is>
          <t>SÍ</t>
        </is>
      </c>
      <c r="B75" s="3" t="n">
        <v>46337.99930555555</v>
      </c>
      <c r="C75" s="4">
        <f>IF(B75="","",INT(B75)-TODAY())</f>
        <v/>
      </c>
      <c r="D75" s="5" t="n">
        <v>525204.12</v>
      </c>
      <c r="E75" s="5" t="n">
        <v>525204.12</v>
      </c>
      <c r="F75" s="2" t="inlineStr">
        <is>
          <t>Andalucía</t>
        </is>
      </c>
      <c r="G75" s="2" t="inlineStr">
        <is>
          <t>Granada</t>
        </is>
      </c>
      <c r="H75" s="2" t="n"/>
      <c r="I75" s="2" t="inlineStr">
        <is>
          <t>Alcaldia del Ayuntamiento de Salobreña</t>
        </is>
      </c>
      <c r="J75" s="2" t="inlineStr">
        <is>
          <t>La ejecución del proyecto para la remodelación del espacio peatonal existente en el entorno del Juan ramón Jiménez</t>
        </is>
      </c>
      <c r="K75" s="2" t="inlineStr">
        <is>
          <t>Expte.5430/2026</t>
        </is>
      </c>
      <c r="L75" s="2" t="inlineStr">
        <is>
          <t>Abierto simplificado</t>
        </is>
      </c>
      <c r="M75" s="6" t="n">
        <v>2.5</v>
      </c>
      <c r="N75" s="2" t="inlineStr">
        <is>
          <t>G6-3</t>
        </is>
      </c>
      <c r="O75" s="7" t="n">
        <v>0</v>
      </c>
      <c r="P75" s="2" t="inlineStr">
        <is>
          <t>Oferta Económica (máximo 45 puntos) 100 | Ampliación del plazo de garantía respecto del previsto en el proyecto (hasta 30 puntos) 100 | Reducción del plazo de ejecución (en días): 0 a 25 puntos 100</t>
        </is>
      </c>
      <c r="Q75" s="2" t="inlineStr">
        <is>
          <t>definitiva 5%</t>
        </is>
      </c>
      <c r="R75" s="2" t="n"/>
      <c r="S75" s="4" t="n"/>
      <c r="T75" s="2" t="inlineStr">
        <is>
          <t>45000000; 45100000; 45233222</t>
        </is>
      </c>
      <c r="U75" s="8" t="inlineStr">
        <is>
          <t>PCAP</t>
        </is>
      </c>
      <c r="V75" s="8" t="inlineStr">
        <is>
          <t>PPT</t>
        </is>
      </c>
      <c r="W75" s="8" t="inlineStr">
        <is>
          <t>Ver</t>
        </is>
      </c>
      <c r="X75" s="9" t="n">
        <v>46321</v>
      </c>
      <c r="Y75" s="2" t="n"/>
    </row>
    <row r="76">
      <c r="A76" s="2" t="n"/>
      <c r="B76" s="3" t="n">
        <v>46338.5</v>
      </c>
      <c r="C76" s="4">
        <f>IF(B76="","",INT(B76)-TODAY())</f>
        <v/>
      </c>
      <c r="D76" s="5" t="n">
        <v>13595000</v>
      </c>
      <c r="E76" s="5" t="n">
        <v>14138800</v>
      </c>
      <c r="F76" s="2" t="inlineStr">
        <is>
          <t>Andalucía</t>
        </is>
      </c>
      <c r="G76" s="2" t="inlineStr">
        <is>
          <t>Sevilla</t>
        </is>
      </c>
      <c r="H76" s="2" t="inlineStr">
        <is>
          <t>Sevilla</t>
        </is>
      </c>
      <c r="I76" s="2" t="inlineStr">
        <is>
          <t>Aena. Presidencia. Consejero Delegado</t>
        </is>
      </c>
      <c r="J76" s="2" t="inlineStr">
        <is>
          <t>Renovación Del Sistema De Climatización Y Adecuación De La Protección Contra Incendios. Aeropuerto De Sevilla</t>
        </is>
      </c>
      <c r="K76" s="2" t="inlineStr">
        <is>
          <t>DIN-434/2026</t>
        </is>
      </c>
      <c r="L76" s="2" t="inlineStr">
        <is>
          <t>Abierto</t>
        </is>
      </c>
      <c r="M76" s="6" t="n">
        <v>39</v>
      </c>
      <c r="N76" s="2" t="n"/>
      <c r="O76" s="7" t="n">
        <v>0</v>
      </c>
      <c r="P76" s="2" t="inlineStr">
        <is>
          <t>Precio 100</t>
        </is>
      </c>
      <c r="Q76" s="2" t="n"/>
      <c r="R76" s="2" t="n"/>
      <c r="S76" s="4" t="n"/>
      <c r="T76" s="2" t="inlineStr">
        <is>
          <t>45331200</t>
        </is>
      </c>
      <c r="U76" s="8" t="inlineStr">
        <is>
          <t>PCAP</t>
        </is>
      </c>
      <c r="V76" s="8" t="inlineStr">
        <is>
          <t>PPT</t>
        </is>
      </c>
      <c r="W76" s="8" t="inlineStr">
        <is>
          <t>Ver</t>
        </is>
      </c>
      <c r="X76" s="9" t="n">
        <v>46311</v>
      </c>
      <c r="Y76" s="2" t="inlineStr">
        <is>
          <t>2026-10-23: plazo 2026-10-28 12:00 → 2026-11-12 12:00</t>
        </is>
      </c>
    </row>
    <row r="77">
      <c r="A77" s="2" t="inlineStr">
        <is>
          <t>SÍ</t>
        </is>
      </c>
      <c r="B77" s="3" t="n">
        <v>46338.75</v>
      </c>
      <c r="C77" s="4">
        <f>IF(B77="","",INT(B77)-TODAY())</f>
        <v/>
      </c>
      <c r="D77" s="5" t="n">
        <v>1011605.96</v>
      </c>
      <c r="E77" s="5" t="n">
        <v>1011605.96</v>
      </c>
      <c r="F77" s="2" t="inlineStr">
        <is>
          <t>Andalucía</t>
        </is>
      </c>
      <c r="G77" s="2" t="inlineStr">
        <is>
          <t>Almería</t>
        </is>
      </c>
      <c r="H77" s="2" t="inlineStr">
        <is>
          <t>Almería</t>
        </is>
      </c>
      <c r="I77" s="2" t="inlineStr">
        <is>
          <t>Presidencia de la Autoridad Portuaria de Almería</t>
        </is>
      </c>
      <c r="J77" s="2" t="inlineStr">
        <is>
          <t>Adaptación de la infraestructura al cumplimiento de la normativa Entry/Exit System del Puerto de Almería.</t>
        </is>
      </c>
      <c r="K77" s="2" t="inlineStr">
        <is>
          <t>34/O/AS/AL26</t>
        </is>
      </c>
      <c r="L77" s="2" t="inlineStr">
        <is>
          <t>Abierto simplificado</t>
        </is>
      </c>
      <c r="M77" s="6" t="n">
        <v>6</v>
      </c>
      <c r="N77" s="2" t="inlineStr">
        <is>
          <t>I5-2; G4-3</t>
        </is>
      </c>
      <c r="O77" s="7" t="n">
        <v>0.25</v>
      </c>
      <c r="P77" s="2" t="inlineStr">
        <is>
          <t>Cuantitativos 75 | Cualitativos 25 (JV)</t>
        </is>
      </c>
      <c r="Q77" s="2" t="n"/>
      <c r="R77" s="2" t="n"/>
      <c r="S77" s="4" t="n"/>
      <c r="T77" s="2" t="inlineStr">
        <is>
          <t>45233222; 45314000; 45112100</t>
        </is>
      </c>
      <c r="U77" s="8" t="inlineStr">
        <is>
          <t>PCAP</t>
        </is>
      </c>
      <c r="V77" s="8" t="inlineStr">
        <is>
          <t>PPT</t>
        </is>
      </c>
      <c r="W77" s="8" t="inlineStr">
        <is>
          <t>Ver</t>
        </is>
      </c>
      <c r="X77" s="9" t="n">
        <v>46321</v>
      </c>
      <c r="Y77" s="2" t="n"/>
    </row>
    <row r="78">
      <c r="A78" s="2" t="inlineStr">
        <is>
          <t>SÍ</t>
        </is>
      </c>
      <c r="B78" s="3" t="n">
        <v>46338.99930555555</v>
      </c>
      <c r="C78" s="4">
        <f>IF(B78="","",INT(B78)-TODAY())</f>
        <v/>
      </c>
      <c r="D78" s="5" t="n">
        <v>983261.73</v>
      </c>
      <c r="E78" s="5" t="n">
        <v>983261.73</v>
      </c>
      <c r="F78" s="2" t="inlineStr">
        <is>
          <t>Comunitat Valenciana</t>
        </is>
      </c>
      <c r="G78" s="2" t="inlineStr">
        <is>
          <t>Alicante</t>
        </is>
      </c>
      <c r="H78" s="2" t="n"/>
      <c r="I78" s="2" t="inlineStr">
        <is>
          <t>Junta de Gobierno del Ayuntamiento de Aspe</t>
        </is>
      </c>
      <c r="J78" s="2" t="inlineStr">
        <is>
          <t>Contrato Administrativo Obras rehabilitación de edificio de viviendas de calle Azorin y urbanizacion anexa en Aspe , Alicante conforme proyecto redactado por UTE PLAN A3 ARQUITECTURA E INGENIERIA, AKTUA MANAGEMENT Y CARMEN TORRES PEREZ</t>
        </is>
      </c>
      <c r="K78" s="2" t="inlineStr">
        <is>
          <t>2026/46-GUACON</t>
        </is>
      </c>
      <c r="L78" s="2" t="inlineStr">
        <is>
          <t>Abierto simplificado</t>
        </is>
      </c>
      <c r="M78" s="6" t="n">
        <v>10</v>
      </c>
      <c r="N78" s="2" t="n"/>
      <c r="O78" s="7" t="n">
        <v>0</v>
      </c>
      <c r="P78" s="2" t="inlineStr">
        <is>
          <t>PRECIO 35 | EXPERIENCIA DEL PERSONAL ADSCRITO AL CONTRATO 35 | PLAZO DE EJECUCIÓN 30</t>
        </is>
      </c>
      <c r="Q78" s="2" t="inlineStr">
        <is>
          <t>complementaria 5%; definitiva 5%</t>
        </is>
      </c>
      <c r="R78" s="2" t="n"/>
      <c r="S78" s="4" t="n"/>
      <c r="T78" s="2" t="inlineStr">
        <is>
          <t>45000000</t>
        </is>
      </c>
      <c r="U78" s="8" t="inlineStr">
        <is>
          <t>PCAP</t>
        </is>
      </c>
      <c r="V78" s="8" t="inlineStr">
        <is>
          <t>PPT</t>
        </is>
      </c>
      <c r="W78" s="8" t="inlineStr">
        <is>
          <t>Ver</t>
        </is>
      </c>
      <c r="X78" s="9" t="n">
        <v>46321</v>
      </c>
      <c r="Y78" s="2" t="n"/>
    </row>
    <row r="79">
      <c r="A79" s="2" t="inlineStr">
        <is>
          <t>SÍ</t>
        </is>
      </c>
      <c r="B79" s="3" t="n">
        <v>46338.99930555555</v>
      </c>
      <c r="C79" s="4">
        <f>IF(B79="","",INT(B79)-TODAY())</f>
        <v/>
      </c>
      <c r="D79" s="5" t="n">
        <v>859232.28</v>
      </c>
      <c r="E79" s="5" t="n">
        <v>859232.28</v>
      </c>
      <c r="F79" s="2" t="inlineStr">
        <is>
          <t>Andalucía</t>
        </is>
      </c>
      <c r="G79" s="2" t="inlineStr">
        <is>
          <t>Sevilla</t>
        </is>
      </c>
      <c r="H79" s="2" t="n"/>
      <c r="I79" s="2" t="inlineStr">
        <is>
          <t>Vicepresidencia del Instituto Municipal de Deportes del Ayuntamiento de Sevilla</t>
        </is>
      </c>
      <c r="J79" s="2" t="inlineStr">
        <is>
          <t>Obras de reparación, renovación y adecuación superficial de los pavimentos de las pistas deportivas exteriores adscritas a los Centros Deportivos (CD) del Instituto Municipal de Deportes (IMD) del Ayuntamiento de Sevilla.</t>
        </is>
      </c>
      <c r="K79" s="2" t="inlineStr">
        <is>
          <t>2026/000905</t>
        </is>
      </c>
      <c r="L79" s="2" t="inlineStr">
        <is>
          <t>Abierto simplificado</t>
        </is>
      </c>
      <c r="M79" s="6" t="n">
        <v>6</v>
      </c>
      <c r="N79" s="2" t="n"/>
      <c r="O79" s="7" t="n">
        <v>0</v>
      </c>
      <c r="P79" s="2" t="inlineStr">
        <is>
          <t>Ampliación del Plazo de Garantía 10 | Criterios medioambientales y de sostenibilidad 30 | OFERTA ECONOMICA 60</t>
        </is>
      </c>
      <c r="Q79" s="2" t="inlineStr">
        <is>
          <t>definitiva 5%; complementaria 5%</t>
        </is>
      </c>
      <c r="R79" s="2" t="n"/>
      <c r="S79" s="4" t="n"/>
      <c r="T79" s="2" t="inlineStr">
        <is>
          <t>45432100; 45212290; 45236119; 45212213</t>
        </is>
      </c>
      <c r="U79" s="8" t="inlineStr">
        <is>
          <t>PCAP</t>
        </is>
      </c>
      <c r="V79" s="8" t="inlineStr">
        <is>
          <t>PPT</t>
        </is>
      </c>
      <c r="W79" s="8" t="inlineStr">
        <is>
          <t>Ver</t>
        </is>
      </c>
      <c r="X79" s="9" t="n">
        <v>46321</v>
      </c>
      <c r="Y79" s="2" t="n"/>
    </row>
    <row r="80">
      <c r="A80" s="2" t="inlineStr">
        <is>
          <t>SÍ</t>
        </is>
      </c>
      <c r="B80" s="3" t="n">
        <v>46338.99930555555</v>
      </c>
      <c r="C80" s="4">
        <f>IF(B80="","",INT(B80)-TODAY())</f>
        <v/>
      </c>
      <c r="D80" s="5" t="n">
        <v>1900669.71</v>
      </c>
      <c r="E80" s="5" t="n">
        <v>1900669.71</v>
      </c>
      <c r="F80" s="2" t="inlineStr">
        <is>
          <t>Andalucía</t>
        </is>
      </c>
      <c r="G80" s="2" t="inlineStr">
        <is>
          <t>Cádiz</t>
        </is>
      </c>
      <c r="H80" s="2" t="inlineStr">
        <is>
          <t>Puerto Real</t>
        </is>
      </c>
      <c r="I80" s="2" t="inlineStr">
        <is>
          <t>Alcaldía del Ayuntamiento de Puerto Real</t>
        </is>
      </c>
      <c r="J80" s="2" t="inlineStr">
        <is>
          <t>B/006/2026: Ejecución de obras de recuperación integral mediante consolidación estructural del Pabellón municipal de deportes, Plan Cádiz Marcha + 2026.</t>
        </is>
      </c>
      <c r="K80" s="2" t="inlineStr">
        <is>
          <t>13881/2026</t>
        </is>
      </c>
      <c r="L80" s="2" t="inlineStr">
        <is>
          <t>Abierto simplificado</t>
        </is>
      </c>
      <c r="M80" s="6" t="n">
        <v>9</v>
      </c>
      <c r="N80" s="2" t="inlineStr">
        <is>
          <t>C*-4</t>
        </is>
      </c>
      <c r="O80" s="7" t="n">
        <v>0</v>
      </c>
      <c r="P80" s="2" t="inlineStr">
        <is>
          <t>Experiencia del Jefe de obras 30 | Oferta económica 70</t>
        </is>
      </c>
      <c r="Q80" s="2" t="inlineStr">
        <is>
          <t>definitiva 5%</t>
        </is>
      </c>
      <c r="R80" s="2" t="inlineStr">
        <is>
          <t>No</t>
        </is>
      </c>
      <c r="S80" s="4" t="n"/>
      <c r="T80" s="2" t="inlineStr">
        <is>
          <t>45200000; 45223210; 45261213; 45261910; 45111000; 45262400</t>
        </is>
      </c>
      <c r="U80" s="8" t="inlineStr">
        <is>
          <t>PCAP</t>
        </is>
      </c>
      <c r="V80" s="8" t="inlineStr">
        <is>
          <t>PPT</t>
        </is>
      </c>
      <c r="W80" s="8" t="inlineStr">
        <is>
          <t>Ver</t>
        </is>
      </c>
      <c r="X80" s="9" t="n">
        <v>46321</v>
      </c>
      <c r="Y80" s="2" t="n"/>
    </row>
    <row r="81">
      <c r="A81" s="2" t="inlineStr">
        <is>
          <t>SÍ</t>
        </is>
      </c>
      <c r="B81" s="3" t="n">
        <v>46339.41666666666</v>
      </c>
      <c r="C81" s="4">
        <f>IF(B81="","",INT(B81)-TODAY())</f>
        <v/>
      </c>
      <c r="D81" s="5" t="n">
        <v>538193.71</v>
      </c>
      <c r="E81" s="5" t="n">
        <v>538193.71</v>
      </c>
      <c r="F81" s="2" t="inlineStr">
        <is>
          <t>Andalucía</t>
        </is>
      </c>
      <c r="G81" s="2" t="inlineStr">
        <is>
          <t>Cádiz</t>
        </is>
      </c>
      <c r="H81" s="2" t="inlineStr">
        <is>
          <t>Cádiz</t>
        </is>
      </c>
      <c r="I81" s="2" t="inlineStr">
        <is>
          <t>Junta de Gobierno del Ayuntamiento de Cádiz</t>
        </is>
      </c>
      <c r="J81" s="2" t="inlineStr">
        <is>
          <t>Urbanización calle Juan de la Cierva, Dársena y Fernández Cossío, a implementar en el PAI de Cádiz, Europa transforma nuestros barrios, cofinanciado por la unión europea a través del fondo europeo de desarrollo regional FEDER en el marco del programa plurirregional de España 2021-2027</t>
        </is>
      </c>
      <c r="K81" s="2" t="inlineStr">
        <is>
          <t>2026/143</t>
        </is>
      </c>
      <c r="L81" s="2" t="inlineStr">
        <is>
          <t>Abierto simplificado</t>
        </is>
      </c>
      <c r="M81" s="6" t="n">
        <v>5</v>
      </c>
      <c r="N81" s="2" t="inlineStr">
        <is>
          <t>G6-3</t>
        </is>
      </c>
      <c r="O81" s="7" t="n">
        <v>0</v>
      </c>
      <c r="P81" s="2" t="inlineStr">
        <is>
          <t>Precio 100</t>
        </is>
      </c>
      <c r="Q81" s="2" t="inlineStr">
        <is>
          <t>definitiva 5%</t>
        </is>
      </c>
      <c r="R81" s="2" t="n"/>
      <c r="S81" s="4" t="n"/>
      <c r="T81" s="2" t="inlineStr">
        <is>
          <t>45233140; 45232400</t>
        </is>
      </c>
      <c r="U81" s="8" t="inlineStr">
        <is>
          <t>PCAP</t>
        </is>
      </c>
      <c r="V81" s="8" t="inlineStr">
        <is>
          <t>PPT</t>
        </is>
      </c>
      <c r="W81" s="8" t="inlineStr">
        <is>
          <t>Ver</t>
        </is>
      </c>
      <c r="X81" s="9" t="n">
        <v>46321</v>
      </c>
      <c r="Y81" s="2" t="n"/>
    </row>
    <row r="82">
      <c r="A82" s="2" t="inlineStr">
        <is>
          <t>SÍ</t>
        </is>
      </c>
      <c r="B82" s="3" t="n">
        <v>46339.54166666666</v>
      </c>
      <c r="C82" s="4">
        <f>IF(B82="","",INT(B82)-TODAY())</f>
        <v/>
      </c>
      <c r="D82" s="5" t="n">
        <v>900915.88</v>
      </c>
      <c r="E82" s="5" t="n">
        <v>900915.88</v>
      </c>
      <c r="F82" s="2" t="inlineStr">
        <is>
          <t>Comunitat Valenciana</t>
        </is>
      </c>
      <c r="G82" s="2" t="inlineStr">
        <is>
          <t>Castellón</t>
        </is>
      </c>
      <c r="H82" s="2" t="inlineStr">
        <is>
          <t>L'Alcora</t>
        </is>
      </c>
      <c r="I82" s="2" t="inlineStr">
        <is>
          <t>Alcaldía del Ayuntamiento de L'Alcora</t>
        </is>
      </c>
      <c r="J82" s="2" t="inlineStr">
        <is>
          <t>Ejecución del proyecto de obras de "Derribo y adecuación de solar de la antgua fábrica de Azulejos Sanchis de l'Alcora".</t>
        </is>
      </c>
      <c r="K82" s="2" t="inlineStr">
        <is>
          <t>9083/2026</t>
        </is>
      </c>
      <c r="L82" s="2" t="inlineStr">
        <is>
          <t>Abierto simplificado</t>
        </is>
      </c>
      <c r="M82" s="6" t="n">
        <v>4</v>
      </c>
      <c r="N82" s="2" t="inlineStr">
        <is>
          <t>C1-4</t>
        </is>
      </c>
      <c r="O82" s="7" t="n">
        <v>0.25</v>
      </c>
      <c r="P82" s="2" t="inlineStr">
        <is>
          <t>Memoria técnica 25 (JV) | Aumento del plazo de garantía 10 | Precio ofertado 65</t>
        </is>
      </c>
      <c r="Q82" s="2" t="inlineStr">
        <is>
          <t>definitiva 5%</t>
        </is>
      </c>
      <c r="R82" s="2" t="n"/>
      <c r="S82" s="4" t="n"/>
      <c r="T82" s="2" t="inlineStr">
        <is>
          <t>45110000</t>
        </is>
      </c>
      <c r="U82" s="8" t="inlineStr">
        <is>
          <t>PCAP</t>
        </is>
      </c>
      <c r="V82" s="8" t="inlineStr">
        <is>
          <t>PPT</t>
        </is>
      </c>
      <c r="W82" s="8" t="inlineStr">
        <is>
          <t>Ver</t>
        </is>
      </c>
      <c r="X82" s="9" t="n">
        <v>46321</v>
      </c>
      <c r="Y82" s="2" t="n"/>
    </row>
    <row r="83">
      <c r="A83" s="2" t="n"/>
      <c r="B83" s="3" t="n">
        <v>46339.58333333334</v>
      </c>
      <c r="C83" s="4">
        <f>IF(B83="","",INT(B83)-TODAY())</f>
        <v/>
      </c>
      <c r="D83" s="5" t="n">
        <v>392087954.71</v>
      </c>
      <c r="E83" s="5" t="n">
        <v>431296750.18</v>
      </c>
      <c r="F83" s="2" t="inlineStr">
        <is>
          <t>Comunitat Valenciana</t>
        </is>
      </c>
      <c r="G83" s="2" t="inlineStr">
        <is>
          <t>Castellón</t>
        </is>
      </c>
      <c r="H83" s="2" t="inlineStr">
        <is>
          <t>Castelló de la Plana</t>
        </is>
      </c>
      <c r="I83" s="2" t="inlineStr">
        <is>
          <t>Dirección General de Gestión Económica, Contratación e Infraestructuras de la Conselleria de Sanidad</t>
        </is>
      </c>
      <c r="J83" s="2" t="inlineStr">
        <is>
          <t>Obras del Nuevo Hospital General Universitario de Castellón.</t>
        </is>
      </c>
      <c r="K83" s="2" t="inlineStr">
        <is>
          <t>31/2027</t>
        </is>
      </c>
      <c r="L83" s="2" t="inlineStr">
        <is>
          <t>Abierto</t>
        </is>
      </c>
      <c r="M83" s="6" t="n">
        <v>60</v>
      </c>
      <c r="N83" s="2" t="inlineStr">
        <is>
          <t>C*-6</t>
        </is>
      </c>
      <c r="O83" s="7" t="n">
        <v>0.3</v>
      </c>
      <c r="P83" s="2" t="inlineStr">
        <is>
          <t>PROPOSICIÓN TÉCNICA 30 (JV) | CRITERIO MAYOR EXPERIENCIA DEL EQUIPO MÍNIMO DE TRABAJO 10 | PROPOSICIÓN ECONÓMICA 50 | SEGUIMIENTO Y CONTROL DE LA OBRA MEDIANTE NUEVAS TECNOLOGÍAS 5 | INCREMENTO PLAZO DE GARANTÍA 5</t>
        </is>
      </c>
      <c r="Q83" s="2" t="inlineStr">
        <is>
          <t>complementaria 5%; definitiva 5%</t>
        </is>
      </c>
      <c r="R83" s="2" t="inlineStr">
        <is>
          <t>Recogida en el apartado H del Anexo I al PCAP.</t>
        </is>
      </c>
      <c r="S83" s="4" t="n"/>
      <c r="T83" s="2" t="inlineStr">
        <is>
          <t>45215100</t>
        </is>
      </c>
      <c r="U83" s="8" t="inlineStr">
        <is>
          <t>PCAP</t>
        </is>
      </c>
      <c r="V83" s="8" t="inlineStr">
        <is>
          <t>PPT</t>
        </is>
      </c>
      <c r="W83" s="8" t="inlineStr">
        <is>
          <t>Ver</t>
        </is>
      </c>
      <c r="X83" s="9" t="n">
        <v>46310</v>
      </c>
      <c r="Y83" s="2" t="inlineStr">
        <is>
          <t>2026-10-20: plazo 2026-11-03 14:00 → 2026-11-13 14:00</t>
        </is>
      </c>
    </row>
    <row r="84">
      <c r="A84" s="2" t="n"/>
      <c r="B84" s="3" t="n">
        <v>46340.99930555555</v>
      </c>
      <c r="C84" s="4">
        <f>IF(B84="","",INT(B84)-TODAY())</f>
        <v/>
      </c>
      <c r="D84" s="5" t="n">
        <v>3796334.26</v>
      </c>
      <c r="E84" s="5" t="n">
        <v>3796334.26</v>
      </c>
      <c r="F84" s="2" t="inlineStr">
        <is>
          <t>Andalucía</t>
        </is>
      </c>
      <c r="G84" s="2" t="inlineStr">
        <is>
          <t>Málaga</t>
        </is>
      </c>
      <c r="H84" s="2" t="inlineStr">
        <is>
          <t>Coín</t>
        </is>
      </c>
      <c r="I84" s="2" t="inlineStr">
        <is>
          <t>Alcaldía del Ayuntamiento de Coín</t>
        </is>
      </c>
      <c r="J84" s="2" t="inlineStr">
        <is>
          <t>Contrato de las obras de construcción de un puente sobre el rio Pereilas T.M. de Coín, Málaga, financiado con cargo a las ayudas de la Administración General del Estado a través del Ministerio de Política Territorial y Memoria Democrática previstas en el artículo 7 del Real Decreto-Ley 5/2026 de 17 de febrero.</t>
        </is>
      </c>
      <c r="K84" s="2" t="inlineStr">
        <is>
          <t>4835/2026</t>
        </is>
      </c>
      <c r="L84" s="2" t="inlineStr">
        <is>
          <t>Abierto</t>
        </is>
      </c>
      <c r="M84" s="6" t="n">
        <v>18</v>
      </c>
      <c r="N84" s="2" t="inlineStr">
        <is>
          <t>B*-5</t>
        </is>
      </c>
      <c r="O84" s="7" t="n">
        <v>0.25</v>
      </c>
      <c r="P84" s="2" t="inlineStr">
        <is>
          <t>Análisis del Proyecto base de licitación 10 (JV) | Importe ofertado para ejecutar las obras 10 | Memoria Constructiva e Impacto de las Obras 15 (JV) | Plazo de ejecución 45 | Incremento de la duración del plazo de garantía 20</t>
        </is>
      </c>
      <c r="Q84" s="2" t="inlineStr">
        <is>
          <t>definitiva 5%</t>
        </is>
      </c>
      <c r="R84" s="2" t="n"/>
      <c r="S84" s="4" t="n"/>
      <c r="T84" s="2" t="inlineStr">
        <is>
          <t>45221110; 45233222</t>
        </is>
      </c>
      <c r="U84" s="8" t="inlineStr">
        <is>
          <t>PCAP</t>
        </is>
      </c>
      <c r="V84" s="8" t="inlineStr">
        <is>
          <t>PPT</t>
        </is>
      </c>
      <c r="W84" s="8" t="inlineStr">
        <is>
          <t>Ver</t>
        </is>
      </c>
      <c r="X84" s="9" t="n">
        <v>46315</v>
      </c>
      <c r="Y84" s="2" t="n"/>
    </row>
    <row r="85">
      <c r="A85" s="2" t="n"/>
      <c r="B85" s="3" t="n">
        <v>46342.58333333334</v>
      </c>
      <c r="C85" s="4">
        <f>IF(B85="","",INT(B85)-TODAY())</f>
        <v/>
      </c>
      <c r="D85" s="5" t="n">
        <v>3884750.48</v>
      </c>
      <c r="E85" s="5" t="n">
        <v>3884750.48</v>
      </c>
      <c r="F85" s="2" t="inlineStr">
        <is>
          <t>Andalucía</t>
        </is>
      </c>
      <c r="G85" s="2" t="inlineStr">
        <is>
          <t>Córdoba</t>
        </is>
      </c>
      <c r="H85" s="2" t="inlineStr">
        <is>
          <t>Córdoba</t>
        </is>
      </c>
      <c r="I85" s="2" t="inlineStr">
        <is>
          <t>Viviendas Municipales de Córdoba SA</t>
        </is>
      </c>
      <c r="J85" s="2" t="inlineStr">
        <is>
          <t>El objeto del contrato es la construcción de 30 viviendas protegidas con trasteros y plazas de aparcamiento en régimen de venta.</t>
        </is>
      </c>
      <c r="K85" s="2" t="inlineStr">
        <is>
          <t>3-O/2026</t>
        </is>
      </c>
      <c r="L85" s="2" t="inlineStr">
        <is>
          <t>Abierto</t>
        </is>
      </c>
      <c r="M85" s="6" t="n">
        <v>20</v>
      </c>
      <c r="N85" s="2" t="inlineStr">
        <is>
          <t>C*-4</t>
        </is>
      </c>
      <c r="O85" s="7" t="n">
        <v>0</v>
      </c>
      <c r="P85" s="2" t="inlineStr">
        <is>
          <t>Oferta económica 66 | Plazo de ejecución 2 | Plazo de garantía 10 | Ampliación del plan de control de calidad 10 | Experiencia del jefe de obra y del encargado en ejecución de obras 12</t>
        </is>
      </c>
      <c r="Q85" s="2" t="inlineStr">
        <is>
          <t>complementaria 5%; definitiva 5%</t>
        </is>
      </c>
      <c r="R85" s="2" t="n"/>
      <c r="S85" s="4" t="n"/>
      <c r="T85" s="2" t="inlineStr">
        <is>
          <t>45211340; 45211341</t>
        </is>
      </c>
      <c r="U85" s="8" t="inlineStr">
        <is>
          <t>PCAP</t>
        </is>
      </c>
      <c r="V85" s="8" t="inlineStr">
        <is>
          <t>PPT</t>
        </is>
      </c>
      <c r="W85" s="8" t="inlineStr">
        <is>
          <t>Ver</t>
        </is>
      </c>
      <c r="X85" s="9" t="n">
        <v>46314</v>
      </c>
      <c r="Y85" s="2" t="n"/>
    </row>
    <row r="86">
      <c r="A86" s="2" t="n"/>
      <c r="B86" s="3" t="n">
        <v>46342.58333333334</v>
      </c>
      <c r="C86" s="4">
        <f>IF(B86="","",INT(B86)-TODAY())</f>
        <v/>
      </c>
      <c r="D86" s="5" t="n">
        <v>4299512.47</v>
      </c>
      <c r="E86" s="5" t="n">
        <v>4299512.47</v>
      </c>
      <c r="F86" s="2" t="inlineStr">
        <is>
          <t>Andalucía</t>
        </is>
      </c>
      <c r="G86" s="2" t="inlineStr">
        <is>
          <t>Córdoba</t>
        </is>
      </c>
      <c r="H86" s="2" t="n"/>
      <c r="I86" s="2" t="inlineStr">
        <is>
          <t>Viviendas Municipales de Córdoba SA</t>
        </is>
      </c>
      <c r="J86" s="2" t="inlineStr">
        <is>
          <t>Obras con suministro de materiales por ajuste o a tanto alzado y con gestión a riesgo y ventura del contratista para la construcción de dos promociones de 15 viviendas protegidas cada una en régimen de venta, trasteros y plazas de aparcamiento en las parcelas R1 y R2 del PP SRA-SUR del PGOU de córdoba.</t>
        </is>
      </c>
      <c r="K86" s="2" t="inlineStr">
        <is>
          <t>2-O/2026</t>
        </is>
      </c>
      <c r="L86" s="2" t="inlineStr">
        <is>
          <t>Abierto</t>
        </is>
      </c>
      <c r="M86" s="6" t="n">
        <v>24</v>
      </c>
      <c r="N86" s="2" t="inlineStr">
        <is>
          <t>C*-4</t>
        </is>
      </c>
      <c r="O86" s="7" t="n">
        <v>0</v>
      </c>
      <c r="P86" s="2" t="inlineStr">
        <is>
          <t>Ampliación del Plan de control de calidad 10 | Plazo de garantía 10 | Precio Oferta Integradora - Lotes 1_2 0 | Oferta económica 66 | Plazo de ejecución 2 | Experiencia del jefe de obra y del encargado en ejecución de obras 12</t>
        </is>
      </c>
      <c r="Q86" s="2" t="inlineStr">
        <is>
          <t>definitiva 5%</t>
        </is>
      </c>
      <c r="R86" s="2" t="n"/>
      <c r="S86" s="4" t="n">
        <v>2</v>
      </c>
      <c r="T86" s="2" t="inlineStr">
        <is>
          <t>45211340</t>
        </is>
      </c>
      <c r="U86" s="8" t="inlineStr">
        <is>
          <t>PCAP</t>
        </is>
      </c>
      <c r="V86" s="8" t="inlineStr">
        <is>
          <t>PPT</t>
        </is>
      </c>
      <c r="W86" s="8" t="inlineStr">
        <is>
          <t>Ver</t>
        </is>
      </c>
      <c r="X86" s="9" t="n">
        <v>46314</v>
      </c>
      <c r="Y86" s="2" t="n"/>
    </row>
    <row r="87">
      <c r="A87" s="2" t="n"/>
      <c r="B87" s="3" t="n">
        <v>46342.99930555555</v>
      </c>
      <c r="C87" s="4">
        <f>IF(B87="","",INT(B87)-TODAY())</f>
        <v/>
      </c>
      <c r="D87" s="5" t="n">
        <v>2470744.98</v>
      </c>
      <c r="E87" s="5" t="n">
        <v>2470744.98</v>
      </c>
      <c r="F87" s="2" t="inlineStr">
        <is>
          <t>Comunitat Valenciana</t>
        </is>
      </c>
      <c r="G87" s="2" t="inlineStr">
        <is>
          <t>Valencia</t>
        </is>
      </c>
      <c r="H87" s="2" t="n"/>
      <c r="I87" s="2" t="inlineStr">
        <is>
          <t>Pleno del Ayuntamiento de Puçol</t>
        </is>
      </c>
      <c r="J87" s="2" t="inlineStr">
        <is>
          <t>Reforma del Colegio Jaume I de Puçol y construcción de un gimnasio y un aulario para educación infantil (EDIFICANT)</t>
        </is>
      </c>
      <c r="K87" s="2" t="inlineStr">
        <is>
          <t>2138082J</t>
        </is>
      </c>
      <c r="L87" s="2" t="inlineStr">
        <is>
          <t>Abierto</t>
        </is>
      </c>
      <c r="M87" s="6" t="n">
        <v>12</v>
      </c>
      <c r="N87" s="2" t="inlineStr">
        <is>
          <t>C9-4</t>
        </is>
      </c>
      <c r="O87" s="7" t="n">
        <v>0.26</v>
      </c>
      <c r="P87" s="2" t="inlineStr">
        <is>
          <t>6)  Propuesta  ejecución de partidas edificio existente antes vacaciones de verano 6 (JV) | 5) Propuesta organización del solapamiento entre la obra y la actividad docente 6 (JV) | 2) Reducción del plazo parcial de ejecución de la reforma interior del edificio existente 15 | 7) Programación de los trabajos 8 (JV) | 1) Oferta económica 35 | 4) Propuesta de organización y estudio del entorno de la obra 6 (JV) | 3) Mejoras 24</t>
        </is>
      </c>
      <c r="Q87" s="2" t="inlineStr">
        <is>
          <t>definitiva 5%</t>
        </is>
      </c>
      <c r="R87" s="2" t="n"/>
      <c r="S87" s="4" t="n"/>
      <c r="T87" s="2" t="inlineStr">
        <is>
          <t>45200000; 45214200</t>
        </is>
      </c>
      <c r="U87" s="8" t="inlineStr">
        <is>
          <t>PCAP</t>
        </is>
      </c>
      <c r="V87" s="2" t="n"/>
      <c r="W87" s="8" t="inlineStr">
        <is>
          <t>Ver</t>
        </is>
      </c>
      <c r="X87" s="9" t="n">
        <v>46314</v>
      </c>
      <c r="Y87" s="2" t="n"/>
    </row>
    <row r="88">
      <c r="A88" s="2" t="n"/>
      <c r="B88" s="3" t="n">
        <v>46342.99930555555</v>
      </c>
      <c r="C88" s="4">
        <f>IF(B88="","",INT(B88)-TODAY())</f>
        <v/>
      </c>
      <c r="D88" s="5" t="n">
        <v>3900977.87</v>
      </c>
      <c r="E88" s="5" t="n">
        <v>5071271.23</v>
      </c>
      <c r="F88" s="2" t="inlineStr">
        <is>
          <t>Comunitat Valenciana</t>
        </is>
      </c>
      <c r="G88" s="2" t="inlineStr">
        <is>
          <t>Valencia</t>
        </is>
      </c>
      <c r="H88" s="2" t="n"/>
      <c r="I88" s="2" t="inlineStr">
        <is>
          <t>Consorcio Hospital General Universitario de Valencia</t>
        </is>
      </c>
      <c r="J88" s="2" t="inlineStr">
        <is>
          <t>Obra de reforma de la cocina del Consorcio Hospital General Universitario de Valencia.</t>
        </is>
      </c>
      <c r="K88" s="2" t="inlineStr">
        <is>
          <t>CMAYOR/2027/HGUV0/0088</t>
        </is>
      </c>
      <c r="L88" s="2" t="inlineStr">
        <is>
          <t>Abierto</t>
        </is>
      </c>
      <c r="M88" s="6" t="n">
        <v>12</v>
      </c>
      <c r="N88" s="2" t="n"/>
      <c r="O88" s="7" t="n">
        <v>0.23</v>
      </c>
      <c r="P88" s="2" t="inlineStr">
        <is>
          <t>CRITERIOS SUBJETIVOS 23 (JV) | RESTO DE CRITERIOS OBJETIVOS 27 | IMPORTE DE LA OFERTA 50</t>
        </is>
      </c>
      <c r="Q88" s="2" t="inlineStr">
        <is>
          <t>definitiva 5%; complementaria 5%</t>
        </is>
      </c>
      <c r="R88" s="2" t="n"/>
      <c r="S88" s="4" t="n"/>
      <c r="T88" s="2" t="inlineStr">
        <is>
          <t>45215100; 39141400; 45421151; 45215140; 45212500; 45215120</t>
        </is>
      </c>
      <c r="U88" s="8" t="inlineStr">
        <is>
          <t>PCAP</t>
        </is>
      </c>
      <c r="V88" s="8" t="inlineStr">
        <is>
          <t>PPT</t>
        </is>
      </c>
      <c r="W88" s="8" t="inlineStr">
        <is>
          <t>Ver</t>
        </is>
      </c>
      <c r="X88" s="9" t="n">
        <v>46314</v>
      </c>
      <c r="Y88" s="2" t="n"/>
    </row>
    <row r="89">
      <c r="A89" s="2" t="n"/>
      <c r="B89" s="3" t="n">
        <v>46342.99930555555</v>
      </c>
      <c r="C89" s="4">
        <f>IF(B89="","",INT(B89)-TODAY())</f>
        <v/>
      </c>
      <c r="D89" s="5" t="n">
        <v>1332042.22</v>
      </c>
      <c r="E89" s="5" t="n">
        <v>1332042.22</v>
      </c>
      <c r="F89" s="2" t="inlineStr">
        <is>
          <t>Comunitat Valenciana</t>
        </is>
      </c>
      <c r="G89" s="2" t="inlineStr">
        <is>
          <t>Valencia</t>
        </is>
      </c>
      <c r="H89" s="2" t="n"/>
      <c r="I89" s="2" t="inlineStr">
        <is>
          <t>Alcaldía del Ayuntamiento de Manises</t>
        </is>
      </c>
      <c r="J89" s="2" t="inlineStr">
        <is>
          <t>Obras para la ejecución de las actuaciones incluidas en el plan edificant correspondientes a la fase 2 del CEIP Enric Valor ya la adecuación y mejora del CEIP José Garcia Planells</t>
        </is>
      </c>
      <c r="K89" s="2" t="inlineStr">
        <is>
          <t>2754824W</t>
        </is>
      </c>
      <c r="L89" s="2" t="inlineStr">
        <is>
          <t>Abierto</t>
        </is>
      </c>
      <c r="M89" s="6" t="n">
        <v>6</v>
      </c>
      <c r="N89" s="2" t="inlineStr">
        <is>
          <t>J2-3; C4-3; I9-3; C6-3</t>
        </is>
      </c>
      <c r="O89" s="7" t="n">
        <v>0.3</v>
      </c>
      <c r="P89" s="2" t="inlineStr">
        <is>
          <t>Oferta económica 40 | Ampliación del plazo de garantía 10 | Memoria de organización 30 (JV) | Disposición de jefe de obra 20</t>
        </is>
      </c>
      <c r="Q89" s="2" t="n"/>
      <c r="R89" s="2" t="n"/>
      <c r="S89" s="4" t="n">
        <v>2</v>
      </c>
      <c r="T89" s="2" t="inlineStr">
        <is>
          <t>45214200; 45200000; 45300000; 45261410; 45331200</t>
        </is>
      </c>
      <c r="U89" s="8" t="inlineStr">
        <is>
          <t>PCAP</t>
        </is>
      </c>
      <c r="V89" s="8" t="inlineStr">
        <is>
          <t>PPT</t>
        </is>
      </c>
      <c r="W89" s="8" t="inlineStr">
        <is>
          <t>Ver</t>
        </is>
      </c>
      <c r="X89" s="9" t="n">
        <v>46317</v>
      </c>
      <c r="Y89" s="2" t="n"/>
    </row>
    <row r="90">
      <c r="A90" s="2" t="n"/>
      <c r="B90" s="3" t="n">
        <v>46342.99930555555</v>
      </c>
      <c r="C90" s="4">
        <f>IF(B90="","",INT(B90)-TODAY())</f>
        <v/>
      </c>
      <c r="D90" s="5" t="n">
        <v>3636363.64</v>
      </c>
      <c r="E90" s="5" t="n">
        <v>3636363.64</v>
      </c>
      <c r="F90" s="2" t="inlineStr">
        <is>
          <t>Andalucía</t>
        </is>
      </c>
      <c r="G90" s="2" t="inlineStr">
        <is>
          <t>Almería</t>
        </is>
      </c>
      <c r="H90" s="2" t="n"/>
      <c r="I90" s="2" t="inlineStr">
        <is>
          <t>Junta de Gobierno de la Diputación Provincial de Almería</t>
        </is>
      </c>
      <c r="J90" s="2" t="inlineStr">
        <is>
          <t>Gran Eco-bulevard Vera - Palomares. Este Proyecto Podrá Ser Cofinanciado Por La Unión Europea A Través Del Fondo Europeo De Desarrollo Regional (feder) En El Marco Del Programa Plurirregional De Españ 9PAI-LEVANTE30</t>
        </is>
      </c>
      <c r="K90" s="2" t="inlineStr">
        <is>
          <t>2026/D31000/006-002/00004</t>
        </is>
      </c>
      <c r="L90" s="2" t="inlineStr">
        <is>
          <t>Abierto</t>
        </is>
      </c>
      <c r="M90" s="6" t="n">
        <v>12.2</v>
      </c>
      <c r="N90" s="2" t="inlineStr">
        <is>
          <t>I1-4; G6-4</t>
        </is>
      </c>
      <c r="O90" s="7" t="n">
        <v>0.25</v>
      </c>
      <c r="P90" s="2" t="inlineStr">
        <is>
          <t>Precio 75 | Oferta Técnica 25 (JV)</t>
        </is>
      </c>
      <c r="Q90" s="2" t="inlineStr">
        <is>
          <t>complementaria 5%; definitiva 5%</t>
        </is>
      </c>
      <c r="R90" s="2" t="n"/>
      <c r="S90" s="4" t="n"/>
      <c r="T90" s="2" t="inlineStr">
        <is>
          <t>45111291</t>
        </is>
      </c>
      <c r="U90" s="8" t="inlineStr">
        <is>
          <t>PCAP</t>
        </is>
      </c>
      <c r="V90" s="8" t="inlineStr">
        <is>
          <t>PPT</t>
        </is>
      </c>
      <c r="W90" s="8" t="inlineStr">
        <is>
          <t>Ver</t>
        </is>
      </c>
      <c r="X90" s="9" t="n">
        <v>46317</v>
      </c>
      <c r="Y90" s="2" t="n"/>
    </row>
    <row r="91">
      <c r="A91" s="2" t="n"/>
      <c r="B91" s="3" t="n">
        <v>46342.99930555555</v>
      </c>
      <c r="C91" s="4">
        <f>IF(B91="","",INT(B91)-TODAY())</f>
        <v/>
      </c>
      <c r="D91" s="5" t="n">
        <v>661157.03</v>
      </c>
      <c r="E91" s="5" t="n">
        <v>661157.03</v>
      </c>
      <c r="F91" s="2" t="inlineStr">
        <is>
          <t>Andalucía</t>
        </is>
      </c>
      <c r="G91" s="2" t="inlineStr">
        <is>
          <t>Córdoba</t>
        </is>
      </c>
      <c r="H91" s="2" t="n"/>
      <c r="I91" s="2" t="inlineStr">
        <is>
          <t>Junta de Gobierno de la Diputación Provincial de Córdoba</t>
        </is>
      </c>
      <c r="J91" s="2" t="inlineStr">
        <is>
          <t>Obras de mejora del acceso a Priego de Córdoba, en un tramo de 1,64 Km semiurbanizados de la CO-8209 "de Priego de Córdoba a Luque por Fuente Alhama (Priego de Córdoba), Córdoba</t>
        </is>
      </c>
      <c r="K91" s="2" t="inlineStr">
        <is>
          <t>776/26</t>
        </is>
      </c>
      <c r="L91" s="2" t="inlineStr">
        <is>
          <t>Abierto</t>
        </is>
      </c>
      <c r="M91" s="6" t="n">
        <v>6</v>
      </c>
      <c r="N91" s="2" t="inlineStr">
        <is>
          <t>G4-3</t>
        </is>
      </c>
      <c r="O91" s="7" t="n">
        <v>0.4</v>
      </c>
      <c r="P91" s="2" t="inlineStr">
        <is>
          <t>Oferta económica respecto al presupuesto base de licitación 60 | Justificación del aumento de calidad en el proceso de ejecución 10 (JV) | Programa de trabajo con valoración mensual y acumulada a precios de proyecto 10 (JV) | Memoria descriptiva sobre el conocimiento del estado actual del tramo de obra y del proyecto 20 (JV)</t>
        </is>
      </c>
      <c r="Q91" s="2" t="inlineStr">
        <is>
          <t>complementaria 5%; definitiva 5%</t>
        </is>
      </c>
      <c r="R91" s="2" t="n"/>
      <c r="S91" s="4" t="n"/>
      <c r="T91" s="2" t="inlineStr">
        <is>
          <t>45233000</t>
        </is>
      </c>
      <c r="U91" s="8" t="inlineStr">
        <is>
          <t>PCAP</t>
        </is>
      </c>
      <c r="V91" s="8" t="inlineStr">
        <is>
          <t>PPT</t>
        </is>
      </c>
      <c r="W91" s="8" t="inlineStr">
        <is>
          <t>Ver</t>
        </is>
      </c>
      <c r="X91" s="9" t="n">
        <v>46317</v>
      </c>
      <c r="Y91" s="2" t="n"/>
    </row>
    <row r="92">
      <c r="A92" s="2" t="n"/>
      <c r="B92" s="3" t="n">
        <v>46344.99930555555</v>
      </c>
      <c r="C92" s="4">
        <f>IF(B92="","",INT(B92)-TODAY())</f>
        <v/>
      </c>
      <c r="D92" s="5" t="n">
        <v>1494349.1</v>
      </c>
      <c r="E92" s="5" t="n">
        <v>1494349.1</v>
      </c>
      <c r="F92" s="2" t="inlineStr">
        <is>
          <t>Comunitat Valenciana</t>
        </is>
      </c>
      <c r="G92" s="2" t="inlineStr">
        <is>
          <t>Valencia</t>
        </is>
      </c>
      <c r="H92" s="2" t="inlineStr">
        <is>
          <t>Yátova</t>
        </is>
      </c>
      <c r="I92" s="2" t="inlineStr">
        <is>
          <t>Pleno del Ayuntamiento de Yátova</t>
        </is>
      </c>
      <c r="J92" s="2" t="inlineStr">
        <is>
          <t>Reparación, acondicionamiento y mejora de caminos rurales en el término municipal de Yátova. Subvención Ministerio Dana2024</t>
        </is>
      </c>
      <c r="K92" s="2" t="inlineStr">
        <is>
          <t>899/2026</t>
        </is>
      </c>
      <c r="L92" s="2" t="inlineStr">
        <is>
          <t>Abierto simplificado</t>
        </is>
      </c>
      <c r="M92" s="6" t="n">
        <v>6</v>
      </c>
      <c r="N92" s="2" t="inlineStr">
        <is>
          <t>G*-4</t>
        </is>
      </c>
      <c r="O92" s="7" t="n">
        <v>0</v>
      </c>
      <c r="P92" s="2" t="inlineStr">
        <is>
          <t>Experiencia obras similiares 30 | Reconocimiento del lugar 20 | Mayor baja económica 30 | Ampliación del plazo de garantía 20</t>
        </is>
      </c>
      <c r="Q92" s="2" t="inlineStr">
        <is>
          <t>definitiva 5%</t>
        </is>
      </c>
      <c r="R92" s="2" t="n"/>
      <c r="S92" s="4" t="n"/>
      <c r="T92" s="2" t="inlineStr">
        <is>
          <t>45233250; 45233222; 45233251; 45233140</t>
        </is>
      </c>
      <c r="U92" s="8" t="inlineStr">
        <is>
          <t>PCAP</t>
        </is>
      </c>
      <c r="V92" s="8" t="inlineStr">
        <is>
          <t>PPT</t>
        </is>
      </c>
      <c r="W92" s="8" t="inlineStr">
        <is>
          <t>Ver</t>
        </is>
      </c>
      <c r="X92" s="9" t="n">
        <v>46317</v>
      </c>
      <c r="Y92" s="2" t="n"/>
    </row>
    <row r="93">
      <c r="A93" s="2" t="inlineStr">
        <is>
          <t>SÍ</t>
        </is>
      </c>
      <c r="B93" s="3" t="n">
        <v>46344.99930555555</v>
      </c>
      <c r="C93" s="4">
        <f>IF(B93="","",INT(B93)-TODAY())</f>
        <v/>
      </c>
      <c r="D93" s="5" t="n">
        <v>2520482.6</v>
      </c>
      <c r="E93" s="5" t="n">
        <v>2520482.6</v>
      </c>
      <c r="F93" s="2" t="inlineStr">
        <is>
          <t>Andalucía</t>
        </is>
      </c>
      <c r="G93" s="2" t="inlineStr">
        <is>
          <t>Málaga</t>
        </is>
      </c>
      <c r="H93" s="2" t="n"/>
      <c r="I93" s="2" t="inlineStr">
        <is>
          <t>Concejalía de Hacienda del Ayuntamiento de Benalmádena</t>
        </is>
      </c>
      <c r="J93" s="2" t="inlineStr">
        <is>
          <t>Plan de Asfaltado 2024 del T.M. de Benalmádena</t>
        </is>
      </c>
      <c r="K93" s="2" t="inlineStr">
        <is>
          <t>2026/60664M</t>
        </is>
      </c>
      <c r="L93" s="2" t="inlineStr">
        <is>
          <t>Abierto</t>
        </is>
      </c>
      <c r="M93" s="6" t="n">
        <v>5</v>
      </c>
      <c r="N93" s="2" t="inlineStr">
        <is>
          <t>G4-5</t>
        </is>
      </c>
      <c r="O93" s="7" t="n">
        <v>0</v>
      </c>
      <c r="P93" s="2" t="inlineStr">
        <is>
          <t>Económico 70 | Plazo de ejecución 6 | Actuaciones sin coste para la Administración 24</t>
        </is>
      </c>
      <c r="Q93" s="2" t="inlineStr">
        <is>
          <t>definitiva 5%</t>
        </is>
      </c>
      <c r="R93" s="2" t="inlineStr">
        <is>
          <t>No aplica, conforme Anexo 1 letra J) del PCAP</t>
        </is>
      </c>
      <c r="S93" s="4" t="n"/>
      <c r="T93" s="2" t="inlineStr">
        <is>
          <t>45233252</t>
        </is>
      </c>
      <c r="U93" s="8" t="inlineStr">
        <is>
          <t>PCAP</t>
        </is>
      </c>
      <c r="V93" s="2" t="n"/>
      <c r="W93" s="8" t="inlineStr">
        <is>
          <t>Ver</t>
        </is>
      </c>
      <c r="X93" s="9" t="n">
        <v>46321</v>
      </c>
      <c r="Y93" s="2" t="n"/>
    </row>
    <row r="94">
      <c r="A94" s="2" t="inlineStr">
        <is>
          <t>SÍ</t>
        </is>
      </c>
      <c r="B94" s="3" t="n">
        <v>46344.99930555555</v>
      </c>
      <c r="C94" s="4">
        <f>IF(B94="","",INT(B94)-TODAY())</f>
        <v/>
      </c>
      <c r="D94" s="5" t="n">
        <v>2292565.93</v>
      </c>
      <c r="E94" s="5" t="n">
        <v>2292565.93</v>
      </c>
      <c r="F94" s="2" t="inlineStr">
        <is>
          <t>Comunitat Valenciana</t>
        </is>
      </c>
      <c r="G94" s="2" t="inlineStr">
        <is>
          <t>Valencia</t>
        </is>
      </c>
      <c r="H94" s="2" t="n"/>
      <c r="I94" s="2" t="inlineStr">
        <is>
          <t>Pleno del Ayuntamiento de Carlet</t>
        </is>
      </c>
      <c r="J94" s="2" t="inlineStr">
        <is>
          <t>Obras de restitución de la red de saneamiento y pluviales del barrio del Cortijo y reposición de pluviales en la calle Rafael Peris, financiadas con cargo al Fondo de Solidaridad de la Unión Europea</t>
        </is>
      </c>
      <c r="K94" s="2" t="inlineStr">
        <is>
          <t>3126/2026</t>
        </is>
      </c>
      <c r="L94" s="2" t="inlineStr">
        <is>
          <t>Abierto</t>
        </is>
      </c>
      <c r="M94" s="6" t="n">
        <v>9</v>
      </c>
      <c r="N94" s="2" t="inlineStr">
        <is>
          <t>E*-4</t>
        </is>
      </c>
      <c r="O94" s="7" t="n">
        <v>0</v>
      </c>
      <c r="P94" s="2" t="inlineStr">
        <is>
          <t>Ampliación del plazo de garantía 10 | Oferta económica 70 | Uso de materiales con menor huella de carbono 20</t>
        </is>
      </c>
      <c r="Q94" s="2" t="inlineStr">
        <is>
          <t>definitiva 5%</t>
        </is>
      </c>
      <c r="R94" s="2" t="n"/>
      <c r="S94" s="4" t="n"/>
      <c r="T94" s="2" t="inlineStr">
        <is>
          <t>45240000; 45232440; 45233200; 45232150</t>
        </is>
      </c>
      <c r="U94" s="8" t="inlineStr">
        <is>
          <t>PCAP</t>
        </is>
      </c>
      <c r="V94" s="8" t="inlineStr">
        <is>
          <t>PPT</t>
        </is>
      </c>
      <c r="W94" s="8" t="inlineStr">
        <is>
          <t>Ver</t>
        </is>
      </c>
      <c r="X94" s="9" t="n">
        <v>46321</v>
      </c>
      <c r="Y94" s="2" t="n"/>
    </row>
    <row r="95">
      <c r="A95" s="2" t="inlineStr">
        <is>
          <t>SÍ</t>
        </is>
      </c>
      <c r="B95" s="3" t="n">
        <v>46344.99930555555</v>
      </c>
      <c r="C95" s="4">
        <f>IF(B95="","",INT(B95)-TODAY())</f>
        <v/>
      </c>
      <c r="D95" s="5" t="n">
        <v>782875</v>
      </c>
      <c r="E95" s="5" t="n">
        <v>782875</v>
      </c>
      <c r="F95" s="2" t="inlineStr">
        <is>
          <t>Andalucía</t>
        </is>
      </c>
      <c r="G95" s="2" t="inlineStr">
        <is>
          <t>Sevilla</t>
        </is>
      </c>
      <c r="H95" s="2" t="n"/>
      <c r="I95" s="2" t="inlineStr">
        <is>
          <t>Alcaldía del Ayuntamiento de Lantejuela</t>
        </is>
      </c>
      <c r="J95" s="2" t="inlineStr">
        <is>
          <t>Obras de actuciones de reforma en el complejo polideportivo municipal de lantejuela (Sevilla)</t>
        </is>
      </c>
      <c r="K95" s="2" t="inlineStr">
        <is>
          <t>P4105200B-2026/000230-PAA</t>
        </is>
      </c>
      <c r="L95" s="2" t="inlineStr">
        <is>
          <t>Abierto</t>
        </is>
      </c>
      <c r="M95" s="6" t="n">
        <v>6</v>
      </c>
      <c r="N95" s="2" t="n"/>
      <c r="O95" s="7" t="n">
        <v>0</v>
      </c>
      <c r="P95" s="2" t="inlineStr">
        <is>
          <t>Aspecto Económico (precio) [1] 100</t>
        </is>
      </c>
      <c r="Q95" s="2" t="n"/>
      <c r="R95" s="2" t="n"/>
      <c r="S95" s="4" t="n">
        <v>2</v>
      </c>
      <c r="T95" s="2" t="inlineStr">
        <is>
          <t>45200000; 45212200</t>
        </is>
      </c>
      <c r="U95" s="8" t="inlineStr">
        <is>
          <t>PCAP</t>
        </is>
      </c>
      <c r="V95" s="8" t="inlineStr">
        <is>
          <t>PPT</t>
        </is>
      </c>
      <c r="W95" s="8" t="inlineStr">
        <is>
          <t>Ver</t>
        </is>
      </c>
      <c r="X95" s="9" t="n">
        <v>46321</v>
      </c>
      <c r="Y95" s="2" t="n"/>
    </row>
    <row r="96">
      <c r="A96" s="2" t="inlineStr">
        <is>
          <t>SÍ</t>
        </is>
      </c>
      <c r="B96" s="3" t="n">
        <v>46345.58333333334</v>
      </c>
      <c r="C96" s="4">
        <f>IF(B96="","",INT(B96)-TODAY())</f>
        <v/>
      </c>
      <c r="D96" s="5" t="n">
        <v>2070399.74</v>
      </c>
      <c r="E96" s="5" t="n">
        <v>2070399.74</v>
      </c>
      <c r="F96" s="2" t="inlineStr">
        <is>
          <t>Comunitat Valenciana</t>
        </is>
      </c>
      <c r="G96" s="2" t="inlineStr">
        <is>
          <t>Valencia</t>
        </is>
      </c>
      <c r="H96" s="2" t="n"/>
      <c r="I96" s="2" t="inlineStr">
        <is>
          <t>Concejalía Delegada de Contratación del Ayuntamiento de Gandía</t>
        </is>
      </c>
      <c r="J96" s="2" t="inlineStr">
        <is>
          <t>Contrato de obras consistente en la ejecución del proyecto actualizado de actuaciones en el CEIP Mondúber, derivado de la modificación de la delegación de competencias_ EDIFICANT.</t>
        </is>
      </c>
      <c r="K96" s="2" t="inlineStr">
        <is>
          <t>CONT-074/2026 (50124/2026)</t>
        </is>
      </c>
      <c r="L96" s="2" t="inlineStr">
        <is>
          <t>Abierto</t>
        </is>
      </c>
      <c r="M96" s="6" t="n">
        <v>14</v>
      </c>
      <c r="N96" s="2" t="inlineStr">
        <is>
          <t>C*-5</t>
        </is>
      </c>
      <c r="O96" s="7" t="n">
        <v>0.25</v>
      </c>
      <c r="P96" s="2" t="inlineStr">
        <is>
          <t>Metodología y programación 15 (JV) | Incorporación de mejoras 27 | Oferta económica 40 | Conocimiento del proyecto 10 (JV) | Ampliación plazo de garantía 8</t>
        </is>
      </c>
      <c r="Q96" s="2" t="n"/>
      <c r="R96" s="2" t="n"/>
      <c r="S96" s="4" t="n"/>
      <c r="T96" s="2" t="inlineStr">
        <is>
          <t>45214210</t>
        </is>
      </c>
      <c r="U96" s="8" t="inlineStr">
        <is>
          <t>PCAP</t>
        </is>
      </c>
      <c r="V96" s="8" t="inlineStr">
        <is>
          <t>PPT</t>
        </is>
      </c>
      <c r="W96" s="8" t="inlineStr">
        <is>
          <t>Ver</t>
        </is>
      </c>
      <c r="X96" s="9" t="n">
        <v>46321</v>
      </c>
      <c r="Y96" s="2" t="n"/>
    </row>
    <row r="97">
      <c r="A97" s="2" t="n"/>
      <c r="B97" s="3" t="n">
        <v>46346.99930555555</v>
      </c>
      <c r="C97" s="4">
        <f>IF(B97="","",INT(B97)-TODAY())</f>
        <v/>
      </c>
      <c r="D97" s="5" t="n">
        <v>8318780.94</v>
      </c>
      <c r="E97" s="5" t="n">
        <v>8318780.94</v>
      </c>
      <c r="F97" s="2" t="inlineStr">
        <is>
          <t>Andalucía</t>
        </is>
      </c>
      <c r="G97" s="2" t="inlineStr">
        <is>
          <t>Sevilla</t>
        </is>
      </c>
      <c r="H97" s="2" t="n"/>
      <c r="I97" s="2" t="inlineStr">
        <is>
          <t>Junta de Gobierno del Ayuntamiento de Carmona</t>
        </is>
      </c>
      <c r="J97" s="2" t="inlineStr">
        <is>
          <t>Obras para la ejecución del complejo de la música y el patrimonio en los antiguos mataderos de Carmona y la adecuación de sus entornos.</t>
        </is>
      </c>
      <c r="K97" s="2" t="inlineStr">
        <is>
          <t>EXP 25-173-22</t>
        </is>
      </c>
      <c r="L97" s="2" t="inlineStr">
        <is>
          <t>Abierto</t>
        </is>
      </c>
      <c r="M97" s="6" t="n">
        <v>20</v>
      </c>
      <c r="N97" s="2" t="inlineStr">
        <is>
          <t>C*-5</t>
        </is>
      </c>
      <c r="O97" s="7" t="n">
        <v>0.45</v>
      </c>
      <c r="P97" s="2" t="inlineStr">
        <is>
          <t>B.2. Ampliación Plazo de Garantía. 10 | A.1. Criterio de Estudio Técnico Detallado: 20 (JV) | B.3. Sistemas de gestión certificados. 10 | A.3. Criterio de Ambiental. 5 (JV) | B.5 Implementación de sistema de seguimiento de obra con cámara fotográfica. 5 | A.2. Criterio de Estudio Técnico Detallado: Programación de los trabajos. 20 (JV) | B.4 Implementación de Tecnología Building Information Modeling (BIM) 10 | B.1. Oferta Económica 20</t>
        </is>
      </c>
      <c r="Q97" s="2" t="inlineStr">
        <is>
          <t>definitiva 5%</t>
        </is>
      </c>
      <c r="R97" s="2" t="n"/>
      <c r="S97" s="4" t="n"/>
      <c r="T97" s="2" t="inlineStr">
        <is>
          <t>45000000; 45212300; 45213230; 45112700; 45212321; 45454100</t>
        </is>
      </c>
      <c r="U97" s="8" t="inlineStr">
        <is>
          <t>PCAP</t>
        </is>
      </c>
      <c r="V97" s="8" t="inlineStr">
        <is>
          <t>PPT</t>
        </is>
      </c>
      <c r="W97" s="8" t="inlineStr">
        <is>
          <t>Ver</t>
        </is>
      </c>
      <c r="X97" s="9" t="n">
        <v>46311</v>
      </c>
      <c r="Y97" s="2" t="n"/>
    </row>
    <row r="98">
      <c r="A98" s="2" t="n"/>
      <c r="B98" s="3" t="n">
        <v>46350.45833333334</v>
      </c>
      <c r="C98" s="4">
        <f>IF(B98="","",INT(B98)-TODAY())</f>
        <v/>
      </c>
      <c r="D98" s="5" t="n">
        <v>3246355.87</v>
      </c>
      <c r="E98" s="5" t="n">
        <v>3246355.87</v>
      </c>
      <c r="F98" s="2" t="inlineStr">
        <is>
          <t>Andalucía</t>
        </is>
      </c>
      <c r="G98" s="2" t="inlineStr">
        <is>
          <t>Sevilla</t>
        </is>
      </c>
      <c r="H98" s="2" t="n"/>
      <c r="I98" s="2" t="inlineStr">
        <is>
          <t>Comisión Ejecutiva de la Gerencia de Urbanismo de Sevilla</t>
        </is>
      </c>
      <c r="J98" s="2" t="inlineStr">
        <is>
          <t>Obras del Proyecto básico y de ejecución para rehabilitación, consolidación y puesta en valor de la sala de Profundis y las viviendas anexas del Real Monasterio de Santa Clara.</t>
        </is>
      </c>
      <c r="K98" s="2" t="inlineStr">
        <is>
          <t>19/2026</t>
        </is>
      </c>
      <c r="L98" s="2" t="inlineStr">
        <is>
          <t>Abierto</t>
        </is>
      </c>
      <c r="M98" s="6" t="n">
        <v>18</v>
      </c>
      <c r="N98" s="2" t="inlineStr">
        <is>
          <t>K7-4</t>
        </is>
      </c>
      <c r="O98" s="7" t="n">
        <v>0</v>
      </c>
      <c r="P98" s="2" t="inlineStr">
        <is>
          <t>1. OFERTA ECONÓMICA 20 | 2. MAYOR CUALIFICACIÓN Y EXPERIENCIA DEL EQUIPO TÉCNICO. SUBCRITERIO D. BAREMACIÓN DEL PERFIL 4 RESTAURADOR. 10 | 3. AMPLIACIÓN DEL PLAZO DE GARANTÍA. 30 | 2. MAYOR CUALIFICACIÓN Y EXPERIENCIA DEL EQUIPO TÉCNICO. SUBCRITERIO B. BAREMACIÓN DEL PERFIL 2. ENCARGADO. 15 | 2. MAYOR CUALIFICACIÓN Y EXPERIENCIA DEL EQUIPO TÉCNICO. SUBCRITERIO C. BAREMACIÓN DEL PERFIL 3. TÉCNICO EN PREVENCIÓN DE RIESGOS LABORALES. 10 | 2. MAYOR CUALIFICACIÓN Y EXPERIENCIA DEL EQUIPO TÉCNICO. SUBCRITERIO A. BAREMACIÓN DEL PERFIL 1. TÉCNICO JEFE DE OBRA. 15</t>
        </is>
      </c>
      <c r="Q98" s="2" t="inlineStr">
        <is>
          <t>definitiva 5%; complementaria 5%</t>
        </is>
      </c>
      <c r="R98" s="2" t="inlineStr">
        <is>
          <t>FÓRMULA 831. Obras de restauración de edificios.</t>
        </is>
      </c>
      <c r="S98" s="4" t="n"/>
      <c r="T98" s="2" t="inlineStr">
        <is>
          <t>45212300</t>
        </is>
      </c>
      <c r="U98" s="8" t="inlineStr">
        <is>
          <t>PCAP</t>
        </is>
      </c>
      <c r="V98" s="2" t="n"/>
      <c r="W98" s="8" t="inlineStr">
        <is>
          <t>Ver</t>
        </is>
      </c>
      <c r="X98" s="9" t="n">
        <v>46310</v>
      </c>
      <c r="Y98" s="2" t="n"/>
    </row>
    <row r="99">
      <c r="A99" s="2" t="inlineStr">
        <is>
          <t>SÍ</t>
        </is>
      </c>
      <c r="B99" s="3" t="n">
        <v>46350.54166666666</v>
      </c>
      <c r="C99" s="4">
        <f>IF(B99="","",INT(B99)-TODAY())</f>
        <v/>
      </c>
      <c r="D99" s="5" t="n">
        <v>22148578.97</v>
      </c>
      <c r="E99" s="5" t="n">
        <v>26338628.76</v>
      </c>
      <c r="F99" s="2" t="inlineStr">
        <is>
          <t>Andalucía</t>
        </is>
      </c>
      <c r="G99" s="2" t="inlineStr">
        <is>
          <t>Málaga</t>
        </is>
      </c>
      <c r="H99" s="2" t="n"/>
      <c r="I99" s="2" t="inlineStr">
        <is>
          <t>Junta de Gobierno del Ayuntamiento de Málaga</t>
        </is>
      </c>
      <c r="J99" s="2" t="inlineStr">
        <is>
          <t>Redacción del proyecto constructivo y ejecución de las obras del soterramiento de la Avenida de Valle-Inclán en la intersección con el Camino de Suárez, la Calle Martínez de la Rosa y el acceso a las barriadas de Carlinda, La Corta y San Alberto, en la ciudad de Málaga</t>
        </is>
      </c>
      <c r="K99" s="2" t="inlineStr">
        <is>
          <t>31/26</t>
        </is>
      </c>
      <c r="L99" s="2" t="inlineStr">
        <is>
          <t>Abierto</t>
        </is>
      </c>
      <c r="M99" s="6" t="n">
        <v>31</v>
      </c>
      <c r="N99" s="2" t="inlineStr">
        <is>
          <t>B2-6; G6-3</t>
        </is>
      </c>
      <c r="O99" s="7" t="n">
        <v>0.49</v>
      </c>
      <c r="P99" s="2" t="inlineStr">
        <is>
          <t>Calidad del Equipo Técnico 20 | Adaptación de espacios aportados por el Ayuntamiento destinados a aparcamientos provisionales para los vecinos durante la ejecución de las obrasobras, por un importe máximo de 150.000€ 2 | Oferta Económica Proyecto Construcción 5 | Oferta Económica Ejecución de las Obras 24 | Propuesta Técnica 49 (JV)</t>
        </is>
      </c>
      <c r="Q99" s="2" t="inlineStr">
        <is>
          <t>definitiva 5%</t>
        </is>
      </c>
      <c r="R99" s="2" t="inlineStr">
        <is>
          <t>RD 1359/2011, Anexo II, Fórmula 111. Estructuras de hormigón armado y pretensado</t>
        </is>
      </c>
      <c r="S99" s="4" t="n"/>
      <c r="T99" s="2" t="inlineStr">
        <is>
          <t>45221000; 71300000</t>
        </is>
      </c>
      <c r="U99" s="8" t="inlineStr">
        <is>
          <t>PCAP</t>
        </is>
      </c>
      <c r="V99" s="8" t="inlineStr">
        <is>
          <t>PPT</t>
        </is>
      </c>
      <c r="W99" s="8" t="inlineStr">
        <is>
          <t>Ver</t>
        </is>
      </c>
      <c r="X99" s="9" t="n">
        <v>46321</v>
      </c>
      <c r="Y99" s="2" t="n"/>
    </row>
    <row r="100">
      <c r="A100" s="2" t="inlineStr">
        <is>
          <t>SÍ</t>
        </is>
      </c>
      <c r="B100" s="3" t="n">
        <v>46351.54166666666</v>
      </c>
      <c r="C100" s="4">
        <f>IF(B100="","",INT(B100)-TODAY())</f>
        <v/>
      </c>
      <c r="D100" s="5" t="n">
        <v>15485878.79</v>
      </c>
      <c r="E100" s="5" t="n">
        <v>20131642.43</v>
      </c>
      <c r="F100" s="2" t="inlineStr">
        <is>
          <t>Comunitat Valenciana</t>
        </is>
      </c>
      <c r="G100" s="2" t="inlineStr">
        <is>
          <t>Valencia</t>
        </is>
      </c>
      <c r="H100" s="2" t="inlineStr">
        <is>
          <t>Valencia</t>
        </is>
      </c>
      <c r="I100" s="2" t="inlineStr">
        <is>
          <t>Consejo de Administración de la Autoridad Portuaria de Valencia</t>
        </is>
      </c>
      <c r="J100" s="2" t="inlineStr">
        <is>
          <t>Construcción de nueva subestación transformadora de 132/20 kV tipo GIS de interior con dos transformadores 132/20 kV, 55 MVA-ST. Autoridad Portuaria de Valencia 2</t>
        </is>
      </c>
      <c r="K100" s="2" t="inlineStr">
        <is>
          <t>EC26-C02-02310</t>
        </is>
      </c>
      <c r="L100" s="2" t="inlineStr">
        <is>
          <t>Abierto</t>
        </is>
      </c>
      <c r="M100" s="6" t="n">
        <v>20</v>
      </c>
      <c r="N100" s="2" t="inlineStr">
        <is>
          <t>I4-4</t>
        </is>
      </c>
      <c r="O100" s="7" t="n">
        <v>0.49</v>
      </c>
      <c r="P100" s="2" t="inlineStr">
        <is>
          <t>Criterios evaluables mediante juicio de valor 49 (JV) | Oferta económica 51</t>
        </is>
      </c>
      <c r="Q100" s="2" t="inlineStr">
        <is>
          <t>definitiva 5%; complementaria 5%</t>
        </is>
      </c>
      <c r="R100" s="2" t="n"/>
      <c r="S100" s="4" t="n"/>
      <c r="T100" s="2" t="inlineStr">
        <is>
          <t>45232220</t>
        </is>
      </c>
      <c r="U100" s="8" t="inlineStr">
        <is>
          <t>PCAP</t>
        </is>
      </c>
      <c r="V100" s="8" t="inlineStr">
        <is>
          <t>PPT</t>
        </is>
      </c>
      <c r="W100" s="8" t="inlineStr">
        <is>
          <t>Ver</t>
        </is>
      </c>
      <c r="X100" s="9" t="n">
        <v>46321</v>
      </c>
      <c r="Y100" s="2" t="n"/>
    </row>
    <row r="101">
      <c r="A101" s="2" t="n"/>
      <c r="B101" s="3" t="n">
        <v>46377.58333333334</v>
      </c>
      <c r="C101" s="4">
        <f>IF(B101="","",INT(B101)-TODAY())</f>
        <v/>
      </c>
      <c r="D101" s="5" t="n">
        <v>21241200</v>
      </c>
      <c r="E101" s="5" t="n">
        <v>25355520</v>
      </c>
      <c r="F101" s="2" t="inlineStr">
        <is>
          <t>Comunitat Valenciana</t>
        </is>
      </c>
      <c r="G101" s="2" t="inlineStr">
        <is>
          <t>Valencia</t>
        </is>
      </c>
      <c r="H101" s="2" t="n"/>
      <c r="I101" s="2" t="inlineStr">
        <is>
          <t>Presidencia de la Entidad Valenciana de Vivienda y Suelo</t>
        </is>
      </c>
      <c r="J101" s="2" t="inlineStr">
        <is>
          <t>Redacción del proyecto, ejecución de las obras y dirección facultativa para la construcción por procedimientos industrializados promovidas por la Entidad Valenciana de Vivienda y Suelo, en Silla y Carcaixent.</t>
        </is>
      </c>
      <c r="K101" s="2" t="inlineStr">
        <is>
          <t>CMAYOR/2026/EVHA0/0014</t>
        </is>
      </c>
      <c r="L101" s="2" t="inlineStr">
        <is>
          <t>Abierto</t>
        </is>
      </c>
      <c r="M101" s="6" t="n">
        <v>12</v>
      </c>
      <c r="N101" s="2" t="n"/>
      <c r="O101" s="7" t="n">
        <v>0.49</v>
      </c>
      <c r="P101" s="2" t="inlineStr">
        <is>
          <t>[lote 1] | Integración urbana 5 (JV) | Industrialización y gestión 18 (JV) | Metodología BIM aplicada a la fase de proyecto básico y de ejecución 9 | Propuesta económica 20 | Calidad arquitectónica 20 (JV) | Reducción del plazo de ejecución de las obras 12 | Sostenibilidad medioambiental 6 (JV) | Reducción del plazo de redacción de proyectos 10</t>
        </is>
      </c>
      <c r="Q101" s="2" t="inlineStr">
        <is>
          <t>definitiva 5%</t>
        </is>
      </c>
      <c r="R101" s="2" t="n"/>
      <c r="S101" s="4" t="n">
        <v>4</v>
      </c>
      <c r="T101" s="2" t="inlineStr">
        <is>
          <t>45211100; 71000000</t>
        </is>
      </c>
      <c r="U101" s="8" t="inlineStr">
        <is>
          <t>PCAP</t>
        </is>
      </c>
      <c r="V101" s="8" t="inlineStr">
        <is>
          <t>PPT</t>
        </is>
      </c>
      <c r="W101" s="8" t="inlineStr">
        <is>
          <t>Ver</t>
        </is>
      </c>
      <c r="X101" s="9" t="n">
        <v>46314</v>
      </c>
      <c r="Y101" s="2" t="inlineStr">
        <is>
          <t>2026-10-20: plazo 2026-11-19 14:00 → 2026-12-21 14:00</t>
        </is>
      </c>
    </row>
    <row r="102">
      <c r="A102" s="2" t="n"/>
      <c r="B102" s="3" t="n">
        <v>48099.58333333334</v>
      </c>
      <c r="C102" s="4">
        <f>IF(B102="","",INT(B102)-TODAY())</f>
        <v/>
      </c>
      <c r="D102" s="5" t="n">
        <v>3000000</v>
      </c>
      <c r="E102" s="5" t="n">
        <v>3000000</v>
      </c>
      <c r="F102" s="2" t="inlineStr">
        <is>
          <t>Andalucía</t>
        </is>
      </c>
      <c r="G102" s="2" t="inlineStr">
        <is>
          <t>Córdoba</t>
        </is>
      </c>
      <c r="H102" s="2" t="inlineStr">
        <is>
          <t>Córdoba</t>
        </is>
      </c>
      <c r="I102" s="2" t="inlineStr">
        <is>
          <t>Consejo de Administración de la Empresa Municipal de Aguas de Córdoba, S.A. (EMACSA)</t>
        </is>
      </c>
      <c r="J102" s="2" t="inlineStr">
        <is>
          <t>Sistema dinámico de adquisición de obras en redes e instalaciones para la Empresa Municipal de Aguas de Córdoba, S.A.</t>
        </is>
      </c>
      <c r="K102" s="2" t="inlineStr">
        <is>
          <t>SDA32/2026</t>
        </is>
      </c>
      <c r="L102" s="2" t="inlineStr">
        <is>
          <t>Restringido</t>
        </is>
      </c>
      <c r="M102" s="6" t="n"/>
      <c r="N102" s="2" t="n"/>
      <c r="O102" s="7" t="n">
        <v>0</v>
      </c>
      <c r="P102" s="2" t="inlineStr">
        <is>
          <t>[lote 1] | Price 100</t>
        </is>
      </c>
      <c r="Q102" s="2" t="n"/>
      <c r="R102" s="2" t="n"/>
      <c r="S102" s="4" t="n">
        <v>2</v>
      </c>
      <c r="T102" s="2" t="inlineStr">
        <is>
          <t>45231110; 45232152; 45252100; 45231300; 45232423; 45232411; 45252120; 45232150; 45232400; 45232410; 45232151</t>
        </is>
      </c>
      <c r="U102" s="8" t="inlineStr">
        <is>
          <t>PCAP</t>
        </is>
      </c>
      <c r="V102" s="8" t="inlineStr">
        <is>
          <t>PPT</t>
        </is>
      </c>
      <c r="W102" s="8" t="inlineStr">
        <is>
          <t>Ver</t>
        </is>
      </c>
      <c r="X102" s="9" t="n">
        <v>46310</v>
      </c>
      <c r="Y102" s="2" t="n"/>
    </row>
  </sheetData>
  <conditionalFormatting sqref="C2:C102">
    <cfRule type="expression" priority="1" dxfId="0" stopIfTrue="1">
      <formula>AND(ISNUMBER(C2),C2&lt;=7)</formula>
    </cfRule>
    <cfRule type="expression" priority="2" dxfId="1" stopIfTrue="1">
      <formula>AND(ISNUMBER(C2),C2&lt;=14)</formula>
    </cfRule>
  </conditionalFormatting>
  <conditionalFormatting sqref="A2:A102">
    <cfRule type="expression" priority="3" dxfId="2">
      <formula>A2="SÍ"</formula>
    </cfRule>
  </conditionalFormatting>
  <conditionalFormatting sqref="Y2:Y102">
    <cfRule type="expression" priority="4" dxfId="3">
      <formula>LEN(Y2)&gt;0</formula>
    </cfRule>
  </conditionalFormatting>
  <hyperlinks>
    <hyperlink xmlns:r="http://schemas.openxmlformats.org/officeDocument/2006/relationships" ref="U2" r:id="rId1"/>
    <hyperlink xmlns:r="http://schemas.openxmlformats.org/officeDocument/2006/relationships" ref="V2" r:id="rId2"/>
    <hyperlink xmlns:r="http://schemas.openxmlformats.org/officeDocument/2006/relationships" ref="W2" r:id="rId3"/>
    <hyperlink xmlns:r="http://schemas.openxmlformats.org/officeDocument/2006/relationships" ref="U3" r:id="rId4"/>
    <hyperlink xmlns:r="http://schemas.openxmlformats.org/officeDocument/2006/relationships" ref="V3" r:id="rId5"/>
    <hyperlink xmlns:r="http://schemas.openxmlformats.org/officeDocument/2006/relationships" ref="W3" r:id="rId6"/>
    <hyperlink xmlns:r="http://schemas.openxmlformats.org/officeDocument/2006/relationships" ref="U4" r:id="rId7"/>
    <hyperlink xmlns:r="http://schemas.openxmlformats.org/officeDocument/2006/relationships" ref="V4" r:id="rId8"/>
    <hyperlink xmlns:r="http://schemas.openxmlformats.org/officeDocument/2006/relationships" ref="W4" r:id="rId9"/>
    <hyperlink xmlns:r="http://schemas.openxmlformats.org/officeDocument/2006/relationships" ref="U5" r:id="rId10"/>
    <hyperlink xmlns:r="http://schemas.openxmlformats.org/officeDocument/2006/relationships" ref="W5" r:id="rId11"/>
    <hyperlink xmlns:r="http://schemas.openxmlformats.org/officeDocument/2006/relationships" ref="U6" r:id="rId12"/>
    <hyperlink xmlns:r="http://schemas.openxmlformats.org/officeDocument/2006/relationships" ref="V6" r:id="rId13"/>
    <hyperlink xmlns:r="http://schemas.openxmlformats.org/officeDocument/2006/relationships" ref="W6" r:id="rId14"/>
    <hyperlink xmlns:r="http://schemas.openxmlformats.org/officeDocument/2006/relationships" ref="U7" r:id="rId15"/>
    <hyperlink xmlns:r="http://schemas.openxmlformats.org/officeDocument/2006/relationships" ref="V7" r:id="rId16"/>
    <hyperlink xmlns:r="http://schemas.openxmlformats.org/officeDocument/2006/relationships" ref="W7" r:id="rId17"/>
    <hyperlink xmlns:r="http://schemas.openxmlformats.org/officeDocument/2006/relationships" ref="U8" r:id="rId18"/>
    <hyperlink xmlns:r="http://schemas.openxmlformats.org/officeDocument/2006/relationships" ref="V8" r:id="rId19"/>
    <hyperlink xmlns:r="http://schemas.openxmlformats.org/officeDocument/2006/relationships" ref="W8" r:id="rId20"/>
    <hyperlink xmlns:r="http://schemas.openxmlformats.org/officeDocument/2006/relationships" ref="U9" r:id="rId21"/>
    <hyperlink xmlns:r="http://schemas.openxmlformats.org/officeDocument/2006/relationships" ref="W9" r:id="rId22"/>
    <hyperlink xmlns:r="http://schemas.openxmlformats.org/officeDocument/2006/relationships" ref="U10" r:id="rId23"/>
    <hyperlink xmlns:r="http://schemas.openxmlformats.org/officeDocument/2006/relationships" ref="V10" r:id="rId24"/>
    <hyperlink xmlns:r="http://schemas.openxmlformats.org/officeDocument/2006/relationships" ref="W10" r:id="rId25"/>
    <hyperlink xmlns:r="http://schemas.openxmlformats.org/officeDocument/2006/relationships" ref="U11" r:id="rId26"/>
    <hyperlink xmlns:r="http://schemas.openxmlformats.org/officeDocument/2006/relationships" ref="V11" r:id="rId27"/>
    <hyperlink xmlns:r="http://schemas.openxmlformats.org/officeDocument/2006/relationships" ref="W11" r:id="rId28"/>
    <hyperlink xmlns:r="http://schemas.openxmlformats.org/officeDocument/2006/relationships" ref="U12" r:id="rId29"/>
    <hyperlink xmlns:r="http://schemas.openxmlformats.org/officeDocument/2006/relationships" ref="V12" r:id="rId30"/>
    <hyperlink xmlns:r="http://schemas.openxmlformats.org/officeDocument/2006/relationships" ref="W12" r:id="rId31"/>
    <hyperlink xmlns:r="http://schemas.openxmlformats.org/officeDocument/2006/relationships" ref="U13" r:id="rId32"/>
    <hyperlink xmlns:r="http://schemas.openxmlformats.org/officeDocument/2006/relationships" ref="V13" r:id="rId33"/>
    <hyperlink xmlns:r="http://schemas.openxmlformats.org/officeDocument/2006/relationships" ref="W13" r:id="rId34"/>
    <hyperlink xmlns:r="http://schemas.openxmlformats.org/officeDocument/2006/relationships" ref="U14" r:id="rId35"/>
    <hyperlink xmlns:r="http://schemas.openxmlformats.org/officeDocument/2006/relationships" ref="V14" r:id="rId36"/>
    <hyperlink xmlns:r="http://schemas.openxmlformats.org/officeDocument/2006/relationships" ref="W14" r:id="rId37"/>
    <hyperlink xmlns:r="http://schemas.openxmlformats.org/officeDocument/2006/relationships" ref="U15" r:id="rId38"/>
    <hyperlink xmlns:r="http://schemas.openxmlformats.org/officeDocument/2006/relationships" ref="W15" r:id="rId39"/>
    <hyperlink xmlns:r="http://schemas.openxmlformats.org/officeDocument/2006/relationships" ref="U16" r:id="rId40"/>
    <hyperlink xmlns:r="http://schemas.openxmlformats.org/officeDocument/2006/relationships" ref="V16" r:id="rId41"/>
    <hyperlink xmlns:r="http://schemas.openxmlformats.org/officeDocument/2006/relationships" ref="W16" r:id="rId42"/>
    <hyperlink xmlns:r="http://schemas.openxmlformats.org/officeDocument/2006/relationships" ref="U17" r:id="rId43"/>
    <hyperlink xmlns:r="http://schemas.openxmlformats.org/officeDocument/2006/relationships" ref="V17" r:id="rId44"/>
    <hyperlink xmlns:r="http://schemas.openxmlformats.org/officeDocument/2006/relationships" ref="W17" r:id="rId45"/>
    <hyperlink xmlns:r="http://schemas.openxmlformats.org/officeDocument/2006/relationships" ref="U18" r:id="rId46"/>
    <hyperlink xmlns:r="http://schemas.openxmlformats.org/officeDocument/2006/relationships" ref="V18" r:id="rId47"/>
    <hyperlink xmlns:r="http://schemas.openxmlformats.org/officeDocument/2006/relationships" ref="W18" r:id="rId48"/>
    <hyperlink xmlns:r="http://schemas.openxmlformats.org/officeDocument/2006/relationships" ref="U19" r:id="rId49"/>
    <hyperlink xmlns:r="http://schemas.openxmlformats.org/officeDocument/2006/relationships" ref="V19" r:id="rId50"/>
    <hyperlink xmlns:r="http://schemas.openxmlformats.org/officeDocument/2006/relationships" ref="W19" r:id="rId51"/>
    <hyperlink xmlns:r="http://schemas.openxmlformats.org/officeDocument/2006/relationships" ref="U20" r:id="rId52"/>
    <hyperlink xmlns:r="http://schemas.openxmlformats.org/officeDocument/2006/relationships" ref="V20" r:id="rId53"/>
    <hyperlink xmlns:r="http://schemas.openxmlformats.org/officeDocument/2006/relationships" ref="W20" r:id="rId54"/>
    <hyperlink xmlns:r="http://schemas.openxmlformats.org/officeDocument/2006/relationships" ref="U21" r:id="rId55"/>
    <hyperlink xmlns:r="http://schemas.openxmlformats.org/officeDocument/2006/relationships" ref="V21" r:id="rId56"/>
    <hyperlink xmlns:r="http://schemas.openxmlformats.org/officeDocument/2006/relationships" ref="W21" r:id="rId57"/>
    <hyperlink xmlns:r="http://schemas.openxmlformats.org/officeDocument/2006/relationships" ref="U22" r:id="rId58"/>
    <hyperlink xmlns:r="http://schemas.openxmlformats.org/officeDocument/2006/relationships" ref="V22" r:id="rId59"/>
    <hyperlink xmlns:r="http://schemas.openxmlformats.org/officeDocument/2006/relationships" ref="W22" r:id="rId60"/>
    <hyperlink xmlns:r="http://schemas.openxmlformats.org/officeDocument/2006/relationships" ref="U23" r:id="rId61"/>
    <hyperlink xmlns:r="http://schemas.openxmlformats.org/officeDocument/2006/relationships" ref="V23" r:id="rId62"/>
    <hyperlink xmlns:r="http://schemas.openxmlformats.org/officeDocument/2006/relationships" ref="W23" r:id="rId63"/>
    <hyperlink xmlns:r="http://schemas.openxmlformats.org/officeDocument/2006/relationships" ref="U24" r:id="rId64"/>
    <hyperlink xmlns:r="http://schemas.openxmlformats.org/officeDocument/2006/relationships" ref="V24" r:id="rId65"/>
    <hyperlink xmlns:r="http://schemas.openxmlformats.org/officeDocument/2006/relationships" ref="W24" r:id="rId66"/>
    <hyperlink xmlns:r="http://schemas.openxmlformats.org/officeDocument/2006/relationships" ref="U25" r:id="rId67"/>
    <hyperlink xmlns:r="http://schemas.openxmlformats.org/officeDocument/2006/relationships" ref="V25" r:id="rId68"/>
    <hyperlink xmlns:r="http://schemas.openxmlformats.org/officeDocument/2006/relationships" ref="W25" r:id="rId69"/>
    <hyperlink xmlns:r="http://schemas.openxmlformats.org/officeDocument/2006/relationships" ref="U26" r:id="rId70"/>
    <hyperlink xmlns:r="http://schemas.openxmlformats.org/officeDocument/2006/relationships" ref="V26" r:id="rId71"/>
    <hyperlink xmlns:r="http://schemas.openxmlformats.org/officeDocument/2006/relationships" ref="W26" r:id="rId72"/>
    <hyperlink xmlns:r="http://schemas.openxmlformats.org/officeDocument/2006/relationships" ref="U27" r:id="rId73"/>
    <hyperlink xmlns:r="http://schemas.openxmlformats.org/officeDocument/2006/relationships" ref="V27" r:id="rId74"/>
    <hyperlink xmlns:r="http://schemas.openxmlformats.org/officeDocument/2006/relationships" ref="W27" r:id="rId75"/>
    <hyperlink xmlns:r="http://schemas.openxmlformats.org/officeDocument/2006/relationships" ref="U28" r:id="rId76"/>
    <hyperlink xmlns:r="http://schemas.openxmlformats.org/officeDocument/2006/relationships" ref="V28" r:id="rId77"/>
    <hyperlink xmlns:r="http://schemas.openxmlformats.org/officeDocument/2006/relationships" ref="W28" r:id="rId78"/>
    <hyperlink xmlns:r="http://schemas.openxmlformats.org/officeDocument/2006/relationships" ref="U29" r:id="rId79"/>
    <hyperlink xmlns:r="http://schemas.openxmlformats.org/officeDocument/2006/relationships" ref="V29" r:id="rId80"/>
    <hyperlink xmlns:r="http://schemas.openxmlformats.org/officeDocument/2006/relationships" ref="W29" r:id="rId81"/>
    <hyperlink xmlns:r="http://schemas.openxmlformats.org/officeDocument/2006/relationships" ref="U30" r:id="rId82"/>
    <hyperlink xmlns:r="http://schemas.openxmlformats.org/officeDocument/2006/relationships" ref="V30" r:id="rId83"/>
    <hyperlink xmlns:r="http://schemas.openxmlformats.org/officeDocument/2006/relationships" ref="W30" r:id="rId84"/>
    <hyperlink xmlns:r="http://schemas.openxmlformats.org/officeDocument/2006/relationships" ref="U31" r:id="rId85"/>
    <hyperlink xmlns:r="http://schemas.openxmlformats.org/officeDocument/2006/relationships" ref="V31" r:id="rId86"/>
    <hyperlink xmlns:r="http://schemas.openxmlformats.org/officeDocument/2006/relationships" ref="W31" r:id="rId87"/>
    <hyperlink xmlns:r="http://schemas.openxmlformats.org/officeDocument/2006/relationships" ref="U32" r:id="rId88"/>
    <hyperlink xmlns:r="http://schemas.openxmlformats.org/officeDocument/2006/relationships" ref="V32" r:id="rId89"/>
    <hyperlink xmlns:r="http://schemas.openxmlformats.org/officeDocument/2006/relationships" ref="W32" r:id="rId90"/>
    <hyperlink xmlns:r="http://schemas.openxmlformats.org/officeDocument/2006/relationships" ref="U33" r:id="rId91"/>
    <hyperlink xmlns:r="http://schemas.openxmlformats.org/officeDocument/2006/relationships" ref="V33" r:id="rId92"/>
    <hyperlink xmlns:r="http://schemas.openxmlformats.org/officeDocument/2006/relationships" ref="W33" r:id="rId93"/>
    <hyperlink xmlns:r="http://schemas.openxmlformats.org/officeDocument/2006/relationships" ref="U34" r:id="rId94"/>
    <hyperlink xmlns:r="http://schemas.openxmlformats.org/officeDocument/2006/relationships" ref="V34" r:id="rId95"/>
    <hyperlink xmlns:r="http://schemas.openxmlformats.org/officeDocument/2006/relationships" ref="W34" r:id="rId96"/>
    <hyperlink xmlns:r="http://schemas.openxmlformats.org/officeDocument/2006/relationships" ref="U35" r:id="rId97"/>
    <hyperlink xmlns:r="http://schemas.openxmlformats.org/officeDocument/2006/relationships" ref="V35" r:id="rId98"/>
    <hyperlink xmlns:r="http://schemas.openxmlformats.org/officeDocument/2006/relationships" ref="W35" r:id="rId99"/>
    <hyperlink xmlns:r="http://schemas.openxmlformats.org/officeDocument/2006/relationships" ref="U36" r:id="rId100"/>
    <hyperlink xmlns:r="http://schemas.openxmlformats.org/officeDocument/2006/relationships" ref="V36" r:id="rId101"/>
    <hyperlink xmlns:r="http://schemas.openxmlformats.org/officeDocument/2006/relationships" ref="W36" r:id="rId102"/>
    <hyperlink xmlns:r="http://schemas.openxmlformats.org/officeDocument/2006/relationships" ref="U37" r:id="rId103"/>
    <hyperlink xmlns:r="http://schemas.openxmlformats.org/officeDocument/2006/relationships" ref="V37" r:id="rId104"/>
    <hyperlink xmlns:r="http://schemas.openxmlformats.org/officeDocument/2006/relationships" ref="W37" r:id="rId105"/>
    <hyperlink xmlns:r="http://schemas.openxmlformats.org/officeDocument/2006/relationships" ref="U38" r:id="rId106"/>
    <hyperlink xmlns:r="http://schemas.openxmlformats.org/officeDocument/2006/relationships" ref="V38" r:id="rId107"/>
    <hyperlink xmlns:r="http://schemas.openxmlformats.org/officeDocument/2006/relationships" ref="W38" r:id="rId108"/>
    <hyperlink xmlns:r="http://schemas.openxmlformats.org/officeDocument/2006/relationships" ref="U39" r:id="rId109"/>
    <hyperlink xmlns:r="http://schemas.openxmlformats.org/officeDocument/2006/relationships" ref="V39" r:id="rId110"/>
    <hyperlink xmlns:r="http://schemas.openxmlformats.org/officeDocument/2006/relationships" ref="W39" r:id="rId111"/>
    <hyperlink xmlns:r="http://schemas.openxmlformats.org/officeDocument/2006/relationships" ref="U40" r:id="rId112"/>
    <hyperlink xmlns:r="http://schemas.openxmlformats.org/officeDocument/2006/relationships" ref="V40" r:id="rId113"/>
    <hyperlink xmlns:r="http://schemas.openxmlformats.org/officeDocument/2006/relationships" ref="W40" r:id="rId114"/>
    <hyperlink xmlns:r="http://schemas.openxmlformats.org/officeDocument/2006/relationships" ref="U41" r:id="rId115"/>
    <hyperlink xmlns:r="http://schemas.openxmlformats.org/officeDocument/2006/relationships" ref="V41" r:id="rId116"/>
    <hyperlink xmlns:r="http://schemas.openxmlformats.org/officeDocument/2006/relationships" ref="W41" r:id="rId117"/>
    <hyperlink xmlns:r="http://schemas.openxmlformats.org/officeDocument/2006/relationships" ref="U42" r:id="rId118"/>
    <hyperlink xmlns:r="http://schemas.openxmlformats.org/officeDocument/2006/relationships" ref="V42" r:id="rId119"/>
    <hyperlink xmlns:r="http://schemas.openxmlformats.org/officeDocument/2006/relationships" ref="W42" r:id="rId120"/>
    <hyperlink xmlns:r="http://schemas.openxmlformats.org/officeDocument/2006/relationships" ref="U43" r:id="rId121"/>
    <hyperlink xmlns:r="http://schemas.openxmlformats.org/officeDocument/2006/relationships" ref="V43" r:id="rId122"/>
    <hyperlink xmlns:r="http://schemas.openxmlformats.org/officeDocument/2006/relationships" ref="W43" r:id="rId123"/>
    <hyperlink xmlns:r="http://schemas.openxmlformats.org/officeDocument/2006/relationships" ref="U44" r:id="rId124"/>
    <hyperlink xmlns:r="http://schemas.openxmlformats.org/officeDocument/2006/relationships" ref="W44" r:id="rId125"/>
    <hyperlink xmlns:r="http://schemas.openxmlformats.org/officeDocument/2006/relationships" ref="U45" r:id="rId126"/>
    <hyperlink xmlns:r="http://schemas.openxmlformats.org/officeDocument/2006/relationships" ref="V45" r:id="rId127"/>
    <hyperlink xmlns:r="http://schemas.openxmlformats.org/officeDocument/2006/relationships" ref="W45" r:id="rId128"/>
    <hyperlink xmlns:r="http://schemas.openxmlformats.org/officeDocument/2006/relationships" ref="U46" r:id="rId129"/>
    <hyperlink xmlns:r="http://schemas.openxmlformats.org/officeDocument/2006/relationships" ref="V46" r:id="rId130"/>
    <hyperlink xmlns:r="http://schemas.openxmlformats.org/officeDocument/2006/relationships" ref="W46" r:id="rId131"/>
    <hyperlink xmlns:r="http://schemas.openxmlformats.org/officeDocument/2006/relationships" ref="U47" r:id="rId132"/>
    <hyperlink xmlns:r="http://schemas.openxmlformats.org/officeDocument/2006/relationships" ref="V47" r:id="rId133"/>
    <hyperlink xmlns:r="http://schemas.openxmlformats.org/officeDocument/2006/relationships" ref="W47" r:id="rId134"/>
    <hyperlink xmlns:r="http://schemas.openxmlformats.org/officeDocument/2006/relationships" ref="U48" r:id="rId135"/>
    <hyperlink xmlns:r="http://schemas.openxmlformats.org/officeDocument/2006/relationships" ref="V48" r:id="rId136"/>
    <hyperlink xmlns:r="http://schemas.openxmlformats.org/officeDocument/2006/relationships" ref="W48" r:id="rId137"/>
    <hyperlink xmlns:r="http://schemas.openxmlformats.org/officeDocument/2006/relationships" ref="U49" r:id="rId138"/>
    <hyperlink xmlns:r="http://schemas.openxmlformats.org/officeDocument/2006/relationships" ref="V49" r:id="rId139"/>
    <hyperlink xmlns:r="http://schemas.openxmlformats.org/officeDocument/2006/relationships" ref="W49" r:id="rId140"/>
    <hyperlink xmlns:r="http://schemas.openxmlformats.org/officeDocument/2006/relationships" ref="U50" r:id="rId141"/>
    <hyperlink xmlns:r="http://schemas.openxmlformats.org/officeDocument/2006/relationships" ref="V50" r:id="rId142"/>
    <hyperlink xmlns:r="http://schemas.openxmlformats.org/officeDocument/2006/relationships" ref="W50" r:id="rId143"/>
    <hyperlink xmlns:r="http://schemas.openxmlformats.org/officeDocument/2006/relationships" ref="U51" r:id="rId144"/>
    <hyperlink xmlns:r="http://schemas.openxmlformats.org/officeDocument/2006/relationships" ref="V51" r:id="rId145"/>
    <hyperlink xmlns:r="http://schemas.openxmlformats.org/officeDocument/2006/relationships" ref="W51" r:id="rId146"/>
    <hyperlink xmlns:r="http://schemas.openxmlformats.org/officeDocument/2006/relationships" ref="U52" r:id="rId147"/>
    <hyperlink xmlns:r="http://schemas.openxmlformats.org/officeDocument/2006/relationships" ref="V52" r:id="rId148"/>
    <hyperlink xmlns:r="http://schemas.openxmlformats.org/officeDocument/2006/relationships" ref="W52" r:id="rId149"/>
    <hyperlink xmlns:r="http://schemas.openxmlformats.org/officeDocument/2006/relationships" ref="U53" r:id="rId150"/>
    <hyperlink xmlns:r="http://schemas.openxmlformats.org/officeDocument/2006/relationships" ref="W53" r:id="rId151"/>
    <hyperlink xmlns:r="http://schemas.openxmlformats.org/officeDocument/2006/relationships" ref="U54" r:id="rId152"/>
    <hyperlink xmlns:r="http://schemas.openxmlformats.org/officeDocument/2006/relationships" ref="V54" r:id="rId153"/>
    <hyperlink xmlns:r="http://schemas.openxmlformats.org/officeDocument/2006/relationships" ref="W54" r:id="rId154"/>
    <hyperlink xmlns:r="http://schemas.openxmlformats.org/officeDocument/2006/relationships" ref="U55" r:id="rId155"/>
    <hyperlink xmlns:r="http://schemas.openxmlformats.org/officeDocument/2006/relationships" ref="W55" r:id="rId156"/>
    <hyperlink xmlns:r="http://schemas.openxmlformats.org/officeDocument/2006/relationships" ref="U56" r:id="rId157"/>
    <hyperlink xmlns:r="http://schemas.openxmlformats.org/officeDocument/2006/relationships" ref="V56" r:id="rId158"/>
    <hyperlink xmlns:r="http://schemas.openxmlformats.org/officeDocument/2006/relationships" ref="W56" r:id="rId159"/>
    <hyperlink xmlns:r="http://schemas.openxmlformats.org/officeDocument/2006/relationships" ref="U57" r:id="rId160"/>
    <hyperlink xmlns:r="http://schemas.openxmlformats.org/officeDocument/2006/relationships" ref="V57" r:id="rId161"/>
    <hyperlink xmlns:r="http://schemas.openxmlformats.org/officeDocument/2006/relationships" ref="W57" r:id="rId162"/>
    <hyperlink xmlns:r="http://schemas.openxmlformats.org/officeDocument/2006/relationships" ref="U58" r:id="rId163"/>
    <hyperlink xmlns:r="http://schemas.openxmlformats.org/officeDocument/2006/relationships" ref="V58" r:id="rId164"/>
    <hyperlink xmlns:r="http://schemas.openxmlformats.org/officeDocument/2006/relationships" ref="W58" r:id="rId165"/>
    <hyperlink xmlns:r="http://schemas.openxmlformats.org/officeDocument/2006/relationships" ref="U59" r:id="rId166"/>
    <hyperlink xmlns:r="http://schemas.openxmlformats.org/officeDocument/2006/relationships" ref="V59" r:id="rId167"/>
    <hyperlink xmlns:r="http://schemas.openxmlformats.org/officeDocument/2006/relationships" ref="W59" r:id="rId168"/>
    <hyperlink xmlns:r="http://schemas.openxmlformats.org/officeDocument/2006/relationships" ref="U60" r:id="rId169"/>
    <hyperlink xmlns:r="http://schemas.openxmlformats.org/officeDocument/2006/relationships" ref="V60" r:id="rId170"/>
    <hyperlink xmlns:r="http://schemas.openxmlformats.org/officeDocument/2006/relationships" ref="W60" r:id="rId171"/>
    <hyperlink xmlns:r="http://schemas.openxmlformats.org/officeDocument/2006/relationships" ref="U61" r:id="rId172"/>
    <hyperlink xmlns:r="http://schemas.openxmlformats.org/officeDocument/2006/relationships" ref="V61" r:id="rId173"/>
    <hyperlink xmlns:r="http://schemas.openxmlformats.org/officeDocument/2006/relationships" ref="W61" r:id="rId174"/>
    <hyperlink xmlns:r="http://schemas.openxmlformats.org/officeDocument/2006/relationships" ref="U62" r:id="rId175"/>
    <hyperlink xmlns:r="http://schemas.openxmlformats.org/officeDocument/2006/relationships" ref="V62" r:id="rId176"/>
    <hyperlink xmlns:r="http://schemas.openxmlformats.org/officeDocument/2006/relationships" ref="W62" r:id="rId177"/>
    <hyperlink xmlns:r="http://schemas.openxmlformats.org/officeDocument/2006/relationships" ref="U63" r:id="rId178"/>
    <hyperlink xmlns:r="http://schemas.openxmlformats.org/officeDocument/2006/relationships" ref="V63" r:id="rId179"/>
    <hyperlink xmlns:r="http://schemas.openxmlformats.org/officeDocument/2006/relationships" ref="W63" r:id="rId180"/>
    <hyperlink xmlns:r="http://schemas.openxmlformats.org/officeDocument/2006/relationships" ref="U64" r:id="rId181"/>
    <hyperlink xmlns:r="http://schemas.openxmlformats.org/officeDocument/2006/relationships" ref="V64" r:id="rId182"/>
    <hyperlink xmlns:r="http://schemas.openxmlformats.org/officeDocument/2006/relationships" ref="W64" r:id="rId183"/>
    <hyperlink xmlns:r="http://schemas.openxmlformats.org/officeDocument/2006/relationships" ref="U65" r:id="rId184"/>
    <hyperlink xmlns:r="http://schemas.openxmlformats.org/officeDocument/2006/relationships" ref="V65" r:id="rId185"/>
    <hyperlink xmlns:r="http://schemas.openxmlformats.org/officeDocument/2006/relationships" ref="W65" r:id="rId186"/>
    <hyperlink xmlns:r="http://schemas.openxmlformats.org/officeDocument/2006/relationships" ref="U66" r:id="rId187"/>
    <hyperlink xmlns:r="http://schemas.openxmlformats.org/officeDocument/2006/relationships" ref="V66" r:id="rId188"/>
    <hyperlink xmlns:r="http://schemas.openxmlformats.org/officeDocument/2006/relationships" ref="W66" r:id="rId189"/>
    <hyperlink xmlns:r="http://schemas.openxmlformats.org/officeDocument/2006/relationships" ref="U67" r:id="rId190"/>
    <hyperlink xmlns:r="http://schemas.openxmlformats.org/officeDocument/2006/relationships" ref="V67" r:id="rId191"/>
    <hyperlink xmlns:r="http://schemas.openxmlformats.org/officeDocument/2006/relationships" ref="W67" r:id="rId192"/>
    <hyperlink xmlns:r="http://schemas.openxmlformats.org/officeDocument/2006/relationships" ref="U68" r:id="rId193"/>
    <hyperlink xmlns:r="http://schemas.openxmlformats.org/officeDocument/2006/relationships" ref="V68" r:id="rId194"/>
    <hyperlink xmlns:r="http://schemas.openxmlformats.org/officeDocument/2006/relationships" ref="W68" r:id="rId195"/>
    <hyperlink xmlns:r="http://schemas.openxmlformats.org/officeDocument/2006/relationships" ref="U69" r:id="rId196"/>
    <hyperlink xmlns:r="http://schemas.openxmlformats.org/officeDocument/2006/relationships" ref="V69" r:id="rId197"/>
    <hyperlink xmlns:r="http://schemas.openxmlformats.org/officeDocument/2006/relationships" ref="W69" r:id="rId198"/>
    <hyperlink xmlns:r="http://schemas.openxmlformats.org/officeDocument/2006/relationships" ref="U70" r:id="rId199"/>
    <hyperlink xmlns:r="http://schemas.openxmlformats.org/officeDocument/2006/relationships" ref="V70" r:id="rId200"/>
    <hyperlink xmlns:r="http://schemas.openxmlformats.org/officeDocument/2006/relationships" ref="W70" r:id="rId201"/>
    <hyperlink xmlns:r="http://schemas.openxmlformats.org/officeDocument/2006/relationships" ref="U71" r:id="rId202"/>
    <hyperlink xmlns:r="http://schemas.openxmlformats.org/officeDocument/2006/relationships" ref="W71" r:id="rId203"/>
    <hyperlink xmlns:r="http://schemas.openxmlformats.org/officeDocument/2006/relationships" ref="U72" r:id="rId204"/>
    <hyperlink xmlns:r="http://schemas.openxmlformats.org/officeDocument/2006/relationships" ref="V72" r:id="rId205"/>
    <hyperlink xmlns:r="http://schemas.openxmlformats.org/officeDocument/2006/relationships" ref="W72" r:id="rId206"/>
    <hyperlink xmlns:r="http://schemas.openxmlformats.org/officeDocument/2006/relationships" ref="U73" r:id="rId207"/>
    <hyperlink xmlns:r="http://schemas.openxmlformats.org/officeDocument/2006/relationships" ref="V73" r:id="rId208"/>
    <hyperlink xmlns:r="http://schemas.openxmlformats.org/officeDocument/2006/relationships" ref="W73" r:id="rId209"/>
    <hyperlink xmlns:r="http://schemas.openxmlformats.org/officeDocument/2006/relationships" ref="U74" r:id="rId210"/>
    <hyperlink xmlns:r="http://schemas.openxmlformats.org/officeDocument/2006/relationships" ref="V74" r:id="rId211"/>
    <hyperlink xmlns:r="http://schemas.openxmlformats.org/officeDocument/2006/relationships" ref="W74" r:id="rId212"/>
    <hyperlink xmlns:r="http://schemas.openxmlformats.org/officeDocument/2006/relationships" ref="U75" r:id="rId213"/>
    <hyperlink xmlns:r="http://schemas.openxmlformats.org/officeDocument/2006/relationships" ref="V75" r:id="rId214"/>
    <hyperlink xmlns:r="http://schemas.openxmlformats.org/officeDocument/2006/relationships" ref="W75" r:id="rId215"/>
    <hyperlink xmlns:r="http://schemas.openxmlformats.org/officeDocument/2006/relationships" ref="U76" r:id="rId216"/>
    <hyperlink xmlns:r="http://schemas.openxmlformats.org/officeDocument/2006/relationships" ref="V76" r:id="rId217"/>
    <hyperlink xmlns:r="http://schemas.openxmlformats.org/officeDocument/2006/relationships" ref="W76" r:id="rId218"/>
    <hyperlink xmlns:r="http://schemas.openxmlformats.org/officeDocument/2006/relationships" ref="U77" r:id="rId219"/>
    <hyperlink xmlns:r="http://schemas.openxmlformats.org/officeDocument/2006/relationships" ref="V77" r:id="rId220"/>
    <hyperlink xmlns:r="http://schemas.openxmlformats.org/officeDocument/2006/relationships" ref="W77" r:id="rId221"/>
    <hyperlink xmlns:r="http://schemas.openxmlformats.org/officeDocument/2006/relationships" ref="U78" r:id="rId222"/>
    <hyperlink xmlns:r="http://schemas.openxmlformats.org/officeDocument/2006/relationships" ref="V78" r:id="rId223"/>
    <hyperlink xmlns:r="http://schemas.openxmlformats.org/officeDocument/2006/relationships" ref="W78" r:id="rId224"/>
    <hyperlink xmlns:r="http://schemas.openxmlformats.org/officeDocument/2006/relationships" ref="U79" r:id="rId225"/>
    <hyperlink xmlns:r="http://schemas.openxmlformats.org/officeDocument/2006/relationships" ref="V79" r:id="rId226"/>
    <hyperlink xmlns:r="http://schemas.openxmlformats.org/officeDocument/2006/relationships" ref="W79" r:id="rId227"/>
    <hyperlink xmlns:r="http://schemas.openxmlformats.org/officeDocument/2006/relationships" ref="U80" r:id="rId228"/>
    <hyperlink xmlns:r="http://schemas.openxmlformats.org/officeDocument/2006/relationships" ref="V80" r:id="rId229"/>
    <hyperlink xmlns:r="http://schemas.openxmlformats.org/officeDocument/2006/relationships" ref="W80" r:id="rId230"/>
    <hyperlink xmlns:r="http://schemas.openxmlformats.org/officeDocument/2006/relationships" ref="U81" r:id="rId231"/>
    <hyperlink xmlns:r="http://schemas.openxmlformats.org/officeDocument/2006/relationships" ref="V81" r:id="rId232"/>
    <hyperlink xmlns:r="http://schemas.openxmlformats.org/officeDocument/2006/relationships" ref="W81" r:id="rId233"/>
    <hyperlink xmlns:r="http://schemas.openxmlformats.org/officeDocument/2006/relationships" ref="U82" r:id="rId234"/>
    <hyperlink xmlns:r="http://schemas.openxmlformats.org/officeDocument/2006/relationships" ref="V82" r:id="rId235"/>
    <hyperlink xmlns:r="http://schemas.openxmlformats.org/officeDocument/2006/relationships" ref="W82" r:id="rId236"/>
    <hyperlink xmlns:r="http://schemas.openxmlformats.org/officeDocument/2006/relationships" ref="U83" r:id="rId237"/>
    <hyperlink xmlns:r="http://schemas.openxmlformats.org/officeDocument/2006/relationships" ref="V83" r:id="rId238"/>
    <hyperlink xmlns:r="http://schemas.openxmlformats.org/officeDocument/2006/relationships" ref="W83" r:id="rId239"/>
    <hyperlink xmlns:r="http://schemas.openxmlformats.org/officeDocument/2006/relationships" ref="U84" r:id="rId240"/>
    <hyperlink xmlns:r="http://schemas.openxmlformats.org/officeDocument/2006/relationships" ref="V84" r:id="rId241"/>
    <hyperlink xmlns:r="http://schemas.openxmlformats.org/officeDocument/2006/relationships" ref="W84" r:id="rId242"/>
    <hyperlink xmlns:r="http://schemas.openxmlformats.org/officeDocument/2006/relationships" ref="U85" r:id="rId243"/>
    <hyperlink xmlns:r="http://schemas.openxmlformats.org/officeDocument/2006/relationships" ref="V85" r:id="rId244"/>
    <hyperlink xmlns:r="http://schemas.openxmlformats.org/officeDocument/2006/relationships" ref="W85" r:id="rId245"/>
    <hyperlink xmlns:r="http://schemas.openxmlformats.org/officeDocument/2006/relationships" ref="U86" r:id="rId246"/>
    <hyperlink xmlns:r="http://schemas.openxmlformats.org/officeDocument/2006/relationships" ref="V86" r:id="rId247"/>
    <hyperlink xmlns:r="http://schemas.openxmlformats.org/officeDocument/2006/relationships" ref="W86" r:id="rId248"/>
    <hyperlink xmlns:r="http://schemas.openxmlformats.org/officeDocument/2006/relationships" ref="U87" r:id="rId249"/>
    <hyperlink xmlns:r="http://schemas.openxmlformats.org/officeDocument/2006/relationships" ref="W87" r:id="rId250"/>
    <hyperlink xmlns:r="http://schemas.openxmlformats.org/officeDocument/2006/relationships" ref="U88" r:id="rId251"/>
    <hyperlink xmlns:r="http://schemas.openxmlformats.org/officeDocument/2006/relationships" ref="V88" r:id="rId252"/>
    <hyperlink xmlns:r="http://schemas.openxmlformats.org/officeDocument/2006/relationships" ref="W88" r:id="rId253"/>
    <hyperlink xmlns:r="http://schemas.openxmlformats.org/officeDocument/2006/relationships" ref="U89" r:id="rId254"/>
    <hyperlink xmlns:r="http://schemas.openxmlformats.org/officeDocument/2006/relationships" ref="V89" r:id="rId255"/>
    <hyperlink xmlns:r="http://schemas.openxmlformats.org/officeDocument/2006/relationships" ref="W89" r:id="rId256"/>
    <hyperlink xmlns:r="http://schemas.openxmlformats.org/officeDocument/2006/relationships" ref="U90" r:id="rId257"/>
    <hyperlink xmlns:r="http://schemas.openxmlformats.org/officeDocument/2006/relationships" ref="V90" r:id="rId258"/>
    <hyperlink xmlns:r="http://schemas.openxmlformats.org/officeDocument/2006/relationships" ref="W90" r:id="rId259"/>
    <hyperlink xmlns:r="http://schemas.openxmlformats.org/officeDocument/2006/relationships" ref="U91" r:id="rId260"/>
    <hyperlink xmlns:r="http://schemas.openxmlformats.org/officeDocument/2006/relationships" ref="V91" r:id="rId261"/>
    <hyperlink xmlns:r="http://schemas.openxmlformats.org/officeDocument/2006/relationships" ref="W91" r:id="rId262"/>
    <hyperlink xmlns:r="http://schemas.openxmlformats.org/officeDocument/2006/relationships" ref="U92" r:id="rId263"/>
    <hyperlink xmlns:r="http://schemas.openxmlformats.org/officeDocument/2006/relationships" ref="V92" r:id="rId264"/>
    <hyperlink xmlns:r="http://schemas.openxmlformats.org/officeDocument/2006/relationships" ref="W92" r:id="rId265"/>
    <hyperlink xmlns:r="http://schemas.openxmlformats.org/officeDocument/2006/relationships" ref="U93" r:id="rId266"/>
    <hyperlink xmlns:r="http://schemas.openxmlformats.org/officeDocument/2006/relationships" ref="W93" r:id="rId267"/>
    <hyperlink xmlns:r="http://schemas.openxmlformats.org/officeDocument/2006/relationships" ref="U94" r:id="rId268"/>
    <hyperlink xmlns:r="http://schemas.openxmlformats.org/officeDocument/2006/relationships" ref="V94" r:id="rId269"/>
    <hyperlink xmlns:r="http://schemas.openxmlformats.org/officeDocument/2006/relationships" ref="W94" r:id="rId270"/>
    <hyperlink xmlns:r="http://schemas.openxmlformats.org/officeDocument/2006/relationships" ref="U95" r:id="rId271"/>
    <hyperlink xmlns:r="http://schemas.openxmlformats.org/officeDocument/2006/relationships" ref="V95" r:id="rId272"/>
    <hyperlink xmlns:r="http://schemas.openxmlformats.org/officeDocument/2006/relationships" ref="W95" r:id="rId273"/>
    <hyperlink xmlns:r="http://schemas.openxmlformats.org/officeDocument/2006/relationships" ref="U96" r:id="rId274"/>
    <hyperlink xmlns:r="http://schemas.openxmlformats.org/officeDocument/2006/relationships" ref="V96" r:id="rId275"/>
    <hyperlink xmlns:r="http://schemas.openxmlformats.org/officeDocument/2006/relationships" ref="W96" r:id="rId276"/>
    <hyperlink xmlns:r="http://schemas.openxmlformats.org/officeDocument/2006/relationships" ref="U97" r:id="rId277"/>
    <hyperlink xmlns:r="http://schemas.openxmlformats.org/officeDocument/2006/relationships" ref="V97" r:id="rId278"/>
    <hyperlink xmlns:r="http://schemas.openxmlformats.org/officeDocument/2006/relationships" ref="W97" r:id="rId279"/>
    <hyperlink xmlns:r="http://schemas.openxmlformats.org/officeDocument/2006/relationships" ref="U98" r:id="rId280"/>
    <hyperlink xmlns:r="http://schemas.openxmlformats.org/officeDocument/2006/relationships" ref="W98" r:id="rId281"/>
    <hyperlink xmlns:r="http://schemas.openxmlformats.org/officeDocument/2006/relationships" ref="U99" r:id="rId282"/>
    <hyperlink xmlns:r="http://schemas.openxmlformats.org/officeDocument/2006/relationships" ref="V99" r:id="rId283"/>
    <hyperlink xmlns:r="http://schemas.openxmlformats.org/officeDocument/2006/relationships" ref="W99" r:id="rId284"/>
    <hyperlink xmlns:r="http://schemas.openxmlformats.org/officeDocument/2006/relationships" ref="U100" r:id="rId285"/>
    <hyperlink xmlns:r="http://schemas.openxmlformats.org/officeDocument/2006/relationships" ref="V100" r:id="rId286"/>
    <hyperlink xmlns:r="http://schemas.openxmlformats.org/officeDocument/2006/relationships" ref="W100" r:id="rId287"/>
    <hyperlink xmlns:r="http://schemas.openxmlformats.org/officeDocument/2006/relationships" ref="U101" r:id="rId288"/>
    <hyperlink xmlns:r="http://schemas.openxmlformats.org/officeDocument/2006/relationships" ref="V101" r:id="rId289"/>
    <hyperlink xmlns:r="http://schemas.openxmlformats.org/officeDocument/2006/relationships" ref="W101" r:id="rId290"/>
    <hyperlink xmlns:r="http://schemas.openxmlformats.org/officeDocument/2006/relationships" ref="U102" r:id="rId291"/>
    <hyperlink xmlns:r="http://schemas.openxmlformats.org/officeDocument/2006/relationships" ref="V102" r:id="rId292"/>
    <hyperlink xmlns:r="http://schemas.openxmlformats.org/officeDocument/2006/relationships" ref="W102" r:id="rId293"/>
  </hyperlinks>
  <pageMargins left="0.75" right="0.75" top="1" bottom="1" header="0.5" footer="0.5"/>
  <pageSetup orientation="landscape" paperSize="9" fitToHeight="0" fitToWidth="1"/>
  <tableParts count="1">
    <tablePart xmlns:r="http://schemas.openxmlformats.org/officeDocument/2006/relationships" r:id="rId294"/>
  </tableParts>
</worksheet>
</file>

<file path=xl/worksheets/sheet2.xml><?xml version="1.0" encoding="utf-8"?>
<worksheet xmlns="http://schemas.openxmlformats.org/spreadsheetml/2006/main">
  <sheetPr>
    <outlinePr summaryBelow="1" summaryRight="1"/>
    <pageSetUpPr fitToPage="1"/>
  </sheetPr>
  <dimension ref="A1:F35"/>
  <sheetViews>
    <sheetView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0" t="inlineStr">
        <is>
          <t>Licitaciones de obras en plazo · Resumen</t>
        </is>
      </c>
    </row>
    <row r="3">
      <c r="A3" s="11" t="inlineStr">
        <is>
          <t>Actualizado</t>
        </is>
      </c>
      <c r="B3" s="12" t="n">
        <v>46321.28657407407</v>
      </c>
    </row>
    <row r="4">
      <c r="A4" s="11" t="inlineStr">
        <is>
          <t>Ámbito (códigos NUTS)</t>
        </is>
      </c>
      <c r="B4" s="13" t="inlineStr">
        <is>
          <t>ES52, ES61</t>
        </is>
      </c>
    </row>
    <row r="5">
      <c r="A5" s="11" t="inlineStr">
        <is>
          <t>Rango de presupuesto base sin IVA</t>
        </is>
      </c>
      <c r="B5" s="13" t="inlineStr">
        <is>
          <t>entre 500.000,00 € y ∞</t>
        </is>
      </c>
    </row>
    <row r="6">
      <c r="A6" s="11" t="inlineStr">
        <is>
          <t>Fuentes leídas</t>
        </is>
      </c>
      <c r="B6" s="13" t="inlineStr">
        <is>
          <t>0 fichero(s) mensual(es) + 14 página(s) del feed</t>
        </is>
      </c>
    </row>
    <row r="7">
      <c r="A7" s="11" t="inlineStr">
        <is>
          <t>Entradas leídas</t>
        </is>
      </c>
      <c r="B7" s="14" t="n">
        <v>6555</v>
      </c>
    </row>
    <row r="8">
      <c r="A8" s="11" t="inlineStr">
        <is>
          <t>Periodo cubierto en esta lectura</t>
        </is>
      </c>
      <c r="B8" s="13" t="inlineStr">
        <is>
          <t>21/10/2026 – 25/10/2026</t>
        </is>
      </c>
    </row>
    <row r="9">
      <c r="A9" s="11" t="inlineStr">
        <is>
          <t>Licitaciones en la base</t>
        </is>
      </c>
      <c r="B9" s="14" t="n">
        <v>2050</v>
      </c>
    </row>
    <row r="10">
      <c r="A10" s="11" t="inlineStr">
        <is>
          <t>En plazo</t>
        </is>
      </c>
      <c r="B10" s="14">
        <f>COUNTA('En plazo'!$J$2:$J$102)</f>
        <v/>
      </c>
    </row>
    <row r="11">
      <c r="A11" s="11" t="inlineStr">
        <is>
          <t>Importe total en plazo</t>
        </is>
      </c>
      <c r="B11" s="15">
        <f>SUM('En plazo'!$D$2:$D$102)</f>
        <v/>
      </c>
    </row>
    <row r="12">
      <c r="A12" s="11" t="inlineStr">
        <is>
          <t>Nuevas desde la ejecución anterior</t>
        </is>
      </c>
      <c r="B12" s="14">
        <f>COUNTIF('En plazo'!$A$2:$A$102,"SÍ")</f>
        <v/>
      </c>
    </row>
    <row r="13">
      <c r="A13" s="11" t="inlineStr">
        <is>
          <t>Con cambios registrados</t>
        </is>
      </c>
      <c r="B13" s="14">
        <f>COUNTIF('En plazo'!$Y$2:$Y$102,"?*")</f>
        <v/>
      </c>
    </row>
    <row r="14">
      <c r="A14" s="11" t="inlineStr">
        <is>
          <t>Vencen en 7 días o menos</t>
        </is>
      </c>
      <c r="B14" s="14">
        <f>COUNTIFS('En plazo'!$C$2:$C$102,"&gt;=0",'En plazo'!$C$2:$C$102,"&lt;=7")</f>
        <v/>
      </c>
    </row>
    <row r="16">
      <c r="A16" s="16" t="inlineStr">
        <is>
          <t>Por comunidad y provincia</t>
        </is>
      </c>
    </row>
    <row r="17">
      <c r="A17" s="17" t="inlineStr">
        <is>
          <t>Comunidad</t>
        </is>
      </c>
      <c r="B17" s="17" t="inlineStr">
        <is>
          <t>Provincia</t>
        </is>
      </c>
      <c r="C17" s="17" t="inlineStr">
        <is>
          <t>Nº en plazo</t>
        </is>
      </c>
      <c r="D17" s="17" t="inlineStr">
        <is>
          <t>Importe</t>
        </is>
      </c>
      <c r="E17" s="17" t="inlineStr">
        <is>
          <t>Nuevas</t>
        </is>
      </c>
      <c r="F17" s="17" t="inlineStr">
        <is>
          <t>Vencen ≤ 7 días</t>
        </is>
      </c>
    </row>
    <row r="18">
      <c r="A18" s="2" t="inlineStr">
        <is>
          <t>Andalucía</t>
        </is>
      </c>
      <c r="B18" s="2" t="inlineStr">
        <is>
          <t>Almería</t>
        </is>
      </c>
      <c r="C18" s="18">
        <f>COUNTIFS('En plazo'!$F$2:$F$102,"Andalucía",'En plazo'!$G$2:$G$102,"Almería")</f>
        <v/>
      </c>
      <c r="D18" s="5">
        <f>SUMIFS('En plazo'!$D$2:$D$102,'En plazo'!$F$2:$F$102,"Andalucía",'En plazo'!$G$2:$G$102,"Almería")</f>
        <v/>
      </c>
      <c r="E18" s="18">
        <f>COUNTIFS('En plazo'!$F$2:$F$102,"Andalucía",'En plazo'!$G$2:$G$102,"Almería",'En plazo'!$A$2:$A$102,"SÍ")</f>
        <v/>
      </c>
      <c r="F18" s="18">
        <f>COUNTIFS('En plazo'!$F$2:$F$102,"Andalucía",'En plazo'!$G$2:$G$102,"Almería",'En plazo'!$C$2:$C$102,"&gt;=0",'En plazo'!$C$2:$C$102,"&lt;=7")</f>
        <v/>
      </c>
    </row>
    <row r="19">
      <c r="A19" s="2" t="inlineStr">
        <is>
          <t>Andalucía</t>
        </is>
      </c>
      <c r="B19" s="2" t="inlineStr">
        <is>
          <t>Cádiz</t>
        </is>
      </c>
      <c r="C19" s="18">
        <f>COUNTIFS('En plazo'!$F$2:$F$102,"Andalucía",'En plazo'!$G$2:$G$102,"Cádiz")</f>
        <v/>
      </c>
      <c r="D19" s="5">
        <f>SUMIFS('En plazo'!$D$2:$D$102,'En plazo'!$F$2:$F$102,"Andalucía",'En plazo'!$G$2:$G$102,"Cádiz")</f>
        <v/>
      </c>
      <c r="E19" s="18">
        <f>COUNTIFS('En plazo'!$F$2:$F$102,"Andalucía",'En plazo'!$G$2:$G$102,"Cádiz",'En plazo'!$A$2:$A$102,"SÍ")</f>
        <v/>
      </c>
      <c r="F19" s="18">
        <f>COUNTIFS('En plazo'!$F$2:$F$102,"Andalucía",'En plazo'!$G$2:$G$102,"Cádiz",'En plazo'!$C$2:$C$102,"&gt;=0",'En plazo'!$C$2:$C$102,"&lt;=7")</f>
        <v/>
      </c>
    </row>
    <row r="20">
      <c r="A20" s="2" t="inlineStr">
        <is>
          <t>Andalucía</t>
        </is>
      </c>
      <c r="B20" s="2" t="inlineStr">
        <is>
          <t>Córdoba</t>
        </is>
      </c>
      <c r="C20" s="18">
        <f>COUNTIFS('En plazo'!$F$2:$F$102,"Andalucía",'En plazo'!$G$2:$G$102,"Córdoba")</f>
        <v/>
      </c>
      <c r="D20" s="5">
        <f>SUMIFS('En plazo'!$D$2:$D$102,'En plazo'!$F$2:$F$102,"Andalucía",'En plazo'!$G$2:$G$102,"Córdoba")</f>
        <v/>
      </c>
      <c r="E20" s="18">
        <f>COUNTIFS('En plazo'!$F$2:$F$102,"Andalucía",'En plazo'!$G$2:$G$102,"Córdoba",'En plazo'!$A$2:$A$102,"SÍ")</f>
        <v/>
      </c>
      <c r="F20" s="18">
        <f>COUNTIFS('En plazo'!$F$2:$F$102,"Andalucía",'En plazo'!$G$2:$G$102,"Córdoba",'En plazo'!$C$2:$C$102,"&gt;=0",'En plazo'!$C$2:$C$102,"&lt;=7")</f>
        <v/>
      </c>
    </row>
    <row r="21">
      <c r="A21" s="2" t="inlineStr">
        <is>
          <t>Andalucía</t>
        </is>
      </c>
      <c r="B21" s="2" t="inlineStr">
        <is>
          <t>Granada</t>
        </is>
      </c>
      <c r="C21" s="18">
        <f>COUNTIFS('En plazo'!$F$2:$F$102,"Andalucía",'En plazo'!$G$2:$G$102,"Granada")</f>
        <v/>
      </c>
      <c r="D21" s="5">
        <f>SUMIFS('En plazo'!$D$2:$D$102,'En plazo'!$F$2:$F$102,"Andalucía",'En plazo'!$G$2:$G$102,"Granada")</f>
        <v/>
      </c>
      <c r="E21" s="18">
        <f>COUNTIFS('En plazo'!$F$2:$F$102,"Andalucía",'En plazo'!$G$2:$G$102,"Granada",'En plazo'!$A$2:$A$102,"SÍ")</f>
        <v/>
      </c>
      <c r="F21" s="18">
        <f>COUNTIFS('En plazo'!$F$2:$F$102,"Andalucía",'En plazo'!$G$2:$G$102,"Granada",'En plazo'!$C$2:$C$102,"&gt;=0",'En plazo'!$C$2:$C$102,"&lt;=7")</f>
        <v/>
      </c>
    </row>
    <row r="22">
      <c r="A22" s="2" t="inlineStr">
        <is>
          <t>Andalucía</t>
        </is>
      </c>
      <c r="B22" s="2" t="inlineStr">
        <is>
          <t>Huelva</t>
        </is>
      </c>
      <c r="C22" s="18">
        <f>COUNTIFS('En plazo'!$F$2:$F$102,"Andalucía",'En plazo'!$G$2:$G$102,"Huelva")</f>
        <v/>
      </c>
      <c r="D22" s="5">
        <f>SUMIFS('En plazo'!$D$2:$D$102,'En plazo'!$F$2:$F$102,"Andalucía",'En plazo'!$G$2:$G$102,"Huelva")</f>
        <v/>
      </c>
      <c r="E22" s="18">
        <f>COUNTIFS('En plazo'!$F$2:$F$102,"Andalucía",'En plazo'!$G$2:$G$102,"Huelva",'En plazo'!$A$2:$A$102,"SÍ")</f>
        <v/>
      </c>
      <c r="F22" s="18">
        <f>COUNTIFS('En plazo'!$F$2:$F$102,"Andalucía",'En plazo'!$G$2:$G$102,"Huelva",'En plazo'!$C$2:$C$102,"&gt;=0",'En plazo'!$C$2:$C$102,"&lt;=7")</f>
        <v/>
      </c>
    </row>
    <row r="23">
      <c r="A23" s="2" t="inlineStr">
        <is>
          <t>Andalucía</t>
        </is>
      </c>
      <c r="B23" s="2" t="inlineStr">
        <is>
          <t>Jaén</t>
        </is>
      </c>
      <c r="C23" s="18">
        <f>COUNTIFS('En plazo'!$F$2:$F$102,"Andalucía",'En plazo'!$G$2:$G$102,"Jaén")</f>
        <v/>
      </c>
      <c r="D23" s="5">
        <f>SUMIFS('En plazo'!$D$2:$D$102,'En plazo'!$F$2:$F$102,"Andalucía",'En plazo'!$G$2:$G$102,"Jaén")</f>
        <v/>
      </c>
      <c r="E23" s="18">
        <f>COUNTIFS('En plazo'!$F$2:$F$102,"Andalucía",'En plazo'!$G$2:$G$102,"Jaén",'En plazo'!$A$2:$A$102,"SÍ")</f>
        <v/>
      </c>
      <c r="F23" s="18">
        <f>COUNTIFS('En plazo'!$F$2:$F$102,"Andalucía",'En plazo'!$G$2:$G$102,"Jaén",'En plazo'!$C$2:$C$102,"&gt;=0",'En plazo'!$C$2:$C$102,"&lt;=7")</f>
        <v/>
      </c>
    </row>
    <row r="24">
      <c r="A24" s="2" t="inlineStr">
        <is>
          <t>Andalucía</t>
        </is>
      </c>
      <c r="B24" s="2" t="inlineStr">
        <is>
          <t>Málaga</t>
        </is>
      </c>
      <c r="C24" s="18">
        <f>COUNTIFS('En plazo'!$F$2:$F$102,"Andalucía",'En plazo'!$G$2:$G$102,"Málaga")</f>
        <v/>
      </c>
      <c r="D24" s="5">
        <f>SUMIFS('En plazo'!$D$2:$D$102,'En plazo'!$F$2:$F$102,"Andalucía",'En plazo'!$G$2:$G$102,"Málaga")</f>
        <v/>
      </c>
      <c r="E24" s="18">
        <f>COUNTIFS('En plazo'!$F$2:$F$102,"Andalucía",'En plazo'!$G$2:$G$102,"Málaga",'En plazo'!$A$2:$A$102,"SÍ")</f>
        <v/>
      </c>
      <c r="F24" s="18">
        <f>COUNTIFS('En plazo'!$F$2:$F$102,"Andalucía",'En plazo'!$G$2:$G$102,"Málaga",'En plazo'!$C$2:$C$102,"&gt;=0",'En plazo'!$C$2:$C$102,"&lt;=7")</f>
        <v/>
      </c>
    </row>
    <row r="25">
      <c r="A25" s="2" t="inlineStr">
        <is>
          <t>Andalucía</t>
        </is>
      </c>
      <c r="B25" s="2" t="inlineStr">
        <is>
          <t>Sevilla</t>
        </is>
      </c>
      <c r="C25" s="18">
        <f>COUNTIFS('En plazo'!$F$2:$F$102,"Andalucía",'En plazo'!$G$2:$G$102,"Sevilla")</f>
        <v/>
      </c>
      <c r="D25" s="5">
        <f>SUMIFS('En plazo'!$D$2:$D$102,'En plazo'!$F$2:$F$102,"Andalucía",'En plazo'!$G$2:$G$102,"Sevilla")</f>
        <v/>
      </c>
      <c r="E25" s="18">
        <f>COUNTIFS('En plazo'!$F$2:$F$102,"Andalucía",'En plazo'!$G$2:$G$102,"Sevilla",'En plazo'!$A$2:$A$102,"SÍ")</f>
        <v/>
      </c>
      <c r="F25" s="18">
        <f>COUNTIFS('En plazo'!$F$2:$F$102,"Andalucía",'En plazo'!$G$2:$G$102,"Sevilla",'En plazo'!$C$2:$C$102,"&gt;=0",'En plazo'!$C$2:$C$102,"&lt;=7")</f>
        <v/>
      </c>
    </row>
    <row r="26">
      <c r="A26" s="2" t="inlineStr">
        <is>
          <t>Comunitat Valenciana</t>
        </is>
      </c>
      <c r="B26" s="2" t="inlineStr">
        <is>
          <t>(sin provincia)</t>
        </is>
      </c>
      <c r="C26" s="18">
        <f>COUNTIFS('En plazo'!$F$2:$F$102,"Comunitat Valenciana",'En plazo'!$G$2:$G$102,"")</f>
        <v/>
      </c>
      <c r="D26" s="5">
        <f>SUMIFS('En plazo'!$D$2:$D$102,'En plazo'!$F$2:$F$102,"Comunitat Valenciana",'En plazo'!$G$2:$G$102,"")</f>
        <v/>
      </c>
      <c r="E26" s="18">
        <f>COUNTIFS('En plazo'!$F$2:$F$102,"Comunitat Valenciana",'En plazo'!$G$2:$G$102,"",'En plazo'!$A$2:$A$102,"SÍ")</f>
        <v/>
      </c>
      <c r="F26" s="18">
        <f>COUNTIFS('En plazo'!$F$2:$F$102,"Comunitat Valenciana",'En plazo'!$G$2:$G$102,"",'En plazo'!$C$2:$C$102,"&gt;=0",'En plazo'!$C$2:$C$102,"&lt;=7")</f>
        <v/>
      </c>
    </row>
    <row r="27">
      <c r="A27" s="2" t="inlineStr">
        <is>
          <t>Comunitat Valenciana</t>
        </is>
      </c>
      <c r="B27" s="2" t="inlineStr">
        <is>
          <t>Alicante</t>
        </is>
      </c>
      <c r="C27" s="18">
        <f>COUNTIFS('En plazo'!$F$2:$F$102,"Comunitat Valenciana",'En plazo'!$G$2:$G$102,"Alicante")</f>
        <v/>
      </c>
      <c r="D27" s="5">
        <f>SUMIFS('En plazo'!$D$2:$D$102,'En plazo'!$F$2:$F$102,"Comunitat Valenciana",'En plazo'!$G$2:$G$102,"Alicante")</f>
        <v/>
      </c>
      <c r="E27" s="18">
        <f>COUNTIFS('En plazo'!$F$2:$F$102,"Comunitat Valenciana",'En plazo'!$G$2:$G$102,"Alicante",'En plazo'!$A$2:$A$102,"SÍ")</f>
        <v/>
      </c>
      <c r="F27" s="18">
        <f>COUNTIFS('En plazo'!$F$2:$F$102,"Comunitat Valenciana",'En plazo'!$G$2:$G$102,"Alicante",'En plazo'!$C$2:$C$102,"&gt;=0",'En plazo'!$C$2:$C$102,"&lt;=7")</f>
        <v/>
      </c>
    </row>
    <row r="28">
      <c r="A28" s="2" t="inlineStr">
        <is>
          <t>Comunitat Valenciana</t>
        </is>
      </c>
      <c r="B28" s="2" t="inlineStr">
        <is>
          <t>Castellón</t>
        </is>
      </c>
      <c r="C28" s="18">
        <f>COUNTIFS('En plazo'!$F$2:$F$102,"Comunitat Valenciana",'En plazo'!$G$2:$G$102,"Castellón")</f>
        <v/>
      </c>
      <c r="D28" s="5">
        <f>SUMIFS('En plazo'!$D$2:$D$102,'En plazo'!$F$2:$F$102,"Comunitat Valenciana",'En plazo'!$G$2:$G$102,"Castellón")</f>
        <v/>
      </c>
      <c r="E28" s="18">
        <f>COUNTIFS('En plazo'!$F$2:$F$102,"Comunitat Valenciana",'En plazo'!$G$2:$G$102,"Castellón",'En plazo'!$A$2:$A$102,"SÍ")</f>
        <v/>
      </c>
      <c r="F28" s="18">
        <f>COUNTIFS('En plazo'!$F$2:$F$102,"Comunitat Valenciana",'En plazo'!$G$2:$G$102,"Castellón",'En plazo'!$C$2:$C$102,"&gt;=0",'En plazo'!$C$2:$C$102,"&lt;=7")</f>
        <v/>
      </c>
    </row>
    <row r="29">
      <c r="A29" s="2" t="inlineStr">
        <is>
          <t>Comunitat Valenciana</t>
        </is>
      </c>
      <c r="B29" s="2" t="inlineStr">
        <is>
          <t>Valencia</t>
        </is>
      </c>
      <c r="C29" s="18">
        <f>COUNTIFS('En plazo'!$F$2:$F$102,"Comunitat Valenciana",'En plazo'!$G$2:$G$102,"Valencia")</f>
        <v/>
      </c>
      <c r="D29" s="5">
        <f>SUMIFS('En plazo'!$D$2:$D$102,'En plazo'!$F$2:$F$102,"Comunitat Valenciana",'En plazo'!$G$2:$G$102,"Valencia")</f>
        <v/>
      </c>
      <c r="E29" s="18">
        <f>COUNTIFS('En plazo'!$F$2:$F$102,"Comunitat Valenciana",'En plazo'!$G$2:$G$102,"Valencia",'En plazo'!$A$2:$A$102,"SÍ")</f>
        <v/>
      </c>
      <c r="F29" s="18">
        <f>COUNTIFS('En plazo'!$F$2:$F$102,"Comunitat Valenciana",'En plazo'!$G$2:$G$102,"Valencia",'En plazo'!$C$2:$C$102,"&gt;=0",'En plazo'!$C$2:$C$102,"&lt;=7")</f>
        <v/>
      </c>
    </row>
    <row r="30">
      <c r="A30" s="11" t="inlineStr">
        <is>
          <t>Total</t>
        </is>
      </c>
      <c r="C30" s="19">
        <f>SUM(C18:C29)</f>
        <v/>
      </c>
      <c r="D30" s="20">
        <f>SUM(D18:D29)</f>
        <v/>
      </c>
      <c r="E30" s="19">
        <f>SUM(E18:E29)</f>
        <v/>
      </c>
      <c r="F30" s="19">
        <f>SUM(F18:F29)</f>
        <v/>
      </c>
    </row>
    <row r="32">
      <c r="A32" s="21" t="inlineStr">
        <is>
          <t>Fuente: Plataforma de Contratación del Sector Público (feed ATOM licitacionesPerfilesContratanteCompleto3) y ficheros mensuales de datos abiertos del Ministerio de Hacienda.</t>
        </is>
      </c>
    </row>
    <row r="33">
      <c r="A33" s="21" t="inlineStr">
        <is>
          <t>Los días restantes y los vencimientos se recalculan con la fecha del día al abrir el libro.</t>
        </is>
      </c>
    </row>
    <row r="34">
      <c r="A34" s="21" t="inlineStr">
        <is>
          <t>Plazo de ejecución en meses: los plazos en días se dividen entre 30 y los de años se multiplican por 12.</t>
        </is>
      </c>
    </row>
    <row r="35">
      <c r="A35" s="21" t="inlineStr">
        <is>
          <t>Este libro se regenera en cada ejecución: las anotaciones que se hagan en él se pierden. Para el seguimiento, copiar las filas al libro de preselección.</t>
        </is>
      </c>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U17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 width="16" customWidth="1" min="4" max="4"/>
    <col width="20" customWidth="1" min="5" max="5"/>
    <col width="12" customWidth="1" min="6" max="6"/>
    <col width="20" customWidth="1" min="7" max="7"/>
    <col width="40" customWidth="1" min="8" max="8"/>
    <col width="70" customWidth="1" min="9" max="9"/>
    <col width="20" customWidth="1" min="10" max="10"/>
    <col width="18" customWidth="1" min="11" max="11"/>
    <col width="11" customWidth="1" min="12" max="12"/>
    <col width="16" customWidth="1" min="13" max="13"/>
    <col width="9" customWidth="1" min="14" max="14"/>
    <col width="7" customWidth="1" min="15" max="15"/>
    <col width="28" customWidth="1" min="16" max="16"/>
    <col width="9" customWidth="1" min="17" max="17"/>
    <col width="7" customWidth="1" min="18" max="18"/>
    <col width="12" customWidth="1" min="19" max="19"/>
    <col width="16" customWidth="1" min="20" max="20"/>
    <col width="50" customWidth="1" min="21" max="21"/>
  </cols>
  <sheetData>
    <row r="1" ht="32" customHeight="1">
      <c r="A1" s="1" t="inlineStr">
        <is>
          <t>Estado</t>
        </is>
      </c>
      <c r="B1" s="1" t="inlineStr">
        <is>
          <t>Fecha límite</t>
        </is>
      </c>
      <c r="C1" s="1" t="inlineStr">
        <is>
          <t>Presupuesto base sin IVA</t>
        </is>
      </c>
      <c r="D1" s="1" t="inlineStr">
        <is>
          <t>Valor estimado</t>
        </is>
      </c>
      <c r="E1" s="1" t="inlineStr">
        <is>
          <t>Comunidad</t>
        </is>
      </c>
      <c r="F1" s="1" t="inlineStr">
        <is>
          <t>Provincia</t>
        </is>
      </c>
      <c r="G1" s="1" t="inlineStr">
        <is>
          <t>Municipio</t>
        </is>
      </c>
      <c r="H1" s="1" t="inlineStr">
        <is>
          <t>Órgano de contratación</t>
        </is>
      </c>
      <c r="I1" s="1" t="inlineStr">
        <is>
          <t>Objeto</t>
        </is>
      </c>
      <c r="J1" s="1" t="inlineStr">
        <is>
          <t>Expediente</t>
        </is>
      </c>
      <c r="K1" s="1" t="inlineStr">
        <is>
          <t>Procedimiento</t>
        </is>
      </c>
      <c r="L1" s="1" t="inlineStr">
        <is>
          <t>Plazo de ejecución (meses)</t>
        </is>
      </c>
      <c r="M1" s="1" t="inlineStr">
        <is>
          <t>Clasificación exigida</t>
        </is>
      </c>
      <c r="N1" s="1" t="inlineStr">
        <is>
          <t>Juicio de valor</t>
        </is>
      </c>
      <c r="O1" s="1" t="inlineStr">
        <is>
          <t>Nº lotes</t>
        </is>
      </c>
      <c r="P1" s="1" t="inlineStr">
        <is>
          <t>CPV</t>
        </is>
      </c>
      <c r="Q1" s="1" t="inlineStr">
        <is>
          <t>Ficha PLACSP</t>
        </is>
      </c>
      <c r="R1" s="1" t="inlineStr">
        <is>
          <t>PCAP</t>
        </is>
      </c>
      <c r="S1" s="1" t="inlineStr">
        <is>
          <t>Primera detección</t>
        </is>
      </c>
      <c r="T1" s="1" t="inlineStr">
        <is>
          <t>Última actualización en PLACSP</t>
        </is>
      </c>
      <c r="U1" s="1" t="inlineStr">
        <is>
          <t>Cambios</t>
        </is>
      </c>
    </row>
    <row r="2">
      <c r="A2" s="2" t="inlineStr">
        <is>
          <t>En plazo</t>
        </is>
      </c>
      <c r="B2" s="3" t="n">
        <v>46335.58333333334</v>
      </c>
      <c r="C2" s="5" t="n">
        <v>65084.97</v>
      </c>
      <c r="D2" s="5" t="n">
        <v>65084.97</v>
      </c>
      <c r="E2" s="2" t="inlineStr">
        <is>
          <t>Andalucía</t>
        </is>
      </c>
      <c r="F2" s="2" t="inlineStr">
        <is>
          <t>Huelva</t>
        </is>
      </c>
      <c r="G2" s="2" t="inlineStr">
        <is>
          <t>santa bárbara de casa</t>
        </is>
      </c>
      <c r="H2" s="2" t="inlineStr">
        <is>
          <t>Alcaldía del Ayuntamiento de Santa Bárbara de Casa</t>
        </is>
      </c>
      <c r="I2" s="2" t="inlineStr">
        <is>
          <t>contrato de obras de urbanización mediante obras ordinarias</t>
        </is>
      </c>
      <c r="J2" s="2" t="inlineStr">
        <is>
          <t>480.1/2026</t>
        </is>
      </c>
      <c r="K2" s="2" t="inlineStr">
        <is>
          <t>Abierto simplificado</t>
        </is>
      </c>
      <c r="L2" s="6" t="n">
        <v>3</v>
      </c>
      <c r="M2" s="2" t="n"/>
      <c r="N2" s="7" t="n">
        <v>0</v>
      </c>
      <c r="O2" s="4" t="n"/>
      <c r="P2" s="2" t="inlineStr">
        <is>
          <t>45233252</t>
        </is>
      </c>
      <c r="Q2" s="8" t="inlineStr">
        <is>
          <t>Ver</t>
        </is>
      </c>
      <c r="R2" s="2" t="n"/>
      <c r="S2" s="9" t="n">
        <v>46321</v>
      </c>
      <c r="T2" s="3" t="n">
        <v>46320.80733796296</v>
      </c>
      <c r="U2" s="2" t="n"/>
    </row>
    <row r="3">
      <c r="A3" s="2" t="inlineStr">
        <is>
          <t>En plazo</t>
        </is>
      </c>
      <c r="B3" s="3" t="n">
        <v>46351.54166666666</v>
      </c>
      <c r="C3" s="5" t="n">
        <v>15485878.79</v>
      </c>
      <c r="D3" s="5" t="n">
        <v>20131642.43</v>
      </c>
      <c r="E3" s="2" t="inlineStr">
        <is>
          <t>Comunitat Valenciana</t>
        </is>
      </c>
      <c r="F3" s="2" t="inlineStr">
        <is>
          <t>Valencia</t>
        </is>
      </c>
      <c r="G3" s="2" t="inlineStr">
        <is>
          <t>Valencia</t>
        </is>
      </c>
      <c r="H3" s="2" t="inlineStr">
        <is>
          <t>Consejo de Administración de la Autoridad Portuaria de Valencia</t>
        </is>
      </c>
      <c r="I3" s="2" t="inlineStr">
        <is>
          <t>Construcción de nueva subestación transformadora de 132/20 kV tipo GIS de interior con dos transformadores 132/20 kV, 55 MVA-ST. Autoridad Portuaria de Valencia 2</t>
        </is>
      </c>
      <c r="J3" s="2" t="inlineStr">
        <is>
          <t>EC26-C02-02310</t>
        </is>
      </c>
      <c r="K3" s="2" t="inlineStr">
        <is>
          <t>Abierto</t>
        </is>
      </c>
      <c r="L3" s="6" t="n">
        <v>20</v>
      </c>
      <c r="M3" s="2" t="inlineStr">
        <is>
          <t>I4-4</t>
        </is>
      </c>
      <c r="N3" s="7" t="n">
        <v>0.49</v>
      </c>
      <c r="O3" s="4" t="n"/>
      <c r="P3" s="2" t="inlineStr">
        <is>
          <t>45232220</t>
        </is>
      </c>
      <c r="Q3" s="8" t="inlineStr">
        <is>
          <t>Ver</t>
        </is>
      </c>
      <c r="R3" s="8" t="inlineStr">
        <is>
          <t>PCAP</t>
        </is>
      </c>
      <c r="S3" s="9" t="n">
        <v>46321</v>
      </c>
      <c r="T3" s="3" t="n">
        <v>46320.43561342593</v>
      </c>
      <c r="U3" s="2" t="n"/>
    </row>
    <row r="4">
      <c r="A4" s="2" t="inlineStr">
        <is>
          <t>Resuelta</t>
        </is>
      </c>
      <c r="B4" s="3" t="n">
        <v>46220.99930555555</v>
      </c>
      <c r="C4" s="5" t="n">
        <v>5985824.78</v>
      </c>
      <c r="D4" s="5" t="n">
        <v>5985824.78</v>
      </c>
      <c r="E4" s="2" t="inlineStr">
        <is>
          <t>Andalucía</t>
        </is>
      </c>
      <c r="F4" s="2" t="inlineStr">
        <is>
          <t>Málaga</t>
        </is>
      </c>
      <c r="G4" s="2" t="n"/>
      <c r="H4" s="2" t="inlineStr">
        <is>
          <t>Pleno del Ayuntamiento de Alhaurín de la Torre</t>
        </is>
      </c>
      <c r="I4" s="2" t="inlineStr">
        <is>
          <t>Obras para la construcción del aparcamiento subterráneo disuasorio en la Avenida Isaac Peral y la reurbanización y peatonalización parcial de la Avenida Isaac Peral en el T.M. Alhaurín de la Torre.</t>
        </is>
      </c>
      <c r="J4" s="2" t="inlineStr">
        <is>
          <t>2026 CONT-00019</t>
        </is>
      </c>
      <c r="K4" s="2" t="inlineStr">
        <is>
          <t>Abierto</t>
        </is>
      </c>
      <c r="L4" s="6" t="n">
        <v>30</v>
      </c>
      <c r="M4" s="2" t="inlineStr">
        <is>
          <t>C2-4</t>
        </is>
      </c>
      <c r="N4" s="7" t="n">
        <v>0</v>
      </c>
      <c r="O4" s="4" t="n"/>
      <c r="P4" s="2" t="inlineStr">
        <is>
          <t>45200000; 45340000; 45261000; 45440000; 45320000; 45213316; 45330000; 45420000</t>
        </is>
      </c>
      <c r="Q4" s="8" t="inlineStr">
        <is>
          <t>Ver</t>
        </is>
      </c>
      <c r="R4" s="8" t="inlineStr">
        <is>
          <t>PCAP</t>
        </is>
      </c>
      <c r="S4" s="9" t="n">
        <v>46321</v>
      </c>
      <c r="T4" s="3" t="n">
        <v>46320.31038194444</v>
      </c>
      <c r="U4" s="2" t="n"/>
    </row>
    <row r="5">
      <c r="A5" s="2" t="inlineStr">
        <is>
          <t>Resuelta</t>
        </is>
      </c>
      <c r="B5" s="3" t="n">
        <v>46294.99930555555</v>
      </c>
      <c r="C5" s="5" t="n">
        <v>29981.19</v>
      </c>
      <c r="D5" s="5" t="n">
        <v>32979.31</v>
      </c>
      <c r="E5" s="2" t="inlineStr">
        <is>
          <t>Comunitat Valenciana</t>
        </is>
      </c>
      <c r="F5" s="2" t="inlineStr">
        <is>
          <t>Castellón</t>
        </is>
      </c>
      <c r="G5" s="2" t="inlineStr">
        <is>
          <t>Castelló de la Plana</t>
        </is>
      </c>
      <c r="H5" s="2" t="inlineStr">
        <is>
          <t>Dirección Económica del Consorcio Hospitalario Provincial de Castellón</t>
        </is>
      </c>
      <c r="I5" s="2" t="inlineStr">
        <is>
          <t>CMAYOR/2026/HPC00/0737 OBRAS de renovación y adaptación de tres aseos existentes en la planta baja del Consorcio Hospitalario Provincial Universitario de Castellón, ubicados en los bloques A (Consultas Externas), C (Área de Rehabilitación) y D (Área de Oncología), incorporando en cada uno de ellos equipamiento higiénico específico para personas ostomizadas</t>
        </is>
      </c>
      <c r="J5" s="2" t="inlineStr">
        <is>
          <t>CMAYOR/2026/HPC00/0737</t>
        </is>
      </c>
      <c r="K5" s="2" t="inlineStr">
        <is>
          <t>Abierto simplificado</t>
        </is>
      </c>
      <c r="L5" s="6" t="n">
        <v>2</v>
      </c>
      <c r="M5" s="2" t="n"/>
      <c r="N5" s="7" t="n">
        <v>0</v>
      </c>
      <c r="O5" s="4" t="n"/>
      <c r="P5" s="2" t="inlineStr">
        <is>
          <t>45000000; 45215140</t>
        </is>
      </c>
      <c r="Q5" s="8" t="inlineStr">
        <is>
          <t>Ver</t>
        </is>
      </c>
      <c r="R5" s="8" t="inlineStr">
        <is>
          <t>PCAP</t>
        </is>
      </c>
      <c r="S5" s="9" t="n">
        <v>46311</v>
      </c>
      <c r="T5" s="3" t="n">
        <v>46319.80209490741</v>
      </c>
      <c r="U5" s="2" t="inlineStr">
        <is>
          <t>2026-10-26: estado ADJ → RES</t>
        </is>
      </c>
    </row>
    <row r="6">
      <c r="A6" s="2" t="inlineStr">
        <is>
          <t>En plazo</t>
        </is>
      </c>
      <c r="B6" s="3" t="n">
        <v>46335.99930555555</v>
      </c>
      <c r="C6" s="5" t="n">
        <v>41322.31</v>
      </c>
      <c r="D6" s="5" t="n">
        <v>41322.31</v>
      </c>
      <c r="E6" s="2" t="inlineStr">
        <is>
          <t>Andalucía</t>
        </is>
      </c>
      <c r="F6" s="2" t="inlineStr">
        <is>
          <t>Sevilla</t>
        </is>
      </c>
      <c r="G6" s="2" t="n"/>
      <c r="H6" s="2" t="inlineStr">
        <is>
          <t>Alcaldia del Ayuntamiento de Marinaleda</t>
        </is>
      </c>
      <c r="I6" s="2" t="inlineStr">
        <is>
          <t>Reparación de Caminos Rurales (Línea de Subvenciones Borrasca NELSON)</t>
        </is>
      </c>
      <c r="J6" s="2" t="inlineStr">
        <is>
          <t>P4106100C-2026/000108-PAAB</t>
        </is>
      </c>
      <c r="K6" s="2" t="inlineStr">
        <is>
          <t>Abierto simplificado</t>
        </is>
      </c>
      <c r="L6" s="6" t="n">
        <v>3</v>
      </c>
      <c r="M6" s="2" t="n"/>
      <c r="N6" s="7" t="n">
        <v>0</v>
      </c>
      <c r="O6" s="4" t="n"/>
      <c r="P6" s="2" t="inlineStr">
        <is>
          <t>45233142</t>
        </is>
      </c>
      <c r="Q6" s="8" t="inlineStr">
        <is>
          <t>Ver</t>
        </is>
      </c>
      <c r="R6" s="8" t="inlineStr">
        <is>
          <t>PCAP</t>
        </is>
      </c>
      <c r="S6" s="9" t="n">
        <v>46321</v>
      </c>
      <c r="T6" s="3" t="n">
        <v>46319.53869212963</v>
      </c>
      <c r="U6" s="2" t="n"/>
    </row>
    <row r="7">
      <c r="A7" s="2" t="inlineStr">
        <is>
          <t>En plazo</t>
        </is>
      </c>
      <c r="B7" s="3" t="n">
        <v>46335.99930555555</v>
      </c>
      <c r="C7" s="5" t="n">
        <v>45409.09</v>
      </c>
      <c r="D7" s="5" t="n">
        <v>45409.09</v>
      </c>
      <c r="E7" s="2" t="inlineStr">
        <is>
          <t>Andalucía</t>
        </is>
      </c>
      <c r="F7" s="2" t="inlineStr">
        <is>
          <t>Sevilla</t>
        </is>
      </c>
      <c r="G7" s="2" t="n"/>
      <c r="H7" s="2" t="inlineStr">
        <is>
          <t>Alcaldia del Ayuntamiento de Marinaleda</t>
        </is>
      </c>
      <c r="I7" s="2" t="inlineStr">
        <is>
          <t>Mejora de Caminos Rurales de Marinaleda (Sevilla)</t>
        </is>
      </c>
      <c r="J7" s="2" t="inlineStr">
        <is>
          <t>P4106100C-2026/000107-PAAB</t>
        </is>
      </c>
      <c r="K7" s="2" t="inlineStr">
        <is>
          <t>Abierto simplificado</t>
        </is>
      </c>
      <c r="L7" s="6" t="n">
        <v>3</v>
      </c>
      <c r="M7" s="2" t="n"/>
      <c r="N7" s="7" t="n">
        <v>0</v>
      </c>
      <c r="O7" s="4" t="n"/>
      <c r="P7" s="2" t="inlineStr">
        <is>
          <t>45233142</t>
        </is>
      </c>
      <c r="Q7" s="8" t="inlineStr">
        <is>
          <t>Ver</t>
        </is>
      </c>
      <c r="R7" s="8" t="inlineStr">
        <is>
          <t>PCAP</t>
        </is>
      </c>
      <c r="S7" s="9" t="n">
        <v>46321</v>
      </c>
      <c r="T7" s="3" t="n">
        <v>46319.53649305556</v>
      </c>
      <c r="U7" s="2" t="n"/>
    </row>
    <row r="8">
      <c r="A8" s="2" t="inlineStr">
        <is>
          <t>En plazo</t>
        </is>
      </c>
      <c r="B8" s="3" t="n">
        <v>46332.54166666666</v>
      </c>
      <c r="C8" s="5" t="n">
        <v>55300.65</v>
      </c>
      <c r="D8" s="5" t="n">
        <v>55300.65</v>
      </c>
      <c r="E8" s="2" t="inlineStr">
        <is>
          <t>Andalucía</t>
        </is>
      </c>
      <c r="F8" s="2" t="inlineStr">
        <is>
          <t>Huelva</t>
        </is>
      </c>
      <c r="G8" s="2" t="inlineStr">
        <is>
          <t>SANTA BARBARA DE CASA</t>
        </is>
      </c>
      <c r="H8" s="2" t="inlineStr">
        <is>
          <t>Alcaldía del Ayuntamiento de Santa Bárbara de Casa</t>
        </is>
      </c>
      <c r="I8" s="2" t="inlineStr">
        <is>
          <t>contrato de obras de mejora de la calle Noria en Santa Bárbara de Casa</t>
        </is>
      </c>
      <c r="J8" s="2" t="inlineStr">
        <is>
          <t>480/2026</t>
        </is>
      </c>
      <c r="K8" s="2" t="inlineStr">
        <is>
          <t>Abierto simplificado</t>
        </is>
      </c>
      <c r="L8" s="6" t="n">
        <v>3</v>
      </c>
      <c r="M8" s="2" t="n"/>
      <c r="N8" s="7" t="n">
        <v>0</v>
      </c>
      <c r="O8" s="4" t="n"/>
      <c r="P8" s="2" t="inlineStr">
        <is>
          <t>45233252</t>
        </is>
      </c>
      <c r="Q8" s="8" t="inlineStr">
        <is>
          <t>Ver</t>
        </is>
      </c>
      <c r="R8" s="2" t="n"/>
      <c r="S8" s="9" t="n">
        <v>46317</v>
      </c>
      <c r="T8" s="3" t="n">
        <v>46319.52486111111</v>
      </c>
      <c r="U8" s="2" t="n"/>
    </row>
    <row r="9">
      <c r="A9" s="2" t="inlineStr">
        <is>
          <t>En plazo</t>
        </is>
      </c>
      <c r="B9" s="3" t="n">
        <v>46335.99930555555</v>
      </c>
      <c r="C9" s="5" t="n">
        <v>27389.04</v>
      </c>
      <c r="D9" s="5" t="n">
        <v>27389.04</v>
      </c>
      <c r="E9" s="2" t="inlineStr">
        <is>
          <t>Andalucía</t>
        </is>
      </c>
      <c r="F9" s="2" t="inlineStr">
        <is>
          <t>Huelva</t>
        </is>
      </c>
      <c r="G9" s="2" t="inlineStr">
        <is>
          <t>PAYMOGO</t>
        </is>
      </c>
      <c r="H9" s="2" t="inlineStr">
        <is>
          <t>Alcaldía del Ayuntamiento de Paymogo</t>
        </is>
      </c>
      <c r="I9" s="2" t="inlineStr">
        <is>
          <t>Constituye el objeto del contrato la ejecución de las obras de reparación del firme del Camino de Las Peñuelas, de Paymogo (Huelva), de titularidad municipal, con referencia catastral 21057A009090040000LO</t>
        </is>
      </c>
      <c r="J9" s="2" t="inlineStr">
        <is>
          <t>493/2026</t>
        </is>
      </c>
      <c r="K9" s="2" t="inlineStr">
        <is>
          <t>Abierto simplificado</t>
        </is>
      </c>
      <c r="L9" s="6" t="n">
        <v>1</v>
      </c>
      <c r="M9" s="2" t="n"/>
      <c r="N9" s="7" t="n">
        <v>0</v>
      </c>
      <c r="O9" s="4" t="n"/>
      <c r="P9" s="2" t="inlineStr">
        <is>
          <t>45233160</t>
        </is>
      </c>
      <c r="Q9" s="8" t="inlineStr">
        <is>
          <t>Ver</t>
        </is>
      </c>
      <c r="R9" s="8" t="inlineStr">
        <is>
          <t>PCAP</t>
        </is>
      </c>
      <c r="S9" s="9" t="n">
        <v>46321</v>
      </c>
      <c r="T9" s="3" t="n">
        <v>46318.84158564815</v>
      </c>
      <c r="U9" s="2" t="n"/>
    </row>
    <row r="10">
      <c r="A10" s="2" t="inlineStr">
        <is>
          <t>En plazo</t>
        </is>
      </c>
      <c r="B10" s="3" t="n">
        <v>46338.99930555555</v>
      </c>
      <c r="C10" s="5" t="n">
        <v>175462.98</v>
      </c>
      <c r="D10" s="5" t="n">
        <v>175462.98</v>
      </c>
      <c r="E10" s="2" t="inlineStr">
        <is>
          <t>Comunitat Valenciana</t>
        </is>
      </c>
      <c r="F10" s="2" t="inlineStr">
        <is>
          <t>Valencia</t>
        </is>
      </c>
      <c r="G10" s="2" t="n"/>
      <c r="H10" s="2" t="inlineStr">
        <is>
          <t>Alcaldía del Ayuntamiento de Moixent</t>
        </is>
      </c>
      <c r="I10" s="2" t="inlineStr">
        <is>
          <t>Consolidación de la torre sur del Castillo de Moixent, Fase I</t>
        </is>
      </c>
      <c r="J10" s="2" t="inlineStr">
        <is>
          <t>1615/2026</t>
        </is>
      </c>
      <c r="K10" s="2" t="inlineStr">
        <is>
          <t>Abierto simplificado</t>
        </is>
      </c>
      <c r="L10" s="6" t="n">
        <v>4</v>
      </c>
      <c r="M10" s="2" t="n"/>
      <c r="N10" s="7" t="n">
        <v>0.12</v>
      </c>
      <c r="O10" s="4" t="n"/>
      <c r="P10" s="2" t="inlineStr">
        <is>
          <t>45212314; 45454100; 45262512; 45212350</t>
        </is>
      </c>
      <c r="Q10" s="8" t="inlineStr">
        <is>
          <t>Ver</t>
        </is>
      </c>
      <c r="R10" s="8" t="inlineStr">
        <is>
          <t>PCAP</t>
        </is>
      </c>
      <c r="S10" s="9" t="n">
        <v>46321</v>
      </c>
      <c r="T10" s="3" t="n">
        <v>46318.71998842592</v>
      </c>
      <c r="U10" s="2" t="n"/>
    </row>
    <row r="11">
      <c r="A11" s="2" t="inlineStr">
        <is>
          <t>En plazo</t>
        </is>
      </c>
      <c r="B11" s="3" t="n">
        <v>46338.99930555555</v>
      </c>
      <c r="C11" s="5" t="n">
        <v>328657.46</v>
      </c>
      <c r="D11" s="5" t="n">
        <v>328657.46</v>
      </c>
      <c r="E11" s="2" t="inlineStr">
        <is>
          <t>Andalucía</t>
        </is>
      </c>
      <c r="F11" s="2" t="inlineStr">
        <is>
          <t>Sevilla</t>
        </is>
      </c>
      <c r="G11" s="2" t="inlineStr">
        <is>
          <t>Écija</t>
        </is>
      </c>
      <c r="H11" s="2" t="inlineStr">
        <is>
          <t>Junta de Gobierno del Ayuntamiento de Ecija</t>
        </is>
      </c>
      <c r="I11" s="2" t="inlineStr">
        <is>
          <t>Obras Rehabilitación y Puesta en uso de Salas junto a Patio de las Yeguas del Palacio Marqueses de Peñaflor, por procedimiento abierto simplificado,tramitación ordinaria, financiado con cargo al 2% Cultural del Ministerio deTransportes, Movilidad y Agenda Urbana para conservación o enriquecimiento de bienes inmuebles del Patrimonio Histórico Español.</t>
        </is>
      </c>
      <c r="J11" s="2" t="inlineStr">
        <is>
          <t>16242/2025</t>
        </is>
      </c>
      <c r="K11" s="2" t="inlineStr">
        <is>
          <t>Abierto simplificado</t>
        </is>
      </c>
      <c r="L11" s="6" t="n">
        <v>6</v>
      </c>
      <c r="M11" s="2" t="n"/>
      <c r="N11" s="7" t="n">
        <v>0</v>
      </c>
      <c r="O11" s="4" t="n"/>
      <c r="P11" s="2" t="inlineStr">
        <is>
          <t>45212350</t>
        </is>
      </c>
      <c r="Q11" s="8" t="inlineStr">
        <is>
          <t>Ver</t>
        </is>
      </c>
      <c r="R11" s="8" t="inlineStr">
        <is>
          <t>PCAP</t>
        </is>
      </c>
      <c r="S11" s="9" t="n">
        <v>46321</v>
      </c>
      <c r="T11" s="3" t="n">
        <v>46318.71728009259</v>
      </c>
      <c r="U11" s="2" t="n"/>
    </row>
    <row r="12">
      <c r="A12" s="2" t="inlineStr">
        <is>
          <t>En plazo</t>
        </is>
      </c>
      <c r="B12" s="3" t="n">
        <v>46350.54166666666</v>
      </c>
      <c r="C12" s="5" t="n">
        <v>22148578.97</v>
      </c>
      <c r="D12" s="5" t="n">
        <v>26338628.76</v>
      </c>
      <c r="E12" s="2" t="inlineStr">
        <is>
          <t>Andalucía</t>
        </is>
      </c>
      <c r="F12" s="2" t="inlineStr">
        <is>
          <t>Málaga</t>
        </is>
      </c>
      <c r="G12" s="2" t="n"/>
      <c r="H12" s="2" t="inlineStr">
        <is>
          <t>Junta de Gobierno del Ayuntamiento de Málaga</t>
        </is>
      </c>
      <c r="I12" s="2" t="inlineStr">
        <is>
          <t>Redacción del proyecto constructivo y ejecución de las obras del soterramiento de la Avenida de Valle-Inclán en la intersección con el Camino de Suárez, la Calle Martínez de la Rosa y el acceso a las barriadas de Carlinda, La Corta y San Alberto, en la ciudad de Málaga</t>
        </is>
      </c>
      <c r="J12" s="2" t="inlineStr">
        <is>
          <t>31/26</t>
        </is>
      </c>
      <c r="K12" s="2" t="inlineStr">
        <is>
          <t>Abierto</t>
        </is>
      </c>
      <c r="L12" s="6" t="n">
        <v>31</v>
      </c>
      <c r="M12" s="2" t="inlineStr">
        <is>
          <t>B2-6; G6-3</t>
        </is>
      </c>
      <c r="N12" s="7" t="n">
        <v>0.49</v>
      </c>
      <c r="O12" s="4" t="n"/>
      <c r="P12" s="2" t="inlineStr">
        <is>
          <t>45221000; 71300000</t>
        </is>
      </c>
      <c r="Q12" s="8" t="inlineStr">
        <is>
          <t>Ver</t>
        </is>
      </c>
      <c r="R12" s="8" t="inlineStr">
        <is>
          <t>PCAP</t>
        </is>
      </c>
      <c r="S12" s="9" t="n">
        <v>46321</v>
      </c>
      <c r="T12" s="3" t="n">
        <v>46318.68086805556</v>
      </c>
      <c r="U12" s="2" t="n"/>
    </row>
    <row r="13">
      <c r="A13" s="2" t="inlineStr">
        <is>
          <t>Resuelta</t>
        </is>
      </c>
      <c r="B13" s="3" t="n">
        <v>46216.99930555555</v>
      </c>
      <c r="C13" s="5" t="n">
        <v>156579.12</v>
      </c>
      <c r="D13" s="5" t="n">
        <v>156579.12</v>
      </c>
      <c r="E13" s="2" t="inlineStr">
        <is>
          <t>Comunitat Valenciana</t>
        </is>
      </c>
      <c r="F13" s="2" t="inlineStr">
        <is>
          <t>Valencia</t>
        </is>
      </c>
      <c r="G13" s="2" t="n"/>
      <c r="H13" s="2" t="inlineStr">
        <is>
          <t>Junta de Gobierno del Ayuntamiento de Alboraya</t>
        </is>
      </c>
      <c r="I13" s="2" t="inlineStr">
        <is>
          <t>Obras de reforma del antiguo polideportivo de Alboraya</t>
        </is>
      </c>
      <c r="J13" s="2" t="inlineStr">
        <is>
          <t>704/2026</t>
        </is>
      </c>
      <c r="K13" s="2" t="inlineStr">
        <is>
          <t>Abierto simplificado</t>
        </is>
      </c>
      <c r="L13" s="6" t="n">
        <v>4</v>
      </c>
      <c r="M13" s="2" t="n"/>
      <c r="N13" s="7" t="n">
        <v>0</v>
      </c>
      <c r="O13" s="4" t="n"/>
      <c r="P13" s="2" t="inlineStr">
        <is>
          <t>45212290</t>
        </is>
      </c>
      <c r="Q13" s="8" t="inlineStr">
        <is>
          <t>Ver</t>
        </is>
      </c>
      <c r="R13" s="8" t="inlineStr">
        <is>
          <t>PCAP</t>
        </is>
      </c>
      <c r="S13" s="9" t="n">
        <v>46321</v>
      </c>
      <c r="T13" s="3" t="n">
        <v>46318.65596064815</v>
      </c>
      <c r="U13" s="2" t="n"/>
    </row>
    <row r="14">
      <c r="A14" s="2" t="inlineStr">
        <is>
          <t>Adjudicada</t>
        </is>
      </c>
      <c r="B14" s="3" t="n">
        <v>46259.99930555555</v>
      </c>
      <c r="C14" s="5" t="n">
        <v>111113.32</v>
      </c>
      <c r="D14" s="5" t="n">
        <v>111113.32</v>
      </c>
      <c r="E14" s="2" t="inlineStr">
        <is>
          <t>Andalucía</t>
        </is>
      </c>
      <c r="F14" s="2" t="inlineStr">
        <is>
          <t>Córdoba</t>
        </is>
      </c>
      <c r="G14" s="2" t="n"/>
      <c r="H14" s="2" t="inlineStr">
        <is>
          <t>Alcaldía del Ayuntamiento de Rute</t>
        </is>
      </c>
      <c r="I14" s="2" t="inlineStr">
        <is>
          <t>Ejecución del Proyecto de Arreglo de la Pista Deportiva en CEIP Ruperto Fernandez Tenllado (Córdoba)</t>
        </is>
      </c>
      <c r="J14" s="2" t="inlineStr">
        <is>
          <t>2830_26 OBRAS PISTA POLID CEIP RUPERTO FDEZ</t>
        </is>
      </c>
      <c r="K14" s="2" t="inlineStr">
        <is>
          <t>Abierto simplificado</t>
        </is>
      </c>
      <c r="L14" s="6" t="n">
        <v>2.5</v>
      </c>
      <c r="M14" s="2" t="n"/>
      <c r="N14" s="7" t="n">
        <v>0</v>
      </c>
      <c r="O14" s="4" t="n"/>
      <c r="P14" s="2" t="inlineStr">
        <is>
          <t>45212220; 45200000</t>
        </is>
      </c>
      <c r="Q14" s="8" t="inlineStr">
        <is>
          <t>Ver</t>
        </is>
      </c>
      <c r="R14" s="8" t="inlineStr">
        <is>
          <t>PCAP</t>
        </is>
      </c>
      <c r="S14" s="9" t="n">
        <v>46310</v>
      </c>
      <c r="T14" s="3" t="n">
        <v>46318.62997685185</v>
      </c>
      <c r="U14" s="2" t="inlineStr">
        <is>
          <t>2026-10-26: estado EV → ADJ</t>
        </is>
      </c>
    </row>
    <row r="15">
      <c r="A15" s="2" t="inlineStr">
        <is>
          <t>Adjudicada</t>
        </is>
      </c>
      <c r="B15" s="3" t="n">
        <v>46295.99930555555</v>
      </c>
      <c r="C15" s="5" t="n">
        <v>165448.79</v>
      </c>
      <c r="D15" s="5" t="n">
        <v>165448.79</v>
      </c>
      <c r="E15" s="2" t="inlineStr">
        <is>
          <t>Andalucía</t>
        </is>
      </c>
      <c r="F15" s="2" t="inlineStr">
        <is>
          <t>Córdoba</t>
        </is>
      </c>
      <c r="G15" s="2" t="inlineStr">
        <is>
          <t>ALDEA DE NACIMIENTO DE ZAMBRA</t>
        </is>
      </c>
      <c r="H15" s="2" t="inlineStr">
        <is>
          <t>Alcaldía del Ayuntamiento de Rute</t>
        </is>
      </c>
      <c r="I15" s="2" t="inlineStr">
        <is>
          <t>Ejecución del Proyecto de Reparación y Adecentamiento de la pista polideportiva de la Aldea de Nacimiento de Zambra de Rute</t>
        </is>
      </c>
      <c r="J15" s="2" t="inlineStr">
        <is>
          <t>3862_26 OBRAS PISTAS NAC ZAMBRA</t>
        </is>
      </c>
      <c r="K15" s="2" t="inlineStr">
        <is>
          <t>Abierto simplificado</t>
        </is>
      </c>
      <c r="L15" s="6" t="n">
        <v>4</v>
      </c>
      <c r="M15" s="2" t="n"/>
      <c r="N15" s="7" t="n">
        <v>0</v>
      </c>
      <c r="O15" s="4" t="n"/>
      <c r="P15" s="2" t="inlineStr">
        <is>
          <t>45212220; 45212290; 45212213</t>
        </is>
      </c>
      <c r="Q15" s="8" t="inlineStr">
        <is>
          <t>Ver</t>
        </is>
      </c>
      <c r="R15" s="8" t="inlineStr">
        <is>
          <t>PCAP</t>
        </is>
      </c>
      <c r="S15" s="9" t="n">
        <v>46310</v>
      </c>
      <c r="T15" s="3" t="n">
        <v>46318.62521990741</v>
      </c>
      <c r="U15" s="2" t="inlineStr">
        <is>
          <t>2026-10-26: estado EV → ADJ</t>
        </is>
      </c>
    </row>
    <row r="16">
      <c r="A16" s="2" t="inlineStr">
        <is>
          <t>En plazo</t>
        </is>
      </c>
      <c r="B16" s="3" t="n">
        <v>46346.99930555555</v>
      </c>
      <c r="C16" s="5" t="n">
        <v>8318780.94</v>
      </c>
      <c r="D16" s="5" t="n">
        <v>8318780.94</v>
      </c>
      <c r="E16" s="2" t="inlineStr">
        <is>
          <t>Andalucía</t>
        </is>
      </c>
      <c r="F16" s="2" t="inlineStr">
        <is>
          <t>Sevilla</t>
        </is>
      </c>
      <c r="G16" s="2" t="n"/>
      <c r="H16" s="2" t="inlineStr">
        <is>
          <t>Junta de Gobierno del Ayuntamiento de Carmona</t>
        </is>
      </c>
      <c r="I16" s="2" t="inlineStr">
        <is>
          <t>Obras para la ejecución del complejo de la música y el patrimonio en los antiguos mataderos de Carmona y la adecuación de sus entornos.</t>
        </is>
      </c>
      <c r="J16" s="2" t="inlineStr">
        <is>
          <t>EXP 25-173-22</t>
        </is>
      </c>
      <c r="K16" s="2" t="inlineStr">
        <is>
          <t>Abierto</t>
        </is>
      </c>
      <c r="L16" s="6" t="n">
        <v>20</v>
      </c>
      <c r="M16" s="2" t="inlineStr">
        <is>
          <t>C*-5</t>
        </is>
      </c>
      <c r="N16" s="7" t="n">
        <v>0.45</v>
      </c>
      <c r="O16" s="4" t="n"/>
      <c r="P16" s="2" t="inlineStr">
        <is>
          <t>45000000; 45212300; 45213230; 45112700; 45212321; 45454100</t>
        </is>
      </c>
      <c r="Q16" s="8" t="inlineStr">
        <is>
          <t>Ver</t>
        </is>
      </c>
      <c r="R16" s="8" t="inlineStr">
        <is>
          <t>PCAP</t>
        </is>
      </c>
      <c r="S16" s="9" t="n">
        <v>46311</v>
      </c>
      <c r="T16" s="3" t="n">
        <v>46318.62517361111</v>
      </c>
      <c r="U16" s="2" t="n"/>
    </row>
    <row r="17">
      <c r="A17" s="2" t="inlineStr">
        <is>
          <t>En plazo</t>
        </is>
      </c>
      <c r="B17" s="3" t="n">
        <v>46337.99930555555</v>
      </c>
      <c r="C17" s="5" t="n">
        <v>206393.65</v>
      </c>
      <c r="D17" s="5" t="n">
        <v>206393.65</v>
      </c>
      <c r="E17" s="2" t="inlineStr">
        <is>
          <t>Comunitat Valenciana</t>
        </is>
      </c>
      <c r="F17" s="2" t="inlineStr">
        <is>
          <t>Valencia</t>
        </is>
      </c>
      <c r="G17" s="2" t="n"/>
      <c r="H17" s="2" t="inlineStr">
        <is>
          <t>Alcaldía del Ayuntamiento de Alberic</t>
        </is>
      </c>
      <c r="I17" s="2" t="inlineStr">
        <is>
          <t>El objeto del contrato es la ejecución de las obras destinadas a la Rehabilitación y adecuación de la antigua cisterna del Palacio Señorial de Alberic (usada como refugio antiaéreo en el transcurso de la Guerra Civil) como espacio de memoria democrática.</t>
        </is>
      </c>
      <c r="J17" s="2" t="inlineStr">
        <is>
          <t>3019777K nueva licitación</t>
        </is>
      </c>
      <c r="K17" s="2" t="inlineStr">
        <is>
          <t>Abierto simplificado</t>
        </is>
      </c>
      <c r="L17" s="6" t="n">
        <v>4</v>
      </c>
      <c r="M17" s="2" t="n"/>
      <c r="N17" s="7" t="n">
        <v>0</v>
      </c>
      <c r="O17" s="4" t="n"/>
      <c r="P17" s="2" t="inlineStr">
        <is>
          <t>45212350</t>
        </is>
      </c>
      <c r="Q17" s="8" t="inlineStr">
        <is>
          <t>Ver</t>
        </is>
      </c>
      <c r="R17" s="8" t="inlineStr">
        <is>
          <t>PCAP</t>
        </is>
      </c>
      <c r="S17" s="9" t="n">
        <v>46321</v>
      </c>
      <c r="T17" s="3" t="n">
        <v>46318.6212962963</v>
      </c>
      <c r="U17" s="2" t="n"/>
    </row>
    <row r="18">
      <c r="A18" s="2" t="inlineStr">
        <is>
          <t>En plazo</t>
        </is>
      </c>
      <c r="B18" s="3" t="n">
        <v>46377.58333333334</v>
      </c>
      <c r="C18" s="5" t="n">
        <v>21241200</v>
      </c>
      <c r="D18" s="5" t="n">
        <v>25355520</v>
      </c>
      <c r="E18" s="2" t="inlineStr">
        <is>
          <t>Comunitat Valenciana</t>
        </is>
      </c>
      <c r="F18" s="2" t="inlineStr">
        <is>
          <t>Valencia</t>
        </is>
      </c>
      <c r="G18" s="2" t="n"/>
      <c r="H18" s="2" t="inlineStr">
        <is>
          <t>Presidencia de la Entidad Valenciana de Vivienda y Suelo</t>
        </is>
      </c>
      <c r="I18" s="2" t="inlineStr">
        <is>
          <t>Redacción del proyecto, ejecución de las obras y dirección facultativa para la construcción por procedimientos industrializados promovidas por la Entidad Valenciana de Vivienda y Suelo, en Silla y Carcaixent.</t>
        </is>
      </c>
      <c r="J18" s="2" t="inlineStr">
        <is>
          <t>CMAYOR/2026/EVHA0/0014</t>
        </is>
      </c>
      <c r="K18" s="2" t="inlineStr">
        <is>
          <t>Abierto</t>
        </is>
      </c>
      <c r="L18" s="6" t="n">
        <v>12</v>
      </c>
      <c r="M18" s="2" t="n"/>
      <c r="N18" s="7" t="n">
        <v>0.49</v>
      </c>
      <c r="O18" s="4" t="n">
        <v>4</v>
      </c>
      <c r="P18" s="2" t="inlineStr">
        <is>
          <t>45211100; 71000000</t>
        </is>
      </c>
      <c r="Q18" s="8" t="inlineStr">
        <is>
          <t>Ver</t>
        </is>
      </c>
      <c r="R18" s="8" t="inlineStr">
        <is>
          <t>PCAP</t>
        </is>
      </c>
      <c r="S18" s="9" t="n">
        <v>46314</v>
      </c>
      <c r="T18" s="3" t="n">
        <v>46318.61282407407</v>
      </c>
      <c r="U18" s="2" t="inlineStr">
        <is>
          <t>2026-10-20: plazo 2026-11-19 14:00 → 2026-12-21 14:00</t>
        </is>
      </c>
    </row>
    <row r="19">
      <c r="A19" s="2" t="inlineStr">
        <is>
          <t>Adjudicada</t>
        </is>
      </c>
      <c r="B19" s="3" t="n">
        <v>46251.99930555555</v>
      </c>
      <c r="C19" s="5" t="n">
        <v>396270</v>
      </c>
      <c r="D19" s="5" t="n">
        <v>396270</v>
      </c>
      <c r="E19" s="2" t="inlineStr">
        <is>
          <t>Comunitat Valenciana</t>
        </is>
      </c>
      <c r="F19" s="2" t="inlineStr">
        <is>
          <t>Valencia</t>
        </is>
      </c>
      <c r="G19" s="2" t="inlineStr">
        <is>
          <t>Vallada</t>
        </is>
      </c>
      <c r="H19" s="2" t="inlineStr">
        <is>
          <t>Alcaldía del Ayuntamiento de Vallada</t>
        </is>
      </c>
      <c r="I19" s="2" t="inlineStr">
        <is>
          <t>Reurbanización calles San Ramón, Santa Teresa y San lorenzo con realización de red separativa de pluviales, renovación de red de saneamiento y de agua potable, y sustitución de pavimentos</t>
        </is>
      </c>
      <c r="J19" s="2" t="inlineStr">
        <is>
          <t>2685373K1</t>
        </is>
      </c>
      <c r="K19" s="2" t="inlineStr">
        <is>
          <t>Abierto simplificado</t>
        </is>
      </c>
      <c r="L19" s="6" t="n">
        <v>5</v>
      </c>
      <c r="M19" s="2" t="n"/>
      <c r="N19" s="7" t="n">
        <v>0</v>
      </c>
      <c r="O19" s="4" t="n"/>
      <c r="P19" s="2" t="inlineStr">
        <is>
          <t>45231300; 45232130; 45233252; 45232410</t>
        </is>
      </c>
      <c r="Q19" s="8" t="inlineStr">
        <is>
          <t>Ver</t>
        </is>
      </c>
      <c r="R19" s="8" t="inlineStr">
        <is>
          <t>PCAP</t>
        </is>
      </c>
      <c r="S19" s="9" t="n">
        <v>46311</v>
      </c>
      <c r="T19" s="3" t="n">
        <v>46318.61043981482</v>
      </c>
      <c r="U19" s="2" t="inlineStr">
        <is>
          <t>2026-10-26: estado EV → ADJ</t>
        </is>
      </c>
    </row>
    <row r="20">
      <c r="A20" s="2" t="inlineStr">
        <is>
          <t>Pendiente de adjudicación</t>
        </is>
      </c>
      <c r="B20" s="3" t="n">
        <v>46195.99930555555</v>
      </c>
      <c r="C20" s="5" t="n">
        <v>3063829.24</v>
      </c>
      <c r="D20" s="5" t="n">
        <v>3063829.24</v>
      </c>
      <c r="E20" s="2" t="inlineStr">
        <is>
          <t>Andalucía</t>
        </is>
      </c>
      <c r="F20" s="2" t="inlineStr">
        <is>
          <t>Sevilla</t>
        </is>
      </c>
      <c r="G20" s="2" t="n"/>
      <c r="H20" s="2" t="inlineStr">
        <is>
          <t>Presidencia de la Diputación Provincial de Sevilla</t>
        </is>
      </c>
      <c r="I20" s="2" t="inlineStr">
        <is>
          <t>Rehabilitación del salón de actos de los centros sociales de miraflores</t>
        </is>
      </c>
      <c r="J20" s="2" t="inlineStr">
        <is>
          <t>2025/000942-PAA</t>
        </is>
      </c>
      <c r="K20" s="2" t="inlineStr">
        <is>
          <t>Abierto</t>
        </is>
      </c>
      <c r="L20" s="6" t="n">
        <v>12</v>
      </c>
      <c r="M20" s="2" t="inlineStr">
        <is>
          <t>C6-5</t>
        </is>
      </c>
      <c r="N20" s="7" t="n">
        <v>0</v>
      </c>
      <c r="O20" s="4" t="n"/>
      <c r="P20" s="2" t="inlineStr">
        <is>
          <t>45000000</t>
        </is>
      </c>
      <c r="Q20" s="8" t="inlineStr">
        <is>
          <t>Ver</t>
        </is>
      </c>
      <c r="R20" s="8" t="inlineStr">
        <is>
          <t>PCAP</t>
        </is>
      </c>
      <c r="S20" s="9" t="n">
        <v>46321</v>
      </c>
      <c r="T20" s="3" t="n">
        <v>46318.60893518518</v>
      </c>
      <c r="U20" s="2" t="n"/>
    </row>
    <row r="21">
      <c r="A21" s="2" t="inlineStr">
        <is>
          <t>Pendiente de adjudicación</t>
        </is>
      </c>
      <c r="B21" s="3" t="n">
        <v>46314.99930555555</v>
      </c>
      <c r="C21" s="5" t="n">
        <v>83128.44</v>
      </c>
      <c r="D21" s="5" t="n">
        <v>83128.44</v>
      </c>
      <c r="E21" s="2" t="inlineStr">
        <is>
          <t>Andalucía</t>
        </is>
      </c>
      <c r="F21" s="2" t="inlineStr">
        <is>
          <t>Málaga</t>
        </is>
      </c>
      <c r="G21" s="2" t="inlineStr">
        <is>
          <t>Málaga</t>
        </is>
      </c>
      <c r="H21" s="2" t="inlineStr">
        <is>
          <t>Subdirección General de Administración Financiera y Patrimonio de la Administración General del Estado en el Territorio</t>
        </is>
      </c>
      <c r="I21" s="2" t="inlineStr">
        <is>
          <t>Ejecución de las obras de Sustitución de las luminarias a tecnología LED en la instalación de iluminación interior de la Oficina de Extranjería en Málaga situada en la Calle Mauricio Moro Pareto nº 13 (Código Postal 29006 de Málaga)</t>
        </is>
      </c>
      <c r="J21" s="2" t="inlineStr">
        <is>
          <t>202686026070</t>
        </is>
      </c>
      <c r="K21" s="2" t="inlineStr">
        <is>
          <t>Abierto simplificado</t>
        </is>
      </c>
      <c r="L21" s="6" t="n">
        <v>1</v>
      </c>
      <c r="M21" s="2" t="n"/>
      <c r="N21" s="7" t="n">
        <v>0</v>
      </c>
      <c r="O21" s="4" t="n"/>
      <c r="P21" s="2" t="inlineStr">
        <is>
          <t>45316000</t>
        </is>
      </c>
      <c r="Q21" s="8" t="inlineStr">
        <is>
          <t>Ver</t>
        </is>
      </c>
      <c r="R21" s="8" t="inlineStr">
        <is>
          <t>PCAP</t>
        </is>
      </c>
      <c r="S21" s="9" t="n">
        <v>46321</v>
      </c>
      <c r="T21" s="3" t="n">
        <v>46318.60709490741</v>
      </c>
      <c r="U21" s="2" t="n"/>
    </row>
    <row r="22">
      <c r="A22" s="2" t="inlineStr">
        <is>
          <t>En plazo</t>
        </is>
      </c>
      <c r="B22" s="3" t="n">
        <v>46339.99930555555</v>
      </c>
      <c r="C22" s="5" t="n">
        <v>76859.5</v>
      </c>
      <c r="D22" s="5" t="n">
        <v>76859.5</v>
      </c>
      <c r="E22" s="2" t="inlineStr">
        <is>
          <t>Andalucía</t>
        </is>
      </c>
      <c r="F22" s="2" t="inlineStr">
        <is>
          <t>Málaga</t>
        </is>
      </c>
      <c r="G22" s="2" t="inlineStr">
        <is>
          <t>Alameda</t>
        </is>
      </c>
      <c r="H22" s="2" t="inlineStr">
        <is>
          <t>Alcaldía del Ayuntamiento de Alameda</t>
        </is>
      </c>
      <c r="I22" s="2" t="inlineStr">
        <is>
          <t>Constituye el objeto del presente pliego la contratación para la ejecución de las obras de Proyecto de instalación solar fotovoltaica para autoconsumo de 55 kW para sondeo en El Camorrillo, Alameda,Málaga</t>
        </is>
      </c>
      <c r="J22" s="2" t="inlineStr">
        <is>
          <t>1866/2026</t>
        </is>
      </c>
      <c r="K22" s="2" t="inlineStr">
        <is>
          <t>Abierto simplificado</t>
        </is>
      </c>
      <c r="L22" s="6" t="n">
        <v>4</v>
      </c>
      <c r="M22" s="2" t="n"/>
      <c r="N22" s="7" t="n">
        <v>0</v>
      </c>
      <c r="O22" s="4" t="n"/>
      <c r="P22" s="2" t="inlineStr">
        <is>
          <t>45310000; 09332000; 09300000; 09331200</t>
        </is>
      </c>
      <c r="Q22" s="8" t="inlineStr">
        <is>
          <t>Ver</t>
        </is>
      </c>
      <c r="R22" s="8" t="inlineStr">
        <is>
          <t>PCAP</t>
        </is>
      </c>
      <c r="S22" s="9" t="n">
        <v>46321</v>
      </c>
      <c r="T22" s="3" t="n">
        <v>46318.60576388889</v>
      </c>
      <c r="U22" s="2" t="n"/>
    </row>
    <row r="23">
      <c r="A23" s="2" t="inlineStr">
        <is>
          <t>En plazo</t>
        </is>
      </c>
      <c r="B23" s="3" t="n">
        <v>46342.99930555555</v>
      </c>
      <c r="C23" s="5" t="n">
        <v>166994.64</v>
      </c>
      <c r="D23" s="5" t="n">
        <v>217093.03</v>
      </c>
      <c r="E23" s="2" t="inlineStr">
        <is>
          <t>Comunitat Valenciana</t>
        </is>
      </c>
      <c r="F23" s="2" t="inlineStr">
        <is>
          <t>Valencia</t>
        </is>
      </c>
      <c r="G23" s="2" t="n"/>
      <c r="H23" s="2" t="inlineStr">
        <is>
          <t>Consorcio Hospital General Universitario de Valencia</t>
        </is>
      </c>
      <c r="I23" s="2" t="inlineStr">
        <is>
          <t>Contrato de obras, responsable con el medioambiente, para la reforma y mejora de la eficiencia energética del centro de atención de urgencias (CAU) 24 horas en el CS Torrent I.</t>
        </is>
      </c>
      <c r="J23" s="2" t="inlineStr">
        <is>
          <t>CMAYOR/2027/HGUV0/0141</t>
        </is>
      </c>
      <c r="K23" s="2" t="inlineStr">
        <is>
          <t>Abierto simplificado</t>
        </is>
      </c>
      <c r="L23" s="6" t="n">
        <v>4</v>
      </c>
      <c r="M23" s="2" t="n"/>
      <c r="N23" s="7" t="n">
        <v>0.25</v>
      </c>
      <c r="O23" s="4" t="n"/>
      <c r="P23" s="2" t="inlineStr">
        <is>
          <t>45215100</t>
        </is>
      </c>
      <c r="Q23" s="8" t="inlineStr">
        <is>
          <t>Ver</t>
        </is>
      </c>
      <c r="R23" s="8" t="inlineStr">
        <is>
          <t>PCAP</t>
        </is>
      </c>
      <c r="S23" s="9" t="n">
        <v>46321</v>
      </c>
      <c r="T23" s="3" t="n">
        <v>46318.60421296296</v>
      </c>
      <c r="U23" s="2" t="n"/>
    </row>
    <row r="24">
      <c r="A24" s="2" t="inlineStr">
        <is>
          <t>Resuelta</t>
        </is>
      </c>
      <c r="B24" s="3" t="n">
        <v>46021.58333333334</v>
      </c>
      <c r="C24" s="5" t="n">
        <v>172998.93</v>
      </c>
      <c r="D24" s="5" t="n">
        <v>172998.93</v>
      </c>
      <c r="E24" s="2" t="inlineStr">
        <is>
          <t>Andalucía</t>
        </is>
      </c>
      <c r="F24" s="2" t="inlineStr">
        <is>
          <t>Cádiz</t>
        </is>
      </c>
      <c r="G24" s="2" t="inlineStr">
        <is>
          <t>La Línea de La Concepción</t>
        </is>
      </c>
      <c r="H24" s="2" t="inlineStr">
        <is>
          <t>Alcaldía del Ayuntamiento de la Línea de la Concepción</t>
        </is>
      </c>
      <c r="I24" s="2" t="inlineStr">
        <is>
          <t>contrato de obra de “Proyecto de ejecución de pistas de deporte playa en Ciudad Deportiva de La Línea de la Concepción</t>
        </is>
      </c>
      <c r="J24" s="2" t="inlineStr">
        <is>
          <t>118/25</t>
        </is>
      </c>
      <c r="K24" s="2" t="inlineStr">
        <is>
          <t>Abierto simplificado</t>
        </is>
      </c>
      <c r="L24" s="6" t="n">
        <v>3</v>
      </c>
      <c r="M24" s="2" t="n"/>
      <c r="N24" s="7" t="n">
        <v>0.25</v>
      </c>
      <c r="O24" s="4" t="n"/>
      <c r="P24" s="2" t="inlineStr">
        <is>
          <t>45212200; 45212000; 45210000; 45212210; 45000000; 45200000</t>
        </is>
      </c>
      <c r="Q24" s="8" t="inlineStr">
        <is>
          <t>Ver</t>
        </is>
      </c>
      <c r="R24" s="8" t="inlineStr">
        <is>
          <t>PCAP</t>
        </is>
      </c>
      <c r="S24" s="9" t="n">
        <v>46321</v>
      </c>
      <c r="T24" s="3" t="n">
        <v>46318.60368055556</v>
      </c>
      <c r="U24" s="2" t="n"/>
    </row>
    <row r="25">
      <c r="A25" s="2" t="inlineStr">
        <is>
          <t>Pendiente de adjudicación</t>
        </is>
      </c>
      <c r="B25" s="3" t="n">
        <v>46232.5625</v>
      </c>
      <c r="C25" s="5" t="n">
        <v>1812017.48</v>
      </c>
      <c r="D25" s="5" t="n">
        <v>1812017.48</v>
      </c>
      <c r="E25" s="2" t="inlineStr">
        <is>
          <t>Andalucía</t>
        </is>
      </c>
      <c r="F25" s="2" t="inlineStr">
        <is>
          <t>Cádiz</t>
        </is>
      </c>
      <c r="G25" s="2" t="n"/>
      <c r="H25" s="2" t="inlineStr">
        <is>
          <t>Junta de Gobierno del Ayuntamiento de Chiclana de la Frontera</t>
        </is>
      </c>
      <c r="I25" s="2" t="inlineStr">
        <is>
          <t>Obras de transformación de carretera de Pago del Humo en vía urbana.</t>
        </is>
      </c>
      <c r="J25" s="2" t="inlineStr">
        <is>
          <t>31/2026</t>
        </is>
      </c>
      <c r="K25" s="2" t="inlineStr">
        <is>
          <t>Abierto simplificado</t>
        </is>
      </c>
      <c r="L25" s="6" t="n">
        <v>12</v>
      </c>
      <c r="M25" s="2" t="inlineStr">
        <is>
          <t>G6-4</t>
        </is>
      </c>
      <c r="N25" s="7" t="n">
        <v>0.25</v>
      </c>
      <c r="O25" s="4" t="n"/>
      <c r="P25" s="2" t="inlineStr">
        <is>
          <t>45233140</t>
        </is>
      </c>
      <c r="Q25" s="8" t="inlineStr">
        <is>
          <t>Ver</t>
        </is>
      </c>
      <c r="R25" s="8" t="inlineStr">
        <is>
          <t>PCAP</t>
        </is>
      </c>
      <c r="S25" s="9" t="n">
        <v>46311</v>
      </c>
      <c r="T25" s="3" t="n">
        <v>46318.60170138889</v>
      </c>
      <c r="U25" s="2" t="n"/>
    </row>
    <row r="26">
      <c r="A26" s="2" t="inlineStr">
        <is>
          <t>En plazo</t>
        </is>
      </c>
      <c r="B26" s="3" t="n">
        <v>46336.99930555555</v>
      </c>
      <c r="C26" s="5" t="n">
        <v>132467.55</v>
      </c>
      <c r="D26" s="5" t="n">
        <v>132467.55</v>
      </c>
      <c r="E26" s="2" t="inlineStr">
        <is>
          <t>Comunitat Valenciana</t>
        </is>
      </c>
      <c r="F26" s="2" t="inlineStr">
        <is>
          <t>Valencia</t>
        </is>
      </c>
      <c r="G26" s="2" t="n"/>
      <c r="H26" s="2" t="inlineStr">
        <is>
          <t>Servicio de Emergencias Sanitarias de la Comunitat Valenciana. Dirección Económica-Gerencia</t>
        </is>
      </c>
      <c r="I26" s="2" t="inlineStr">
        <is>
          <t>Dirección de obra y obra para la adecuación y habilitación de las instalaciones e infraestructuras sitas en la localidad de Sueca del Servicio de Emergencias Sanitarias de la Comunitat Valenciana.</t>
        </is>
      </c>
      <c r="J26" s="2" t="inlineStr">
        <is>
          <t>CNMY 1656/2026</t>
        </is>
      </c>
      <c r="K26" s="2" t="inlineStr">
        <is>
          <t>Abierto simplificado</t>
        </is>
      </c>
      <c r="L26" s="6" t="n">
        <v>3.3</v>
      </c>
      <c r="M26" s="2" t="n"/>
      <c r="N26" s="7" t="n">
        <v>0</v>
      </c>
      <c r="O26" s="4" t="n">
        <v>2</v>
      </c>
      <c r="P26" s="2" t="inlineStr">
        <is>
          <t>45215100; 71240000; 71317210</t>
        </is>
      </c>
      <c r="Q26" s="8" t="inlineStr">
        <is>
          <t>Ver</t>
        </is>
      </c>
      <c r="R26" s="8" t="inlineStr">
        <is>
          <t>PCAP</t>
        </is>
      </c>
      <c r="S26" s="9" t="n">
        <v>46310</v>
      </c>
      <c r="T26" s="3" t="n">
        <v>46318.60148148148</v>
      </c>
      <c r="U26" s="2" t="inlineStr">
        <is>
          <t>2026-10-22: plazo 2026-10-21 23:59 → 2026-11-10 23:59</t>
        </is>
      </c>
    </row>
    <row r="27">
      <c r="A27" s="2" t="inlineStr">
        <is>
          <t>En plazo</t>
        </is>
      </c>
      <c r="B27" s="3" t="n">
        <v>46336.99930555555</v>
      </c>
      <c r="C27" s="5" t="n">
        <v>358728.57</v>
      </c>
      <c r="D27" s="5" t="n">
        <v>358728.57</v>
      </c>
      <c r="E27" s="2" t="inlineStr">
        <is>
          <t>Andalucía</t>
        </is>
      </c>
      <c r="F27" s="2" t="inlineStr">
        <is>
          <t>Málaga</t>
        </is>
      </c>
      <c r="G27" s="2" t="n"/>
      <c r="H27" s="2" t="inlineStr">
        <is>
          <t>Gerente de la Gerencia Municipal de Urbanismo del Ayuntamiento de Málaga</t>
        </is>
      </c>
      <c r="I27" s="2" t="inlineStr">
        <is>
          <t>Proyecto de remodelación de la plaza de la Biznaga en Cruz de Humilladero. Actuación cofinanciada por la Unión Europea a través del Fondo Europeo de Desarrollo Regional (FEDER), Programa Plurirregional de España (POPE) (2021-2027)</t>
        </is>
      </c>
      <c r="J27" s="2" t="inlineStr">
        <is>
          <t>2026000065/GMU/OBR/ABR_SMPL</t>
        </is>
      </c>
      <c r="K27" s="2" t="inlineStr">
        <is>
          <t>Abierto simplificado</t>
        </is>
      </c>
      <c r="L27" s="6" t="n">
        <v>4</v>
      </c>
      <c r="M27" s="2" t="n"/>
      <c r="N27" s="7" t="n">
        <v>0</v>
      </c>
      <c r="O27" s="4" t="n"/>
      <c r="P27" s="2" t="inlineStr">
        <is>
          <t>45233200; 45112710</t>
        </is>
      </c>
      <c r="Q27" s="8" t="inlineStr">
        <is>
          <t>Ver</t>
        </is>
      </c>
      <c r="R27" s="8" t="inlineStr">
        <is>
          <t>PCAP</t>
        </is>
      </c>
      <c r="S27" s="9" t="n">
        <v>46317</v>
      </c>
      <c r="T27" s="3" t="n">
        <v>46318.60118055555</v>
      </c>
      <c r="U27" s="2" t="n"/>
    </row>
    <row r="28">
      <c r="A28" s="2" t="inlineStr">
        <is>
          <t>En plazo</t>
        </is>
      </c>
      <c r="B28" s="3" t="n">
        <v>46342.99930555555</v>
      </c>
      <c r="C28" s="5" t="n">
        <v>3636363.64</v>
      </c>
      <c r="D28" s="5" t="n">
        <v>3636363.64</v>
      </c>
      <c r="E28" s="2" t="inlineStr">
        <is>
          <t>Andalucía</t>
        </is>
      </c>
      <c r="F28" s="2" t="inlineStr">
        <is>
          <t>Almería</t>
        </is>
      </c>
      <c r="G28" s="2" t="n"/>
      <c r="H28" s="2" t="inlineStr">
        <is>
          <t>Junta de Gobierno de la Diputación Provincial de Almería</t>
        </is>
      </c>
      <c r="I28" s="2" t="inlineStr">
        <is>
          <t>Gran Eco-bulevard Vera - Palomares. Este Proyecto Podrá Ser Cofinanciado Por La Unión Europea A Través Del Fondo Europeo De Desarrollo Regional (feder) En El Marco Del Programa Plurirregional De Españ 9PAI-LEVANTE30</t>
        </is>
      </c>
      <c r="J28" s="2" t="inlineStr">
        <is>
          <t>2026/D31000/006-002/00004</t>
        </is>
      </c>
      <c r="K28" s="2" t="inlineStr">
        <is>
          <t>Abierto</t>
        </is>
      </c>
      <c r="L28" s="6" t="n">
        <v>12.2</v>
      </c>
      <c r="M28" s="2" t="inlineStr">
        <is>
          <t>I1-4; G6-4</t>
        </is>
      </c>
      <c r="N28" s="7" t="n">
        <v>0.25</v>
      </c>
      <c r="O28" s="4" t="n"/>
      <c r="P28" s="2" t="inlineStr">
        <is>
          <t>45111291</t>
        </is>
      </c>
      <c r="Q28" s="8" t="inlineStr">
        <is>
          <t>Ver</t>
        </is>
      </c>
      <c r="R28" s="8" t="inlineStr">
        <is>
          <t>PCAP</t>
        </is>
      </c>
      <c r="S28" s="9" t="n">
        <v>46317</v>
      </c>
      <c r="T28" s="3" t="n">
        <v>46318.59993055555</v>
      </c>
      <c r="U28" s="2" t="n"/>
    </row>
    <row r="29">
      <c r="A29" s="2" t="inlineStr">
        <is>
          <t>Pendiente de adjudicación</t>
        </is>
      </c>
      <c r="B29" s="3" t="n">
        <v>46296.54166666666</v>
      </c>
      <c r="C29" s="5" t="n">
        <v>450480.72</v>
      </c>
      <c r="D29" s="5" t="n">
        <v>450480.72</v>
      </c>
      <c r="E29" s="2" t="inlineStr">
        <is>
          <t>Comunitat Valenciana</t>
        </is>
      </c>
      <c r="F29" s="2" t="inlineStr">
        <is>
          <t>Alicante</t>
        </is>
      </c>
      <c r="G29" s="2" t="inlineStr">
        <is>
          <t>Monforte del Cid</t>
        </is>
      </c>
      <c r="H29" s="2" t="inlineStr">
        <is>
          <t>Junta de Gobierno del Ayuntamiento de Monforte del Cid</t>
        </is>
      </c>
      <c r="I29" s="2" t="inlineStr">
        <is>
          <t>La ejecución de las obras definidas en el Proyecto Básico y de Mejoras de Ejecución denominado Acondicionamiento de Café-Bar del Polideportivo Municipal y espacio libre anexo</t>
        </is>
      </c>
      <c r="J29" s="2" t="inlineStr">
        <is>
          <t>3022/2026 Acondicionamiento cafe bar polideportivo</t>
        </is>
      </c>
      <c r="K29" s="2" t="inlineStr">
        <is>
          <t>Abierto simplificado</t>
        </is>
      </c>
      <c r="L29" s="6" t="n">
        <v>8</v>
      </c>
      <c r="M29" s="2" t="n"/>
      <c r="N29" s="7" t="n">
        <v>0</v>
      </c>
      <c r="O29" s="4" t="n"/>
      <c r="P29" s="2" t="inlineStr">
        <is>
          <t>45000000; 45453100; 45210000; 45300000</t>
        </is>
      </c>
      <c r="Q29" s="8" t="inlineStr">
        <is>
          <t>Ver</t>
        </is>
      </c>
      <c r="R29" s="8" t="inlineStr">
        <is>
          <t>PCAP</t>
        </is>
      </c>
      <c r="S29" s="9" t="n">
        <v>46310</v>
      </c>
      <c r="T29" s="3" t="n">
        <v>46318.59946759259</v>
      </c>
      <c r="U29" s="2" t="n"/>
    </row>
    <row r="30">
      <c r="A30" s="2" t="inlineStr">
        <is>
          <t>Adjudicada</t>
        </is>
      </c>
      <c r="B30" s="3" t="n">
        <v>46275.99930555555</v>
      </c>
      <c r="C30" s="5" t="n">
        <v>173616.64</v>
      </c>
      <c r="D30" s="5" t="n">
        <v>173616.64</v>
      </c>
      <c r="E30" s="2" t="inlineStr">
        <is>
          <t>Andalucía</t>
        </is>
      </c>
      <c r="F30" s="2" t="inlineStr">
        <is>
          <t>Málaga</t>
        </is>
      </c>
      <c r="G30" s="2" t="inlineStr">
        <is>
          <t>ALAMEDA</t>
        </is>
      </c>
      <c r="H30" s="2" t="inlineStr">
        <is>
          <t>Alcaldía del Ayuntamiento de Alameda</t>
        </is>
      </c>
      <c r="I30" s="2" t="inlineStr">
        <is>
          <t>Obras de pavimentado de calle almendros, prolongación Avenida la Libertad y prolongación Blas Infante en el núcleo urbano de Alameda (Málaga), consistentes en la mejora del estado del firme y pavimentación sobre la calzada existente</t>
        </is>
      </c>
      <c r="J30" s="2" t="inlineStr">
        <is>
          <t>1909/2026</t>
        </is>
      </c>
      <c r="K30" s="2" t="inlineStr">
        <is>
          <t>Abierto simplificado</t>
        </is>
      </c>
      <c r="L30" s="6" t="n">
        <v>1</v>
      </c>
      <c r="M30" s="2" t="n"/>
      <c r="N30" s="7" t="n">
        <v>0</v>
      </c>
      <c r="O30" s="4" t="n"/>
      <c r="P30" s="2" t="inlineStr">
        <is>
          <t>45233252</t>
        </is>
      </c>
      <c r="Q30" s="8" t="inlineStr">
        <is>
          <t>Ver</t>
        </is>
      </c>
      <c r="R30" s="8" t="inlineStr">
        <is>
          <t>PCAP</t>
        </is>
      </c>
      <c r="S30" s="9" t="n">
        <v>46321</v>
      </c>
      <c r="T30" s="3" t="n">
        <v>46318.59819444444</v>
      </c>
      <c r="U30" s="2" t="n"/>
    </row>
    <row r="31">
      <c r="A31" s="2" t="inlineStr">
        <is>
          <t>Adjudicada</t>
        </is>
      </c>
      <c r="B31" s="3" t="n">
        <v>46215.99930555555</v>
      </c>
      <c r="C31" s="5" t="n">
        <v>132231.4</v>
      </c>
      <c r="D31" s="5" t="n">
        <v>132231.4</v>
      </c>
      <c r="E31" s="2" t="inlineStr">
        <is>
          <t>Andalucía</t>
        </is>
      </c>
      <c r="F31" s="2" t="inlineStr">
        <is>
          <t>Málaga</t>
        </is>
      </c>
      <c r="G31" s="2" t="inlineStr">
        <is>
          <t>ALAMEDA</t>
        </is>
      </c>
      <c r="H31" s="2" t="inlineStr">
        <is>
          <t>Alcaldía del Ayuntamiento de Alameda</t>
        </is>
      </c>
      <c r="I31" s="2" t="inlineStr">
        <is>
          <t>Renovación del pavimento del pabellón de deportes José Francisco Torres Narbona, del Ayuntamiento de Alameda, a fin de mejorar el pavimento para la práctica deportiva, especialmente en lo concerniente a la práctica de futbol sala, baloncesto y balonmano, conforme a las especificaciones recogidas en el Pliego de Prescripciones Técnicas y el PCAP</t>
        </is>
      </c>
      <c r="J31" s="2" t="inlineStr">
        <is>
          <t>1478/2026</t>
        </is>
      </c>
      <c r="K31" s="2" t="inlineStr">
        <is>
          <t>Abierto simplificado</t>
        </is>
      </c>
      <c r="L31" s="6" t="n">
        <v>1</v>
      </c>
      <c r="M31" s="2" t="n"/>
      <c r="N31" s="7" t="n">
        <v>0</v>
      </c>
      <c r="O31" s="4" t="n"/>
      <c r="P31" s="2" t="inlineStr">
        <is>
          <t>45212600</t>
        </is>
      </c>
      <c r="Q31" s="8" t="inlineStr">
        <is>
          <t>Ver</t>
        </is>
      </c>
      <c r="R31" s="8" t="inlineStr">
        <is>
          <t>PCAP</t>
        </is>
      </c>
      <c r="S31" s="9" t="n">
        <v>46321</v>
      </c>
      <c r="T31" s="3" t="n">
        <v>46318.59797453704</v>
      </c>
      <c r="U31" s="2" t="n"/>
    </row>
    <row r="32">
      <c r="A32" s="2" t="inlineStr">
        <is>
          <t>Adjudicada</t>
        </is>
      </c>
      <c r="B32" s="3" t="n">
        <v>46300.625</v>
      </c>
      <c r="C32" s="5" t="n">
        <v>245175.69</v>
      </c>
      <c r="D32" s="5" t="n">
        <v>245175.69</v>
      </c>
      <c r="E32" s="2" t="inlineStr">
        <is>
          <t>Andalucía</t>
        </is>
      </c>
      <c r="F32" s="2" t="inlineStr">
        <is>
          <t>Cádiz</t>
        </is>
      </c>
      <c r="G32" s="2" t="n"/>
      <c r="H32" s="2" t="inlineStr">
        <is>
          <t>Delegación Especial del Estado en el Consorcio de la Zona Franca de Cádiz</t>
        </is>
      </c>
      <c r="I32" s="2" t="inlineStr">
        <is>
          <t>Obras necesarias para la ejecución del proyecto de Reparacion de las zonas A-1, A-2, B-1, B-2, C-1, C-2 de la cubierta de la nave 1 del Recinto Interior de la Zona Franca de Cádiz.</t>
        </is>
      </c>
      <c r="J32" s="2" t="inlineStr">
        <is>
          <t>CO-0205-2026-00-A</t>
        </is>
      </c>
      <c r="K32" s="2" t="inlineStr">
        <is>
          <t>Abierto simplificado</t>
        </is>
      </c>
      <c r="L32" s="6" t="n">
        <v>3.5</v>
      </c>
      <c r="M32" s="2" t="n"/>
      <c r="N32" s="7" t="n">
        <v>0.25</v>
      </c>
      <c r="O32" s="4" t="n"/>
      <c r="P32" s="2" t="inlineStr">
        <is>
          <t>45261420; 45261910</t>
        </is>
      </c>
      <c r="Q32" s="8" t="inlineStr">
        <is>
          <t>Ver</t>
        </is>
      </c>
      <c r="R32" s="8" t="inlineStr">
        <is>
          <t>PCAP</t>
        </is>
      </c>
      <c r="S32" s="9" t="n">
        <v>46310</v>
      </c>
      <c r="T32" s="3" t="n">
        <v>46318.59600694444</v>
      </c>
      <c r="U32" s="2" t="inlineStr">
        <is>
          <t>2026-10-26: estado EV → ADJ</t>
        </is>
      </c>
    </row>
    <row r="33">
      <c r="A33" s="2" t="inlineStr">
        <is>
          <t>En plazo</t>
        </is>
      </c>
      <c r="B33" s="3" t="n">
        <v>46323.99930555555</v>
      </c>
      <c r="C33" s="5" t="n">
        <v>82639.55</v>
      </c>
      <c r="D33" s="5" t="n">
        <v>82639.55</v>
      </c>
      <c r="E33" s="2" t="inlineStr">
        <is>
          <t>Andalucía</t>
        </is>
      </c>
      <c r="F33" s="2" t="inlineStr">
        <is>
          <t>Jaén</t>
        </is>
      </c>
      <c r="G33" s="2" t="inlineStr">
        <is>
          <t>TORREPEROGIL</t>
        </is>
      </c>
      <c r="H33" s="2" t="inlineStr">
        <is>
          <t>Alcaldía del Ayuntamiento de Torreperogil</t>
        </is>
      </c>
      <c r="I33" s="2" t="inlineStr">
        <is>
          <t>Recuperación de Muralla histórica y de la cerca del Antiguo Cementerio en calle Perogil, en el municipio de Torreperogil.</t>
        </is>
      </c>
      <c r="J33" s="2" t="inlineStr">
        <is>
          <t>2266/2026</t>
        </is>
      </c>
      <c r="K33" s="2" t="inlineStr">
        <is>
          <t>Abierto simplificado</t>
        </is>
      </c>
      <c r="L33" s="6" t="n">
        <v>5</v>
      </c>
      <c r="M33" s="2" t="n"/>
      <c r="N33" s="7" t="n">
        <v>0.2</v>
      </c>
      <c r="O33" s="4" t="n"/>
      <c r="P33" s="2" t="inlineStr">
        <is>
          <t>45454100</t>
        </is>
      </c>
      <c r="Q33" s="8" t="inlineStr">
        <is>
          <t>Ver</t>
        </is>
      </c>
      <c r="R33" s="8" t="inlineStr">
        <is>
          <t>PCAP</t>
        </is>
      </c>
      <c r="S33" s="9" t="n">
        <v>46310</v>
      </c>
      <c r="T33" s="3" t="n">
        <v>46318.59427083333</v>
      </c>
      <c r="U33" s="2" t="n"/>
    </row>
    <row r="34">
      <c r="A34" s="2" t="inlineStr">
        <is>
          <t>Pendiente de adjudicación</t>
        </is>
      </c>
      <c r="B34" s="3" t="n">
        <v>46279.54166666666</v>
      </c>
      <c r="C34" s="5" t="n">
        <v>935351.01</v>
      </c>
      <c r="D34" s="5" t="n">
        <v>1028886.11</v>
      </c>
      <c r="E34" s="2" t="inlineStr">
        <is>
          <t>Comunitat Valenciana</t>
        </is>
      </c>
      <c r="F34" s="2" t="inlineStr">
        <is>
          <t>Valencia</t>
        </is>
      </c>
      <c r="G34" s="2" t="n"/>
      <c r="H34" s="2" t="inlineStr">
        <is>
          <t>Presidencia de la Diputación Provincial de Valencia</t>
        </is>
      </c>
      <c r="I34" s="2" t="inlineStr">
        <is>
          <t>Ac-631/O. Obras de continuidad y accesibilidad del itinerario ciclo peatonal en la carretera CV-649 entre Vallada y la estación de ferrocarril (TM de Vallada)</t>
        </is>
      </c>
      <c r="J34" s="2" t="inlineStr">
        <is>
          <t>1696/26/CAR</t>
        </is>
      </c>
      <c r="K34" s="2" t="inlineStr">
        <is>
          <t>Abierto</t>
        </is>
      </c>
      <c r="L34" s="6" t="n">
        <v>8</v>
      </c>
      <c r="M34" s="2" t="inlineStr">
        <is>
          <t>G4-4</t>
        </is>
      </c>
      <c r="N34" s="7" t="n">
        <v>0.34</v>
      </c>
      <c r="O34" s="4" t="n"/>
      <c r="P34" s="2" t="inlineStr">
        <is>
          <t>45233120; 45233162</t>
        </is>
      </c>
      <c r="Q34" s="8" t="inlineStr">
        <is>
          <t>Ver</t>
        </is>
      </c>
      <c r="R34" s="8" t="inlineStr">
        <is>
          <t>PCAP</t>
        </is>
      </c>
      <c r="S34" s="9" t="n">
        <v>46317</v>
      </c>
      <c r="T34" s="3" t="n">
        <v>46318.59255787037</v>
      </c>
      <c r="U34" s="2" t="n"/>
    </row>
    <row r="35">
      <c r="A35" s="2" t="inlineStr">
        <is>
          <t>Resuelta</t>
        </is>
      </c>
      <c r="B35" s="3" t="n">
        <v>44568.99930555555</v>
      </c>
      <c r="C35" s="5" t="n">
        <v>137452.34</v>
      </c>
      <c r="D35" s="5" t="n">
        <v>137452.34</v>
      </c>
      <c r="E35" s="2" t="inlineStr">
        <is>
          <t>Comunitat Valenciana</t>
        </is>
      </c>
      <c r="F35" s="2" t="inlineStr">
        <is>
          <t>Valencia</t>
        </is>
      </c>
      <c r="G35" s="2" t="n"/>
      <c r="H35" s="2" t="inlineStr">
        <is>
          <t>Concejalía Delegada de Contratación del Ajuntament de València</t>
        </is>
      </c>
      <c r="I35" s="2" t="inlineStr">
        <is>
          <t>Contrato de obras para la ejecución del proyecto denominado “Rebaje de aceras en pasos de peatones, acondicionamientos de baldosas y paso de peatones sobreelevado en Benimàmet (València)”.-</t>
        </is>
      </c>
      <c r="J35" s="2" t="inlineStr">
        <is>
          <t>04101/2021/257-O</t>
        </is>
      </c>
      <c r="K35" s="2" t="inlineStr">
        <is>
          <t>Abierto simplificado</t>
        </is>
      </c>
      <c r="L35" s="6" t="n">
        <v>3</v>
      </c>
      <c r="M35" s="2" t="n"/>
      <c r="N35" s="7" t="n">
        <v>0</v>
      </c>
      <c r="O35" s="4" t="n"/>
      <c r="P35" s="2" t="inlineStr">
        <is>
          <t>45233251</t>
        </is>
      </c>
      <c r="Q35" s="8" t="inlineStr">
        <is>
          <t>Ver</t>
        </is>
      </c>
      <c r="R35" s="8" t="inlineStr">
        <is>
          <t>PCAP</t>
        </is>
      </c>
      <c r="S35" s="9" t="n">
        <v>46321</v>
      </c>
      <c r="T35" s="3" t="n">
        <v>46318.59211805555</v>
      </c>
      <c r="U35" s="2" t="n"/>
    </row>
    <row r="36">
      <c r="A36" s="2" t="inlineStr">
        <is>
          <t>Pendiente de adjudicación</t>
        </is>
      </c>
      <c r="B36" s="3" t="n">
        <v>46316.99930555555</v>
      </c>
      <c r="C36" s="5" t="n">
        <v>330257.67</v>
      </c>
      <c r="D36" s="5" t="n">
        <v>330257.67</v>
      </c>
      <c r="E36" s="2" t="inlineStr">
        <is>
          <t>Andalucía</t>
        </is>
      </c>
      <c r="F36" s="2" t="inlineStr">
        <is>
          <t>Málaga</t>
        </is>
      </c>
      <c r="G36" s="2" t="inlineStr">
        <is>
          <t>Cuevas del Becerro</t>
        </is>
      </c>
      <c r="H36" s="2" t="inlineStr">
        <is>
          <t>Alcaldía del Ayuntamiento de Cuevas del Becerro</t>
        </is>
      </c>
      <c r="I36" s="2" t="inlineStr">
        <is>
          <t>Remodelación completa de la tubería de abastecimiento general que parte desde las inmediaciones del depósito regulador y discurre por la continuación del paseo del Castillejo y la avenida La Fuentezuela, la remodelación completa de dicha avenida y la instalación de un grupo de presión para resolver el proble-ma de baja presión en la zona.</t>
        </is>
      </c>
      <c r="J36" s="2" t="inlineStr">
        <is>
          <t>200/2026</t>
        </is>
      </c>
      <c r="K36" s="2" t="inlineStr">
        <is>
          <t>Abierto simplificado</t>
        </is>
      </c>
      <c r="L36" s="6" t="n">
        <v>6</v>
      </c>
      <c r="M36" s="2" t="n"/>
      <c r="N36" s="7" t="n">
        <v>0.1</v>
      </c>
      <c r="O36" s="4" t="n"/>
      <c r="P36" s="2" t="inlineStr">
        <is>
          <t>45230000; 45231100; 45233260; 45233140</t>
        </is>
      </c>
      <c r="Q36" s="8" t="inlineStr">
        <is>
          <t>Ver</t>
        </is>
      </c>
      <c r="R36" s="8" t="inlineStr">
        <is>
          <t>PCAP</t>
        </is>
      </c>
      <c r="S36" s="9" t="n">
        <v>46321</v>
      </c>
      <c r="T36" s="3" t="n">
        <v>46318.5903125</v>
      </c>
      <c r="U36" s="2" t="n"/>
    </row>
    <row r="37">
      <c r="A37" s="2" t="inlineStr">
        <is>
          <t>En plazo</t>
        </is>
      </c>
      <c r="B37" s="3" t="n">
        <v>46338.99930555555</v>
      </c>
      <c r="C37" s="5" t="n">
        <v>67298.88</v>
      </c>
      <c r="D37" s="5" t="n">
        <v>67298.88</v>
      </c>
      <c r="E37" s="2" t="inlineStr">
        <is>
          <t>Andalucía</t>
        </is>
      </c>
      <c r="F37" s="2" t="inlineStr">
        <is>
          <t>Almería</t>
        </is>
      </c>
      <c r="G37" s="2" t="n"/>
      <c r="H37" s="2" t="inlineStr">
        <is>
          <t>Junta de Gobierno de la Diputación Provincial de Almería</t>
        </is>
      </c>
      <c r="I37" s="2" t="inlineStr">
        <is>
          <t>Instalación De Sistema De Abastecimiento De Agua Contra Incendios En Residencia Asistida De Mayores. Fase 1, Unidad 14 Y Unidad 10-12. 6PGM2026</t>
        </is>
      </c>
      <c r="J37" s="2" t="inlineStr">
        <is>
          <t>2026/D31000/006-013/00066</t>
        </is>
      </c>
      <c r="K37" s="2" t="inlineStr">
        <is>
          <t>Abierto simplificado</t>
        </is>
      </c>
      <c r="L37" s="6" t="n">
        <v>3</v>
      </c>
      <c r="M37" s="2" t="n"/>
      <c r="N37" s="7" t="n">
        <v>0.25</v>
      </c>
      <c r="O37" s="4" t="n"/>
      <c r="P37" s="2" t="inlineStr">
        <is>
          <t>45343200</t>
        </is>
      </c>
      <c r="Q37" s="8" t="inlineStr">
        <is>
          <t>Ver</t>
        </is>
      </c>
      <c r="R37" s="8" t="inlineStr">
        <is>
          <t>PCAP</t>
        </is>
      </c>
      <c r="S37" s="9" t="n">
        <v>46321</v>
      </c>
      <c r="T37" s="3" t="n">
        <v>46318.59030092593</v>
      </c>
      <c r="U37" s="2" t="n"/>
    </row>
    <row r="38">
      <c r="A38" s="2" t="inlineStr">
        <is>
          <t>Adjudicada</t>
        </is>
      </c>
      <c r="B38" s="3" t="n">
        <v>46232.99930555555</v>
      </c>
      <c r="C38" s="5" t="n">
        <v>666460.78</v>
      </c>
      <c r="D38" s="5" t="n">
        <v>666460.78</v>
      </c>
      <c r="E38" s="2" t="inlineStr">
        <is>
          <t>Comunitat Valenciana</t>
        </is>
      </c>
      <c r="F38" s="2" t="inlineStr">
        <is>
          <t>Alicante</t>
        </is>
      </c>
      <c r="G38" s="2" t="n"/>
      <c r="H38" s="2" t="inlineStr">
        <is>
          <t>Junta de Gobierno del Ayuntamiento de Elche</t>
        </is>
      </c>
      <c r="I38" s="2" t="inlineStr">
        <is>
          <t>Obras de adaptación viaria en puntos conflictivos de tráfico en el término municipal de Elche.</t>
        </is>
      </c>
      <c r="J38" s="2" t="inlineStr">
        <is>
          <t>OBR/ABR_SMPL/2026000107</t>
        </is>
      </c>
      <c r="K38" s="2" t="inlineStr">
        <is>
          <t>Abierto simplificado</t>
        </is>
      </c>
      <c r="L38" s="6" t="n">
        <v>6</v>
      </c>
      <c r="M38" s="2" t="inlineStr">
        <is>
          <t>G4-3</t>
        </is>
      </c>
      <c r="N38" s="7" t="n">
        <v>0.2</v>
      </c>
      <c r="O38" s="4" t="n"/>
      <c r="P38" s="2" t="inlineStr">
        <is>
          <t>45233120</t>
        </is>
      </c>
      <c r="Q38" s="8" t="inlineStr">
        <is>
          <t>Ver</t>
        </is>
      </c>
      <c r="R38" s="8" t="inlineStr">
        <is>
          <t>PCAP</t>
        </is>
      </c>
      <c r="S38" s="9" t="n">
        <v>46311</v>
      </c>
      <c r="T38" s="3" t="n">
        <v>46318.58938657407</v>
      </c>
      <c r="U38" s="2" t="inlineStr">
        <is>
          <t>2026-10-26: estado EV → ADJ</t>
        </is>
      </c>
    </row>
    <row r="39">
      <c r="A39" s="2" t="inlineStr">
        <is>
          <t>Pendiente de adjudicación</t>
        </is>
      </c>
      <c r="B39" s="3" t="n">
        <v>46283.83333333334</v>
      </c>
      <c r="C39" s="5" t="n">
        <v>533572.55</v>
      </c>
      <c r="D39" s="5" t="n">
        <v>533572.55</v>
      </c>
      <c r="E39" s="2" t="inlineStr">
        <is>
          <t>Andalucía</t>
        </is>
      </c>
      <c r="F39" s="2" t="inlineStr">
        <is>
          <t>Granada</t>
        </is>
      </c>
      <c r="G39" s="2" t="inlineStr">
        <is>
          <t>Atarfe (Granada)</t>
        </is>
      </c>
      <c r="H39" s="2" t="inlineStr">
        <is>
          <t>Dirección Gerente de Aguas Vega Sierra Elvira, S.A.</t>
        </is>
      </c>
      <c r="I39" s="2" t="inlineStr">
        <is>
          <t>Renovación de redes de calle jaén y calle marbella Maracena (Granada)</t>
        </is>
      </c>
      <c r="J39" s="2" t="inlineStr">
        <is>
          <t>Obras 13/2026</t>
        </is>
      </c>
      <c r="K39" s="2" t="inlineStr">
        <is>
          <t>Abierto</t>
        </is>
      </c>
      <c r="L39" s="6" t="n">
        <v>6</v>
      </c>
      <c r="M39" s="2" t="n"/>
      <c r="N39" s="7" t="n">
        <v>0.4</v>
      </c>
      <c r="O39" s="4" t="n"/>
      <c r="P39" s="2" t="inlineStr">
        <is>
          <t>45200000; 45231100; 45232100; 45220000; 44160000</t>
        </is>
      </c>
      <c r="Q39" s="8" t="inlineStr">
        <is>
          <t>Ver</t>
        </is>
      </c>
      <c r="R39" s="8" t="inlineStr">
        <is>
          <t>PCAP</t>
        </is>
      </c>
      <c r="S39" s="9" t="n">
        <v>46315</v>
      </c>
      <c r="T39" s="3" t="n">
        <v>46318.58814814815</v>
      </c>
      <c r="U39" s="2" t="n"/>
    </row>
    <row r="40">
      <c r="A40" s="2" t="inlineStr">
        <is>
          <t>En plazo</t>
        </is>
      </c>
      <c r="B40" s="3" t="n">
        <v>46338.99930555555</v>
      </c>
      <c r="C40" s="5" t="n">
        <v>983261.73</v>
      </c>
      <c r="D40" s="5" t="n">
        <v>983261.73</v>
      </c>
      <c r="E40" s="2" t="inlineStr">
        <is>
          <t>Comunitat Valenciana</t>
        </is>
      </c>
      <c r="F40" s="2" t="inlineStr">
        <is>
          <t>Alicante</t>
        </is>
      </c>
      <c r="G40" s="2" t="n"/>
      <c r="H40" s="2" t="inlineStr">
        <is>
          <t>Junta de Gobierno del Ayuntamiento de Aspe</t>
        </is>
      </c>
      <c r="I40" s="2" t="inlineStr">
        <is>
          <t>Contrato Administrativo Obras rehabilitación de edificio de viviendas de calle Azorin y urbanizacion anexa en Aspe , Alicante conforme proyecto redactado por UTE PLAN A3 ARQUITECTURA E INGENIERIA, AKTUA MANAGEMENT Y CARMEN TORRES PEREZ</t>
        </is>
      </c>
      <c r="J40" s="2" t="inlineStr">
        <is>
          <t>2026/46-GUACON</t>
        </is>
      </c>
      <c r="K40" s="2" t="inlineStr">
        <is>
          <t>Abierto simplificado</t>
        </is>
      </c>
      <c r="L40" s="6" t="n">
        <v>10</v>
      </c>
      <c r="M40" s="2" t="n"/>
      <c r="N40" s="7" t="n">
        <v>0</v>
      </c>
      <c r="O40" s="4" t="n"/>
      <c r="P40" s="2" t="inlineStr">
        <is>
          <t>45000000</t>
        </is>
      </c>
      <c r="Q40" s="8" t="inlineStr">
        <is>
          <t>Ver</t>
        </is>
      </c>
      <c r="R40" s="8" t="inlineStr">
        <is>
          <t>PCAP</t>
        </is>
      </c>
      <c r="S40" s="9" t="n">
        <v>46321</v>
      </c>
      <c r="T40" s="3" t="n">
        <v>46318.58667824074</v>
      </c>
      <c r="U40" s="2" t="n"/>
    </row>
    <row r="41">
      <c r="A41" s="2" t="inlineStr">
        <is>
          <t>Resuelta</t>
        </is>
      </c>
      <c r="B41" s="3" t="n">
        <v>46122.99930555555</v>
      </c>
      <c r="C41" s="5" t="n">
        <v>181503.27</v>
      </c>
      <c r="D41" s="5" t="n">
        <v>181503.27</v>
      </c>
      <c r="E41" s="2" t="inlineStr">
        <is>
          <t>Comunitat Valenciana</t>
        </is>
      </c>
      <c r="F41" s="2" t="inlineStr">
        <is>
          <t>Valencia</t>
        </is>
      </c>
      <c r="G41" s="2" t="n"/>
      <c r="H41" s="2" t="inlineStr">
        <is>
          <t>Junta de Gobierno del Ayuntamiento de Sagunto</t>
        </is>
      </c>
      <c r="I41" s="2" t="inlineStr">
        <is>
          <t>Contrato de obras para la sustitución y adecuación de elementos de protección en la pasarela peatonal sobre la línea F.F.C.C. Valencia-Sagunto-Barcelona, situación en la calle de la Estación de Sagunto</t>
        </is>
      </c>
      <c r="J41" s="2" t="inlineStr">
        <is>
          <t>13/26-C</t>
        </is>
      </c>
      <c r="K41" s="2" t="inlineStr">
        <is>
          <t>Restringido</t>
        </is>
      </c>
      <c r="L41" s="6" t="n">
        <v>45</v>
      </c>
      <c r="M41" s="2" t="n"/>
      <c r="N41" s="7" t="n">
        <v>0</v>
      </c>
      <c r="O41" s="4" t="n">
        <v>1</v>
      </c>
      <c r="P41" s="2" t="inlineStr">
        <is>
          <t>45000000</t>
        </is>
      </c>
      <c r="Q41" s="8" t="inlineStr">
        <is>
          <t>Ver</t>
        </is>
      </c>
      <c r="R41" s="8" t="inlineStr">
        <is>
          <t>PCAP</t>
        </is>
      </c>
      <c r="S41" s="9" t="n">
        <v>46321</v>
      </c>
      <c r="T41" s="3" t="n">
        <v>46318.5844212963</v>
      </c>
      <c r="U41" s="2" t="n"/>
    </row>
    <row r="42">
      <c r="A42" s="2" t="inlineStr">
        <is>
          <t>Resuelta</t>
        </is>
      </c>
      <c r="B42" s="3" t="n">
        <v>46280.99930555555</v>
      </c>
      <c r="C42" s="5" t="n">
        <v>123966.94</v>
      </c>
      <c r="D42" s="5" t="n">
        <v>123966.94</v>
      </c>
      <c r="E42" s="2" t="inlineStr">
        <is>
          <t>Andalucía</t>
        </is>
      </c>
      <c r="F42" s="2" t="inlineStr">
        <is>
          <t>Cádiz</t>
        </is>
      </c>
      <c r="G42" s="2" t="inlineStr">
        <is>
          <t>SAN JOSE DEL VALLE</t>
        </is>
      </c>
      <c r="H42" s="2" t="inlineStr">
        <is>
          <t>Alcaldía del Ayuntamiento de San José del Valle</t>
        </is>
      </c>
      <c r="I42" s="2" t="inlineStr">
        <is>
          <t>2ª Fase de Adaptación de Centro Cultural. Plan de Cooperación a las Obras y Servicios de Competencia Municipal PPCOS 2026-2027</t>
        </is>
      </c>
      <c r="J42" s="2" t="inlineStr">
        <is>
          <t>2244-2026</t>
        </is>
      </c>
      <c r="K42" s="2" t="inlineStr">
        <is>
          <t>Abierto simplificado</t>
        </is>
      </c>
      <c r="L42" s="6" t="n">
        <v>6</v>
      </c>
      <c r="M42" s="2" t="n"/>
      <c r="N42" s="7" t="n">
        <v>0</v>
      </c>
      <c r="O42" s="4" t="n"/>
      <c r="P42" s="2" t="inlineStr">
        <is>
          <t>45000000; 45200000</t>
        </is>
      </c>
      <c r="Q42" s="8" t="inlineStr">
        <is>
          <t>Ver</t>
        </is>
      </c>
      <c r="R42" s="8" t="inlineStr">
        <is>
          <t>PCAP</t>
        </is>
      </c>
      <c r="S42" s="9" t="n">
        <v>46321</v>
      </c>
      <c r="T42" s="3" t="n">
        <v>46318.58267361111</v>
      </c>
      <c r="U42" s="2" t="n"/>
    </row>
    <row r="43">
      <c r="A43" s="2" t="inlineStr">
        <is>
          <t>En plazo</t>
        </is>
      </c>
      <c r="B43" s="3" t="n">
        <v>46331.99930555555</v>
      </c>
      <c r="C43" s="5" t="n">
        <v>5236971.63</v>
      </c>
      <c r="D43" s="5" t="n">
        <v>5236971.63</v>
      </c>
      <c r="E43" s="2" t="inlineStr">
        <is>
          <t>Andalucía</t>
        </is>
      </c>
      <c r="F43" s="2" t="inlineStr">
        <is>
          <t>Huelva</t>
        </is>
      </c>
      <c r="G43" s="2" t="inlineStr">
        <is>
          <t>HUELVA</t>
        </is>
      </c>
      <c r="H43" s="2" t="inlineStr">
        <is>
          <t>Junta de Gobierno de la Diputación Provincial de Huelva</t>
        </is>
      </c>
      <c r="I43" s="2" t="inlineStr">
        <is>
          <t>El presente contrato tiene por objeto la rehabilitación del firme de diversas carreteras provinciales pertenecientes al Plan de inversiones del Servicio de Carreteras y Caminos 2025 y Tu Diputación Actua.</t>
        </is>
      </c>
      <c r="J43" s="2" t="inlineStr">
        <is>
          <t>2026/CMY_03/000148</t>
        </is>
      </c>
      <c r="K43" s="2" t="inlineStr">
        <is>
          <t>Abierto</t>
        </is>
      </c>
      <c r="L43" s="6" t="n">
        <v>3</v>
      </c>
      <c r="M43" s="2" t="n"/>
      <c r="N43" s="7" t="n">
        <v>0</v>
      </c>
      <c r="O43" s="4" t="n">
        <v>6</v>
      </c>
      <c r="P43" s="2" t="inlineStr">
        <is>
          <t>45233000</t>
        </is>
      </c>
      <c r="Q43" s="8" t="inlineStr">
        <is>
          <t>Ver</t>
        </is>
      </c>
      <c r="R43" s="8" t="inlineStr">
        <is>
          <t>PCAP</t>
        </is>
      </c>
      <c r="S43" s="9" t="n">
        <v>46321</v>
      </c>
      <c r="T43" s="3" t="n">
        <v>46318.58204861111</v>
      </c>
      <c r="U43" s="2" t="n"/>
    </row>
    <row r="44">
      <c r="A44" s="2" t="inlineStr">
        <is>
          <t>Resuelta</t>
        </is>
      </c>
      <c r="B44" s="3" t="n">
        <v>46238.99930555555</v>
      </c>
      <c r="C44" s="5" t="n">
        <v>57851.23</v>
      </c>
      <c r="D44" s="5" t="n">
        <v>57851.23</v>
      </c>
      <c r="E44" s="2" t="inlineStr">
        <is>
          <t>Comunitat Valenciana</t>
        </is>
      </c>
      <c r="F44" s="2" t="inlineStr">
        <is>
          <t>Valencia</t>
        </is>
      </c>
      <c r="G44" s="2" t="inlineStr">
        <is>
          <t>Utiel</t>
        </is>
      </c>
      <c r="H44" s="2" t="inlineStr">
        <is>
          <t>Alcaldía del Ayuntamiento de Utiel</t>
        </is>
      </c>
      <c r="I44" s="2" t="inlineStr">
        <is>
          <t>Reurbanización de calles en la Aldea de las Casas de Utiel, incluida dentro del Plan Abierto del Plan de Inversiones de Diputación de Valencia para los años 2024-2027</t>
        </is>
      </c>
      <c r="J44" s="2" t="inlineStr">
        <is>
          <t>8151/2025</t>
        </is>
      </c>
      <c r="K44" s="2" t="inlineStr">
        <is>
          <t>Abierto simplificado</t>
        </is>
      </c>
      <c r="L44" s="6" t="n">
        <v>1</v>
      </c>
      <c r="M44" s="2" t="n"/>
      <c r="N44" s="7" t="n">
        <v>0</v>
      </c>
      <c r="O44" s="4" t="n"/>
      <c r="P44" s="2" t="inlineStr">
        <is>
          <t>45200000</t>
        </is>
      </c>
      <c r="Q44" s="8" t="inlineStr">
        <is>
          <t>Ver</t>
        </is>
      </c>
      <c r="R44" s="8" t="inlineStr">
        <is>
          <t>PCAP</t>
        </is>
      </c>
      <c r="S44" s="9" t="n">
        <v>46321</v>
      </c>
      <c r="T44" s="3" t="n">
        <v>46318.5778587963</v>
      </c>
      <c r="U44" s="2" t="n"/>
    </row>
    <row r="45">
      <c r="A45" s="2" t="inlineStr">
        <is>
          <t>Pendiente de adjudicación</t>
        </is>
      </c>
      <c r="B45" s="3" t="n">
        <v>46309.99930555555</v>
      </c>
      <c r="C45" s="5" t="n">
        <v>112245.5</v>
      </c>
      <c r="D45" s="5" t="n">
        <v>112245.5</v>
      </c>
      <c r="E45" s="2" t="inlineStr">
        <is>
          <t>Andalucía</t>
        </is>
      </c>
      <c r="F45" s="2" t="inlineStr">
        <is>
          <t>Málaga</t>
        </is>
      </c>
      <c r="G45" s="2" t="inlineStr">
        <is>
          <t>Colmenar, Málaga</t>
        </is>
      </c>
      <c r="H45" s="2" t="inlineStr">
        <is>
          <t>Alcaldía del Ayuntamiento de Colmenar</t>
        </is>
      </c>
      <c r="I45" s="2" t="inlineStr">
        <is>
          <t>Realización de las obras correspondientes al proyecto denominado 'Mejora red de abastecimiento de agua en Jaldarín, Las Pitas y Carrasco'</t>
        </is>
      </c>
      <c r="J45" s="2" t="inlineStr">
        <is>
          <t>1024/2026</t>
        </is>
      </c>
      <c r="K45" s="2" t="inlineStr">
        <is>
          <t>Abierto simplificado</t>
        </is>
      </c>
      <c r="L45" s="6" t="n">
        <v>3</v>
      </c>
      <c r="M45" s="2" t="n"/>
      <c r="N45" s="7" t="n">
        <v>0</v>
      </c>
      <c r="O45" s="4" t="n"/>
      <c r="P45" s="2" t="inlineStr">
        <is>
          <t>45112000; 45232151; 90513000; 45232150; 45111200</t>
        </is>
      </c>
      <c r="Q45" s="8" t="inlineStr">
        <is>
          <t>Ver</t>
        </is>
      </c>
      <c r="R45" s="8" t="inlineStr">
        <is>
          <t>PCAP</t>
        </is>
      </c>
      <c r="S45" s="9" t="n">
        <v>46321</v>
      </c>
      <c r="T45" s="3" t="n">
        <v>46318.57653935185</v>
      </c>
      <c r="U45" s="2" t="n"/>
    </row>
    <row r="46">
      <c r="A46" s="2" t="inlineStr">
        <is>
          <t>Resuelta</t>
        </is>
      </c>
      <c r="B46" s="3" t="n"/>
      <c r="C46" s="5" t="n">
        <v>591987.5</v>
      </c>
      <c r="D46" s="5" t="n">
        <v>716304.88</v>
      </c>
      <c r="E46" s="2" t="inlineStr">
        <is>
          <t>Andalucía</t>
        </is>
      </c>
      <c r="F46" s="2" t="inlineStr">
        <is>
          <t>Granada</t>
        </is>
      </c>
      <c r="G46" s="2" t="n"/>
      <c r="H46" s="2" t="inlineStr">
        <is>
          <t>Demarcación de Carreteras del Estado en Andalucía Oriental</t>
        </is>
      </c>
      <c r="I46" s="2" t="inlineStr">
        <is>
          <t>Sustitución de pretil y pantalla antivandálica en la estructura de la A-7 sobre el ferrocarril, en el P.K. 779+550. T.M. Huércal de Almería, provincia de Almería. LOTE 1</t>
        </is>
      </c>
      <c r="J46" s="2" t="inlineStr">
        <is>
          <t>EM33-AL-260004.L1</t>
        </is>
      </c>
      <c r="K46" s="2" t="inlineStr">
        <is>
          <t>Negociado sin publicidad</t>
        </is>
      </c>
      <c r="L46" s="6" t="n">
        <v>5</v>
      </c>
      <c r="M46" s="2" t="n"/>
      <c r="N46" s="7" t="n"/>
      <c r="O46" s="4" t="n"/>
      <c r="P46" s="2" t="inlineStr">
        <is>
          <t>45000000</t>
        </is>
      </c>
      <c r="Q46" s="8" t="inlineStr">
        <is>
          <t>Ver</t>
        </is>
      </c>
      <c r="R46" s="2" t="n"/>
      <c r="S46" s="9" t="n">
        <v>46321</v>
      </c>
      <c r="T46" s="3" t="n">
        <v>46318.57645833334</v>
      </c>
      <c r="U46" s="2" t="n"/>
    </row>
    <row r="47">
      <c r="A47" s="2" t="inlineStr">
        <is>
          <t>Pendiente de adjudicación</t>
        </is>
      </c>
      <c r="B47" s="3" t="n">
        <v>46308.58333333334</v>
      </c>
      <c r="C47" s="5" t="n">
        <v>300493.09</v>
      </c>
      <c r="D47" s="5" t="n">
        <v>300493.09</v>
      </c>
      <c r="E47" s="2" t="inlineStr">
        <is>
          <t>Andalucía</t>
        </is>
      </c>
      <c r="F47" s="2" t="inlineStr">
        <is>
          <t>Córdoba</t>
        </is>
      </c>
      <c r="G47" s="2" t="inlineStr">
        <is>
          <t>Montalbán</t>
        </is>
      </c>
      <c r="H47" s="2" t="inlineStr">
        <is>
          <t>Presidenta de Mancomunidad de Municipios Campiña Sur Cordobesa</t>
        </is>
      </c>
      <c r="I47" s="2" t="inlineStr">
        <is>
          <t>Contrato de obras para la ejecución de la actuación, mejora y adecuación de las infraestructuras deportivas municipales de Montalbán de Córdoba (Córdoba), incluida en el plan de actuación integrado (PAI) Conecta Campiña Sur, desarrollado en el marco de la estrategia de desarrollo integrado local (EDIL) y cofinanciado por la Unión Europea.</t>
        </is>
      </c>
      <c r="J47" s="2" t="inlineStr">
        <is>
          <t>GEX1188/2026</t>
        </is>
      </c>
      <c r="K47" s="2" t="inlineStr">
        <is>
          <t>Abierto simplificado</t>
        </is>
      </c>
      <c r="L47" s="6" t="n">
        <v>2.5</v>
      </c>
      <c r="M47" s="2" t="n"/>
      <c r="N47" s="7" t="n">
        <v>0</v>
      </c>
      <c r="O47" s="4" t="n"/>
      <c r="P47" s="2" t="inlineStr">
        <is>
          <t>45212200</t>
        </is>
      </c>
      <c r="Q47" s="8" t="inlineStr">
        <is>
          <t>Ver</t>
        </is>
      </c>
      <c r="R47" s="8" t="inlineStr">
        <is>
          <t>PCAP</t>
        </is>
      </c>
      <c r="S47" s="9" t="n">
        <v>46321</v>
      </c>
      <c r="T47" s="3" t="n">
        <v>46318.5744675926</v>
      </c>
      <c r="U47" s="2" t="n"/>
    </row>
    <row r="48">
      <c r="A48" s="2" t="inlineStr">
        <is>
          <t>Pendiente de adjudicación</t>
        </is>
      </c>
      <c r="B48" s="3" t="n">
        <v>46286.99930555555</v>
      </c>
      <c r="C48" s="5" t="n">
        <v>596379.84</v>
      </c>
      <c r="D48" s="5" t="n">
        <v>715655.8100000001</v>
      </c>
      <c r="E48" s="2" t="inlineStr">
        <is>
          <t>Andalucía</t>
        </is>
      </c>
      <c r="F48" s="2" t="inlineStr">
        <is>
          <t>Sevilla</t>
        </is>
      </c>
      <c r="G48" s="2" t="inlineStr">
        <is>
          <t>Sevilla</t>
        </is>
      </c>
      <c r="H48" s="2" t="inlineStr">
        <is>
          <t>Comisión Ejecutiva de Mercados Centrales de Abastecimiento de Sevilla S.A. (MERCASEVILLA S.A.)</t>
        </is>
      </c>
      <c r="I48" s="2" t="inlineStr">
        <is>
          <t>Contrato de obras de restauración y pintura del exterior del Edificio Administrativo, renovación de la rotulación corporativa, y rotulación exterior de varios espacios de Mercados Centrales de Abastecimiento de Sevilla, S.A. (Mercasevilla, S.A.). Expte. 2026/190.</t>
        </is>
      </c>
      <c r="J48" s="2" t="inlineStr">
        <is>
          <t>2026/190</t>
        </is>
      </c>
      <c r="K48" s="2" t="inlineStr">
        <is>
          <t>Abierto</t>
        </is>
      </c>
      <c r="L48" s="6" t="n">
        <v>4</v>
      </c>
      <c r="M48" s="2" t="inlineStr">
        <is>
          <t>C4-3</t>
        </is>
      </c>
      <c r="N48" s="7" t="n">
        <v>0.3</v>
      </c>
      <c r="O48" s="4" t="n"/>
      <c r="P48" s="2" t="inlineStr">
        <is>
          <t>45000000</t>
        </is>
      </c>
      <c r="Q48" s="8" t="inlineStr">
        <is>
          <t>Ver</t>
        </is>
      </c>
      <c r="R48" s="8" t="inlineStr">
        <is>
          <t>PCAP</t>
        </is>
      </c>
      <c r="S48" s="9" t="n">
        <v>46321</v>
      </c>
      <c r="T48" s="3" t="n">
        <v>46318.57010416667</v>
      </c>
      <c r="U48" s="2" t="n"/>
    </row>
    <row r="49">
      <c r="A49" s="2" t="inlineStr">
        <is>
          <t>Pendiente de adjudicación</t>
        </is>
      </c>
      <c r="B49" s="3" t="n">
        <v>46316.99930555555</v>
      </c>
      <c r="C49" s="5" t="n">
        <v>37662.81</v>
      </c>
      <c r="D49" s="5" t="n">
        <v>45195.37</v>
      </c>
      <c r="E49" s="2" t="inlineStr">
        <is>
          <t>Andalucía</t>
        </is>
      </c>
      <c r="F49" s="2" t="inlineStr">
        <is>
          <t>Málaga</t>
        </is>
      </c>
      <c r="G49" s="2" t="n"/>
      <c r="H49" s="2" t="inlineStr">
        <is>
          <t>Gerencia de la Empresa Malagueña de Transportes S.A.M.</t>
        </is>
      </c>
      <c r="I49" s="2" t="inlineStr">
        <is>
          <t>El contrato tiene por objeto la sustitución y reforma integral del sistema de producción de Agua Caliente Sanitaria (ACS) de los vestuarios del taller de EMTSAM situados en Camino San Rafael nº 97 de Málaga, con el alcance funcional y técnico definido en el PPTP y sus anexos.</t>
        </is>
      </c>
      <c r="J49" s="2" t="inlineStr">
        <is>
          <t>022/2026</t>
        </is>
      </c>
      <c r="K49" s="2" t="inlineStr">
        <is>
          <t>Abierto</t>
        </is>
      </c>
      <c r="L49" s="6" t="n">
        <v>3</v>
      </c>
      <c r="M49" s="2" t="n"/>
      <c r="N49" s="7" t="n">
        <v>0</v>
      </c>
      <c r="O49" s="4" t="n"/>
      <c r="P49" s="2" t="inlineStr">
        <is>
          <t>45330000; 45331000</t>
        </is>
      </c>
      <c r="Q49" s="8" t="inlineStr">
        <is>
          <t>Ver</t>
        </is>
      </c>
      <c r="R49" s="8" t="inlineStr">
        <is>
          <t>PCAP</t>
        </is>
      </c>
      <c r="S49" s="9" t="n">
        <v>46321</v>
      </c>
      <c r="T49" s="3" t="n">
        <v>46318.56988425926</v>
      </c>
      <c r="U49" s="2" t="n"/>
    </row>
    <row r="50">
      <c r="A50" s="2" t="inlineStr">
        <is>
          <t>Pendiente de adjudicación</t>
        </is>
      </c>
      <c r="B50" s="3" t="n">
        <v>46308.99930555555</v>
      </c>
      <c r="C50" s="5" t="n">
        <v>269136.45</v>
      </c>
      <c r="D50" s="5" t="n">
        <v>269136.45</v>
      </c>
      <c r="E50" s="2" t="inlineStr">
        <is>
          <t>Comunitat Valenciana</t>
        </is>
      </c>
      <c r="F50" s="2" t="inlineStr">
        <is>
          <t>Alicante</t>
        </is>
      </c>
      <c r="G50" s="2" t="n"/>
      <c r="H50" s="2" t="inlineStr">
        <is>
          <t>Junta de Gobierno del Ayuntamiento de Elche</t>
        </is>
      </c>
      <c r="I50" s="2" t="inlineStr">
        <is>
          <t>Obras de mantenimiento de espacios públicos peatonales en los distritos urbanos y rurales 2026 (aceras distritos)</t>
        </is>
      </c>
      <c r="J50" s="2" t="inlineStr">
        <is>
          <t>OBR/ABR_SMPL/2026000147</t>
        </is>
      </c>
      <c r="K50" s="2" t="inlineStr">
        <is>
          <t>Abierto simplificado</t>
        </is>
      </c>
      <c r="L50" s="6" t="n">
        <v>12</v>
      </c>
      <c r="M50" s="2" t="n"/>
      <c r="N50" s="7" t="n">
        <v>0.25</v>
      </c>
      <c r="O50" s="4" t="n"/>
      <c r="P50" s="2" t="inlineStr">
        <is>
          <t>45233140</t>
        </is>
      </c>
      <c r="Q50" s="8" t="inlineStr">
        <is>
          <t>Ver</t>
        </is>
      </c>
      <c r="R50" s="8" t="inlineStr">
        <is>
          <t>PCAP</t>
        </is>
      </c>
      <c r="S50" s="9" t="n">
        <v>46310</v>
      </c>
      <c r="T50" s="3" t="n">
        <v>46318.56960648148</v>
      </c>
      <c r="U50" s="2" t="n"/>
    </row>
    <row r="51">
      <c r="A51" s="2" t="inlineStr">
        <is>
          <t>En plazo</t>
        </is>
      </c>
      <c r="B51" s="3" t="n">
        <v>46336.99930555555</v>
      </c>
      <c r="C51" s="5" t="n">
        <v>223140.02</v>
      </c>
      <c r="D51" s="5" t="n">
        <v>245454.02</v>
      </c>
      <c r="E51" s="2" t="inlineStr">
        <is>
          <t>Comunitat Valenciana</t>
        </is>
      </c>
      <c r="F51" s="2" t="inlineStr">
        <is>
          <t>Valencia</t>
        </is>
      </c>
      <c r="G51" s="2" t="n"/>
      <c r="H51" s="2" t="inlineStr">
        <is>
          <t>Concejalía Delegada de Contratación del Ajuntament de València</t>
        </is>
      </c>
      <c r="I51" s="2" t="inlineStr">
        <is>
          <t>Obras correspondientes al proyecto básico y ejecución Ruta Salut al Grau 2026. Actuación seleccionada en la consulta ciudadana sobre inversiones en barrios de los presupuestos participativos DECIDIM VLC (VLC 2020-4987, VLC 2022-6041).-</t>
        </is>
      </c>
      <c r="J51" s="2" t="inlineStr">
        <is>
          <t>04101/2026/215-O</t>
        </is>
      </c>
      <c r="K51" s="2" t="inlineStr">
        <is>
          <t>Abierto simplificado</t>
        </is>
      </c>
      <c r="L51" s="6" t="n">
        <v>5</v>
      </c>
      <c r="M51" s="2" t="n"/>
      <c r="N51" s="7" t="n">
        <v>0</v>
      </c>
      <c r="O51" s="4" t="n"/>
      <c r="P51" s="2" t="inlineStr">
        <is>
          <t>45212200</t>
        </is>
      </c>
      <c r="Q51" s="8" t="inlineStr">
        <is>
          <t>Ver</t>
        </is>
      </c>
      <c r="R51" s="8" t="inlineStr">
        <is>
          <t>PCAP</t>
        </is>
      </c>
      <c r="S51" s="9" t="n">
        <v>46317</v>
      </c>
      <c r="T51" s="3" t="n">
        <v>46318.56908564815</v>
      </c>
      <c r="U51" s="2" t="n"/>
    </row>
    <row r="52">
      <c r="A52" s="2" t="inlineStr">
        <is>
          <t>Resuelta</t>
        </is>
      </c>
      <c r="B52" s="3" t="n"/>
      <c r="C52" s="5" t="n">
        <v>2838149.08</v>
      </c>
      <c r="D52" s="5" t="n">
        <v>3434160.39</v>
      </c>
      <c r="E52" s="2" t="inlineStr">
        <is>
          <t>Andalucía</t>
        </is>
      </c>
      <c r="F52" s="2" t="inlineStr">
        <is>
          <t>Granada</t>
        </is>
      </c>
      <c r="G52" s="2" t="n"/>
      <c r="H52" s="2" t="inlineStr">
        <is>
          <t>Demarcación de Carreteras del Estado en Andalucía Oriental</t>
        </is>
      </c>
      <c r="I52" s="2" t="inlineStr">
        <is>
          <t>Reparación de firme en la autovía A-7 entre los PP.KK. 922+520 límite con la provincia de Granada y 983+700 límite con el sector MA-01, provincia de Málaga. LOTE 5</t>
        </is>
      </c>
      <c r="J52" s="2" t="inlineStr">
        <is>
          <t>EM32-MA-260001.L5</t>
        </is>
      </c>
      <c r="K52" s="2" t="inlineStr">
        <is>
          <t>Negociado sin publicidad</t>
        </is>
      </c>
      <c r="L52" s="6" t="n">
        <v>5</v>
      </c>
      <c r="M52" s="2" t="n"/>
      <c r="N52" s="7" t="n"/>
      <c r="O52" s="4" t="n"/>
      <c r="P52" s="2" t="inlineStr">
        <is>
          <t>45000000</t>
        </is>
      </c>
      <c r="Q52" s="8" t="inlineStr">
        <is>
          <t>Ver</t>
        </is>
      </c>
      <c r="R52" s="2" t="n"/>
      <c r="S52" s="9" t="n">
        <v>46321</v>
      </c>
      <c r="T52" s="3" t="n">
        <v>46318.5664699074</v>
      </c>
      <c r="U52" s="2" t="n"/>
    </row>
    <row r="53">
      <c r="A53" s="2" t="inlineStr">
        <is>
          <t>En plazo</t>
        </is>
      </c>
      <c r="B53" s="3" t="n">
        <v>46338.99930555555</v>
      </c>
      <c r="C53" s="5" t="n">
        <v>132325.5</v>
      </c>
      <c r="D53" s="5" t="n">
        <v>132325.5</v>
      </c>
      <c r="E53" s="2" t="inlineStr">
        <is>
          <t>Comunitat Valenciana</t>
        </is>
      </c>
      <c r="F53" s="2" t="inlineStr">
        <is>
          <t>Alicante</t>
        </is>
      </c>
      <c r="G53" s="2" t="n"/>
      <c r="H53" s="2" t="inlineStr">
        <is>
          <t>Alcaldía del Ayuntamiento del Poble Nou de Benitatxell</t>
        </is>
      </c>
      <c r="I53" s="2" t="inlineStr">
        <is>
          <t>obra de consolidación del perímetro de la excavación arqueológica del lavadero dels Pous de Abiar</t>
        </is>
      </c>
      <c r="J53" s="2" t="inlineStr">
        <is>
          <t>4472/2026</t>
        </is>
      </c>
      <c r="K53" s="2" t="inlineStr">
        <is>
          <t>Abierto simplificado</t>
        </is>
      </c>
      <c r="L53" s="6" t="n">
        <v>2</v>
      </c>
      <c r="M53" s="2" t="n"/>
      <c r="N53" s="7" t="n">
        <v>0.25</v>
      </c>
      <c r="O53" s="4" t="n"/>
      <c r="P53" s="2" t="inlineStr">
        <is>
          <t>45212350; 45112500; 45223500</t>
        </is>
      </c>
      <c r="Q53" s="8" t="inlineStr">
        <is>
          <t>Ver</t>
        </is>
      </c>
      <c r="R53" s="8" t="inlineStr">
        <is>
          <t>PCAP</t>
        </is>
      </c>
      <c r="S53" s="9" t="n">
        <v>46321</v>
      </c>
      <c r="T53" s="3" t="n">
        <v>46318.56537037037</v>
      </c>
      <c r="U53" s="2" t="n"/>
    </row>
    <row r="54">
      <c r="A54" s="2" t="inlineStr">
        <is>
          <t>En plazo</t>
        </is>
      </c>
      <c r="B54" s="3" t="n">
        <v>46335.99930555555</v>
      </c>
      <c r="C54" s="5" t="n">
        <v>181000.01</v>
      </c>
      <c r="D54" s="5" t="n">
        <v>181000.01</v>
      </c>
      <c r="E54" s="2" t="inlineStr">
        <is>
          <t>Andalucía</t>
        </is>
      </c>
      <c r="F54" s="2" t="inlineStr">
        <is>
          <t>Jaén</t>
        </is>
      </c>
      <c r="G54" s="2" t="n"/>
      <c r="H54" s="2" t="inlineStr">
        <is>
          <t>Fundación para la Investigación Biosanitaria de Andalucía Oriental - Alejandro Otero (FIBAO)</t>
        </is>
      </c>
      <c r="I54" s="2" t="inlineStr">
        <is>
          <t>Obra para la adaptación funcional del área de oncología del Hospital Médico - Quirúrgico de Jaén.</t>
        </is>
      </c>
      <c r="J54" s="2" t="inlineStr">
        <is>
          <t>027_2026</t>
        </is>
      </c>
      <c r="K54" s="2" t="inlineStr">
        <is>
          <t>Abierto simplificado</t>
        </is>
      </c>
      <c r="L54" s="6" t="n">
        <v>3</v>
      </c>
      <c r="M54" s="2" t="n"/>
      <c r="N54" s="7" t="n">
        <v>0</v>
      </c>
      <c r="O54" s="4" t="n"/>
      <c r="P54" s="2" t="inlineStr">
        <is>
          <t>45453100</t>
        </is>
      </c>
      <c r="Q54" s="8" t="inlineStr">
        <is>
          <t>Ver</t>
        </is>
      </c>
      <c r="R54" s="8" t="inlineStr">
        <is>
          <t>PCAP</t>
        </is>
      </c>
      <c r="S54" s="9" t="n">
        <v>46321</v>
      </c>
      <c r="T54" s="3" t="n">
        <v>46318.56484953704</v>
      </c>
      <c r="U54" s="2" t="n"/>
    </row>
    <row r="55">
      <c r="A55" s="2" t="inlineStr">
        <is>
          <t>Resuelta</t>
        </is>
      </c>
      <c r="B55" s="3" t="n"/>
      <c r="C55" s="5" t="n">
        <v>3382028.24</v>
      </c>
      <c r="D55" s="5" t="n">
        <v>4092254.18</v>
      </c>
      <c r="E55" s="2" t="inlineStr">
        <is>
          <t>Andalucía</t>
        </is>
      </c>
      <c r="F55" s="2" t="inlineStr">
        <is>
          <t>Granada</t>
        </is>
      </c>
      <c r="G55" s="2" t="n"/>
      <c r="H55" s="2" t="inlineStr">
        <is>
          <t>Demarcación de Carreteras del Estado en Andalucía Oriental</t>
        </is>
      </c>
      <c r="I55" s="2" t="inlineStr">
        <is>
          <t>Reparación de firme en la autovía A-45 entre los PP.KK 120+000 Y 142+400, provincia de Málaga. LOTE 4</t>
        </is>
      </c>
      <c r="J55" s="2" t="inlineStr">
        <is>
          <t>EM32-MA-260001.L4</t>
        </is>
      </c>
      <c r="K55" s="2" t="inlineStr">
        <is>
          <t>Negociado sin publicidad</t>
        </is>
      </c>
      <c r="L55" s="6" t="n">
        <v>5</v>
      </c>
      <c r="M55" s="2" t="n"/>
      <c r="N55" s="7" t="n"/>
      <c r="O55" s="4" t="n"/>
      <c r="P55" s="2" t="inlineStr">
        <is>
          <t>45000000</t>
        </is>
      </c>
      <c r="Q55" s="8" t="inlineStr">
        <is>
          <t>Ver</t>
        </is>
      </c>
      <c r="R55" s="2" t="n"/>
      <c r="S55" s="9" t="n">
        <v>46321</v>
      </c>
      <c r="T55" s="3" t="n">
        <v>46318.56453703704</v>
      </c>
      <c r="U55" s="2" t="n"/>
    </row>
    <row r="56">
      <c r="A56" s="2" t="inlineStr">
        <is>
          <t>En plazo</t>
        </is>
      </c>
      <c r="B56" s="3" t="n">
        <v>46329.99930555555</v>
      </c>
      <c r="C56" s="5" t="n">
        <v>3060580.6</v>
      </c>
      <c r="D56" s="5" t="n">
        <v>3060580.6</v>
      </c>
      <c r="E56" s="2" t="inlineStr">
        <is>
          <t>Andalucía</t>
        </is>
      </c>
      <c r="F56" s="2" t="inlineStr">
        <is>
          <t>Huelva</t>
        </is>
      </c>
      <c r="G56" s="2" t="n"/>
      <c r="H56" s="2" t="inlineStr">
        <is>
          <t>Pleno del Ayuntamiento de Punta umbría</t>
        </is>
      </c>
      <c r="I56" s="2" t="inlineStr">
        <is>
          <t>Ejecución de las obras para la renovación y mejora de la eficiencia energética de las instalaciones de alumbrado público exterior en el Municipio de Punta Umbría (Huelva)</t>
        </is>
      </c>
      <c r="J56" s="2" t="inlineStr">
        <is>
          <t>5163/2026</t>
        </is>
      </c>
      <c r="K56" s="2" t="inlineStr">
        <is>
          <t>Abierto</t>
        </is>
      </c>
      <c r="L56" s="6" t="n">
        <v>9</v>
      </c>
      <c r="M56" s="2" t="inlineStr">
        <is>
          <t>I1-4</t>
        </is>
      </c>
      <c r="N56" s="7" t="n">
        <v>0.25</v>
      </c>
      <c r="O56" s="4" t="n"/>
      <c r="P56" s="2" t="inlineStr">
        <is>
          <t>45316100; 45315600; 34928500</t>
        </is>
      </c>
      <c r="Q56" s="8" t="inlineStr">
        <is>
          <t>Ver</t>
        </is>
      </c>
      <c r="R56" s="8" t="inlineStr">
        <is>
          <t>PCAP</t>
        </is>
      </c>
      <c r="S56" s="9" t="n">
        <v>46310</v>
      </c>
      <c r="T56" s="3" t="n">
        <v>46318.56443287037</v>
      </c>
      <c r="U56" s="2" t="n"/>
    </row>
    <row r="57">
      <c r="A57" s="2" t="inlineStr">
        <is>
          <t>Pendiente de adjudicación</t>
        </is>
      </c>
      <c r="B57" s="3" t="n">
        <v>46300.99930555555</v>
      </c>
      <c r="C57" s="5" t="n">
        <v>52913.35</v>
      </c>
      <c r="D57" s="5" t="n">
        <v>52913.35</v>
      </c>
      <c r="E57" s="2" t="inlineStr">
        <is>
          <t>Comunitat Valenciana</t>
        </is>
      </c>
      <c r="F57" s="2" t="inlineStr">
        <is>
          <t>Alicante</t>
        </is>
      </c>
      <c r="G57" s="2" t="n"/>
      <c r="H57" s="2" t="inlineStr">
        <is>
          <t>Junta de Gobierno del Ayuntamiento de Elche</t>
        </is>
      </c>
      <c r="I57" s="2" t="inlineStr">
        <is>
          <t>Obras para los trabajos de identificación y documentación de vestigios arqueológicos en el solar sito entre la Avenida de Candalix y la Calle Nuestra Señora de la Cabeza.</t>
        </is>
      </c>
      <c r="J57" s="2" t="inlineStr">
        <is>
          <t>OBR/ABR_SMPL/2026000139</t>
        </is>
      </c>
      <c r="K57" s="2" t="inlineStr">
        <is>
          <t>Abierto simplificado</t>
        </is>
      </c>
      <c r="L57" s="6" t="n">
        <v>1.2</v>
      </c>
      <c r="M57" s="2" t="n"/>
      <c r="N57" s="7" t="n">
        <v>0</v>
      </c>
      <c r="O57" s="4" t="n"/>
      <c r="P57" s="2" t="inlineStr">
        <is>
          <t>45112450; 71351811; 71351914; 45122000</t>
        </is>
      </c>
      <c r="Q57" s="8" t="inlineStr">
        <is>
          <t>Ver</t>
        </is>
      </c>
      <c r="R57" s="8" t="inlineStr">
        <is>
          <t>PCAP</t>
        </is>
      </c>
      <c r="S57" s="9" t="n">
        <v>46310</v>
      </c>
      <c r="T57" s="3" t="n">
        <v>46318.56331018519</v>
      </c>
      <c r="U57" s="2" t="n"/>
    </row>
    <row r="58">
      <c r="A58" s="2" t="inlineStr">
        <is>
          <t>Adjudicada</t>
        </is>
      </c>
      <c r="B58" s="3" t="n">
        <v>46265.41666666666</v>
      </c>
      <c r="C58" s="5" t="n">
        <v>126817.17</v>
      </c>
      <c r="D58" s="5" t="n">
        <v>126817.17</v>
      </c>
      <c r="E58" s="2" t="inlineStr">
        <is>
          <t>Andalucía</t>
        </is>
      </c>
      <c r="F58" s="2" t="inlineStr">
        <is>
          <t>Málaga</t>
        </is>
      </c>
      <c r="G58" s="2" t="n"/>
      <c r="H58" s="2" t="inlineStr">
        <is>
          <t>Empresa de Transformación Agraria S.A.,S.M.E., M.P., (TRAGSA)</t>
        </is>
      </c>
      <c r="I58" s="2" t="inlineStr">
        <is>
          <t>Suministro y ejecución de instalación de calefacción mediante canalización vista de acero inoxidable e instalación de radiadores en varios edificios públicos de los municipios de Gaucín y Júcar (Málaga)</t>
        </is>
      </c>
      <c r="J58" s="2" t="inlineStr">
        <is>
          <t>TSA0083485</t>
        </is>
      </c>
      <c r="K58" s="2" t="inlineStr">
        <is>
          <t>Abierto simplificado</t>
        </is>
      </c>
      <c r="L58" s="6" t="n">
        <v>4</v>
      </c>
      <c r="M58" s="2" t="inlineStr">
        <is>
          <t>J2-1</t>
        </is>
      </c>
      <c r="N58" s="7" t="n">
        <v>0</v>
      </c>
      <c r="O58" s="4" t="n">
        <v>2</v>
      </c>
      <c r="P58" s="2" t="inlineStr">
        <is>
          <t>45331000</t>
        </is>
      </c>
      <c r="Q58" s="8" t="inlineStr">
        <is>
          <t>Ver</t>
        </is>
      </c>
      <c r="R58" s="8" t="inlineStr">
        <is>
          <t>PCAP</t>
        </is>
      </c>
      <c r="S58" s="9" t="n">
        <v>46321</v>
      </c>
      <c r="T58" s="3" t="n">
        <v>46318.56011574074</v>
      </c>
      <c r="U58" s="2" t="n"/>
    </row>
    <row r="59">
      <c r="A59" s="2" t="inlineStr">
        <is>
          <t>Pendiente de adjudicación</t>
        </is>
      </c>
      <c r="B59" s="3" t="n">
        <v>46317.99930555555</v>
      </c>
      <c r="C59" s="5" t="n">
        <v>200711.23</v>
      </c>
      <c r="D59" s="5" t="n">
        <v>200711.23</v>
      </c>
      <c r="E59" s="2" t="inlineStr">
        <is>
          <t>Comunitat Valenciana</t>
        </is>
      </c>
      <c r="F59" s="2" t="inlineStr">
        <is>
          <t>Valencia</t>
        </is>
      </c>
      <c r="G59" s="2" t="inlineStr">
        <is>
          <t>Alborache</t>
        </is>
      </c>
      <c r="H59" s="2" t="inlineStr">
        <is>
          <t>Pleno del Ayuntamiento de Alborache</t>
        </is>
      </c>
      <c r="I59" s="2" t="inlineStr">
        <is>
          <t>Renovación en la Casa de los Maestros de Alborache</t>
        </is>
      </c>
      <c r="J59" s="2" t="inlineStr">
        <is>
          <t>498/2026</t>
        </is>
      </c>
      <c r="K59" s="2" t="inlineStr">
        <is>
          <t>Abierto simplificado</t>
        </is>
      </c>
      <c r="L59" s="6" t="n">
        <v>6</v>
      </c>
      <c r="M59" s="2" t="n"/>
      <c r="N59" s="7" t="n">
        <v>0.25</v>
      </c>
      <c r="O59" s="4" t="n"/>
      <c r="P59" s="2" t="inlineStr">
        <is>
          <t>45000000; 45212170; 45111100</t>
        </is>
      </c>
      <c r="Q59" s="8" t="inlineStr">
        <is>
          <t>Ver</t>
        </is>
      </c>
      <c r="R59" s="8" t="inlineStr">
        <is>
          <t>PCAP</t>
        </is>
      </c>
      <c r="S59" s="9" t="n">
        <v>46321</v>
      </c>
      <c r="T59" s="3" t="n">
        <v>46318.56011574074</v>
      </c>
      <c r="U59" s="2" t="n"/>
    </row>
    <row r="60">
      <c r="A60" s="2" t="inlineStr">
        <is>
          <t>Resuelta</t>
        </is>
      </c>
      <c r="B60" s="3" t="n">
        <v>46259.99930555555</v>
      </c>
      <c r="C60" s="5" t="n">
        <v>647199.04</v>
      </c>
      <c r="D60" s="5" t="n">
        <v>647199.04</v>
      </c>
      <c r="E60" s="2" t="inlineStr">
        <is>
          <t>Andalucía</t>
        </is>
      </c>
      <c r="F60" s="2" t="inlineStr">
        <is>
          <t>Córdoba</t>
        </is>
      </c>
      <c r="G60" s="2" t="n"/>
      <c r="H60" s="2" t="inlineStr">
        <is>
          <t>Junta de Gobierno del Ayuntamiento de Palma del Río</t>
        </is>
      </c>
      <c r="I60" s="2" t="inlineStr">
        <is>
          <t>Obras contenidas en el Proyecto de Reasfaltado de varias Avenidas y Calles del municipio de Palma del Río (Córdoba)</t>
        </is>
      </c>
      <c r="J60" s="2" t="inlineStr">
        <is>
          <t>OB-01/2026</t>
        </is>
      </c>
      <c r="K60" s="2" t="inlineStr">
        <is>
          <t>Abierto simplificado</t>
        </is>
      </c>
      <c r="L60" s="6" t="n">
        <v>2</v>
      </c>
      <c r="M60" s="2" t="inlineStr">
        <is>
          <t>G4-3</t>
        </is>
      </c>
      <c r="N60" s="7" t="n">
        <v>0</v>
      </c>
      <c r="O60" s="4" t="n"/>
      <c r="P60" s="2" t="inlineStr">
        <is>
          <t>45233223; 45233252; 45233222</t>
        </is>
      </c>
      <c r="Q60" s="8" t="inlineStr">
        <is>
          <t>Ver</t>
        </is>
      </c>
      <c r="R60" s="8" t="inlineStr">
        <is>
          <t>PCAP</t>
        </is>
      </c>
      <c r="S60" s="9" t="n">
        <v>46321</v>
      </c>
      <c r="T60" s="3" t="n">
        <v>46318.55946759259</v>
      </c>
      <c r="U60" s="2" t="n"/>
    </row>
    <row r="61">
      <c r="A61" s="2" t="inlineStr">
        <is>
          <t>En plazo</t>
        </is>
      </c>
      <c r="B61" s="3" t="n">
        <v>46338.99930555555</v>
      </c>
      <c r="C61" s="5" t="n">
        <v>162925.04</v>
      </c>
      <c r="D61" s="5" t="n">
        <v>162925.04</v>
      </c>
      <c r="E61" s="2" t="inlineStr">
        <is>
          <t>Andalucía</t>
        </is>
      </c>
      <c r="F61" s="2" t="inlineStr">
        <is>
          <t>Sevilla</t>
        </is>
      </c>
      <c r="G61" s="2" t="n"/>
      <c r="H61" s="2" t="inlineStr">
        <is>
          <t>Alcaldía del Ayuntamiento de Mairena del Aljarafe</t>
        </is>
      </c>
      <c r="I61" s="2" t="inlineStr">
        <is>
          <t>Obras para la legalización de la actividad de los Centros de la 3ª Edad "Los Veteranos", "Sal si puedes", y "La Edad de Oro" del municipio de Mairena del Aljarafe, en tres lotes.-</t>
        </is>
      </c>
      <c r="J61" s="2" t="inlineStr">
        <is>
          <t>15600/2026</t>
        </is>
      </c>
      <c r="K61" s="2" t="inlineStr">
        <is>
          <t>Abierto simplificado</t>
        </is>
      </c>
      <c r="L61" s="6" t="n">
        <v>2</v>
      </c>
      <c r="M61" s="2" t="n"/>
      <c r="N61" s="7" t="n">
        <v>0</v>
      </c>
      <c r="O61" s="4" t="n">
        <v>3</v>
      </c>
      <c r="P61" s="2" t="inlineStr">
        <is>
          <t>45000000</t>
        </is>
      </c>
      <c r="Q61" s="8" t="inlineStr">
        <is>
          <t>Ver</t>
        </is>
      </c>
      <c r="R61" s="8" t="inlineStr">
        <is>
          <t>PCAP</t>
        </is>
      </c>
      <c r="S61" s="9" t="n">
        <v>46321</v>
      </c>
      <c r="T61" s="3" t="n">
        <v>46318.55824074074</v>
      </c>
      <c r="U61" s="2" t="n"/>
    </row>
    <row r="62">
      <c r="A62" s="2" t="inlineStr">
        <is>
          <t>Pendiente de adjudicación</t>
        </is>
      </c>
      <c r="B62" s="3" t="n">
        <v>46316.99930555555</v>
      </c>
      <c r="C62" s="5" t="n">
        <v>261514.4</v>
      </c>
      <c r="D62" s="5" t="n">
        <v>261514.4</v>
      </c>
      <c r="E62" s="2" t="inlineStr">
        <is>
          <t>Comunitat Valenciana</t>
        </is>
      </c>
      <c r="F62" s="2" t="inlineStr">
        <is>
          <t>Valencia</t>
        </is>
      </c>
      <c r="G62" s="2" t="inlineStr">
        <is>
          <t>ALBORACHE</t>
        </is>
      </c>
      <c r="H62" s="2" t="inlineStr">
        <is>
          <t>Pleno del Ayuntamiento de Alborache</t>
        </is>
      </c>
      <c r="I62" s="2" t="inlineStr">
        <is>
          <t>Ejecución de las obras de realización de una plataforma única en la Calle de Abajo de Alborache, dentro del Plan abierto de Inversiones 2024-2027 de la Diputación de Valencia.</t>
        </is>
      </c>
      <c r="J62" s="2" t="inlineStr">
        <is>
          <t>74/2026</t>
        </is>
      </c>
      <c r="K62" s="2" t="inlineStr">
        <is>
          <t>Abierto simplificado</t>
        </is>
      </c>
      <c r="L62" s="6" t="n">
        <v>3</v>
      </c>
      <c r="M62" s="2" t="n"/>
      <c r="N62" s="7" t="n">
        <v>0</v>
      </c>
      <c r="O62" s="4" t="n"/>
      <c r="P62" s="2" t="inlineStr">
        <is>
          <t>45000000; 45233252; 45332000; 45233140</t>
        </is>
      </c>
      <c r="Q62" s="8" t="inlineStr">
        <is>
          <t>Ver</t>
        </is>
      </c>
      <c r="R62" s="8" t="inlineStr">
        <is>
          <t>PCAP</t>
        </is>
      </c>
      <c r="S62" s="9" t="n">
        <v>46321</v>
      </c>
      <c r="T62" s="3" t="n">
        <v>46318.55765046296</v>
      </c>
      <c r="U62" s="2" t="n"/>
    </row>
    <row r="63">
      <c r="A63" s="2" t="inlineStr">
        <is>
          <t>En plazo</t>
        </is>
      </c>
      <c r="B63" s="3" t="n">
        <v>46338.99930555555</v>
      </c>
      <c r="C63" s="5" t="n">
        <v>67768.59</v>
      </c>
      <c r="D63" s="5" t="n">
        <v>67768.59</v>
      </c>
      <c r="E63" s="2" t="inlineStr">
        <is>
          <t>Andalucía</t>
        </is>
      </c>
      <c r="F63" s="2" t="inlineStr">
        <is>
          <t>Cádiz</t>
        </is>
      </c>
      <c r="G63" s="2" t="inlineStr">
        <is>
          <t>Benalup-Casas Viejas</t>
        </is>
      </c>
      <c r="H63" s="2" t="inlineStr">
        <is>
          <t>Junta de Gobierno Local del Ayuntamiento de Benalup-Casas Viejas</t>
        </is>
      </c>
      <c r="I63" s="2" t="inlineStr">
        <is>
          <t>Sustitución de carpintería exterior y pintura del CEIP Tajo de las Figuras.</t>
        </is>
      </c>
      <c r="J63" s="2" t="inlineStr">
        <is>
          <t>1237/2026</t>
        </is>
      </c>
      <c r="K63" s="2" t="inlineStr">
        <is>
          <t>Abierto simplificado</t>
        </is>
      </c>
      <c r="L63" s="6" t="n">
        <v>2</v>
      </c>
      <c r="M63" s="2" t="n"/>
      <c r="N63" s="7" t="n">
        <v>0</v>
      </c>
      <c r="O63" s="4" t="n"/>
      <c r="P63" s="2" t="inlineStr">
        <is>
          <t>45421130; 45442100</t>
        </is>
      </c>
      <c r="Q63" s="8" t="inlineStr">
        <is>
          <t>Ver</t>
        </is>
      </c>
      <c r="R63" s="8" t="inlineStr">
        <is>
          <t>PCAP</t>
        </is>
      </c>
      <c r="S63" s="9" t="n">
        <v>46321</v>
      </c>
      <c r="T63" s="3" t="n">
        <v>46318.55744212963</v>
      </c>
      <c r="U63" s="2" t="n"/>
    </row>
    <row r="64">
      <c r="A64" s="2" t="inlineStr">
        <is>
          <t>En plazo</t>
        </is>
      </c>
      <c r="B64" s="3" t="n">
        <v>46339.41666666666</v>
      </c>
      <c r="C64" s="5" t="n">
        <v>538193.71</v>
      </c>
      <c r="D64" s="5" t="n">
        <v>538193.71</v>
      </c>
      <c r="E64" s="2" t="inlineStr">
        <is>
          <t>Andalucía</t>
        </is>
      </c>
      <c r="F64" s="2" t="inlineStr">
        <is>
          <t>Cádiz</t>
        </is>
      </c>
      <c r="G64" s="2" t="inlineStr">
        <is>
          <t>Cádiz</t>
        </is>
      </c>
      <c r="H64" s="2" t="inlineStr">
        <is>
          <t>Junta de Gobierno del Ayuntamiento de Cádiz</t>
        </is>
      </c>
      <c r="I64" s="2" t="inlineStr">
        <is>
          <t>Urbanización calle Juan de la Cierva, Dársena y Fernández Cossío, a implementar en el PAI de Cádiz, Europa transforma nuestros barrios, cofinanciado por la unión europea a través del fondo europeo de desarrollo regional FEDER en el marco del programa plurirregional de España 2021-2027</t>
        </is>
      </c>
      <c r="J64" s="2" t="inlineStr">
        <is>
          <t>2026/143</t>
        </is>
      </c>
      <c r="K64" s="2" t="inlineStr">
        <is>
          <t>Abierto simplificado</t>
        </is>
      </c>
      <c r="L64" s="6" t="n">
        <v>5</v>
      </c>
      <c r="M64" s="2" t="inlineStr">
        <is>
          <t>G6-3</t>
        </is>
      </c>
      <c r="N64" s="7" t="n">
        <v>0</v>
      </c>
      <c r="O64" s="4" t="n"/>
      <c r="P64" s="2" t="inlineStr">
        <is>
          <t>45233140; 45232400</t>
        </is>
      </c>
      <c r="Q64" s="8" t="inlineStr">
        <is>
          <t>Ver</t>
        </is>
      </c>
      <c r="R64" s="8" t="inlineStr">
        <is>
          <t>PCAP</t>
        </is>
      </c>
      <c r="S64" s="9" t="n">
        <v>46321</v>
      </c>
      <c r="T64" s="3" t="n">
        <v>46318.55690972223</v>
      </c>
      <c r="U64" s="2" t="n"/>
    </row>
    <row r="65">
      <c r="A65" s="2" t="inlineStr">
        <is>
          <t>Pendiente de adjudicación</t>
        </is>
      </c>
      <c r="B65" s="3" t="n">
        <v>46296.99930555555</v>
      </c>
      <c r="C65" s="5" t="n">
        <v>8348036.8</v>
      </c>
      <c r="D65" s="5" t="n">
        <v>8348036.8</v>
      </c>
      <c r="E65" s="2" t="inlineStr">
        <is>
          <t>Comunitat Valenciana</t>
        </is>
      </c>
      <c r="F65" s="2" t="inlineStr">
        <is>
          <t>Alicante</t>
        </is>
      </c>
      <c r="G65" s="2" t="n"/>
      <c r="H65" s="2" t="inlineStr">
        <is>
          <t>Junta de Gobierno del Ayuntamiento de Elche</t>
        </is>
      </c>
      <c r="I65" s="2" t="inlineStr">
        <is>
          <t>Contrato de obras de Rehabilitación del Convento de la Merced</t>
        </is>
      </c>
      <c r="J65" s="2" t="inlineStr">
        <is>
          <t>OBR/ABR/2026000130</t>
        </is>
      </c>
      <c r="K65" s="2" t="inlineStr">
        <is>
          <t>Abierto</t>
        </is>
      </c>
      <c r="L65" s="6" t="n">
        <v>36</v>
      </c>
      <c r="M65" s="2" t="inlineStr">
        <is>
          <t>C7-5; C4-5; C8-5; K7-4</t>
        </is>
      </c>
      <c r="N65" s="7" t="n">
        <v>0.4</v>
      </c>
      <c r="O65" s="4" t="n"/>
      <c r="P65" s="2" t="inlineStr">
        <is>
          <t>45000000; 45200000</t>
        </is>
      </c>
      <c r="Q65" s="8" t="inlineStr">
        <is>
          <t>Ver</t>
        </is>
      </c>
      <c r="R65" s="8" t="inlineStr">
        <is>
          <t>PCAP</t>
        </is>
      </c>
      <c r="S65" s="9" t="n">
        <v>46310</v>
      </c>
      <c r="T65" s="3" t="n">
        <v>46318.55678240741</v>
      </c>
      <c r="U65" s="2" t="n"/>
    </row>
    <row r="66">
      <c r="A66" s="2" t="inlineStr">
        <is>
          <t>En plazo</t>
        </is>
      </c>
      <c r="B66" s="3" t="n">
        <v>46338.75</v>
      </c>
      <c r="C66" s="5" t="n">
        <v>358510.65</v>
      </c>
      <c r="D66" s="5" t="n">
        <v>394361.72</v>
      </c>
      <c r="E66" s="2" t="inlineStr">
        <is>
          <t>Comunitat Valenciana</t>
        </is>
      </c>
      <c r="F66" s="2" t="inlineStr">
        <is>
          <t>Alicante</t>
        </is>
      </c>
      <c r="G66" s="2" t="inlineStr">
        <is>
          <t>Alicante (Alacant)</t>
        </is>
      </c>
      <c r="H66" s="2" t="inlineStr">
        <is>
          <t>Junta de Gobierno del Ayuntamiento de Santa Pola</t>
        </is>
      </c>
      <c r="I66" s="2" t="inlineStr">
        <is>
          <t>Licitación para la contratación de las obras de mejora de aceras de varias calles del Municipio de Santa Pola</t>
        </is>
      </c>
      <c r="J66" s="2" t="inlineStr">
        <is>
          <t>13981/2026</t>
        </is>
      </c>
      <c r="K66" s="2" t="inlineStr">
        <is>
          <t>Abierto simplificado</t>
        </is>
      </c>
      <c r="L66" s="6" t="n">
        <v>4</v>
      </c>
      <c r="M66" s="2" t="n"/>
      <c r="N66" s="7" t="n">
        <v>0.45</v>
      </c>
      <c r="O66" s="4" t="n"/>
      <c r="P66" s="2" t="inlineStr">
        <is>
          <t>45111000; 45233200; 77310000; 45233252</t>
        </is>
      </c>
      <c r="Q66" s="8" t="inlineStr">
        <is>
          <t>Ver</t>
        </is>
      </c>
      <c r="R66" s="8" t="inlineStr">
        <is>
          <t>PCAP</t>
        </is>
      </c>
      <c r="S66" s="9" t="n">
        <v>46321</v>
      </c>
      <c r="T66" s="3" t="n">
        <v>46318.55628472222</v>
      </c>
      <c r="U66" s="2" t="n"/>
    </row>
    <row r="67">
      <c r="A67" s="2" t="inlineStr">
        <is>
          <t>Resuelta</t>
        </is>
      </c>
      <c r="B67" s="3" t="n">
        <v>46254.99930555555</v>
      </c>
      <c r="C67" s="5" t="n">
        <v>49719.85</v>
      </c>
      <c r="D67" s="5" t="n">
        <v>49719.85</v>
      </c>
      <c r="E67" s="2" t="inlineStr">
        <is>
          <t>Comunitat Valenciana</t>
        </is>
      </c>
      <c r="F67" s="2" t="inlineStr">
        <is>
          <t>Alicante</t>
        </is>
      </c>
      <c r="G67" s="2" t="inlineStr">
        <is>
          <t>Agost</t>
        </is>
      </c>
      <c r="H67" s="2" t="inlineStr">
        <is>
          <t>Alcaldía del Ayuntamiento de Agost</t>
        </is>
      </c>
      <c r="I67" s="2" t="inlineStr">
        <is>
          <t>Reforma parcial en edificio del Centro Social para adecuación de despachos</t>
        </is>
      </c>
      <c r="J67" s="2" t="inlineStr">
        <is>
          <t>2039/2026</t>
        </is>
      </c>
      <c r="K67" s="2" t="inlineStr">
        <is>
          <t>Abierto simplificado</t>
        </is>
      </c>
      <c r="L67" s="6" t="n">
        <v>1.6</v>
      </c>
      <c r="M67" s="2" t="n"/>
      <c r="N67" s="7" t="n">
        <v>0</v>
      </c>
      <c r="O67" s="4" t="n">
        <v>2</v>
      </c>
      <c r="P67" s="2" t="inlineStr">
        <is>
          <t>45450000; 39515410</t>
        </is>
      </c>
      <c r="Q67" s="8" t="inlineStr">
        <is>
          <t>Ver</t>
        </is>
      </c>
      <c r="R67" s="8" t="inlineStr">
        <is>
          <t>PCAP</t>
        </is>
      </c>
      <c r="S67" s="9" t="n">
        <v>46321</v>
      </c>
      <c r="T67" s="3" t="n">
        <v>46318.55481481482</v>
      </c>
      <c r="U67" s="2" t="n"/>
    </row>
    <row r="68">
      <c r="A68" s="2" t="inlineStr">
        <is>
          <t>Pendiente de adjudicación</t>
        </is>
      </c>
      <c r="B68" s="3" t="n">
        <v>46316.58333333334</v>
      </c>
      <c r="C68" s="5" t="n">
        <v>290135.38</v>
      </c>
      <c r="D68" s="5" t="n">
        <v>290135.38</v>
      </c>
      <c r="E68" s="2" t="inlineStr">
        <is>
          <t>Comunitat Valenciana</t>
        </is>
      </c>
      <c r="F68" s="2" t="inlineStr">
        <is>
          <t>Alicante</t>
        </is>
      </c>
      <c r="G68" s="2" t="inlineStr">
        <is>
          <t>San Vicente del Raspeig</t>
        </is>
      </c>
      <c r="H68" s="2" t="inlineStr">
        <is>
          <t>Presidencia Delegada del Consorcio Provincial para el Servicio de Prevención y Extinción de Incendios y Salvamento de Alicante</t>
        </is>
      </c>
      <c r="I68" s="2" t="inlineStr">
        <is>
          <t>Obra de reparación e impermeabilización del Hangar en el Parque de bomberos de San Vicente</t>
        </is>
      </c>
      <c r="J68" s="2" t="inlineStr">
        <is>
          <t>PA S O-1/2026</t>
        </is>
      </c>
      <c r="K68" s="2" t="inlineStr">
        <is>
          <t>Abierto simplificado</t>
        </is>
      </c>
      <c r="L68" s="6" t="n">
        <v>3</v>
      </c>
      <c r="M68" s="2" t="n"/>
      <c r="N68" s="7" t="n">
        <v>0</v>
      </c>
      <c r="O68" s="4" t="n"/>
      <c r="P68" s="2" t="inlineStr">
        <is>
          <t>45261000</t>
        </is>
      </c>
      <c r="Q68" s="8" t="inlineStr">
        <is>
          <t>Ver</t>
        </is>
      </c>
      <c r="R68" s="8" t="inlineStr">
        <is>
          <t>PCAP</t>
        </is>
      </c>
      <c r="S68" s="9" t="n">
        <v>46321</v>
      </c>
      <c r="T68" s="3" t="n">
        <v>46318.55475694445</v>
      </c>
      <c r="U68" s="2" t="n"/>
    </row>
    <row r="69">
      <c r="A69" s="2" t="inlineStr">
        <is>
          <t>En plazo</t>
        </is>
      </c>
      <c r="B69" s="3" t="n">
        <v>46338.99930555555</v>
      </c>
      <c r="C69" s="5" t="n">
        <v>859232.28</v>
      </c>
      <c r="D69" s="5" t="n">
        <v>859232.28</v>
      </c>
      <c r="E69" s="2" t="inlineStr">
        <is>
          <t>Andalucía</t>
        </is>
      </c>
      <c r="F69" s="2" t="inlineStr">
        <is>
          <t>Sevilla</t>
        </is>
      </c>
      <c r="G69" s="2" t="n"/>
      <c r="H69" s="2" t="inlineStr">
        <is>
          <t>Vicepresidencia del Instituto Municipal de Deportes del Ayuntamiento de Sevilla</t>
        </is>
      </c>
      <c r="I69" s="2" t="inlineStr">
        <is>
          <t>Obras de reparación, renovación y adecuación superficial de los pavimentos de las pistas deportivas exteriores adscritas a los Centros Deportivos (CD) del Instituto Municipal de Deportes (IMD) del Ayuntamiento de Sevilla.</t>
        </is>
      </c>
      <c r="J69" s="2" t="inlineStr">
        <is>
          <t>2026/000905</t>
        </is>
      </c>
      <c r="K69" s="2" t="inlineStr">
        <is>
          <t>Abierto simplificado</t>
        </is>
      </c>
      <c r="L69" s="6" t="n">
        <v>6</v>
      </c>
      <c r="M69" s="2" t="n"/>
      <c r="N69" s="7" t="n">
        <v>0</v>
      </c>
      <c r="O69" s="4" t="n"/>
      <c r="P69" s="2" t="inlineStr">
        <is>
          <t>45432100; 45212290; 45236119; 45212213</t>
        </is>
      </c>
      <c r="Q69" s="8" t="inlineStr">
        <is>
          <t>Ver</t>
        </is>
      </c>
      <c r="R69" s="8" t="inlineStr">
        <is>
          <t>PCAP</t>
        </is>
      </c>
      <c r="S69" s="9" t="n">
        <v>46321</v>
      </c>
      <c r="T69" s="3" t="n">
        <v>46318.55278935185</v>
      </c>
      <c r="U69" s="2" t="n"/>
    </row>
    <row r="70">
      <c r="A70" s="2" t="inlineStr">
        <is>
          <t>En plazo</t>
        </is>
      </c>
      <c r="B70" s="3" t="n">
        <v>46335.99930555555</v>
      </c>
      <c r="C70" s="5" t="n">
        <v>4566296.26</v>
      </c>
      <c r="D70" s="5" t="n">
        <v>4566296.26</v>
      </c>
      <c r="E70" s="2" t="inlineStr">
        <is>
          <t>Andalucía</t>
        </is>
      </c>
      <c r="F70" s="2" t="inlineStr">
        <is>
          <t>Granada</t>
        </is>
      </c>
      <c r="G70" s="2" t="inlineStr">
        <is>
          <t>OGIJARES</t>
        </is>
      </c>
      <c r="H70" s="2" t="inlineStr">
        <is>
          <t>Presidencia de la Diputación Provincial de Granada</t>
        </is>
      </c>
      <c r="I70" s="2" t="inlineStr">
        <is>
          <t>Refundido final urbanización del Plan Especial "La Aurora" en Ogíjares.</t>
        </is>
      </c>
      <c r="J70" s="2" t="inlineStr">
        <is>
          <t>OB-037/26</t>
        </is>
      </c>
      <c r="K70" s="2" t="inlineStr">
        <is>
          <t>Abierto</t>
        </is>
      </c>
      <c r="L70" s="6" t="n">
        <v>18</v>
      </c>
      <c r="M70" s="2" t="inlineStr">
        <is>
          <t>G6-5; E7-5; I9-4</t>
        </is>
      </c>
      <c r="N70" s="7" t="n">
        <v>0</v>
      </c>
      <c r="O70" s="4" t="n"/>
      <c r="P70" s="2" t="inlineStr">
        <is>
          <t>45220000; 45233252; 45232200; 45316110; 45232150; 45232410; 45233140</t>
        </is>
      </c>
      <c r="Q70" s="8" t="inlineStr">
        <is>
          <t>Ver</t>
        </is>
      </c>
      <c r="R70" s="8" t="inlineStr">
        <is>
          <t>PCAP</t>
        </is>
      </c>
      <c r="S70" s="9" t="n">
        <v>46310</v>
      </c>
      <c r="T70" s="3" t="n">
        <v>46318.54940972223</v>
      </c>
      <c r="U70" s="2" t="n"/>
    </row>
    <row r="71">
      <c r="A71" s="2" t="inlineStr">
        <is>
          <t>En plazo</t>
        </is>
      </c>
      <c r="B71" s="3" t="n">
        <v>46335.99930555555</v>
      </c>
      <c r="C71" s="5" t="n">
        <v>67916.16</v>
      </c>
      <c r="D71" s="5" t="n">
        <v>67916.16</v>
      </c>
      <c r="E71" s="2" t="inlineStr">
        <is>
          <t>Andalucía</t>
        </is>
      </c>
      <c r="F71" s="2" t="inlineStr">
        <is>
          <t>Córdoba</t>
        </is>
      </c>
      <c r="G71" s="2" t="n"/>
      <c r="H71" s="2" t="inlineStr">
        <is>
          <t>Empresa de Transformación Agraria S.A.,S.M.E., M.P., (TRAGSA)</t>
        </is>
      </c>
      <c r="I71" s="2" t="inlineStr">
        <is>
          <t>Obra asfaltado de viales para el proyecto de ejecución "Urbanización Manzana 2 y Manzana 16 (parcial) de la Unidad de ejecución UE-1 SUS19 "Autovía Norte" en la Carlota, Córdoba"</t>
        </is>
      </c>
      <c r="J71" s="2" t="inlineStr">
        <is>
          <t>TSA0084208</t>
        </is>
      </c>
      <c r="K71" s="2" t="inlineStr">
        <is>
          <t>Abierto simplificado</t>
        </is>
      </c>
      <c r="L71" s="6" t="n">
        <v>12</v>
      </c>
      <c r="M71" s="2" t="n"/>
      <c r="N71" s="7" t="n">
        <v>0</v>
      </c>
      <c r="O71" s="4" t="n"/>
      <c r="P71" s="2" t="inlineStr">
        <is>
          <t>45233222</t>
        </is>
      </c>
      <c r="Q71" s="8" t="inlineStr">
        <is>
          <t>Ver</t>
        </is>
      </c>
      <c r="R71" s="8" t="inlineStr">
        <is>
          <t>PCAP</t>
        </is>
      </c>
      <c r="S71" s="9" t="n">
        <v>46321</v>
      </c>
      <c r="T71" s="3" t="n">
        <v>46318.54917824074</v>
      </c>
      <c r="U71" s="2" t="n"/>
    </row>
    <row r="72">
      <c r="A72" s="2" t="inlineStr">
        <is>
          <t>Adjudicada</t>
        </is>
      </c>
      <c r="B72" s="3" t="n">
        <v>46297.99930555555</v>
      </c>
      <c r="C72" s="5" t="n">
        <v>62030.11</v>
      </c>
      <c r="D72" s="5" t="n">
        <v>62030.11</v>
      </c>
      <c r="E72" s="2" t="inlineStr">
        <is>
          <t>Andalucía</t>
        </is>
      </c>
      <c r="F72" s="2" t="inlineStr">
        <is>
          <t>Málaga</t>
        </is>
      </c>
      <c r="G72" s="2" t="n"/>
      <c r="H72" s="2" t="inlineStr">
        <is>
          <t>Concejalía Delegada de la Presidencia de la Junta Municipal del Distrito nº 10, Puerto de la Torre del Ayuntamiento de Málaga</t>
        </is>
      </c>
      <c r="I72" s="2" t="inlineStr">
        <is>
          <t>Nuevo aparcamiento en Avenida Escritora Matilde del Nido. Fase II.</t>
        </is>
      </c>
      <c r="J72" s="2" t="inlineStr">
        <is>
          <t>PASA 26/07/456</t>
        </is>
      </c>
      <c r="K72" s="2" t="inlineStr">
        <is>
          <t>Abierto simplificado</t>
        </is>
      </c>
      <c r="L72" s="6" t="n">
        <v>2</v>
      </c>
      <c r="M72" s="2" t="n"/>
      <c r="N72" s="7" t="n">
        <v>0</v>
      </c>
      <c r="O72" s="4" t="n"/>
      <c r="P72" s="2" t="inlineStr">
        <is>
          <t>45000000</t>
        </is>
      </c>
      <c r="Q72" s="8" t="inlineStr">
        <is>
          <t>Ver</t>
        </is>
      </c>
      <c r="R72" s="8" t="inlineStr">
        <is>
          <t>PCAP</t>
        </is>
      </c>
      <c r="S72" s="9" t="n">
        <v>46321</v>
      </c>
      <c r="T72" s="3" t="n">
        <v>46318.54616898148</v>
      </c>
      <c r="U72" s="2" t="n"/>
    </row>
    <row r="73">
      <c r="A73" s="2" t="inlineStr">
        <is>
          <t>En plazo</t>
        </is>
      </c>
      <c r="B73" s="3" t="n">
        <v>46338.99930555555</v>
      </c>
      <c r="C73" s="5" t="n">
        <v>223895.1</v>
      </c>
      <c r="D73" s="5" t="n">
        <v>223895.1</v>
      </c>
      <c r="E73" s="2" t="inlineStr">
        <is>
          <t>Andalucía</t>
        </is>
      </c>
      <c r="F73" s="2" t="inlineStr">
        <is>
          <t>Jaén</t>
        </is>
      </c>
      <c r="G73" s="2" t="inlineStr">
        <is>
          <t>JAEN</t>
        </is>
      </c>
      <c r="H73" s="2" t="inlineStr">
        <is>
          <t>Presidencia de la Diputación Provincial de Jaén</t>
        </is>
      </c>
      <c r="I73" s="2" t="inlineStr">
        <is>
          <t>Contrato de obras de renovación instalación eléctrica y obras en edificios del área de Recaudación de Jaén.</t>
        </is>
      </c>
      <c r="J73" s="2" t="inlineStr">
        <is>
          <t>CO-2026/001163</t>
        </is>
      </c>
      <c r="K73" s="2" t="inlineStr">
        <is>
          <t>Abierto simplificado</t>
        </is>
      </c>
      <c r="L73" s="6" t="n">
        <v>5</v>
      </c>
      <c r="M73" s="2" t="n"/>
      <c r="N73" s="7" t="n">
        <v>0.25</v>
      </c>
      <c r="O73" s="4" t="n"/>
      <c r="P73" s="2" t="inlineStr">
        <is>
          <t>45453100</t>
        </is>
      </c>
      <c r="Q73" s="8" t="inlineStr">
        <is>
          <t>Ver</t>
        </is>
      </c>
      <c r="R73" s="8" t="inlineStr">
        <is>
          <t>PCAP</t>
        </is>
      </c>
      <c r="S73" s="9" t="n">
        <v>46321</v>
      </c>
      <c r="T73" s="3" t="n">
        <v>46318.54589120371</v>
      </c>
      <c r="U73" s="2" t="n"/>
    </row>
    <row r="74">
      <c r="A74" s="2" t="inlineStr">
        <is>
          <t>Adjudicada</t>
        </is>
      </c>
      <c r="B74" s="3" t="n">
        <v>46293.99930555555</v>
      </c>
      <c r="C74" s="5" t="n">
        <v>131757.03</v>
      </c>
      <c r="D74" s="5" t="n">
        <v>131757.03</v>
      </c>
      <c r="E74" s="2" t="inlineStr">
        <is>
          <t>Andalucía</t>
        </is>
      </c>
      <c r="F74" s="2" t="inlineStr">
        <is>
          <t>Córdoba</t>
        </is>
      </c>
      <c r="G74" s="2" t="inlineStr">
        <is>
          <t>Baena</t>
        </is>
      </c>
      <c r="H74" s="2" t="inlineStr">
        <is>
          <t>Alcaldía del Ayuntamiento de Baena</t>
        </is>
      </c>
      <c r="I74" s="2" t="inlineStr">
        <is>
          <t>Obras de Reurbanización de la Calle Doctora Antonia Martinez Casado</t>
        </is>
      </c>
      <c r="J74" s="2" t="inlineStr">
        <is>
          <t>OBRAS-01/2026</t>
        </is>
      </c>
      <c r="K74" s="2" t="inlineStr">
        <is>
          <t>Abierto simplificado</t>
        </is>
      </c>
      <c r="L74" s="6" t="n">
        <v>5</v>
      </c>
      <c r="M74" s="2" t="n"/>
      <c r="N74" s="7" t="n">
        <v>0</v>
      </c>
      <c r="O74" s="4" t="n"/>
      <c r="P74" s="2" t="inlineStr">
        <is>
          <t>45233252; 45233200; 45233140; 45232410; 45231100</t>
        </is>
      </c>
      <c r="Q74" s="8" t="inlineStr">
        <is>
          <t>Ver</t>
        </is>
      </c>
      <c r="R74" s="8" t="inlineStr">
        <is>
          <t>PCAP</t>
        </is>
      </c>
      <c r="S74" s="9" t="n">
        <v>46321</v>
      </c>
      <c r="T74" s="3" t="n">
        <v>46318.54467592593</v>
      </c>
      <c r="U74" s="2" t="n"/>
    </row>
    <row r="75">
      <c r="A75" s="2" t="inlineStr">
        <is>
          <t>Adjudicada</t>
        </is>
      </c>
      <c r="B75" s="3" t="n">
        <v>46280.99930555555</v>
      </c>
      <c r="C75" s="5" t="n">
        <v>1652803.65</v>
      </c>
      <c r="D75" s="5" t="n">
        <v>1652803.65</v>
      </c>
      <c r="E75" s="2" t="inlineStr">
        <is>
          <t>Comunitat Valenciana</t>
        </is>
      </c>
      <c r="F75" s="2" t="inlineStr">
        <is>
          <t>Castellón</t>
        </is>
      </c>
      <c r="G75" s="2" t="inlineStr">
        <is>
          <t>Burriana (Castellón)</t>
        </is>
      </c>
      <c r="H75" s="2" t="inlineStr">
        <is>
          <t>Alcaldía del Ayuntamiento de Borriana</t>
        </is>
      </c>
      <c r="I75" s="2" t="inlineStr">
        <is>
          <t>Obras de construcción de un nuevo Centro Sanitario de Atención Primaria en el Puerto de Burriana (Castellón) financiado por la Generalitat Valenciana en el marco del Decreto-Ley 12/2025, de 22 de julio, del Consell.</t>
        </is>
      </c>
      <c r="J75" s="2" t="inlineStr">
        <is>
          <t>BURR 7969/2026-PM 10/25</t>
        </is>
      </c>
      <c r="K75" s="2" t="inlineStr">
        <is>
          <t>Abierto simplificado</t>
        </is>
      </c>
      <c r="L75" s="6" t="n">
        <v>12</v>
      </c>
      <c r="M75" s="2" t="inlineStr">
        <is>
          <t>C*-4</t>
        </is>
      </c>
      <c r="N75" s="7" t="n">
        <v>0.2</v>
      </c>
      <c r="O75" s="4" t="n"/>
      <c r="P75" s="2" t="inlineStr">
        <is>
          <t>45215100</t>
        </is>
      </c>
      <c r="Q75" s="8" t="inlineStr">
        <is>
          <t>Ver</t>
        </is>
      </c>
      <c r="R75" s="8" t="inlineStr">
        <is>
          <t>PCAP</t>
        </is>
      </c>
      <c r="S75" s="9" t="n">
        <v>46321</v>
      </c>
      <c r="T75" s="3" t="n">
        <v>46318.54429398148</v>
      </c>
      <c r="U75" s="2" t="n"/>
    </row>
    <row r="76">
      <c r="A76" s="2" t="inlineStr">
        <is>
          <t>Pendiente de adjudicación</t>
        </is>
      </c>
      <c r="B76" s="3" t="n">
        <v>46301.99930555555</v>
      </c>
      <c r="C76" s="5" t="n">
        <v>82644.62</v>
      </c>
      <c r="D76" s="5" t="n">
        <v>82644.62</v>
      </c>
      <c r="E76" s="2" t="inlineStr">
        <is>
          <t>Andalucía</t>
        </is>
      </c>
      <c r="F76" s="2" t="inlineStr">
        <is>
          <t>Córdoba</t>
        </is>
      </c>
      <c r="G76" s="2" t="inlineStr">
        <is>
          <t>Fuente Obejuna</t>
        </is>
      </c>
      <c r="H76" s="2" t="inlineStr">
        <is>
          <t>Alcaldia del Ayuntamiento de Fuente Obejuna</t>
        </is>
      </c>
      <c r="I76" s="2" t="inlineStr">
        <is>
          <t>Contrato de obras del Proyecto de muro de contención en Calle Orden de Calatrava 2ª fase</t>
        </is>
      </c>
      <c r="J76" s="2" t="inlineStr">
        <is>
          <t>6438/2026</t>
        </is>
      </c>
      <c r="K76" s="2" t="inlineStr">
        <is>
          <t>Abierto simplificado</t>
        </is>
      </c>
      <c r="L76" s="6" t="n">
        <v>6</v>
      </c>
      <c r="M76" s="2" t="n"/>
      <c r="N76" s="7" t="n">
        <v>0</v>
      </c>
      <c r="O76" s="4" t="n"/>
      <c r="P76" s="2" t="inlineStr">
        <is>
          <t>45000000; 45262520; 45210000</t>
        </is>
      </c>
      <c r="Q76" s="8" t="inlineStr">
        <is>
          <t>Ver</t>
        </is>
      </c>
      <c r="R76" s="8" t="inlineStr">
        <is>
          <t>PCAP</t>
        </is>
      </c>
      <c r="S76" s="9" t="n">
        <v>46321</v>
      </c>
      <c r="T76" s="3" t="n">
        <v>46318.54417824074</v>
      </c>
      <c r="U76" s="2" t="n"/>
    </row>
    <row r="77">
      <c r="A77" s="2" t="inlineStr">
        <is>
          <t>En plazo</t>
        </is>
      </c>
      <c r="B77" s="3" t="n">
        <v>46339.54166666666</v>
      </c>
      <c r="C77" s="5" t="n">
        <v>900915.88</v>
      </c>
      <c r="D77" s="5" t="n">
        <v>900915.88</v>
      </c>
      <c r="E77" s="2" t="inlineStr">
        <is>
          <t>Comunitat Valenciana</t>
        </is>
      </c>
      <c r="F77" s="2" t="inlineStr">
        <is>
          <t>Castellón</t>
        </is>
      </c>
      <c r="G77" s="2" t="inlineStr">
        <is>
          <t>L'Alcora</t>
        </is>
      </c>
      <c r="H77" s="2" t="inlineStr">
        <is>
          <t>Alcaldía del Ayuntamiento de L'Alcora</t>
        </is>
      </c>
      <c r="I77" s="2" t="inlineStr">
        <is>
          <t>Ejecución del proyecto de obras de "Derribo y adecuación de solar de la antgua fábrica de Azulejos Sanchis de l'Alcora".</t>
        </is>
      </c>
      <c r="J77" s="2" t="inlineStr">
        <is>
          <t>9083/2026</t>
        </is>
      </c>
      <c r="K77" s="2" t="inlineStr">
        <is>
          <t>Abierto simplificado</t>
        </is>
      </c>
      <c r="L77" s="6" t="n">
        <v>4</v>
      </c>
      <c r="M77" s="2" t="inlineStr">
        <is>
          <t>C1-4</t>
        </is>
      </c>
      <c r="N77" s="7" t="n">
        <v>0.25</v>
      </c>
      <c r="O77" s="4" t="n"/>
      <c r="P77" s="2" t="inlineStr">
        <is>
          <t>45110000</t>
        </is>
      </c>
      <c r="Q77" s="8" t="inlineStr">
        <is>
          <t>Ver</t>
        </is>
      </c>
      <c r="R77" s="8" t="inlineStr">
        <is>
          <t>PCAP</t>
        </is>
      </c>
      <c r="S77" s="9" t="n">
        <v>46321</v>
      </c>
      <c r="T77" s="3" t="n">
        <v>46318.54337962963</v>
      </c>
      <c r="U77" s="2" t="n"/>
    </row>
    <row r="78">
      <c r="A78" s="2" t="inlineStr">
        <is>
          <t>Pendiente de adjudicación</t>
        </is>
      </c>
      <c r="B78" s="3" t="n">
        <v>46300.99930555555</v>
      </c>
      <c r="C78" s="5" t="n">
        <v>216584.41</v>
      </c>
      <c r="D78" s="5" t="n">
        <v>259901.28</v>
      </c>
      <c r="E78" s="2" t="inlineStr">
        <is>
          <t>Comunitat Valenciana</t>
        </is>
      </c>
      <c r="F78" s="2" t="inlineStr">
        <is>
          <t>Alicante</t>
        </is>
      </c>
      <c r="G78" s="2" t="n"/>
      <c r="H78" s="2" t="inlineStr">
        <is>
          <t>Junta de Gobierno del Ayuntamiento de Elche</t>
        </is>
      </c>
      <c r="I78" s="2" t="inlineStr">
        <is>
          <t>Ejecución de trabajos de mejora, regeneración y modernización del Polígono Industrial de Carrús. Actuaciones de regeneración paisajística (subvencionado por IVACE)</t>
        </is>
      </c>
      <c r="J78" s="2" t="inlineStr">
        <is>
          <t>OBR/ABR_SMPL/2026000138</t>
        </is>
      </c>
      <c r="K78" s="2" t="inlineStr">
        <is>
          <t>Abierto simplificado</t>
        </is>
      </c>
      <c r="L78" s="6" t="n">
        <v>2</v>
      </c>
      <c r="M78" s="2" t="n"/>
      <c r="N78" s="7" t="n">
        <v>0</v>
      </c>
      <c r="O78" s="4" t="n"/>
      <c r="P78" s="2" t="inlineStr">
        <is>
          <t>45112700; 45233140; 45232121</t>
        </is>
      </c>
      <c r="Q78" s="8" t="inlineStr">
        <is>
          <t>Ver</t>
        </is>
      </c>
      <c r="R78" s="8" t="inlineStr">
        <is>
          <t>PCAP</t>
        </is>
      </c>
      <c r="S78" s="9" t="n">
        <v>46310</v>
      </c>
      <c r="T78" s="3" t="n">
        <v>46318.54048611111</v>
      </c>
      <c r="U78" s="2" t="n"/>
    </row>
    <row r="79">
      <c r="A79" s="2" t="inlineStr">
        <is>
          <t>Pendiente de adjudicación</t>
        </is>
      </c>
      <c r="B79" s="3" t="n">
        <v>46296.75</v>
      </c>
      <c r="C79" s="5" t="n">
        <v>299958.91</v>
      </c>
      <c r="D79" s="5" t="n">
        <v>299958.91</v>
      </c>
      <c r="E79" s="2" t="inlineStr">
        <is>
          <t>Comunitat Valenciana</t>
        </is>
      </c>
      <c r="F79" s="2" t="inlineStr">
        <is>
          <t>Valencia</t>
        </is>
      </c>
      <c r="G79" s="2" t="inlineStr">
        <is>
          <t>Algemesí</t>
        </is>
      </c>
      <c r="H79" s="2" t="inlineStr">
        <is>
          <t>Junta de Gobierno del Ayuntamiento de Algemesí</t>
        </is>
      </c>
      <c r="I79" s="2" t="inlineStr">
        <is>
          <t>Ejecución de las obras de derribo del Velódromo Municipal de Algemesí</t>
        </is>
      </c>
      <c r="J79" s="2" t="inlineStr">
        <is>
          <t>6059/2026</t>
        </is>
      </c>
      <c r="K79" s="2" t="inlineStr">
        <is>
          <t>Abierto simplificado</t>
        </is>
      </c>
      <c r="L79" s="6" t="n">
        <v>2</v>
      </c>
      <c r="M79" s="2" t="n"/>
      <c r="N79" s="7" t="n">
        <v>0</v>
      </c>
      <c r="O79" s="4" t="n"/>
      <c r="P79" s="2" t="inlineStr">
        <is>
          <t>45111000</t>
        </is>
      </c>
      <c r="Q79" s="8" t="inlineStr">
        <is>
          <t>Ver</t>
        </is>
      </c>
      <c r="R79" s="8" t="inlineStr">
        <is>
          <t>PCAP</t>
        </is>
      </c>
      <c r="S79" s="9" t="n">
        <v>46310</v>
      </c>
      <c r="T79" s="3" t="n">
        <v>46318.53716435185</v>
      </c>
      <c r="U79" s="2" t="n"/>
    </row>
    <row r="80">
      <c r="A80" s="2" t="inlineStr">
        <is>
          <t>Resuelta</t>
        </is>
      </c>
      <c r="B80" s="3" t="n">
        <v>46290.99930555555</v>
      </c>
      <c r="C80" s="5" t="n">
        <v>53723.03</v>
      </c>
      <c r="D80" s="5" t="n">
        <v>53723.03</v>
      </c>
      <c r="E80" s="2" t="inlineStr">
        <is>
          <t>Comunitat Valenciana</t>
        </is>
      </c>
      <c r="F80" s="2" t="inlineStr">
        <is>
          <t>Castellón</t>
        </is>
      </c>
      <c r="G80" s="2" t="inlineStr">
        <is>
          <t>Costur</t>
        </is>
      </c>
      <c r="H80" s="2" t="inlineStr">
        <is>
          <t>Pleno del Ayuntamiento de Costur</t>
        </is>
      </c>
      <c r="I80" s="2" t="inlineStr">
        <is>
          <t>Ejecución de las obras del proyecto de Mejoras de la accesibilidad en el Ayuntamiento de Costur</t>
        </is>
      </c>
      <c r="J80" s="2" t="inlineStr">
        <is>
          <t>358/2026</t>
        </is>
      </c>
      <c r="K80" s="2" t="inlineStr">
        <is>
          <t>Negociado sin publicidad</t>
        </is>
      </c>
      <c r="L80" s="6" t="n">
        <v>2</v>
      </c>
      <c r="M80" s="2" t="n"/>
      <c r="N80" s="7" t="n">
        <v>0.25</v>
      </c>
      <c r="O80" s="4" t="n"/>
      <c r="P80" s="2" t="inlineStr">
        <is>
          <t>45000000; 45262700; 45313100</t>
        </is>
      </c>
      <c r="Q80" s="8" t="inlineStr">
        <is>
          <t>Ver</t>
        </is>
      </c>
      <c r="R80" s="8" t="inlineStr">
        <is>
          <t>PCAP</t>
        </is>
      </c>
      <c r="S80" s="9" t="n">
        <v>46321</v>
      </c>
      <c r="T80" s="3" t="n">
        <v>46318.53694444444</v>
      </c>
      <c r="U80" s="2" t="n"/>
    </row>
    <row r="81">
      <c r="A81" s="2" t="inlineStr">
        <is>
          <t>Pendiente de adjudicación</t>
        </is>
      </c>
      <c r="B81" s="3" t="n">
        <v>46289.99930555555</v>
      </c>
      <c r="C81" s="5" t="n">
        <v>398450.06</v>
      </c>
      <c r="D81" s="5" t="n">
        <v>398450.06</v>
      </c>
      <c r="E81" s="2" t="inlineStr">
        <is>
          <t>Andalucía</t>
        </is>
      </c>
      <c r="F81" s="2" t="inlineStr">
        <is>
          <t>Sevilla</t>
        </is>
      </c>
      <c r="G81" s="2" t="inlineStr">
        <is>
          <t>SAN JUAN DE AZNALFARACHE</t>
        </is>
      </c>
      <c r="H81" s="2" t="inlineStr">
        <is>
          <t>Junta de Gobierno del Ayuntamiento San Juan de Aznalfarache</t>
        </is>
      </c>
      <c r="I81" s="2" t="inlineStr">
        <is>
          <t>ejecución de las obras contempladas en el “Proyecto de Ejecución de Glorieta de organización de tráfico sobre plataforma de cubrición de la Autovía A-8058”</t>
        </is>
      </c>
      <c r="J81" s="2" t="inlineStr">
        <is>
          <t>5434/2026</t>
        </is>
      </c>
      <c r="K81" s="2" t="inlineStr">
        <is>
          <t>Abierto simplificado</t>
        </is>
      </c>
      <c r="L81" s="6" t="n">
        <v>6</v>
      </c>
      <c r="M81" s="2" t="n"/>
      <c r="N81" s="7" t="n">
        <v>0</v>
      </c>
      <c r="O81" s="4" t="n"/>
      <c r="P81" s="2" t="inlineStr">
        <is>
          <t>45000000</t>
        </is>
      </c>
      <c r="Q81" s="8" t="inlineStr">
        <is>
          <t>Ver</t>
        </is>
      </c>
      <c r="R81" s="8" t="inlineStr">
        <is>
          <t>PCAP</t>
        </is>
      </c>
      <c r="S81" s="9" t="n">
        <v>46310</v>
      </c>
      <c r="T81" s="3" t="n">
        <v>46318.53689814815</v>
      </c>
      <c r="U81" s="2" t="n"/>
    </row>
    <row r="82">
      <c r="A82" s="2" t="inlineStr">
        <is>
          <t>Resuelta</t>
        </is>
      </c>
      <c r="B82" s="3" t="n">
        <v>46196.625</v>
      </c>
      <c r="C82" s="5" t="n">
        <v>281561.17</v>
      </c>
      <c r="D82" s="5" t="n">
        <v>281561.17</v>
      </c>
      <c r="E82" s="2" t="inlineStr">
        <is>
          <t>Comunitat Valenciana</t>
        </is>
      </c>
      <c r="F82" s="2" t="inlineStr">
        <is>
          <t>Castellón</t>
        </is>
      </c>
      <c r="G82" s="2" t="inlineStr">
        <is>
          <t>Vinaròs</t>
        </is>
      </c>
      <c r="H82" s="2" t="inlineStr">
        <is>
          <t>Dirección Territorial de Educación y Universidades de Castellón</t>
        </is>
      </c>
      <c r="I82" s="2" t="inlineStr">
        <is>
          <t>Sustitución parcial del vallado en el CEIP Nuestra Señora de la Asunción de Vinaros</t>
        </is>
      </c>
      <c r="J82" s="2" t="inlineStr">
        <is>
          <t>CMAYOR/2026/19Y14/0059</t>
        </is>
      </c>
      <c r="K82" s="2" t="inlineStr">
        <is>
          <t>Abierto simplificado</t>
        </is>
      </c>
      <c r="L82" s="6" t="n">
        <v>4</v>
      </c>
      <c r="M82" s="2" t="n"/>
      <c r="N82" s="7" t="n">
        <v>0</v>
      </c>
      <c r="O82" s="4" t="n"/>
      <c r="P82" s="2" t="inlineStr">
        <is>
          <t>45214210</t>
        </is>
      </c>
      <c r="Q82" s="8" t="inlineStr">
        <is>
          <t>Ver</t>
        </is>
      </c>
      <c r="R82" s="8" t="inlineStr">
        <is>
          <t>PCAP</t>
        </is>
      </c>
      <c r="S82" s="9" t="n">
        <v>46321</v>
      </c>
      <c r="T82" s="3" t="n">
        <v>46318.53329861111</v>
      </c>
      <c r="U82" s="2" t="n"/>
    </row>
    <row r="83">
      <c r="A83" s="2" t="inlineStr">
        <is>
          <t>Adjudicada</t>
        </is>
      </c>
      <c r="B83" s="3" t="n">
        <v>46294.99930555555</v>
      </c>
      <c r="C83" s="5" t="n">
        <v>154169</v>
      </c>
      <c r="D83" s="5" t="n">
        <v>154169</v>
      </c>
      <c r="E83" s="2" t="inlineStr">
        <is>
          <t>Comunitat Valenciana</t>
        </is>
      </c>
      <c r="F83" s="2" t="inlineStr">
        <is>
          <t>Castellón</t>
        </is>
      </c>
      <c r="G83" s="2" t="inlineStr">
        <is>
          <t>Navajas</t>
        </is>
      </c>
      <c r="H83" s="2" t="inlineStr">
        <is>
          <t>Alcaldía del Ayuntamiento de Navajas</t>
        </is>
      </c>
      <c r="I83" s="2" t="inlineStr">
        <is>
          <t>Obras de adecuación y mejora del Polideportivo Municipal de Navajas.</t>
        </is>
      </c>
      <c r="J83" s="2" t="inlineStr">
        <is>
          <t>386/2026</t>
        </is>
      </c>
      <c r="K83" s="2" t="inlineStr">
        <is>
          <t>Abierto simplificado</t>
        </is>
      </c>
      <c r="L83" s="6" t="n">
        <v>6</v>
      </c>
      <c r="M83" s="2" t="n"/>
      <c r="N83" s="7" t="n">
        <v>0.25</v>
      </c>
      <c r="O83" s="4" t="n"/>
      <c r="P83" s="2" t="inlineStr">
        <is>
          <t>45212200; 45212290</t>
        </is>
      </c>
      <c r="Q83" s="8" t="inlineStr">
        <is>
          <t>Ver</t>
        </is>
      </c>
      <c r="R83" s="8" t="inlineStr">
        <is>
          <t>PCAP</t>
        </is>
      </c>
      <c r="S83" s="9" t="n">
        <v>46321</v>
      </c>
      <c r="T83" s="3" t="n">
        <v>46318.53199074074</v>
      </c>
      <c r="U83" s="2" t="n"/>
    </row>
    <row r="84">
      <c r="A84" s="2" t="inlineStr">
        <is>
          <t>En plazo</t>
        </is>
      </c>
      <c r="B84" s="3" t="n">
        <v>46342.99930555555</v>
      </c>
      <c r="C84" s="5" t="n">
        <v>490067.3</v>
      </c>
      <c r="D84" s="5" t="n">
        <v>490067.3</v>
      </c>
      <c r="E84" s="2" t="inlineStr">
        <is>
          <t>Andalucía</t>
        </is>
      </c>
      <c r="F84" s="2" t="inlineStr">
        <is>
          <t>Huelva</t>
        </is>
      </c>
      <c r="G84" s="2" t="inlineStr">
        <is>
          <t>Chucena</t>
        </is>
      </c>
      <c r="H84" s="2" t="inlineStr">
        <is>
          <t>Alcaldía del Ayuntamiento de Chucena</t>
        </is>
      </c>
      <c r="I84" s="2" t="inlineStr">
        <is>
          <t>Ejecución de las obras contempladas en el Proyecto de Urbanización de la calle transversal a calle Cartuja. Fase 1, en el término municipal de Chucena (Huelva).</t>
        </is>
      </c>
      <c r="J84" s="2" t="inlineStr">
        <is>
          <t>361/2026</t>
        </is>
      </c>
      <c r="K84" s="2" t="inlineStr">
        <is>
          <t>Abierto simplificado</t>
        </is>
      </c>
      <c r="L84" s="6" t="n">
        <v>6</v>
      </c>
      <c r="M84" s="2" t="n"/>
      <c r="N84" s="7" t="n">
        <v>0</v>
      </c>
      <c r="O84" s="4" t="n"/>
      <c r="P84" s="2" t="inlineStr">
        <is>
          <t>45230000</t>
        </is>
      </c>
      <c r="Q84" s="8" t="inlineStr">
        <is>
          <t>Ver</t>
        </is>
      </c>
      <c r="R84" s="8" t="inlineStr">
        <is>
          <t>PCAP</t>
        </is>
      </c>
      <c r="S84" s="9" t="n">
        <v>46321</v>
      </c>
      <c r="T84" s="3" t="n">
        <v>46318.53087962963</v>
      </c>
      <c r="U84" s="2" t="n"/>
    </row>
    <row r="85">
      <c r="A85" s="2" t="inlineStr">
        <is>
          <t>Pendiente de adjudicación</t>
        </is>
      </c>
      <c r="B85" s="3" t="n">
        <v>46314.99930555555</v>
      </c>
      <c r="C85" s="5" t="n">
        <v>7583128.97</v>
      </c>
      <c r="D85" s="5" t="n">
        <v>8341441.87</v>
      </c>
      <c r="E85" s="2" t="inlineStr">
        <is>
          <t>Comunitat Valenciana</t>
        </is>
      </c>
      <c r="F85" s="2" t="inlineStr">
        <is>
          <t>Valencia</t>
        </is>
      </c>
      <c r="G85" s="2" t="n"/>
      <c r="H85" s="2" t="inlineStr">
        <is>
          <t>Junta de Gobierno del Ajuntament de València</t>
        </is>
      </c>
      <c r="I85" s="2" t="inlineStr">
        <is>
          <t>Obras de construcción del edificio de la Segunda Unidad de Distrito de la Policía Local.-</t>
        </is>
      </c>
      <c r="J85" s="2" t="inlineStr">
        <is>
          <t>04101/2026/154-O</t>
        </is>
      </c>
      <c r="K85" s="2" t="inlineStr">
        <is>
          <t>Abierto</t>
        </is>
      </c>
      <c r="L85" s="6" t="n">
        <v>18</v>
      </c>
      <c r="M85" s="2" t="inlineStr">
        <is>
          <t>C*-6</t>
        </is>
      </c>
      <c r="N85" s="7" t="n">
        <v>0</v>
      </c>
      <c r="O85" s="4" t="n"/>
      <c r="P85" s="2" t="inlineStr">
        <is>
          <t>45000000</t>
        </is>
      </c>
      <c r="Q85" s="8" t="inlineStr">
        <is>
          <t>Ver</t>
        </is>
      </c>
      <c r="R85" s="8" t="inlineStr">
        <is>
          <t>PCAP</t>
        </is>
      </c>
      <c r="S85" s="9" t="n">
        <v>46318</v>
      </c>
      <c r="T85" s="3" t="n">
        <v>46318.53046296296</v>
      </c>
      <c r="U85" s="2" t="n"/>
    </row>
    <row r="86">
      <c r="A86" s="2" t="inlineStr">
        <is>
          <t>En plazo</t>
        </is>
      </c>
      <c r="B86" s="3" t="n">
        <v>46349.99930555555</v>
      </c>
      <c r="C86" s="5" t="n">
        <v>59505.36</v>
      </c>
      <c r="D86" s="5" t="n">
        <v>59505.36</v>
      </c>
      <c r="E86" s="2" t="inlineStr">
        <is>
          <t>Andalucía</t>
        </is>
      </c>
      <c r="F86" s="2" t="inlineStr">
        <is>
          <t>Cádiz</t>
        </is>
      </c>
      <c r="G86" s="2" t="n"/>
      <c r="H86" s="2" t="inlineStr">
        <is>
          <t>Gerencia de la Empresa Municipal de la Vivienda de Jerez, S.A.</t>
        </is>
      </c>
      <c r="I86" s="2" t="inlineStr">
        <is>
          <t>Contrato de obras de reparación y conservación de las pasarelas exteriores de acceso a los edificios de viviendas sitos en calle Tío Juanes n.º 2 y n.º 4 de Jerez de la Frontera.</t>
        </is>
      </c>
      <c r="J86" s="2" t="inlineStr">
        <is>
          <t>EMUVIJESA/PAS/10/2026</t>
        </is>
      </c>
      <c r="K86" s="2" t="inlineStr">
        <is>
          <t>Abierto simplificado</t>
        </is>
      </c>
      <c r="L86" s="6" t="n">
        <v>2.5</v>
      </c>
      <c r="M86" s="2" t="n"/>
      <c r="N86" s="7" t="n">
        <v>0</v>
      </c>
      <c r="O86" s="4" t="n"/>
      <c r="P86" s="2" t="inlineStr">
        <is>
          <t>45453100</t>
        </is>
      </c>
      <c r="Q86" s="8" t="inlineStr">
        <is>
          <t>Ver</t>
        </is>
      </c>
      <c r="R86" s="8" t="inlineStr">
        <is>
          <t>PCAP</t>
        </is>
      </c>
      <c r="S86" s="9" t="n">
        <v>46321</v>
      </c>
      <c r="T86" s="3" t="n">
        <v>46318.52998842593</v>
      </c>
      <c r="U86" s="2" t="n"/>
    </row>
    <row r="87">
      <c r="A87" s="2" t="inlineStr">
        <is>
          <t>Resuelta</t>
        </is>
      </c>
      <c r="B87" s="3" t="n">
        <v>46309.99930555555</v>
      </c>
      <c r="C87" s="5" t="n">
        <v>670701.35</v>
      </c>
      <c r="D87" s="5" t="n">
        <v>670701.35</v>
      </c>
      <c r="E87" s="2" t="inlineStr">
        <is>
          <t>Andalucía</t>
        </is>
      </c>
      <c r="F87" s="2" t="inlineStr">
        <is>
          <t>Málaga</t>
        </is>
      </c>
      <c r="G87" s="2" t="n"/>
      <c r="H87" s="2" t="inlineStr">
        <is>
          <t>Junta de Gobierno del Ayuntamiento de Vélez-Málaga</t>
        </is>
      </c>
      <c r="I87" s="2" t="inlineStr">
        <is>
          <t>Reurbanización de la Calle Doctor Fleming de Torre del Mar. Tramo Calle Eduardo Iglesias Pérez - Calle Doctor Laureano Casquero.</t>
        </is>
      </c>
      <c r="J87" s="2" t="inlineStr">
        <is>
          <t>AVM.OBR-2026000015</t>
        </is>
      </c>
      <c r="K87" s="2" t="inlineStr">
        <is>
          <t>Abierto simplificado</t>
        </is>
      </c>
      <c r="L87" s="6" t="n">
        <v>8</v>
      </c>
      <c r="M87" s="2" t="inlineStr">
        <is>
          <t>G6-2</t>
        </is>
      </c>
      <c r="N87" s="7" t="n">
        <v>0</v>
      </c>
      <c r="O87" s="4" t="n"/>
      <c r="P87" s="2" t="inlineStr">
        <is>
          <t>45233252</t>
        </is>
      </c>
      <c r="Q87" s="8" t="inlineStr">
        <is>
          <t>Ver</t>
        </is>
      </c>
      <c r="R87" s="8" t="inlineStr">
        <is>
          <t>PCAP</t>
        </is>
      </c>
      <c r="S87" s="9" t="n">
        <v>46321</v>
      </c>
      <c r="T87" s="3" t="n">
        <v>46318.5275925926</v>
      </c>
      <c r="U87" s="2" t="n"/>
    </row>
    <row r="88">
      <c r="A88" s="2" t="inlineStr">
        <is>
          <t>Pendiente de adjudicación</t>
        </is>
      </c>
      <c r="B88" s="3" t="n">
        <v>46311.54166666666</v>
      </c>
      <c r="C88" s="5" t="n">
        <v>424023.1</v>
      </c>
      <c r="D88" s="5" t="n">
        <v>424023.1</v>
      </c>
      <c r="E88" s="2" t="inlineStr">
        <is>
          <t>Andalucía</t>
        </is>
      </c>
      <c r="F88" s="2" t="inlineStr">
        <is>
          <t>Málaga</t>
        </is>
      </c>
      <c r="G88" s="2" t="n"/>
      <c r="H88" s="2" t="inlineStr">
        <is>
          <t>Junta de Gobierno del Ayuntamiento de Málaga</t>
        </is>
      </c>
      <c r="I88" s="2" t="inlineStr">
        <is>
          <t>Obras de subsanación de deficiencias de once centros de enseñanza infantil y primaria de la Ciudad de Málaga</t>
        </is>
      </c>
      <c r="J88" s="2" t="inlineStr">
        <is>
          <t>116/26</t>
        </is>
      </c>
      <c r="K88" s="2" t="inlineStr">
        <is>
          <t>Abierto simplificado</t>
        </is>
      </c>
      <c r="L88" s="6" t="n">
        <v>3</v>
      </c>
      <c r="M88" s="2" t="n"/>
      <c r="N88" s="7" t="n">
        <v>0</v>
      </c>
      <c r="O88" s="4" t="n"/>
      <c r="P88" s="2" t="inlineStr">
        <is>
          <t>45000000; 45259000</t>
        </is>
      </c>
      <c r="Q88" s="8" t="inlineStr">
        <is>
          <t>Ver</t>
        </is>
      </c>
      <c r="R88" s="8" t="inlineStr">
        <is>
          <t>PCAP</t>
        </is>
      </c>
      <c r="S88" s="9" t="n">
        <v>46321</v>
      </c>
      <c r="T88" s="3" t="n">
        <v>46318.52733796297</v>
      </c>
      <c r="U88" s="2" t="n"/>
    </row>
    <row r="89">
      <c r="A89" s="2" t="inlineStr">
        <is>
          <t>Pendiente de adjudicación</t>
        </is>
      </c>
      <c r="B89" s="3" t="n">
        <v>46314.99930555555</v>
      </c>
      <c r="C89" s="5" t="n">
        <v>1782917.77</v>
      </c>
      <c r="D89" s="5" t="n">
        <v>1782917.77</v>
      </c>
      <c r="E89" s="2" t="inlineStr">
        <is>
          <t>Comunitat Valenciana</t>
        </is>
      </c>
      <c r="F89" s="2" t="inlineStr">
        <is>
          <t>Valencia</t>
        </is>
      </c>
      <c r="G89" s="2" t="inlineStr">
        <is>
          <t>Ontinyent</t>
        </is>
      </c>
      <c r="H89" s="2" t="inlineStr">
        <is>
          <t>Alcaldia del Ayuntamiento de Ontinyent</t>
        </is>
      </c>
      <c r="I89" s="2" t="inlineStr">
        <is>
          <t>Contratación de las obras de "Ampliación del cementerio municipal de Ontinyent"</t>
        </is>
      </c>
      <c r="J89" s="2" t="inlineStr">
        <is>
          <t>2955403C</t>
        </is>
      </c>
      <c r="K89" s="2" t="inlineStr">
        <is>
          <t>Abierto simplificado</t>
        </is>
      </c>
      <c r="L89" s="6" t="n">
        <v>15</v>
      </c>
      <c r="M89" s="2" t="inlineStr">
        <is>
          <t>C2-4</t>
        </is>
      </c>
      <c r="N89" s="7" t="n">
        <v>0.25</v>
      </c>
      <c r="O89" s="4" t="n"/>
      <c r="P89" s="2" t="inlineStr">
        <is>
          <t>45112714; 45236300; 45215400; 45233200; 45223800</t>
        </is>
      </c>
      <c r="Q89" s="8" t="inlineStr">
        <is>
          <t>Ver</t>
        </is>
      </c>
      <c r="R89" s="8" t="inlineStr">
        <is>
          <t>PCAP</t>
        </is>
      </c>
      <c r="S89" s="9" t="n">
        <v>46321</v>
      </c>
      <c r="T89" s="3" t="n">
        <v>46318.52331018518</v>
      </c>
      <c r="U89" s="2" t="n"/>
    </row>
    <row r="90">
      <c r="A90" s="2" t="inlineStr">
        <is>
          <t>Pendiente de adjudicación</t>
        </is>
      </c>
      <c r="B90" s="3" t="n">
        <v>46314.99930555555</v>
      </c>
      <c r="C90" s="5" t="n">
        <v>66307.64999999999</v>
      </c>
      <c r="D90" s="5" t="n">
        <v>79569.17999999999</v>
      </c>
      <c r="E90" s="2" t="inlineStr">
        <is>
          <t>Comunitat Valenciana</t>
        </is>
      </c>
      <c r="F90" s="2" t="inlineStr">
        <is>
          <t>Alicante</t>
        </is>
      </c>
      <c r="G90" s="2" t="inlineStr">
        <is>
          <t>Dolores</t>
        </is>
      </c>
      <c r="H90" s="2" t="inlineStr">
        <is>
          <t>Alcaldía del Ayuntamiento de Dolores</t>
        </is>
      </c>
      <c r="I90" s="2" t="inlineStr">
        <is>
          <t>Adecuación de la Avenida Príncipe de Asturias</t>
        </is>
      </c>
      <c r="J90" s="2" t="inlineStr">
        <is>
          <t>3492/2026</t>
        </is>
      </c>
      <c r="K90" s="2" t="inlineStr">
        <is>
          <t>Abierto simplificado</t>
        </is>
      </c>
      <c r="L90" s="6" t="n">
        <v>3</v>
      </c>
      <c r="M90" s="2" t="n"/>
      <c r="N90" s="7" t="n">
        <v>0</v>
      </c>
      <c r="O90" s="4" t="n"/>
      <c r="P90" s="2" t="inlineStr">
        <is>
          <t>45233140; 45233220; 45316100; 77310000; 45231000</t>
        </is>
      </c>
      <c r="Q90" s="8" t="inlineStr">
        <is>
          <t>Ver</t>
        </is>
      </c>
      <c r="R90" s="8" t="inlineStr">
        <is>
          <t>PCAP</t>
        </is>
      </c>
      <c r="S90" s="9" t="n">
        <v>46321</v>
      </c>
      <c r="T90" s="3" t="n">
        <v>46318.52225694444</v>
      </c>
      <c r="U90" s="2" t="n"/>
    </row>
    <row r="91">
      <c r="A91" s="2" t="inlineStr">
        <is>
          <t>En plazo</t>
        </is>
      </c>
      <c r="B91" s="3" t="n">
        <v>46322.45833333334</v>
      </c>
      <c r="C91" s="5" t="n">
        <v>50129.2</v>
      </c>
      <c r="D91" s="5" t="n">
        <v>50129.2</v>
      </c>
      <c r="E91" s="2" t="inlineStr">
        <is>
          <t>Andalucía</t>
        </is>
      </c>
      <c r="F91" s="2" t="inlineStr">
        <is>
          <t>Granada</t>
        </is>
      </c>
      <c r="G91" s="2" t="n"/>
      <c r="H91" s="2" t="inlineStr">
        <is>
          <t>Alcaldía del Ayuntamiento de Almuñécar</t>
        </is>
      </c>
      <c r="I91" s="2" t="inlineStr">
        <is>
          <t>Contrato de Obras de Mejora de protecciones y drenajes de varios caminos en el entorno del Río Jate, en el término municipal de Almuñécar, subvencionada por la Diputación Provincial de Granada `Subvención para inversiones de reparación de daños producidos por temporal e inversiones de carácter preventivo. - Línea 1. ´</t>
        </is>
      </c>
      <c r="J91" s="2" t="inlineStr">
        <is>
          <t>106/2026 (GEST 8481 BIS/2026)</t>
        </is>
      </c>
      <c r="K91" s="2" t="inlineStr">
        <is>
          <t>Negociado sin publicidad</t>
        </is>
      </c>
      <c r="L91" s="6" t="n">
        <v>3</v>
      </c>
      <c r="M91" s="2" t="n"/>
      <c r="N91" s="7" t="n">
        <v>0</v>
      </c>
      <c r="O91" s="4" t="n"/>
      <c r="P91" s="2" t="inlineStr">
        <is>
          <t>45233200</t>
        </is>
      </c>
      <c r="Q91" s="8" t="inlineStr">
        <is>
          <t>Ver</t>
        </is>
      </c>
      <c r="R91" s="8" t="inlineStr">
        <is>
          <t>PCAP</t>
        </is>
      </c>
      <c r="S91" s="9" t="n">
        <v>46314</v>
      </c>
      <c r="T91" s="3" t="n">
        <v>46318.52216435185</v>
      </c>
      <c r="U91" s="2" t="n"/>
    </row>
    <row r="92">
      <c r="A92" s="2" t="inlineStr">
        <is>
          <t>En plazo</t>
        </is>
      </c>
      <c r="B92" s="3" t="n">
        <v>46322.45833333334</v>
      </c>
      <c r="C92" s="5" t="n">
        <v>61420.45</v>
      </c>
      <c r="D92" s="5" t="n">
        <v>61420.45</v>
      </c>
      <c r="E92" s="2" t="inlineStr">
        <is>
          <t>Andalucía</t>
        </is>
      </c>
      <c r="F92" s="2" t="inlineStr">
        <is>
          <t>Granada</t>
        </is>
      </c>
      <c r="G92" s="2" t="n"/>
      <c r="H92" s="2" t="inlineStr">
        <is>
          <t>Alcaldía del Ayuntamiento de Almuñécar</t>
        </is>
      </c>
      <c r="I92" s="2" t="inlineStr">
        <is>
          <t>Obras para mejoras de protecciones y drenajes de varios caminos en el entorno del Río Verde, en el término municipal de Almuñécar. Subvencionado por la Diputación Provincial de Granada.</t>
        </is>
      </c>
      <c r="J92" s="2" t="inlineStr">
        <is>
          <t>104/2026 (GEST 8478 BIS/2026)</t>
        </is>
      </c>
      <c r="K92" s="2" t="inlineStr">
        <is>
          <t>Negociado sin publicidad</t>
        </is>
      </c>
      <c r="L92" s="6" t="n">
        <v>3</v>
      </c>
      <c r="M92" s="2" t="n"/>
      <c r="N92" s="7" t="n">
        <v>0</v>
      </c>
      <c r="O92" s="4" t="n"/>
      <c r="P92" s="2" t="inlineStr">
        <is>
          <t>45233200</t>
        </is>
      </c>
      <c r="Q92" s="8" t="inlineStr">
        <is>
          <t>Ver</t>
        </is>
      </c>
      <c r="R92" s="8" t="inlineStr">
        <is>
          <t>PCAP</t>
        </is>
      </c>
      <c r="S92" s="9" t="n">
        <v>46314</v>
      </c>
      <c r="T92" s="3" t="n">
        <v>46318.52138888889</v>
      </c>
      <c r="U92" s="2" t="n"/>
    </row>
    <row r="93">
      <c r="A93" s="2" t="inlineStr">
        <is>
          <t>En plazo</t>
        </is>
      </c>
      <c r="B93" s="3" t="n">
        <v>46322.45833333334</v>
      </c>
      <c r="C93" s="5" t="n">
        <v>65480.44</v>
      </c>
      <c r="D93" s="5" t="n">
        <v>65480.44</v>
      </c>
      <c r="E93" s="2" t="inlineStr">
        <is>
          <t>Andalucía</t>
        </is>
      </c>
      <c r="F93" s="2" t="inlineStr">
        <is>
          <t>Granada</t>
        </is>
      </c>
      <c r="G93" s="2" t="n"/>
      <c r="H93" s="2" t="inlineStr">
        <is>
          <t>Alcaldía del Ayuntamiento de Almuñécar</t>
        </is>
      </c>
      <c r="I93" s="2" t="inlineStr">
        <is>
          <t>Contrato de Obras de Mejora de protecciones y drenajes de varios caminos en el entorno del Río Seco, en el término municipal de Almuñécar, subvencionada por la Diputación Provincial de Granada `Subvención para reparación de daños producidos por temporal e inversiones de carácter preventivo. - Línea 1.`</t>
        </is>
      </c>
      <c r="J93" s="2" t="inlineStr">
        <is>
          <t>105/2026 (GEST 8480 BIS/2026)</t>
        </is>
      </c>
      <c r="K93" s="2" t="inlineStr">
        <is>
          <t>Negociado sin publicidad</t>
        </is>
      </c>
      <c r="L93" s="6" t="n">
        <v>3</v>
      </c>
      <c r="M93" s="2" t="n"/>
      <c r="N93" s="7" t="n">
        <v>0</v>
      </c>
      <c r="O93" s="4" t="n"/>
      <c r="P93" s="2" t="inlineStr">
        <is>
          <t>45233200</t>
        </is>
      </c>
      <c r="Q93" s="8" t="inlineStr">
        <is>
          <t>Ver</t>
        </is>
      </c>
      <c r="R93" s="8" t="inlineStr">
        <is>
          <t>PCAP</t>
        </is>
      </c>
      <c r="S93" s="9" t="n">
        <v>46314</v>
      </c>
      <c r="T93" s="3" t="n">
        <v>46318.52082175926</v>
      </c>
      <c r="U93" s="2" t="n"/>
    </row>
    <row r="94">
      <c r="A94" s="2" t="inlineStr">
        <is>
          <t>En plazo</t>
        </is>
      </c>
      <c r="B94" s="3" t="n">
        <v>46335.99930555555</v>
      </c>
      <c r="C94" s="5" t="n">
        <v>44811.5</v>
      </c>
      <c r="D94" s="5" t="n">
        <v>44811.5</v>
      </c>
      <c r="E94" s="2" t="inlineStr">
        <is>
          <t>Andalucía</t>
        </is>
      </c>
      <c r="F94" s="2" t="inlineStr">
        <is>
          <t>Huelva</t>
        </is>
      </c>
      <c r="G94" s="2" t="inlineStr">
        <is>
          <t>Cabezas Rubias</t>
        </is>
      </c>
      <c r="H94" s="2" t="inlineStr">
        <is>
          <t>Alcaldía del Ayuntamiento de Cabezas Rubias</t>
        </is>
      </c>
      <c r="I94" s="2" t="inlineStr">
        <is>
          <t>Contrato de Obras para La Intervención en los Espacios Libres de la Casa del Médico</t>
        </is>
      </c>
      <c r="J94" s="2" t="inlineStr">
        <is>
          <t>2026/CON_02/000011 - 71/2026</t>
        </is>
      </c>
      <c r="K94" s="2" t="inlineStr">
        <is>
          <t>Abierto simplificado</t>
        </is>
      </c>
      <c r="L94" s="6" t="n">
        <v>2</v>
      </c>
      <c r="M94" s="2" t="n"/>
      <c r="N94" s="7" t="n">
        <v>0</v>
      </c>
      <c r="O94" s="4" t="n"/>
      <c r="P94" s="2" t="inlineStr">
        <is>
          <t>45112710</t>
        </is>
      </c>
      <c r="Q94" s="8" t="inlineStr">
        <is>
          <t>Ver</t>
        </is>
      </c>
      <c r="R94" s="8" t="inlineStr">
        <is>
          <t>PCAP</t>
        </is>
      </c>
      <c r="S94" s="9" t="n">
        <v>46321</v>
      </c>
      <c r="T94" s="3" t="n">
        <v>46318.52</v>
      </c>
      <c r="U94" s="2" t="n"/>
    </row>
    <row r="95">
      <c r="A95" s="2" t="inlineStr">
        <is>
          <t>Pendiente de adjudicación</t>
        </is>
      </c>
      <c r="B95" s="3" t="n">
        <v>46233.99930555555</v>
      </c>
      <c r="C95" s="5" t="n">
        <v>216774.32</v>
      </c>
      <c r="D95" s="5" t="n">
        <v>216774.32</v>
      </c>
      <c r="E95" s="2" t="inlineStr">
        <is>
          <t>Comunitat Valenciana</t>
        </is>
      </c>
      <c r="F95" s="2" t="inlineStr">
        <is>
          <t>Valencia</t>
        </is>
      </c>
      <c r="G95" s="2" t="inlineStr">
        <is>
          <t>Ontinyent</t>
        </is>
      </c>
      <c r="H95" s="2" t="inlineStr">
        <is>
          <t>Alcaldia del Ayuntamiento de Ontinyent</t>
        </is>
      </c>
      <c r="I95" s="2" t="inlineStr">
        <is>
          <t>Contratación de las obras del "Proyecto de reforma de la iluminación y adecuación eléctrica de la pista de atletismo del Polideportivo Municipal de Ontinyent".</t>
        </is>
      </c>
      <c r="J95" s="2" t="inlineStr">
        <is>
          <t>2910703T</t>
        </is>
      </c>
      <c r="K95" s="2" t="inlineStr">
        <is>
          <t>Abierto simplificado</t>
        </is>
      </c>
      <c r="L95" s="6" t="n">
        <v>4</v>
      </c>
      <c r="M95" s="2" t="n"/>
      <c r="N95" s="7" t="n">
        <v>0</v>
      </c>
      <c r="O95" s="4" t="n"/>
      <c r="P95" s="2" t="inlineStr">
        <is>
          <t>45316100; 45310000</t>
        </is>
      </c>
      <c r="Q95" s="8" t="inlineStr">
        <is>
          <t>Ver</t>
        </is>
      </c>
      <c r="R95" s="8" t="inlineStr">
        <is>
          <t>PCAP</t>
        </is>
      </c>
      <c r="S95" s="9" t="n">
        <v>46321</v>
      </c>
      <c r="T95" s="3" t="n">
        <v>46318.51975694444</v>
      </c>
      <c r="U95" s="2" t="n"/>
    </row>
    <row r="96">
      <c r="A96" s="2" t="inlineStr">
        <is>
          <t>En plazo</t>
        </is>
      </c>
      <c r="B96" s="3" t="n">
        <v>46338.99930555555</v>
      </c>
      <c r="C96" s="5" t="n">
        <v>44187.31</v>
      </c>
      <c r="D96" s="5" t="n">
        <v>44187.31</v>
      </c>
      <c r="E96" s="2" t="inlineStr">
        <is>
          <t>Comunitat Valenciana</t>
        </is>
      </c>
      <c r="F96" s="2" t="inlineStr">
        <is>
          <t>Valencia</t>
        </is>
      </c>
      <c r="G96" s="2" t="inlineStr">
        <is>
          <t>Tavernes Blanques</t>
        </is>
      </c>
      <c r="H96" s="2" t="inlineStr">
        <is>
          <t>Alcaldía del Ayuntamiento de Tavernes Blanques</t>
        </is>
      </c>
      <c r="I96" s="2" t="inlineStr">
        <is>
          <t>Mejora de accesibilidad de los aseos púbicos de la biblioteca municipal de Tavernes Blanques</t>
        </is>
      </c>
      <c r="J96" s="2" t="inlineStr">
        <is>
          <t>OB-2026-4</t>
        </is>
      </c>
      <c r="K96" s="2" t="inlineStr">
        <is>
          <t>Abierto simplificado</t>
        </is>
      </c>
      <c r="L96" s="6" t="n">
        <v>1.5</v>
      </c>
      <c r="M96" s="2" t="n"/>
      <c r="N96" s="7" t="n">
        <v>0</v>
      </c>
      <c r="O96" s="4" t="n"/>
      <c r="P96" s="2" t="inlineStr">
        <is>
          <t>45000000; 45215500; 45111100</t>
        </is>
      </c>
      <c r="Q96" s="8" t="inlineStr">
        <is>
          <t>Ver</t>
        </is>
      </c>
      <c r="R96" s="8" t="inlineStr">
        <is>
          <t>PCAP</t>
        </is>
      </c>
      <c r="S96" s="9" t="n">
        <v>46321</v>
      </c>
      <c r="T96" s="3" t="n">
        <v>46318.51635416667</v>
      </c>
      <c r="U96" s="2" t="n"/>
    </row>
    <row r="97">
      <c r="A97" s="2" t="inlineStr">
        <is>
          <t>En plazo</t>
        </is>
      </c>
      <c r="B97" s="3" t="n">
        <v>46338.99930555555</v>
      </c>
      <c r="C97" s="5" t="n">
        <v>102350.31</v>
      </c>
      <c r="D97" s="5" t="n">
        <v>102350.31</v>
      </c>
      <c r="E97" s="2" t="inlineStr">
        <is>
          <t>Comunitat Valenciana</t>
        </is>
      </c>
      <c r="F97" s="2" t="inlineStr">
        <is>
          <t>Valencia</t>
        </is>
      </c>
      <c r="G97" s="2" t="n"/>
      <c r="H97" s="2" t="inlineStr">
        <is>
          <t>Gerencia del Hospital Intermutual de Levante</t>
        </is>
      </c>
      <c r="I97" s="2" t="inlineStr">
        <is>
          <t>Obras de reforma, renovación e instalación de nuevos vestuarios en planta sótano de hospitalización del Hospital Intermutual de Levante</t>
        </is>
      </c>
      <c r="J97" s="2" t="inlineStr">
        <is>
          <t>HIL/2026/03/102</t>
        </is>
      </c>
      <c r="K97" s="2" t="inlineStr">
        <is>
          <t>Abierto simplificado</t>
        </is>
      </c>
      <c r="L97" s="6" t="n">
        <v>1.5</v>
      </c>
      <c r="M97" s="2" t="n"/>
      <c r="N97" s="7" t="n">
        <v>0.25</v>
      </c>
      <c r="O97" s="4" t="n"/>
      <c r="P97" s="2" t="inlineStr">
        <is>
          <t>45000000; 45400000</t>
        </is>
      </c>
      <c r="Q97" s="8" t="inlineStr">
        <is>
          <t>Ver</t>
        </is>
      </c>
      <c r="R97" s="8" t="inlineStr">
        <is>
          <t>PCAP</t>
        </is>
      </c>
      <c r="S97" s="9" t="n">
        <v>46321</v>
      </c>
      <c r="T97" s="3" t="n">
        <v>46318.51586805555</v>
      </c>
      <c r="U97" s="2" t="n"/>
    </row>
    <row r="98">
      <c r="A98" s="2" t="inlineStr">
        <is>
          <t>Resuelta</t>
        </is>
      </c>
      <c r="B98" s="3" t="n">
        <v>46240.58333333334</v>
      </c>
      <c r="C98" s="5" t="n">
        <v>57000</v>
      </c>
      <c r="D98" s="5" t="n">
        <v>68400</v>
      </c>
      <c r="E98" s="2" t="inlineStr">
        <is>
          <t>Comunitat Valenciana</t>
        </is>
      </c>
      <c r="F98" s="2" t="inlineStr">
        <is>
          <t>Valencia</t>
        </is>
      </c>
      <c r="G98" s="2" t="n"/>
      <c r="H98" s="2" t="inlineStr">
        <is>
          <t>Gerencia umivale Activa, Mutua Colaboradora con la Seguridad Social número 3</t>
        </is>
      </c>
      <c r="I98" s="2" t="inlineStr">
        <is>
          <t>Instalación de Placas fotovoltaicas para el centro de umivale Activa en Ontinyent (Llave en mano)</t>
        </is>
      </c>
      <c r="J98" s="2" t="inlineStr">
        <is>
          <t>OBR-26-0234-SOM</t>
        </is>
      </c>
      <c r="K98" s="2" t="inlineStr">
        <is>
          <t>Abierto</t>
        </is>
      </c>
      <c r="L98" s="6" t="n">
        <v>38</v>
      </c>
      <c r="M98" s="2" t="n"/>
      <c r="N98" s="7" t="n">
        <v>0.4</v>
      </c>
      <c r="O98" s="4" t="n"/>
      <c r="P98" s="2" t="inlineStr">
        <is>
          <t>45261215; 45310000; 45259000</t>
        </is>
      </c>
      <c r="Q98" s="8" t="inlineStr">
        <is>
          <t>Ver</t>
        </is>
      </c>
      <c r="R98" s="8" t="inlineStr">
        <is>
          <t>PCAP</t>
        </is>
      </c>
      <c r="S98" s="9" t="n">
        <v>46321</v>
      </c>
      <c r="T98" s="3" t="n">
        <v>46318.51152777778</v>
      </c>
      <c r="U98" s="2" t="n"/>
    </row>
    <row r="99">
      <c r="A99" s="2" t="inlineStr">
        <is>
          <t>Resuelta</t>
        </is>
      </c>
      <c r="B99" s="3" t="n">
        <v>46231.99930555555</v>
      </c>
      <c r="C99" s="5" t="n">
        <v>230737.69</v>
      </c>
      <c r="D99" s="5" t="n">
        <v>230737.69</v>
      </c>
      <c r="E99" s="2" t="inlineStr">
        <is>
          <t>Andalucía</t>
        </is>
      </c>
      <c r="F99" s="2" t="inlineStr">
        <is>
          <t>Huelva</t>
        </is>
      </c>
      <c r="G99" s="2" t="inlineStr">
        <is>
          <t>Cartaya</t>
        </is>
      </c>
      <c r="H99" s="2" t="inlineStr">
        <is>
          <t>Alcaldía del Ayuntamiento de Cartaya</t>
        </is>
      </c>
      <c r="I99" s="2" t="inlineStr">
        <is>
          <t>Obras de reparación y/o restitución de las infraestructuras dañadas en las Calles Alto Buenavista y Escalerilla del Alto en Cartaya (Huelva), Expediente S-32/2026.</t>
        </is>
      </c>
      <c r="J99" s="2" t="inlineStr">
        <is>
          <t>8264/2026</t>
        </is>
      </c>
      <c r="K99" s="2" t="inlineStr">
        <is>
          <t>Abierto simplificado</t>
        </is>
      </c>
      <c r="L99" s="6" t="n">
        <v>6</v>
      </c>
      <c r="M99" s="2" t="n"/>
      <c r="N99" s="7" t="n">
        <v>0.25</v>
      </c>
      <c r="O99" s="4" t="n"/>
      <c r="P99" s="2" t="inlineStr">
        <is>
          <t>45000000; 45233252</t>
        </is>
      </c>
      <c r="Q99" s="8" t="inlineStr">
        <is>
          <t>Ver</t>
        </is>
      </c>
      <c r="R99" s="8" t="inlineStr">
        <is>
          <t>PCAP</t>
        </is>
      </c>
      <c r="S99" s="9" t="n">
        <v>46321</v>
      </c>
      <c r="T99" s="3" t="n">
        <v>46318.50986111111</v>
      </c>
      <c r="U99" s="2" t="n"/>
    </row>
    <row r="100">
      <c r="A100" s="2" t="inlineStr">
        <is>
          <t>En plazo</t>
        </is>
      </c>
      <c r="B100" s="3" t="n">
        <v>46339.54166666666</v>
      </c>
      <c r="C100" s="5" t="n">
        <v>220533.97</v>
      </c>
      <c r="D100" s="5" t="n">
        <v>242587.36</v>
      </c>
      <c r="E100" s="2" t="inlineStr">
        <is>
          <t>Comunitat Valenciana</t>
        </is>
      </c>
      <c r="F100" s="2" t="inlineStr">
        <is>
          <t>Alicante</t>
        </is>
      </c>
      <c r="G100" s="2" t="n"/>
      <c r="H100" s="2" t="inlineStr">
        <is>
          <t>Comité Ejecutivo de la Mancomunidad de los Canales del Taibilla</t>
        </is>
      </c>
      <c r="I100" s="2" t="inlineStr">
        <is>
          <t>Proyecto 02/26 para el amojonamiento de los Canales de Alicante desde el Sifón de Argüeda hasta la Elevación Nº2 de Crevillente (AC/Varios).</t>
        </is>
      </c>
      <c r="J100" s="2" t="inlineStr">
        <is>
          <t>O-02/26-02</t>
        </is>
      </c>
      <c r="K100" s="2" t="inlineStr">
        <is>
          <t>Abierto simplificado</t>
        </is>
      </c>
      <c r="L100" s="6" t="n">
        <v>6</v>
      </c>
      <c r="M100" s="2" t="n"/>
      <c r="N100" s="7" t="n">
        <v>0</v>
      </c>
      <c r="O100" s="4" t="n"/>
      <c r="P100" s="2" t="inlineStr">
        <is>
          <t>45259000</t>
        </is>
      </c>
      <c r="Q100" s="8" t="inlineStr">
        <is>
          <t>Ver</t>
        </is>
      </c>
      <c r="R100" s="8" t="inlineStr">
        <is>
          <t>PCAP</t>
        </is>
      </c>
      <c r="S100" s="9" t="n">
        <v>46321</v>
      </c>
      <c r="T100" s="3" t="n">
        <v>46318.50847222222</v>
      </c>
      <c r="U100" s="2" t="n"/>
    </row>
    <row r="101">
      <c r="A101" s="2" t="inlineStr">
        <is>
          <t>En plazo</t>
        </is>
      </c>
      <c r="B101" s="3" t="n">
        <v>46335.58333333334</v>
      </c>
      <c r="C101" s="5" t="n">
        <v>237874.3</v>
      </c>
      <c r="D101" s="5" t="n">
        <v>237874.3</v>
      </c>
      <c r="E101" s="2" t="inlineStr">
        <is>
          <t>Comunitat Valenciana</t>
        </is>
      </c>
      <c r="F101" s="2" t="inlineStr">
        <is>
          <t>Valencia</t>
        </is>
      </c>
      <c r="G101" s="2" t="inlineStr">
        <is>
          <t>Anna (Valencia)</t>
        </is>
      </c>
      <c r="H101" s="2" t="inlineStr">
        <is>
          <t>Alcaldía del Ayuntamiento de Anna</t>
        </is>
      </c>
      <c r="I101" s="2" t="inlineStr">
        <is>
          <t>Rehabilitación de la zona de anidamiento de aves en la Albufera de Anna</t>
        </is>
      </c>
      <c r="J101" s="2" t="inlineStr">
        <is>
          <t>0659-2026-ANNA</t>
        </is>
      </c>
      <c r="K101" s="2" t="inlineStr">
        <is>
          <t>Abierto simplificado</t>
        </is>
      </c>
      <c r="L101" s="6" t="n">
        <v>3</v>
      </c>
      <c r="M101" s="2" t="n"/>
      <c r="N101" s="7" t="n">
        <v>0</v>
      </c>
      <c r="O101" s="4" t="n"/>
      <c r="P101" s="2" t="inlineStr">
        <is>
          <t>45262640; 45220000; 44111000</t>
        </is>
      </c>
      <c r="Q101" s="8" t="inlineStr">
        <is>
          <t>Ver</t>
        </is>
      </c>
      <c r="R101" s="8" t="inlineStr">
        <is>
          <t>PCAP</t>
        </is>
      </c>
      <c r="S101" s="9" t="n">
        <v>46317</v>
      </c>
      <c r="T101" s="3" t="n">
        <v>46318.508125</v>
      </c>
      <c r="U101" s="2" t="n"/>
    </row>
    <row r="102">
      <c r="A102" s="2" t="inlineStr">
        <is>
          <t>Pendiente de adjudicación</t>
        </is>
      </c>
      <c r="B102" s="3" t="n">
        <v>46315.99930555555</v>
      </c>
      <c r="C102" s="5" t="n">
        <v>627269.4399999999</v>
      </c>
      <c r="D102" s="5" t="n">
        <v>627269.4399999999</v>
      </c>
      <c r="E102" s="2" t="inlineStr">
        <is>
          <t>Comunitat Valenciana</t>
        </is>
      </c>
      <c r="F102" s="2" t="inlineStr">
        <is>
          <t>Valencia</t>
        </is>
      </c>
      <c r="G102" s="2" t="n"/>
      <c r="H102" s="2" t="inlineStr">
        <is>
          <t>Junta de Gobierno del Ayuntamiento de Benaguasil</t>
        </is>
      </c>
      <c r="I102" s="2" t="inlineStr">
        <is>
          <t>Contrato Administrativo Obras reasfaltado de viales urbanos (Lote 1) y reasfaltado de caminos rurales (Lote 2), del término municipal de Benaguasil, subvencionado por la Diputación Provincial de Valencia, Plan Abierto de Inversiones 2024-2027.</t>
        </is>
      </c>
      <c r="J102" s="2" t="inlineStr">
        <is>
          <t>3017766R</t>
        </is>
      </c>
      <c r="K102" s="2" t="inlineStr">
        <is>
          <t>Abierto simplificado</t>
        </is>
      </c>
      <c r="L102" s="6" t="n">
        <v>3</v>
      </c>
      <c r="M102" s="2" t="inlineStr">
        <is>
          <t>G4-3</t>
        </is>
      </c>
      <c r="N102" s="7" t="n">
        <v>0</v>
      </c>
      <c r="O102" s="4" t="n">
        <v>2</v>
      </c>
      <c r="P102" s="2" t="inlineStr">
        <is>
          <t>45233252; 45233251; 45233222</t>
        </is>
      </c>
      <c r="Q102" s="8" t="inlineStr">
        <is>
          <t>Ver</t>
        </is>
      </c>
      <c r="R102" s="8" t="inlineStr">
        <is>
          <t>PCAP</t>
        </is>
      </c>
      <c r="S102" s="9" t="n">
        <v>46321</v>
      </c>
      <c r="T102" s="3" t="n">
        <v>46318.50575231481</v>
      </c>
      <c r="U102" s="2" t="n"/>
    </row>
    <row r="103">
      <c r="A103" s="2" t="inlineStr">
        <is>
          <t>Resuelta</t>
        </is>
      </c>
      <c r="B103" s="3" t="n">
        <v>46204.79166666666</v>
      </c>
      <c r="C103" s="5" t="n">
        <v>283790.3</v>
      </c>
      <c r="D103" s="5" t="n">
        <v>340548.36</v>
      </c>
      <c r="E103" s="2" t="inlineStr">
        <is>
          <t>Comunitat Valenciana</t>
        </is>
      </c>
      <c r="F103" s="2" t="inlineStr">
        <is>
          <t>Valencia</t>
        </is>
      </c>
      <c r="G103" s="2" t="n"/>
      <c r="H103" s="2" t="inlineStr">
        <is>
          <t>Alcaldía del Ayuntamiento de Aldaia</t>
        </is>
      </c>
      <c r="I103" s="2" t="inlineStr">
        <is>
          <t>Mejora de la infraestructuras urbanas del Polígono Industrial el POU</t>
        </is>
      </c>
      <c r="J103" s="2" t="inlineStr">
        <is>
          <t>2025/C-OBRASA/6</t>
        </is>
      </c>
      <c r="K103" s="2" t="inlineStr">
        <is>
          <t>Abierto simplificado</t>
        </is>
      </c>
      <c r="L103" s="6" t="n">
        <v>5</v>
      </c>
      <c r="M103" s="2" t="n"/>
      <c r="N103" s="7" t="n">
        <v>0</v>
      </c>
      <c r="O103" s="4" t="n"/>
      <c r="P103" s="2" t="inlineStr">
        <is>
          <t>45200000; 45222000</t>
        </is>
      </c>
      <c r="Q103" s="8" t="inlineStr">
        <is>
          <t>Ver</t>
        </is>
      </c>
      <c r="R103" s="8" t="inlineStr">
        <is>
          <t>PCAP</t>
        </is>
      </c>
      <c r="S103" s="9" t="n">
        <v>46321</v>
      </c>
      <c r="T103" s="3" t="n">
        <v>46318.50458333334</v>
      </c>
      <c r="U103" s="2" t="n"/>
    </row>
    <row r="104">
      <c r="A104" s="2" t="inlineStr">
        <is>
          <t>En plazo</t>
        </is>
      </c>
      <c r="B104" s="3" t="n">
        <v>46338.99930555555</v>
      </c>
      <c r="C104" s="5" t="n">
        <v>72727.27</v>
      </c>
      <c r="D104" s="5" t="n">
        <v>72727.27</v>
      </c>
      <c r="E104" s="2" t="inlineStr">
        <is>
          <t>Andalucía</t>
        </is>
      </c>
      <c r="F104" s="2" t="inlineStr">
        <is>
          <t>Cádiz</t>
        </is>
      </c>
      <c r="G104" s="2" t="inlineStr">
        <is>
          <t>Benalup-Casas Viejas</t>
        </is>
      </c>
      <c r="H104" s="2" t="inlineStr">
        <is>
          <t>Junta de Gobierno Local del Ayuntamiento de Benalup-Casas Viejas</t>
        </is>
      </c>
      <c r="I104" s="2" t="inlineStr">
        <is>
          <t>Asfaltado de calle Cantarranas, Avda. de Andalucía y Paseo de la Janda.</t>
        </is>
      </c>
      <c r="J104" s="2" t="inlineStr">
        <is>
          <t>1236/2026</t>
        </is>
      </c>
      <c r="K104" s="2" t="inlineStr">
        <is>
          <t>Abierto simplificado</t>
        </is>
      </c>
      <c r="L104" s="6" t="n">
        <v>2</v>
      </c>
      <c r="M104" s="2" t="n"/>
      <c r="N104" s="7" t="n">
        <v>0</v>
      </c>
      <c r="O104" s="4" t="n"/>
      <c r="P104" s="2" t="inlineStr">
        <is>
          <t>45233222</t>
        </is>
      </c>
      <c r="Q104" s="8" t="inlineStr">
        <is>
          <t>Ver</t>
        </is>
      </c>
      <c r="R104" s="8" t="inlineStr">
        <is>
          <t>PCAP</t>
        </is>
      </c>
      <c r="S104" s="9" t="n">
        <v>46321</v>
      </c>
      <c r="T104" s="3" t="n">
        <v>46318.50188657407</v>
      </c>
      <c r="U104" s="2" t="n"/>
    </row>
    <row r="105">
      <c r="A105" s="2" t="inlineStr">
        <is>
          <t>En plazo</t>
        </is>
      </c>
      <c r="B105" s="3" t="n">
        <v>46335.99930555555</v>
      </c>
      <c r="C105" s="5" t="n">
        <v>1915620.68</v>
      </c>
      <c r="D105" s="5" t="n">
        <v>1915620.68</v>
      </c>
      <c r="E105" s="2" t="inlineStr">
        <is>
          <t>Andalucía</t>
        </is>
      </c>
      <c r="F105" s="2" t="inlineStr">
        <is>
          <t>Sevilla</t>
        </is>
      </c>
      <c r="G105" s="2" t="inlineStr">
        <is>
          <t>sevilla</t>
        </is>
      </c>
      <c r="H105" s="2" t="inlineStr">
        <is>
          <t>Comisión Ejecutiva del Patronato del Real Alcázar y Casa Consistorial de Sevilla</t>
        </is>
      </c>
      <c r="I105" s="2" t="inlineStr">
        <is>
          <t>Obra de intervencion y restauracion de la sala de exposiciones del real alcazar de sevilla</t>
        </is>
      </c>
      <c r="J105" s="2" t="inlineStr">
        <is>
          <t>2026/000719</t>
        </is>
      </c>
      <c r="K105" s="2" t="inlineStr">
        <is>
          <t>Abierto simplificado</t>
        </is>
      </c>
      <c r="L105" s="6" t="n">
        <v>9</v>
      </c>
      <c r="M105" s="2" t="inlineStr">
        <is>
          <t>K7-4</t>
        </is>
      </c>
      <c r="N105" s="7" t="n">
        <v>0.2</v>
      </c>
      <c r="O105" s="4" t="n"/>
      <c r="P105" s="2" t="inlineStr">
        <is>
          <t>45212350</t>
        </is>
      </c>
      <c r="Q105" s="8" t="inlineStr">
        <is>
          <t>Ver</t>
        </is>
      </c>
      <c r="R105" s="8" t="inlineStr">
        <is>
          <t>PCAP</t>
        </is>
      </c>
      <c r="S105" s="9" t="n">
        <v>46317</v>
      </c>
      <c r="T105" s="3" t="n">
        <v>46318.49821759259</v>
      </c>
      <c r="U105" s="2" t="n"/>
    </row>
    <row r="106">
      <c r="A106" s="2" t="inlineStr">
        <is>
          <t>Adjudicada</t>
        </is>
      </c>
      <c r="B106" s="3" t="n">
        <v>46245.99930555555</v>
      </c>
      <c r="C106" s="5" t="n">
        <v>269036.85</v>
      </c>
      <c r="D106" s="5" t="n">
        <v>322844.22</v>
      </c>
      <c r="E106" s="2" t="inlineStr">
        <is>
          <t>Andalucía</t>
        </is>
      </c>
      <c r="F106" s="2" t="inlineStr">
        <is>
          <t>Sevilla</t>
        </is>
      </c>
      <c r="G106" s="2" t="n"/>
      <c r="H106" s="2" t="inlineStr">
        <is>
          <t>Vicepresidencia del Instituto Municipal de Deportes del Ayuntamiento de Sevilla</t>
        </is>
      </c>
      <c r="I106" s="2" t="inlineStr">
        <is>
          <t>Obras de renovación del revestimiento del suelo deportivo de las pistas de fútbol sala en varios Centros Deportivos descritos en el punto 1.1.3 del PPT.</t>
        </is>
      </c>
      <c r="J106" s="2" t="inlineStr">
        <is>
          <t>2026/000689</t>
        </is>
      </c>
      <c r="K106" s="2" t="inlineStr">
        <is>
          <t>Abierto simplificado</t>
        </is>
      </c>
      <c r="L106" s="6" t="n">
        <v>2.5</v>
      </c>
      <c r="M106" s="2" t="n"/>
      <c r="N106" s="7" t="n">
        <v>0</v>
      </c>
      <c r="O106" s="4" t="n"/>
      <c r="P106" s="2" t="inlineStr">
        <is>
          <t>45212200; 45432100</t>
        </is>
      </c>
      <c r="Q106" s="8" t="inlineStr">
        <is>
          <t>Ver</t>
        </is>
      </c>
      <c r="R106" s="8" t="inlineStr">
        <is>
          <t>PCAP</t>
        </is>
      </c>
      <c r="S106" s="9" t="n">
        <v>46321</v>
      </c>
      <c r="T106" s="3" t="n">
        <v>46318.49658564815</v>
      </c>
      <c r="U106" s="2" t="n"/>
    </row>
    <row r="107">
      <c r="A107" s="2" t="inlineStr">
        <is>
          <t>En plazo</t>
        </is>
      </c>
      <c r="B107" s="3" t="n">
        <v>46338.99930555555</v>
      </c>
      <c r="C107" s="5" t="n">
        <v>120000</v>
      </c>
      <c r="D107" s="5" t="n">
        <v>120000</v>
      </c>
      <c r="E107" s="2" t="inlineStr">
        <is>
          <t>Andalucía</t>
        </is>
      </c>
      <c r="F107" s="2" t="inlineStr">
        <is>
          <t>Granada</t>
        </is>
      </c>
      <c r="G107" s="2" t="n"/>
      <c r="H107" s="2" t="inlineStr">
        <is>
          <t>Alcaldía del Ayuntamiento de Loja</t>
        </is>
      </c>
      <c r="I107" s="2" t="inlineStr">
        <is>
          <t>Ejecución de las obras para prestar el servicio de instalación, mantenimiento y desmontaje del alumbrado ornamental y de los elementos eléctricos afines para las Fiestas Navideñas 2026/2027.</t>
        </is>
      </c>
      <c r="J107" s="2" t="inlineStr">
        <is>
          <t>2026/4321</t>
        </is>
      </c>
      <c r="K107" s="2" t="inlineStr">
        <is>
          <t>Abierto simplificado</t>
        </is>
      </c>
      <c r="L107" s="6" t="n">
        <v>1.3</v>
      </c>
      <c r="M107" s="2" t="n"/>
      <c r="N107" s="7" t="n">
        <v>0</v>
      </c>
      <c r="O107" s="4" t="n"/>
      <c r="P107" s="2" t="inlineStr">
        <is>
          <t>45311200; 31527200; 31527260; 31680000</t>
        </is>
      </c>
      <c r="Q107" s="8" t="inlineStr">
        <is>
          <t>Ver</t>
        </is>
      </c>
      <c r="R107" s="8" t="inlineStr">
        <is>
          <t>PCAP</t>
        </is>
      </c>
      <c r="S107" s="9" t="n">
        <v>46321</v>
      </c>
      <c r="T107" s="3" t="n">
        <v>46318.49428240741</v>
      </c>
      <c r="U107" s="2" t="n"/>
    </row>
    <row r="108">
      <c r="A108" s="2" t="inlineStr">
        <is>
          <t>Adjudicada</t>
        </is>
      </c>
      <c r="B108" s="3" t="n">
        <v>46089.45833333334</v>
      </c>
      <c r="C108" s="5" t="n">
        <v>7761302.05</v>
      </c>
      <c r="D108" s="5" t="n">
        <v>7761302.05</v>
      </c>
      <c r="E108" s="2" t="inlineStr">
        <is>
          <t>Andalucía</t>
        </is>
      </c>
      <c r="F108" s="2" t="inlineStr">
        <is>
          <t>Sevilla</t>
        </is>
      </c>
      <c r="G108" s="2" t="n"/>
      <c r="H108" s="2" t="inlineStr">
        <is>
          <t>Secretaría de Estado de Planificación e Infraestructuras - Demarcación de Carreteras del Estado en Andalucía Occidental</t>
        </is>
      </c>
      <c r="I108" s="2" t="inlineStr">
        <is>
          <t>Obras de emergencia para reparar deterioros en los firmes de la Red de Carreteras del Estado en la provincia de Córdoba, subsanando una situación de grave peligro. Carreteras N-432, A-45, A-4 y N-4</t>
        </is>
      </c>
      <c r="J108" s="2" t="inlineStr">
        <is>
          <t>EM72CO260002-C4126CO14001</t>
        </is>
      </c>
      <c r="K108" s="2" t="inlineStr">
        <is>
          <t>Negociado sin publicidad</t>
        </is>
      </c>
      <c r="L108" s="6" t="n">
        <v>3</v>
      </c>
      <c r="M108" s="2" t="n"/>
      <c r="N108" s="7" t="n"/>
      <c r="O108" s="4" t="n">
        <v>3</v>
      </c>
      <c r="P108" s="2" t="inlineStr">
        <is>
          <t>45233142</t>
        </is>
      </c>
      <c r="Q108" s="8" t="inlineStr">
        <is>
          <t>Ver</t>
        </is>
      </c>
      <c r="R108" s="2" t="n"/>
      <c r="S108" s="9" t="n">
        <v>46321</v>
      </c>
      <c r="T108" s="3" t="n">
        <v>46318.49402777778</v>
      </c>
      <c r="U108" s="2" t="n"/>
    </row>
    <row r="109">
      <c r="A109" s="2" t="inlineStr">
        <is>
          <t>Pendiente de adjudicación</t>
        </is>
      </c>
      <c r="B109" s="3" t="n">
        <v>46224.99930555555</v>
      </c>
      <c r="C109" s="5" t="n">
        <v>134581.21</v>
      </c>
      <c r="D109" s="5" t="n">
        <v>134581.21</v>
      </c>
      <c r="E109" s="2" t="inlineStr">
        <is>
          <t>Andalucía</t>
        </is>
      </c>
      <c r="F109" s="2" t="inlineStr">
        <is>
          <t>Huelva</t>
        </is>
      </c>
      <c r="G109" s="2" t="n"/>
      <c r="H109" s="2" t="inlineStr">
        <is>
          <t>Rectorado de la Universidad de Huelva</t>
        </is>
      </c>
      <c r="I109" s="2" t="inlineStr">
        <is>
          <t>Obras de impermeabilización de la cubierta del Pabellón Príncipe de Asturias de la Universidad de Huelva.</t>
        </is>
      </c>
      <c r="J109" s="2" t="inlineStr">
        <is>
          <t>O-10-26</t>
        </is>
      </c>
      <c r="K109" s="2" t="inlineStr">
        <is>
          <t>Abierto simplificado</t>
        </is>
      </c>
      <c r="L109" s="6" t="n">
        <v>2</v>
      </c>
      <c r="M109" s="2" t="n"/>
      <c r="N109" s="7" t="n">
        <v>0.25</v>
      </c>
      <c r="O109" s="4" t="n"/>
      <c r="P109" s="2" t="inlineStr">
        <is>
          <t>45261220</t>
        </is>
      </c>
      <c r="Q109" s="8" t="inlineStr">
        <is>
          <t>Ver</t>
        </is>
      </c>
      <c r="R109" s="8" t="inlineStr">
        <is>
          <t>PCAP</t>
        </is>
      </c>
      <c r="S109" s="9" t="n">
        <v>46310</v>
      </c>
      <c r="T109" s="3" t="n">
        <v>46318.49291666667</v>
      </c>
      <c r="U109" s="2" t="n"/>
    </row>
    <row r="110">
      <c r="A110" s="2" t="inlineStr">
        <is>
          <t>En plazo</t>
        </is>
      </c>
      <c r="B110" s="3" t="n">
        <v>46338.75</v>
      </c>
      <c r="C110" s="5" t="n">
        <v>1011605.96</v>
      </c>
      <c r="D110" s="5" t="n">
        <v>1011605.96</v>
      </c>
      <c r="E110" s="2" t="inlineStr">
        <is>
          <t>Andalucía</t>
        </is>
      </c>
      <c r="F110" s="2" t="inlineStr">
        <is>
          <t>Almería</t>
        </is>
      </c>
      <c r="G110" s="2" t="inlineStr">
        <is>
          <t>Almería</t>
        </is>
      </c>
      <c r="H110" s="2" t="inlineStr">
        <is>
          <t>Presidencia de la Autoridad Portuaria de Almería</t>
        </is>
      </c>
      <c r="I110" s="2" t="inlineStr">
        <is>
          <t>Adaptación de la infraestructura al cumplimiento de la normativa Entry/Exit System del Puerto de Almería.</t>
        </is>
      </c>
      <c r="J110" s="2" t="inlineStr">
        <is>
          <t>34/O/AS/AL26</t>
        </is>
      </c>
      <c r="K110" s="2" t="inlineStr">
        <is>
          <t>Abierto simplificado</t>
        </is>
      </c>
      <c r="L110" s="6" t="n">
        <v>6</v>
      </c>
      <c r="M110" s="2" t="inlineStr">
        <is>
          <t>I5-2; G4-3</t>
        </is>
      </c>
      <c r="N110" s="7" t="n">
        <v>0.25</v>
      </c>
      <c r="O110" s="4" t="n"/>
      <c r="P110" s="2" t="inlineStr">
        <is>
          <t>45233222; 45314000; 45112100</t>
        </is>
      </c>
      <c r="Q110" s="8" t="inlineStr">
        <is>
          <t>Ver</t>
        </is>
      </c>
      <c r="R110" s="8" t="inlineStr">
        <is>
          <t>PCAP</t>
        </is>
      </c>
      <c r="S110" s="9" t="n">
        <v>46321</v>
      </c>
      <c r="T110" s="3" t="n">
        <v>46318.48712962963</v>
      </c>
      <c r="U110" s="2" t="n"/>
    </row>
    <row r="111">
      <c r="A111" s="2" t="inlineStr">
        <is>
          <t>Pendiente de adjudicación</t>
        </is>
      </c>
      <c r="B111" s="3" t="n">
        <v>46304.58333333334</v>
      </c>
      <c r="C111" s="5" t="n">
        <v>12000000</v>
      </c>
      <c r="D111" s="5" t="n">
        <v>12000000</v>
      </c>
      <c r="E111" s="2" t="inlineStr">
        <is>
          <t>Andalucía</t>
        </is>
      </c>
      <c r="F111" s="2" t="inlineStr">
        <is>
          <t>Málaga</t>
        </is>
      </c>
      <c r="G111" s="2" t="n"/>
      <c r="H111" s="2" t="inlineStr">
        <is>
          <t>Empresa de Transformación Agraria S.A.,S.M.E., M.P., (TRAGSA)</t>
        </is>
      </c>
      <c r="I111" s="2" t="inlineStr">
        <is>
          <t>Conclusión del Acuerdo Marco para La Contratación de Acuerdo Marco para Alquiler de Maquinaria de Obra Civil, Agrícola y Forestal, y Camiones Para Obras de Construcción y Demolición, dotada de operario, para Las Actuaciones del Ámbito Territorial de La Gerencia Provincial de Tragsa en Málaga</t>
        </is>
      </c>
      <c r="J111" s="2" t="inlineStr">
        <is>
          <t>TSA0084086</t>
        </is>
      </c>
      <c r="K111" s="2" t="inlineStr">
        <is>
          <t>Abierto</t>
        </is>
      </c>
      <c r="L111" s="6" t="n">
        <v>24</v>
      </c>
      <c r="M111" s="2" t="inlineStr">
        <is>
          <t>D*-1; K*-1; A*-1; C*-1; G*-1; E*-1</t>
        </is>
      </c>
      <c r="N111" s="7" t="n">
        <v>0</v>
      </c>
      <c r="O111" s="4" t="n"/>
      <c r="P111" s="2" t="inlineStr">
        <is>
          <t>45500000</t>
        </is>
      </c>
      <c r="Q111" s="8" t="inlineStr">
        <is>
          <t>Ver</t>
        </is>
      </c>
      <c r="R111" s="8" t="inlineStr">
        <is>
          <t>PCAP</t>
        </is>
      </c>
      <c r="S111" s="9" t="n">
        <v>46314</v>
      </c>
      <c r="T111" s="3" t="n">
        <v>46318.48538194445</v>
      </c>
      <c r="U111" s="2" t="n"/>
    </row>
    <row r="112">
      <c r="A112" s="2" t="inlineStr">
        <is>
          <t>Resuelta</t>
        </is>
      </c>
      <c r="B112" s="3" t="n">
        <v>46233.99930555555</v>
      </c>
      <c r="C112" s="5" t="n">
        <v>112031.18</v>
      </c>
      <c r="D112" s="5" t="n">
        <v>112031.18</v>
      </c>
      <c r="E112" s="2" t="inlineStr">
        <is>
          <t>Andalucía</t>
        </is>
      </c>
      <c r="F112" s="2" t="inlineStr">
        <is>
          <t>Granada</t>
        </is>
      </c>
      <c r="G112" s="2" t="n"/>
      <c r="H112" s="2" t="inlineStr">
        <is>
          <t>Alcaldia del Ayuntamiento de Beas de Granada</t>
        </is>
      </c>
      <c r="I112" s="2" t="inlineStr">
        <is>
          <t>obras de reparación de los daños ocasionados por las borrascas «Leonardo» en caminos rurales e infraestructuras municipales de Beas de Granada, divididas en seis lotes</t>
        </is>
      </c>
      <c r="J112" s="2" t="inlineStr">
        <is>
          <t>259/2026</t>
        </is>
      </c>
      <c r="K112" s="2" t="inlineStr">
        <is>
          <t>Abierto simplificado</t>
        </is>
      </c>
      <c r="L112" s="6" t="n">
        <v>2</v>
      </c>
      <c r="M112" s="2" t="n"/>
      <c r="N112" s="7" t="n">
        <v>0</v>
      </c>
      <c r="O112" s="4" t="n">
        <v>6</v>
      </c>
      <c r="P112" s="2" t="inlineStr">
        <is>
          <t>45231000; 45000000; 45220000</t>
        </is>
      </c>
      <c r="Q112" s="8" t="inlineStr">
        <is>
          <t>Ver</t>
        </is>
      </c>
      <c r="R112" s="8" t="inlineStr">
        <is>
          <t>PCAP</t>
        </is>
      </c>
      <c r="S112" s="9" t="n">
        <v>46310</v>
      </c>
      <c r="T112" s="3" t="n">
        <v>46318.48510416667</v>
      </c>
      <c r="U112" s="2" t="inlineStr">
        <is>
          <t>2026-10-26: estado ADJ → RES</t>
        </is>
      </c>
    </row>
    <row r="113">
      <c r="A113" s="2" t="inlineStr">
        <is>
          <t>En plazo</t>
        </is>
      </c>
      <c r="B113" s="3" t="n">
        <v>46337.99930555555</v>
      </c>
      <c r="C113" s="5" t="n">
        <v>324648.81</v>
      </c>
      <c r="D113" s="5" t="n">
        <v>324648.81</v>
      </c>
      <c r="E113" s="2" t="inlineStr">
        <is>
          <t>Comunitat Valenciana</t>
        </is>
      </c>
      <c r="F113" s="2" t="inlineStr">
        <is>
          <t>Valencia</t>
        </is>
      </c>
      <c r="G113" s="2" t="n"/>
      <c r="H113" s="2" t="inlineStr">
        <is>
          <t>Junta de Gobierno del Ayuntamiento de Alzira</t>
        </is>
      </c>
      <c r="I113" s="2" t="inlineStr">
        <is>
          <t>Pavimentación de viales fase 3</t>
        </is>
      </c>
      <c r="J113" s="2" t="inlineStr">
        <is>
          <t>OC-7710/26</t>
        </is>
      </c>
      <c r="K113" s="2" t="inlineStr">
        <is>
          <t>Abierto simplificado</t>
        </is>
      </c>
      <c r="L113" s="6" t="n">
        <v>1</v>
      </c>
      <c r="M113" s="2" t="n"/>
      <c r="N113" s="7" t="n">
        <v>0</v>
      </c>
      <c r="O113" s="4" t="n"/>
      <c r="P113" s="2" t="inlineStr">
        <is>
          <t>45233252</t>
        </is>
      </c>
      <c r="Q113" s="8" t="inlineStr">
        <is>
          <t>Ver</t>
        </is>
      </c>
      <c r="R113" s="8" t="inlineStr">
        <is>
          <t>PCAP</t>
        </is>
      </c>
      <c r="S113" s="9" t="n">
        <v>46318</v>
      </c>
      <c r="T113" s="3" t="n">
        <v>46318.48466435185</v>
      </c>
      <c r="U113" s="2" t="n"/>
    </row>
    <row r="114">
      <c r="A114" s="2" t="inlineStr">
        <is>
          <t>Pendiente de adjudicación</t>
        </is>
      </c>
      <c r="B114" s="3" t="n">
        <v>46308.99930555555</v>
      </c>
      <c r="C114" s="5" t="n">
        <v>30045.49</v>
      </c>
      <c r="D114" s="5" t="n">
        <v>30045.49</v>
      </c>
      <c r="E114" s="2" t="inlineStr">
        <is>
          <t>Andalucía</t>
        </is>
      </c>
      <c r="F114" s="2" t="inlineStr">
        <is>
          <t>Huelva</t>
        </is>
      </c>
      <c r="G114" s="2" t="inlineStr">
        <is>
          <t>Huelva</t>
        </is>
      </c>
      <c r="H114" s="2" t="inlineStr">
        <is>
          <t>Rectorado de la Universidad de Huelva</t>
        </is>
      </c>
      <c r="I114" s="2" t="inlineStr">
        <is>
          <t>Obras de reforma de la hemeroteca (espacio EMPB16) del Edificio La Merced para su uso como biblioteca.</t>
        </is>
      </c>
      <c r="J114" s="2" t="inlineStr">
        <is>
          <t>O-15-26</t>
        </is>
      </c>
      <c r="K114" s="2" t="inlineStr">
        <is>
          <t>Abierto simplificado</t>
        </is>
      </c>
      <c r="L114" s="6" t="n">
        <v>1</v>
      </c>
      <c r="M114" s="2" t="n"/>
      <c r="N114" s="7" t="n">
        <v>0</v>
      </c>
      <c r="O114" s="4" t="n"/>
      <c r="P114" s="2" t="inlineStr">
        <is>
          <t>45000000</t>
        </is>
      </c>
      <c r="Q114" s="8" t="inlineStr">
        <is>
          <t>Ver</t>
        </is>
      </c>
      <c r="R114" s="8" t="inlineStr">
        <is>
          <t>PCAP</t>
        </is>
      </c>
      <c r="S114" s="9" t="n">
        <v>46321</v>
      </c>
      <c r="T114" s="3" t="n">
        <v>46318.48350694445</v>
      </c>
      <c r="U114" s="2" t="n"/>
    </row>
    <row r="115">
      <c r="A115" s="2" t="inlineStr">
        <is>
          <t>Pendiente de adjudicación</t>
        </is>
      </c>
      <c r="B115" s="3" t="n">
        <v>46302.99930555555</v>
      </c>
      <c r="C115" s="5" t="n">
        <v>412966.26</v>
      </c>
      <c r="D115" s="5" t="n">
        <v>412966.26</v>
      </c>
      <c r="E115" s="2" t="inlineStr">
        <is>
          <t>Andalucía</t>
        </is>
      </c>
      <c r="F115" s="2" t="inlineStr">
        <is>
          <t>Huelva</t>
        </is>
      </c>
      <c r="G115" s="2" t="n"/>
      <c r="H115" s="2" t="inlineStr">
        <is>
          <t>Rectorado de la Universidad de Huelva</t>
        </is>
      </c>
      <c r="I115" s="2" t="inlineStr">
        <is>
          <t>Adecuación de espacios públicos y acerados en Av. de las letras y Av. de las Ciencias. Campus Universitario el Carmen</t>
        </is>
      </c>
      <c r="J115" s="2" t="inlineStr">
        <is>
          <t>O-12-26</t>
        </is>
      </c>
      <c r="K115" s="2" t="inlineStr">
        <is>
          <t>Abierto simplificado</t>
        </is>
      </c>
      <c r="L115" s="6" t="n">
        <v>3</v>
      </c>
      <c r="M115" s="2" t="n"/>
      <c r="N115" s="7" t="n">
        <v>0.25</v>
      </c>
      <c r="O115" s="4" t="n"/>
      <c r="P115" s="2" t="inlineStr">
        <is>
          <t>45233252; 45233253; 45111291; 45233260</t>
        </is>
      </c>
      <c r="Q115" s="8" t="inlineStr">
        <is>
          <t>Ver</t>
        </is>
      </c>
      <c r="R115" s="8" t="inlineStr">
        <is>
          <t>PCAP</t>
        </is>
      </c>
      <c r="S115" s="9" t="n">
        <v>46321</v>
      </c>
      <c r="T115" s="3" t="n">
        <v>46318.47965277778</v>
      </c>
      <c r="U115" s="2" t="n"/>
    </row>
    <row r="116">
      <c r="A116" s="2" t="inlineStr">
        <is>
          <t>Pendiente de adjudicación</t>
        </is>
      </c>
      <c r="B116" s="3" t="n">
        <v>46280.99930555555</v>
      </c>
      <c r="C116" s="5" t="n">
        <v>205639.8</v>
      </c>
      <c r="D116" s="5" t="n">
        <v>205639.8</v>
      </c>
      <c r="E116" s="2" t="inlineStr">
        <is>
          <t>Comunitat Valenciana</t>
        </is>
      </c>
      <c r="F116" s="2" t="inlineStr">
        <is>
          <t>Alicante</t>
        </is>
      </c>
      <c r="G116" s="2" t="n"/>
      <c r="H116" s="2" t="inlineStr">
        <is>
          <t>Presidencia de la Diputación Provincial de Alicante</t>
        </is>
      </c>
      <c r="I116" s="2" t="inlineStr">
        <is>
          <t>Obras de acondicionamiento de azarbe de Moncada para el Juzgado Privativo de Agua de Callosa de Segura.</t>
        </is>
      </c>
      <c r="J116" s="2" t="inlineStr">
        <is>
          <t>O6S-074/2026</t>
        </is>
      </c>
      <c r="K116" s="2" t="inlineStr">
        <is>
          <t>Abierto simplificado</t>
        </is>
      </c>
      <c r="L116" s="6" t="n">
        <v>3</v>
      </c>
      <c r="M116" s="2" t="n"/>
      <c r="N116" s="7" t="n">
        <v>0.25</v>
      </c>
      <c r="O116" s="4" t="n"/>
      <c r="P116" s="2" t="inlineStr">
        <is>
          <t>45232121</t>
        </is>
      </c>
      <c r="Q116" s="8" t="inlineStr">
        <is>
          <t>Ver</t>
        </is>
      </c>
      <c r="R116" s="8" t="inlineStr">
        <is>
          <t>PCAP</t>
        </is>
      </c>
      <c r="S116" s="9" t="n">
        <v>46321</v>
      </c>
      <c r="T116" s="3" t="n">
        <v>46318.47806712963</v>
      </c>
      <c r="U116" s="2" t="n"/>
    </row>
    <row r="117">
      <c r="A117" s="2" t="inlineStr">
        <is>
          <t>En plazo</t>
        </is>
      </c>
      <c r="B117" s="3" t="n">
        <v>46335.99930555555</v>
      </c>
      <c r="C117" s="5" t="n">
        <v>682807.9300000001</v>
      </c>
      <c r="D117" s="5" t="n">
        <v>819369.52</v>
      </c>
      <c r="E117" s="2" t="inlineStr">
        <is>
          <t>Andalucía</t>
        </is>
      </c>
      <c r="F117" s="2" t="inlineStr">
        <is>
          <t>Almería</t>
        </is>
      </c>
      <c r="G117" s="2" t="n"/>
      <c r="H117" s="2" t="inlineStr">
        <is>
          <t>Presidencia del Consorcio de Residuos Sólidos del Poniente Almeriense</t>
        </is>
      </c>
      <c r="I117" s="2" t="inlineStr">
        <is>
          <t>Proyecto constructivo para la habilitación de nuevos vasos de rechazo para la planta de recuperación y compostaje de residuos sólidos urbanos de Gádor Almería: separata para impermeabilización de franja de 100m, conforme a las especificaciones y características expuestas en el presente pliego y en el proyecto técnico.</t>
        </is>
      </c>
      <c r="J117" s="2" t="inlineStr">
        <is>
          <t>2026 1481</t>
        </is>
      </c>
      <c r="K117" s="2" t="inlineStr">
        <is>
          <t>Abierto simplificado</t>
        </is>
      </c>
      <c r="L117" s="6" t="n">
        <v>5</v>
      </c>
      <c r="M117" s="2" t="n"/>
      <c r="N117" s="7" t="n">
        <v>0.25</v>
      </c>
      <c r="O117" s="4" t="n"/>
      <c r="P117" s="2" t="inlineStr">
        <is>
          <t>45112000; 45261420</t>
        </is>
      </c>
      <c r="Q117" s="8" t="inlineStr">
        <is>
          <t>Ver</t>
        </is>
      </c>
      <c r="R117" s="8" t="inlineStr">
        <is>
          <t>PCAP</t>
        </is>
      </c>
      <c r="S117" s="9" t="n">
        <v>46317</v>
      </c>
      <c r="T117" s="3" t="n">
        <v>46318.47765046296</v>
      </c>
      <c r="U117" s="2" t="n"/>
    </row>
    <row r="118">
      <c r="A118" s="2" t="inlineStr">
        <is>
          <t>Pendiente de adjudicación</t>
        </is>
      </c>
      <c r="B118" s="3" t="n">
        <v>46315.79166666666</v>
      </c>
      <c r="C118" s="5" t="n">
        <v>8341338.85</v>
      </c>
      <c r="D118" s="5" t="n">
        <v>8341338.85</v>
      </c>
      <c r="E118" s="2" t="inlineStr">
        <is>
          <t>Comunitat Valenciana</t>
        </is>
      </c>
      <c r="F118" s="2" t="inlineStr">
        <is>
          <t>Valencia</t>
        </is>
      </c>
      <c r="G118" s="2" t="n"/>
      <c r="H118" s="2" t="inlineStr">
        <is>
          <t>Dirección General de Carreteras</t>
        </is>
      </c>
      <c r="I118" s="2" t="inlineStr">
        <is>
          <t>OC-V-26008; 54.646/26 Rehabilitación superficial del firme del tramo de la autovía del Mediterráneo E-15/A-7 comprendido entre los puntos kilométricos 306+700 y 314+000, que discurre por los términos municipales de Museros, Rafelbunyol, El Puig de Santa María, Puçol y Sagunt/Sagunto. Provincia de Valencia. 32-V-7800</t>
        </is>
      </c>
      <c r="J118" s="2" t="inlineStr">
        <is>
          <t>C54264626008</t>
        </is>
      </c>
      <c r="K118" s="2" t="inlineStr">
        <is>
          <t>Abierto</t>
        </is>
      </c>
      <c r="L118" s="6" t="n">
        <v>30</v>
      </c>
      <c r="M118" s="2" t="inlineStr">
        <is>
          <t>G4-5</t>
        </is>
      </c>
      <c r="N118" s="7" t="n">
        <v>0.4</v>
      </c>
      <c r="O118" s="4" t="n"/>
      <c r="P118" s="2" t="inlineStr">
        <is>
          <t>45233000</t>
        </is>
      </c>
      <c r="Q118" s="8" t="inlineStr">
        <is>
          <t>Ver</t>
        </is>
      </c>
      <c r="R118" s="8" t="inlineStr">
        <is>
          <t>PCAP</t>
        </is>
      </c>
      <c r="S118" s="9" t="n">
        <v>46321</v>
      </c>
      <c r="T118" s="3" t="n">
        <v>46318.47681712963</v>
      </c>
      <c r="U118" s="2" t="n"/>
    </row>
    <row r="119">
      <c r="A119" s="2" t="inlineStr">
        <is>
          <t>Pendiente de adjudicación</t>
        </is>
      </c>
      <c r="B119" s="3" t="n">
        <v>46286.99930555555</v>
      </c>
      <c r="C119" s="5" t="n">
        <v>285142.93</v>
      </c>
      <c r="D119" s="5" t="n">
        <v>285142.93</v>
      </c>
      <c r="E119" s="2" t="inlineStr">
        <is>
          <t>Andalucía</t>
        </is>
      </c>
      <c r="F119" s="2" t="inlineStr">
        <is>
          <t>Málaga</t>
        </is>
      </c>
      <c r="G119" s="2" t="inlineStr">
        <is>
          <t>Málaga</t>
        </is>
      </c>
      <c r="H119" s="2" t="inlineStr">
        <is>
          <t>Rectorado de la Universidad de Málaga</t>
        </is>
      </c>
      <c r="I119" s="2" t="inlineStr">
        <is>
          <t>Obras de ejecución para ampliación de archivos y almacenes del edificio Pabellón de Gobierno</t>
        </is>
      </c>
      <c r="J119" s="2" t="inlineStr">
        <is>
          <t>OB.03/2026PA</t>
        </is>
      </c>
      <c r="K119" s="2" t="inlineStr">
        <is>
          <t>Abierto</t>
        </is>
      </c>
      <c r="L119" s="6" t="n">
        <v>6</v>
      </c>
      <c r="M119" s="2" t="n"/>
      <c r="N119" s="7" t="n">
        <v>0.5</v>
      </c>
      <c r="O119" s="4" t="n"/>
      <c r="P119" s="2" t="inlineStr">
        <is>
          <t>45454000</t>
        </is>
      </c>
      <c r="Q119" s="8" t="inlineStr">
        <is>
          <t>Ver</t>
        </is>
      </c>
      <c r="R119" s="8" t="inlineStr">
        <is>
          <t>PCAP</t>
        </is>
      </c>
      <c r="S119" s="9" t="n">
        <v>46317</v>
      </c>
      <c r="T119" s="3" t="n">
        <v>46318.47630787037</v>
      </c>
      <c r="U119" s="2" t="n"/>
    </row>
    <row r="120">
      <c r="A120" s="2" t="inlineStr">
        <is>
          <t>Resuelta</t>
        </is>
      </c>
      <c r="B120" s="3" t="n">
        <v>46260.99930555555</v>
      </c>
      <c r="C120" s="5" t="n">
        <v>402442.22</v>
      </c>
      <c r="D120" s="5" t="n">
        <v>402442.22</v>
      </c>
      <c r="E120" s="2" t="inlineStr">
        <is>
          <t>Comunitat Valenciana</t>
        </is>
      </c>
      <c r="F120" s="2" t="inlineStr">
        <is>
          <t>Alicante</t>
        </is>
      </c>
      <c r="G120" s="2" t="inlineStr">
        <is>
          <t>Rojales</t>
        </is>
      </c>
      <c r="H120" s="2" t="inlineStr">
        <is>
          <t>Alcaldía del Ayuntamiento de Rojales</t>
        </is>
      </c>
      <c r="I120" s="2" t="inlineStr">
        <is>
          <t>Cambio de cubierta y reforma interior del Mercado de Abastos de Rojales.</t>
        </is>
      </c>
      <c r="J120" s="2" t="inlineStr">
        <is>
          <t>72024-G.913</t>
        </is>
      </c>
      <c r="K120" s="2" t="inlineStr">
        <is>
          <t>Abierto simplificado</t>
        </is>
      </c>
      <c r="L120" s="6" t="n">
        <v>4</v>
      </c>
      <c r="M120" s="2" t="n"/>
      <c r="N120" s="7" t="n">
        <v>0</v>
      </c>
      <c r="O120" s="4" t="n"/>
      <c r="P120" s="2" t="inlineStr">
        <is>
          <t>45211350</t>
        </is>
      </c>
      <c r="Q120" s="8" t="inlineStr">
        <is>
          <t>Ver</t>
        </is>
      </c>
      <c r="R120" s="8" t="inlineStr">
        <is>
          <t>PCAP</t>
        </is>
      </c>
      <c r="S120" s="9" t="n">
        <v>46317</v>
      </c>
      <c r="T120" s="3" t="n">
        <v>46318.47505787037</v>
      </c>
      <c r="U120" s="2" t="inlineStr">
        <is>
          <t>2026-10-26: estado ADJ → RES</t>
        </is>
      </c>
    </row>
    <row r="121">
      <c r="A121" s="2" t="inlineStr">
        <is>
          <t>En plazo</t>
        </is>
      </c>
      <c r="B121" s="3" t="n">
        <v>46344.99930555555</v>
      </c>
      <c r="C121" s="5" t="n">
        <v>2520482.6</v>
      </c>
      <c r="D121" s="5" t="n">
        <v>2520482.6</v>
      </c>
      <c r="E121" s="2" t="inlineStr">
        <is>
          <t>Andalucía</t>
        </is>
      </c>
      <c r="F121" s="2" t="inlineStr">
        <is>
          <t>Málaga</t>
        </is>
      </c>
      <c r="G121" s="2" t="n"/>
      <c r="H121" s="2" t="inlineStr">
        <is>
          <t>Concejalía de Hacienda del Ayuntamiento de Benalmádena</t>
        </is>
      </c>
      <c r="I121" s="2" t="inlineStr">
        <is>
          <t>Plan de Asfaltado 2024 del T.M. de Benalmádena</t>
        </is>
      </c>
      <c r="J121" s="2" t="inlineStr">
        <is>
          <t>2026/60664M</t>
        </is>
      </c>
      <c r="K121" s="2" t="inlineStr">
        <is>
          <t>Abierto</t>
        </is>
      </c>
      <c r="L121" s="6" t="n">
        <v>5</v>
      </c>
      <c r="M121" s="2" t="inlineStr">
        <is>
          <t>G4-5</t>
        </is>
      </c>
      <c r="N121" s="7" t="n">
        <v>0</v>
      </c>
      <c r="O121" s="4" t="n"/>
      <c r="P121" s="2" t="inlineStr">
        <is>
          <t>45233252</t>
        </is>
      </c>
      <c r="Q121" s="8" t="inlineStr">
        <is>
          <t>Ver</t>
        </is>
      </c>
      <c r="R121" s="8" t="inlineStr">
        <is>
          <t>PCAP</t>
        </is>
      </c>
      <c r="S121" s="9" t="n">
        <v>46321</v>
      </c>
      <c r="T121" s="3" t="n">
        <v>46318.47469907408</v>
      </c>
      <c r="U121" s="2" t="n"/>
    </row>
    <row r="122">
      <c r="A122" s="2" t="inlineStr">
        <is>
          <t>Pendiente de adjudicación</t>
        </is>
      </c>
      <c r="B122" s="3" t="n">
        <v>46317.99930555555</v>
      </c>
      <c r="C122" s="5" t="n">
        <v>60846.64</v>
      </c>
      <c r="D122" s="5" t="n">
        <v>66931.3</v>
      </c>
      <c r="E122" s="2" t="inlineStr">
        <is>
          <t>Comunitat Valenciana</t>
        </is>
      </c>
      <c r="F122" s="2" t="inlineStr">
        <is>
          <t>Alicante</t>
        </is>
      </c>
      <c r="G122" s="2" t="inlineStr">
        <is>
          <t>Ondara</t>
        </is>
      </c>
      <c r="H122" s="2" t="inlineStr">
        <is>
          <t>Junta de Gobierno del Ayuntamiento de Ondara</t>
        </is>
      </c>
      <c r="I122" s="2" t="inlineStr">
        <is>
          <t>Pavimentació al barri del Crist i part del camí Vell de Beniarbeig. Pla Inversions 2026 IFS</t>
        </is>
      </c>
      <c r="J122" s="2" t="inlineStr">
        <is>
          <t>2958/2026</t>
        </is>
      </c>
      <c r="K122" s="2" t="inlineStr">
        <is>
          <t>Abierto simplificado</t>
        </is>
      </c>
      <c r="L122" s="6" t="n">
        <v>1.4</v>
      </c>
      <c r="M122" s="2" t="n"/>
      <c r="N122" s="7" t="n">
        <v>0</v>
      </c>
      <c r="O122" s="4" t="n"/>
      <c r="P122" s="2" t="inlineStr">
        <is>
          <t>45233222</t>
        </is>
      </c>
      <c r="Q122" s="8" t="inlineStr">
        <is>
          <t>Ver</t>
        </is>
      </c>
      <c r="R122" s="8" t="inlineStr">
        <is>
          <t>PCAP</t>
        </is>
      </c>
      <c r="S122" s="9" t="n">
        <v>46310</v>
      </c>
      <c r="T122" s="3" t="n">
        <v>46318.4730787037</v>
      </c>
      <c r="U122" s="2" t="inlineStr">
        <is>
          <t>2026-10-26: estado PUB → EV</t>
        </is>
      </c>
    </row>
    <row r="123">
      <c r="A123" s="2" t="inlineStr">
        <is>
          <t>Resuelta</t>
        </is>
      </c>
      <c r="B123" s="3" t="n">
        <v>46237.58333333334</v>
      </c>
      <c r="C123" s="5" t="n">
        <v>251053.84</v>
      </c>
      <c r="D123" s="5" t="n">
        <v>251053.84</v>
      </c>
      <c r="E123" s="2" t="inlineStr">
        <is>
          <t>Andalucía</t>
        </is>
      </c>
      <c r="F123" s="2" t="inlineStr">
        <is>
          <t>Almería</t>
        </is>
      </c>
      <c r="G123" s="2" t="inlineStr">
        <is>
          <t>Adra</t>
        </is>
      </c>
      <c r="H123" s="2" t="inlineStr">
        <is>
          <t>Junta de Gobierno Local del Ayuntamiento de Adra</t>
        </is>
      </c>
      <c r="I123" s="2" t="inlineStr">
        <is>
          <t>Contrato de Obras para la ejecución del Proyecto de "Reparación, Mejora y Remodelación del Acerado del Paseo Marítimo de Adra".</t>
        </is>
      </c>
      <c r="J123" s="2" t="inlineStr">
        <is>
          <t>5611/2026</t>
        </is>
      </c>
      <c r="K123" s="2" t="inlineStr">
        <is>
          <t>Abierto</t>
        </is>
      </c>
      <c r="L123" s="6" t="n">
        <v>4</v>
      </c>
      <c r="M123" s="2" t="n"/>
      <c r="N123" s="7" t="n">
        <v>0.25</v>
      </c>
      <c r="O123" s="4" t="n"/>
      <c r="P123" s="2" t="inlineStr">
        <is>
          <t>45233252; 45233293; 50232100; 45233340</t>
        </is>
      </c>
      <c r="Q123" s="8" t="inlineStr">
        <is>
          <t>Ver</t>
        </is>
      </c>
      <c r="R123" s="8" t="inlineStr">
        <is>
          <t>PCAP</t>
        </is>
      </c>
      <c r="S123" s="9" t="n">
        <v>46321</v>
      </c>
      <c r="T123" s="3" t="n">
        <v>46318.47129629629</v>
      </c>
      <c r="U123" s="2" t="n"/>
    </row>
    <row r="124">
      <c r="A124" s="2" t="inlineStr">
        <is>
          <t>Resuelta</t>
        </is>
      </c>
      <c r="B124" s="3" t="n">
        <v>46212.99930555555</v>
      </c>
      <c r="C124" s="5" t="n">
        <v>81502.66</v>
      </c>
      <c r="D124" s="5" t="n">
        <v>89652.92999999999</v>
      </c>
      <c r="E124" s="2" t="inlineStr">
        <is>
          <t>Andalucía</t>
        </is>
      </c>
      <c r="F124" s="2" t="inlineStr">
        <is>
          <t>Málaga</t>
        </is>
      </c>
      <c r="G124" s="2" t="n"/>
      <c r="H124" s="2" t="inlineStr">
        <is>
          <t>Teniente de Alcalde de Contratación del Ayuntamiento de Antequera</t>
        </is>
      </c>
      <c r="I124" s="2" t="inlineStr">
        <is>
          <t>Obra de renovación del parque infantil del barrio de los Remedios</t>
        </is>
      </c>
      <c r="J124" s="2" t="inlineStr">
        <is>
          <t>2026CONTRA000070</t>
        </is>
      </c>
      <c r="K124" s="2" t="inlineStr">
        <is>
          <t>Abierto simplificado</t>
        </is>
      </c>
      <c r="L124" s="6" t="n">
        <v>3</v>
      </c>
      <c r="M124" s="2" t="n"/>
      <c r="N124" s="7" t="n">
        <v>0.25</v>
      </c>
      <c r="O124" s="4" t="n"/>
      <c r="P124" s="2" t="inlineStr">
        <is>
          <t>45212100</t>
        </is>
      </c>
      <c r="Q124" s="8" t="inlineStr">
        <is>
          <t>Ver</t>
        </is>
      </c>
      <c r="R124" s="8" t="inlineStr">
        <is>
          <t>PCAP</t>
        </is>
      </c>
      <c r="S124" s="9" t="n">
        <v>46310</v>
      </c>
      <c r="T124" s="3" t="n">
        <v>46318.47122685185</v>
      </c>
      <c r="U124" s="2" t="inlineStr">
        <is>
          <t>2026-10-26: estado ADJ → RES</t>
        </is>
      </c>
    </row>
    <row r="125">
      <c r="A125" s="2" t="inlineStr">
        <is>
          <t>Resuelta</t>
        </is>
      </c>
      <c r="B125" s="3" t="n">
        <v>46188.99930555555</v>
      </c>
      <c r="C125" s="5" t="n">
        <v>150413.22</v>
      </c>
      <c r="D125" s="5" t="n">
        <v>150413.22</v>
      </c>
      <c r="E125" s="2" t="inlineStr">
        <is>
          <t>Andalucía</t>
        </is>
      </c>
      <c r="F125" s="2" t="inlineStr">
        <is>
          <t>Córdoba</t>
        </is>
      </c>
      <c r="G125" s="2" t="n"/>
      <c r="H125" s="2" t="inlineStr">
        <is>
          <t>Diputado delegado de Infraestructuras, Sostenibilidad y Agricultura</t>
        </is>
      </c>
      <c r="I125" s="2" t="inlineStr">
        <is>
          <t>Contratación de las obras de mejora y acondicionamiento del Camino "Del Vicario" en Lucena (Córdoba). Obra incluida en el Plan de Humanización de Entornos Urbanos y Agenda Rural 2024-2027. Programa de Agenda Rural (bienio 26-27)</t>
        </is>
      </c>
      <c r="J125" s="2" t="inlineStr">
        <is>
          <t>351/26</t>
        </is>
      </c>
      <c r="K125" s="2" t="inlineStr">
        <is>
          <t>Abierto</t>
        </is>
      </c>
      <c r="L125" s="6" t="n">
        <v>3</v>
      </c>
      <c r="M125" s="2" t="n"/>
      <c r="N125" s="7" t="n">
        <v>0.4</v>
      </c>
      <c r="O125" s="4" t="n"/>
      <c r="P125" s="2" t="inlineStr">
        <is>
          <t>45233160</t>
        </is>
      </c>
      <c r="Q125" s="8" t="inlineStr">
        <is>
          <t>Ver</t>
        </is>
      </c>
      <c r="R125" s="8" t="inlineStr">
        <is>
          <t>PCAP</t>
        </is>
      </c>
      <c r="S125" s="9" t="n">
        <v>46310</v>
      </c>
      <c r="T125" s="3" t="n">
        <v>46318.47100694444</v>
      </c>
      <c r="U125" s="2" t="inlineStr">
        <is>
          <t>2026-10-26: estado ADJ → RES</t>
        </is>
      </c>
    </row>
    <row r="126">
      <c r="A126" s="2" t="inlineStr">
        <is>
          <t>Resuelta</t>
        </is>
      </c>
      <c r="B126" s="3" t="n"/>
      <c r="C126" s="5" t="n">
        <v>12000</v>
      </c>
      <c r="D126" s="5" t="n">
        <v>12000</v>
      </c>
      <c r="E126" s="2" t="inlineStr">
        <is>
          <t>Andalucía</t>
        </is>
      </c>
      <c r="F126" s="2" t="inlineStr">
        <is>
          <t>Granada</t>
        </is>
      </c>
      <c r="G126" s="2" t="inlineStr">
        <is>
          <t>Granada</t>
        </is>
      </c>
      <c r="H126" s="2" t="inlineStr">
        <is>
          <t>Aena. Dirección del Aeropuerto de Granada-Jaén F.G.L.</t>
        </is>
      </c>
      <c r="I126" s="2" t="inlineStr">
        <is>
          <t>Reparación De Marquesina En Parking Público</t>
        </is>
      </c>
      <c r="J126" s="2" t="inlineStr">
        <is>
          <t>GRX-53/2026</t>
        </is>
      </c>
      <c r="K126" s="2" t="inlineStr">
        <is>
          <t>Normas internas</t>
        </is>
      </c>
      <c r="L126" s="6" t="n">
        <v>2</v>
      </c>
      <c r="M126" s="2" t="n"/>
      <c r="N126" s="7" t="n"/>
      <c r="O126" s="4" t="n"/>
      <c r="P126" s="2" t="inlineStr">
        <is>
          <t>45000000</t>
        </is>
      </c>
      <c r="Q126" s="8" t="inlineStr">
        <is>
          <t>Ver</t>
        </is>
      </c>
      <c r="R126" s="2" t="n"/>
      <c r="S126" s="9" t="n">
        <v>46321</v>
      </c>
      <c r="T126" s="3" t="n">
        <v>46318.46438657407</v>
      </c>
      <c r="U126" s="2" t="n"/>
    </row>
    <row r="127">
      <c r="A127" s="2" t="inlineStr">
        <is>
          <t>Adjudicada</t>
        </is>
      </c>
      <c r="B127" s="3" t="n">
        <v>46066.99930555555</v>
      </c>
      <c r="C127" s="5" t="n">
        <v>40261.4</v>
      </c>
      <c r="D127" s="5" t="n">
        <v>40261.4</v>
      </c>
      <c r="E127" s="2" t="inlineStr">
        <is>
          <t>Comunitat Valenciana</t>
        </is>
      </c>
      <c r="F127" s="2" t="inlineStr">
        <is>
          <t>Alicante</t>
        </is>
      </c>
      <c r="G127" s="2" t="n"/>
      <c r="H127" s="2" t="inlineStr">
        <is>
          <t>Presidencia de la Diputación Provincial de Alicante</t>
        </is>
      </c>
      <c r="I127" s="2" t="inlineStr">
        <is>
          <t>Obras de mejora de la eficiencia energética del alumbrado público y de la iluminación de los edificios municipales en Els Poblets.</t>
        </is>
      </c>
      <c r="J127" s="2" t="inlineStr">
        <is>
          <t>O4S-314/2025</t>
        </is>
      </c>
      <c r="K127" s="2" t="inlineStr">
        <is>
          <t>Abierto simplificado</t>
        </is>
      </c>
      <c r="L127" s="6" t="n">
        <v>3</v>
      </c>
      <c r="M127" s="2" t="n"/>
      <c r="N127" s="7" t="n">
        <v>0</v>
      </c>
      <c r="O127" s="4" t="n"/>
      <c r="P127" s="2" t="inlineStr">
        <is>
          <t>45316000; 45315600</t>
        </is>
      </c>
      <c r="Q127" s="8" t="inlineStr">
        <is>
          <t>Ver</t>
        </is>
      </c>
      <c r="R127" s="8" t="inlineStr">
        <is>
          <t>PCAP</t>
        </is>
      </c>
      <c r="S127" s="9" t="n">
        <v>46321</v>
      </c>
      <c r="T127" s="3" t="n">
        <v>46318.46143518519</v>
      </c>
      <c r="U127" s="2" t="n"/>
    </row>
    <row r="128">
      <c r="A128" s="2" t="inlineStr">
        <is>
          <t>Resuelta</t>
        </is>
      </c>
      <c r="B128" s="3" t="n">
        <v>45903.99930555555</v>
      </c>
      <c r="C128" s="5" t="n">
        <v>792704.64</v>
      </c>
      <c r="D128" s="5" t="n">
        <v>792704.64</v>
      </c>
      <c r="E128" s="2" t="inlineStr">
        <is>
          <t>Comunitat Valenciana</t>
        </is>
      </c>
      <c r="F128" s="2" t="inlineStr">
        <is>
          <t>Alicante</t>
        </is>
      </c>
      <c r="G128" s="2" t="inlineStr">
        <is>
          <t>Alicante / Alacant</t>
        </is>
      </c>
      <c r="H128" s="2" t="inlineStr">
        <is>
          <t>Aena. Dirección del Aeropuerto de Alicante-Elche</t>
        </is>
      </c>
      <c r="I128" s="2" t="inlineStr">
        <is>
          <t>Sistema De Control Parking Autobuses Discrecionales En Ps20 Y Bolsa</t>
        </is>
      </c>
      <c r="J128" s="2" t="inlineStr">
        <is>
          <t>ALC-56/2025</t>
        </is>
      </c>
      <c r="K128" s="2" t="inlineStr">
        <is>
          <t>Normas internas</t>
        </is>
      </c>
      <c r="L128" s="6" t="n"/>
      <c r="M128" s="2" t="n"/>
      <c r="N128" s="7" t="n">
        <v>0</v>
      </c>
      <c r="O128" s="4" t="n"/>
      <c r="P128" s="2" t="inlineStr">
        <is>
          <t>45300000</t>
        </is>
      </c>
      <c r="Q128" s="8" t="inlineStr">
        <is>
          <t>Ver</t>
        </is>
      </c>
      <c r="R128" s="8" t="inlineStr">
        <is>
          <t>PCAP</t>
        </is>
      </c>
      <c r="S128" s="9" t="n">
        <v>46321</v>
      </c>
      <c r="T128" s="3" t="n">
        <v>46318.46026620371</v>
      </c>
      <c r="U128" s="2" t="n"/>
    </row>
    <row r="129">
      <c r="A129" s="2" t="inlineStr">
        <is>
          <t>Adjudicada</t>
        </is>
      </c>
      <c r="B129" s="3" t="n">
        <v>46184.5</v>
      </c>
      <c r="C129" s="5" t="n">
        <v>799847.58</v>
      </c>
      <c r="D129" s="5" t="n">
        <v>799847.58</v>
      </c>
      <c r="E129" s="2" t="inlineStr">
        <is>
          <t>Comunitat Valenciana</t>
        </is>
      </c>
      <c r="F129" s="2" t="inlineStr">
        <is>
          <t>Alicante</t>
        </is>
      </c>
      <c r="G129" s="2" t="inlineStr">
        <is>
          <t>Alicante / Alacant</t>
        </is>
      </c>
      <c r="H129" s="2" t="inlineStr">
        <is>
          <t>Aena. Dirección del Aeropuerto de Alicante-Elche</t>
        </is>
      </c>
      <c r="I129" s="2" t="inlineStr">
        <is>
          <t>Adecuación De Aseos Y Caseta Control Parking P1</t>
        </is>
      </c>
      <c r="J129" s="2" t="inlineStr">
        <is>
          <t>ALC-36/2026</t>
        </is>
      </c>
      <c r="K129" s="2" t="inlineStr">
        <is>
          <t>Normas internas</t>
        </is>
      </c>
      <c r="L129" s="6" t="n">
        <v>7</v>
      </c>
      <c r="M129" s="2" t="n"/>
      <c r="N129" s="7" t="n">
        <v>0</v>
      </c>
      <c r="O129" s="4" t="n"/>
      <c r="P129" s="2" t="inlineStr">
        <is>
          <t>45223000</t>
        </is>
      </c>
      <c r="Q129" s="8" t="inlineStr">
        <is>
          <t>Ver</t>
        </is>
      </c>
      <c r="R129" s="8" t="inlineStr">
        <is>
          <t>PCAP</t>
        </is>
      </c>
      <c r="S129" s="9" t="n">
        <v>46321</v>
      </c>
      <c r="T129" s="3" t="n">
        <v>46318.45967592593</v>
      </c>
      <c r="U129" s="2" t="n"/>
    </row>
    <row r="130">
      <c r="A130" s="2" t="inlineStr">
        <is>
          <t>En plazo</t>
        </is>
      </c>
      <c r="B130" s="3" t="n">
        <v>46338.99930555555</v>
      </c>
      <c r="C130" s="5" t="n">
        <v>1900669.71</v>
      </c>
      <c r="D130" s="5" t="n">
        <v>1900669.71</v>
      </c>
      <c r="E130" s="2" t="inlineStr">
        <is>
          <t>Andalucía</t>
        </is>
      </c>
      <c r="F130" s="2" t="inlineStr">
        <is>
          <t>Cádiz</t>
        </is>
      </c>
      <c r="G130" s="2" t="inlineStr">
        <is>
          <t>Puerto Real</t>
        </is>
      </c>
      <c r="H130" s="2" t="inlineStr">
        <is>
          <t>Alcaldía del Ayuntamiento de Puerto Real</t>
        </is>
      </c>
      <c r="I130" s="2" t="inlineStr">
        <is>
          <t>B/006/2026: Ejecución de obras de recuperación integral mediante consolidación estructural del Pabellón municipal de deportes, Plan Cádiz Marcha + 2026.</t>
        </is>
      </c>
      <c r="J130" s="2" t="inlineStr">
        <is>
          <t>13881/2026</t>
        </is>
      </c>
      <c r="K130" s="2" t="inlineStr">
        <is>
          <t>Abierto simplificado</t>
        </is>
      </c>
      <c r="L130" s="6" t="n">
        <v>9</v>
      </c>
      <c r="M130" s="2" t="inlineStr">
        <is>
          <t>C*-4</t>
        </is>
      </c>
      <c r="N130" s="7" t="n">
        <v>0</v>
      </c>
      <c r="O130" s="4" t="n"/>
      <c r="P130" s="2" t="inlineStr">
        <is>
          <t>45200000; 45223210; 45261213; 45261910; 45111000; 45262400</t>
        </is>
      </c>
      <c r="Q130" s="8" t="inlineStr">
        <is>
          <t>Ver</t>
        </is>
      </c>
      <c r="R130" s="8" t="inlineStr">
        <is>
          <t>PCAP</t>
        </is>
      </c>
      <c r="S130" s="9" t="n">
        <v>46321</v>
      </c>
      <c r="T130" s="3" t="n">
        <v>46318.45962962963</v>
      </c>
      <c r="U130" s="2" t="n"/>
    </row>
    <row r="131">
      <c r="A131" s="2" t="inlineStr">
        <is>
          <t>Resuelta</t>
        </is>
      </c>
      <c r="B131" s="3" t="n">
        <v>45967.58333333334</v>
      </c>
      <c r="C131" s="5" t="n">
        <v>103154.21</v>
      </c>
      <c r="D131" s="5" t="n">
        <v>103154.21</v>
      </c>
      <c r="E131" s="2" t="inlineStr">
        <is>
          <t>Andalucía</t>
        </is>
      </c>
      <c r="F131" s="2" t="inlineStr">
        <is>
          <t>Sevilla</t>
        </is>
      </c>
      <c r="G131" s="2" t="n"/>
      <c r="H131" s="2" t="inlineStr">
        <is>
          <t>Alcaldia del Ayuntamiento de Pilas</t>
        </is>
      </c>
      <c r="I131" s="2" t="inlineStr">
        <is>
          <t>Contratación de la ejecución obra, así como suministros (mixto), para proyecto de "Instalación de equipamientos públicos Biosaludables en calle Venezuela n.º 6 de Pilas", incluido en el Plan Provincial Mas Sevilla</t>
        </is>
      </c>
      <c r="J131" s="2" t="inlineStr">
        <is>
          <t>P4107500C-2025/000086-PAAS</t>
        </is>
      </c>
      <c r="K131" s="2" t="inlineStr">
        <is>
          <t>Abierto simplificado</t>
        </is>
      </c>
      <c r="L131" s="6" t="n">
        <v>5</v>
      </c>
      <c r="M131" s="2" t="n"/>
      <c r="N131" s="7" t="n">
        <v>0</v>
      </c>
      <c r="O131" s="4" t="n">
        <v>2</v>
      </c>
      <c r="P131" s="2" t="inlineStr">
        <is>
          <t>45212200</t>
        </is>
      </c>
      <c r="Q131" s="8" t="inlineStr">
        <is>
          <t>Ver</t>
        </is>
      </c>
      <c r="R131" s="8" t="inlineStr">
        <is>
          <t>PCAP</t>
        </is>
      </c>
      <c r="S131" s="9" t="n">
        <v>46321</v>
      </c>
      <c r="T131" s="3" t="n">
        <v>46318.45946759259</v>
      </c>
      <c r="U131" s="2" t="n"/>
    </row>
    <row r="132">
      <c r="A132" s="2" t="inlineStr">
        <is>
          <t>Adjudicada</t>
        </is>
      </c>
      <c r="B132" s="3" t="n">
        <v>45957.99930555555</v>
      </c>
      <c r="C132" s="5" t="n">
        <v>60250</v>
      </c>
      <c r="D132" s="5" t="n">
        <v>60250</v>
      </c>
      <c r="E132" s="2" t="inlineStr">
        <is>
          <t>Andalucía</t>
        </is>
      </c>
      <c r="F132" s="2" t="inlineStr">
        <is>
          <t>Sevilla</t>
        </is>
      </c>
      <c r="G132" s="2" t="n"/>
      <c r="H132" s="2" t="inlineStr">
        <is>
          <t>Teniente Alcalde, Delegado de Contratación del Ayuntamiento de Lebrija</t>
        </is>
      </c>
      <c r="I132" s="2" t="inlineStr">
        <is>
          <t>Contratación de equipos de obras (con conducor) y maquinarias sin conductor para la ejecución del proyecto de pavimentación e infraestructuras en la calle Bosque.</t>
        </is>
      </c>
      <c r="J132" s="2" t="inlineStr">
        <is>
          <t>P4105300J-2025/000215-PAAB</t>
        </is>
      </c>
      <c r="K132" s="2" t="inlineStr">
        <is>
          <t>Abierto simplificado</t>
        </is>
      </c>
      <c r="L132" s="6" t="n">
        <v>6</v>
      </c>
      <c r="M132" s="2" t="n"/>
      <c r="N132" s="7" t="n">
        <v>0</v>
      </c>
      <c r="O132" s="4" t="n">
        <v>11</v>
      </c>
      <c r="P132" s="2" t="inlineStr">
        <is>
          <t>45500000; 60181000; 43300000</t>
        </is>
      </c>
      <c r="Q132" s="8" t="inlineStr">
        <is>
          <t>Ver</t>
        </is>
      </c>
      <c r="R132" s="8" t="inlineStr">
        <is>
          <t>PCAP</t>
        </is>
      </c>
      <c r="S132" s="9" t="n">
        <v>46321</v>
      </c>
      <c r="T132" s="3" t="n">
        <v>46318.45818287037</v>
      </c>
      <c r="U132" s="2" t="n"/>
    </row>
    <row r="133">
      <c r="A133" s="2" t="inlineStr">
        <is>
          <t>Pendiente de adjudicación</t>
        </is>
      </c>
      <c r="B133" s="3" t="n">
        <v>46294.99930555555</v>
      </c>
      <c r="C133" s="5" t="n">
        <v>62800.45</v>
      </c>
      <c r="D133" s="5" t="n">
        <v>62800.45</v>
      </c>
      <c r="E133" s="2" t="inlineStr">
        <is>
          <t>Andalucía</t>
        </is>
      </c>
      <c r="F133" s="2" t="inlineStr">
        <is>
          <t>Sevilla</t>
        </is>
      </c>
      <c r="G133" s="2" t="n"/>
      <c r="H133" s="2" t="inlineStr">
        <is>
          <t>Alcaldía del Ayuntamiento de Coria del Río</t>
        </is>
      </c>
      <c r="I133" s="2" t="inlineStr">
        <is>
          <t>Contrato de Obras de Reforma Salón de Plenos, a adjudicar por procedimiento abierto supersimplificado.</t>
        </is>
      </c>
      <c r="J133" s="2" t="inlineStr">
        <is>
          <t>P4103400J-2026/000308-PAAB</t>
        </is>
      </c>
      <c r="K133" s="2" t="inlineStr">
        <is>
          <t>Abierto simplificado</t>
        </is>
      </c>
      <c r="L133" s="6" t="n">
        <v>3</v>
      </c>
      <c r="M133" s="2" t="n"/>
      <c r="N133" s="7" t="n">
        <v>0</v>
      </c>
      <c r="O133" s="4" t="n"/>
      <c r="P133" s="2" t="inlineStr">
        <is>
          <t>45000000</t>
        </is>
      </c>
      <c r="Q133" s="8" t="inlineStr">
        <is>
          <t>Ver</t>
        </is>
      </c>
      <c r="R133" s="8" t="inlineStr">
        <is>
          <t>PCAP</t>
        </is>
      </c>
      <c r="S133" s="9" t="n">
        <v>46321</v>
      </c>
      <c r="T133" s="3" t="n">
        <v>46318.45640046296</v>
      </c>
      <c r="U133" s="2" t="n"/>
    </row>
    <row r="134">
      <c r="A134" s="2" t="inlineStr">
        <is>
          <t>Resuelta</t>
        </is>
      </c>
      <c r="B134" s="3" t="n">
        <v>45944.58333333334</v>
      </c>
      <c r="C134" s="5" t="n">
        <v>133095.92</v>
      </c>
      <c r="D134" s="5" t="n">
        <v>133095.92</v>
      </c>
      <c r="E134" s="2" t="inlineStr">
        <is>
          <t>Andalucía</t>
        </is>
      </c>
      <c r="F134" s="2" t="inlineStr">
        <is>
          <t>Sevilla</t>
        </is>
      </c>
      <c r="G134" s="2" t="n"/>
      <c r="H134" s="2" t="inlineStr">
        <is>
          <t>Alcaldia del Ayuntamiento de Pilas</t>
        </is>
      </c>
      <c r="I134" s="2" t="inlineStr">
        <is>
          <t>Contratación de la ejecución de la obra de construcción de un carril bici-eje Sur, en avenida Alcalde Jesús Calderón Moreno, incluida en el Plan Provincial MAS SEVILLA</t>
        </is>
      </c>
      <c r="J134" s="2" t="inlineStr">
        <is>
          <t>P4107500C-2025/000076-PAAS</t>
        </is>
      </c>
      <c r="K134" s="2" t="inlineStr">
        <is>
          <t>Abierto simplificado</t>
        </is>
      </c>
      <c r="L134" s="6" t="n">
        <v>4</v>
      </c>
      <c r="M134" s="2" t="n"/>
      <c r="N134" s="7" t="n">
        <v>0</v>
      </c>
      <c r="O134" s="4" t="n"/>
      <c r="P134" s="2" t="inlineStr">
        <is>
          <t>45233162</t>
        </is>
      </c>
      <c r="Q134" s="8" t="inlineStr">
        <is>
          <t>Ver</t>
        </is>
      </c>
      <c r="R134" s="8" t="inlineStr">
        <is>
          <t>PCAP</t>
        </is>
      </c>
      <c r="S134" s="9" t="n">
        <v>46321</v>
      </c>
      <c r="T134" s="3" t="n">
        <v>46318.45438657407</v>
      </c>
      <c r="U134" s="2" t="n"/>
    </row>
    <row r="135">
      <c r="A135" s="2" t="inlineStr">
        <is>
          <t>Resuelta</t>
        </is>
      </c>
      <c r="B135" s="3" t="n">
        <v>46304.375</v>
      </c>
      <c r="C135" s="5" t="n">
        <v>39961.95</v>
      </c>
      <c r="D135" s="5" t="n">
        <v>39961.95</v>
      </c>
      <c r="E135" s="2" t="inlineStr">
        <is>
          <t>Andalucía</t>
        </is>
      </c>
      <c r="F135" s="2" t="inlineStr">
        <is>
          <t>Cádiz</t>
        </is>
      </c>
      <c r="G135" s="2" t="n"/>
      <c r="H135" s="2" t="inlineStr">
        <is>
          <t>Intendente de San Fernando</t>
        </is>
      </c>
      <c r="I135" s="2" t="inlineStr">
        <is>
          <t>INFRA 26-061 CB Obras de resanado y conservación de muro perimetral de la factoría de subsistencias en la PMSC. Lote 7</t>
        </is>
      </c>
      <c r="J135" s="2" t="inlineStr">
        <is>
          <t>2026/AR43U/00002708E</t>
        </is>
      </c>
      <c r="K135" s="2" t="inlineStr">
        <is>
          <t>Abierto</t>
        </is>
      </c>
      <c r="L135" s="6" t="n">
        <v>2</v>
      </c>
      <c r="M135" s="2" t="n"/>
      <c r="N135" s="7" t="n">
        <v>0</v>
      </c>
      <c r="O135" s="4" t="n"/>
      <c r="P135" s="2" t="inlineStr">
        <is>
          <t>45000000</t>
        </is>
      </c>
      <c r="Q135" s="8" t="inlineStr">
        <is>
          <t>Ver</t>
        </is>
      </c>
      <c r="R135" s="8" t="inlineStr">
        <is>
          <t>PCAP</t>
        </is>
      </c>
      <c r="S135" s="9" t="n">
        <v>46315</v>
      </c>
      <c r="T135" s="3" t="n">
        <v>46318.45424768519</v>
      </c>
      <c r="U135" s="2" t="n"/>
    </row>
    <row r="136">
      <c r="A136" s="2" t="inlineStr">
        <is>
          <t>Pendiente de adjudicación</t>
        </is>
      </c>
      <c r="B136" s="3" t="n">
        <v>46308.99930555555</v>
      </c>
      <c r="C136" s="5" t="n">
        <v>111494.92</v>
      </c>
      <c r="D136" s="5" t="n">
        <v>111494.92</v>
      </c>
      <c r="E136" s="2" t="inlineStr">
        <is>
          <t>Comunitat Valenciana</t>
        </is>
      </c>
      <c r="F136" s="2" t="inlineStr">
        <is>
          <t>Alicante</t>
        </is>
      </c>
      <c r="G136" s="2" t="n"/>
      <c r="H136" s="2" t="inlineStr">
        <is>
          <t>Junta de Gobierno del Ayuntamiento de Elche</t>
        </is>
      </c>
      <c r="I136" s="2" t="inlineStr">
        <is>
          <t>Obras de derribo del edificio sito en la calle Ginés García Esquitino nº 101, de Elche.</t>
        </is>
      </c>
      <c r="J136" s="2" t="inlineStr">
        <is>
          <t>OBR/ABR_SMPL/2026000146</t>
        </is>
      </c>
      <c r="K136" s="2" t="inlineStr">
        <is>
          <t>Abierto simplificado</t>
        </is>
      </c>
      <c r="L136" s="6" t="n">
        <v>3</v>
      </c>
      <c r="M136" s="2" t="inlineStr">
        <is>
          <t>C1-1</t>
        </is>
      </c>
      <c r="N136" s="7" t="n">
        <v>0.2</v>
      </c>
      <c r="O136" s="4" t="n"/>
      <c r="P136" s="2" t="inlineStr">
        <is>
          <t>45110000</t>
        </is>
      </c>
      <c r="Q136" s="8" t="inlineStr">
        <is>
          <t>Ver</t>
        </is>
      </c>
      <c r="R136" s="8" t="inlineStr">
        <is>
          <t>PCAP</t>
        </is>
      </c>
      <c r="S136" s="9" t="n">
        <v>46310</v>
      </c>
      <c r="T136" s="3" t="n">
        <v>46318.45091435185</v>
      </c>
      <c r="U136" s="2" t="n"/>
    </row>
    <row r="137">
      <c r="A137" s="2" t="inlineStr">
        <is>
          <t>Resuelta</t>
        </is>
      </c>
      <c r="B137" s="3" t="n">
        <v>46239.99930555555</v>
      </c>
      <c r="C137" s="5" t="n">
        <v>247793.41</v>
      </c>
      <c r="D137" s="5" t="n">
        <v>247793.41</v>
      </c>
      <c r="E137" s="2" t="inlineStr">
        <is>
          <t>Comunitat Valenciana</t>
        </is>
      </c>
      <c r="F137" s="2" t="inlineStr">
        <is>
          <t>Alicante</t>
        </is>
      </c>
      <c r="G137" s="2" t="inlineStr">
        <is>
          <t>Guardamar del Segura</t>
        </is>
      </c>
      <c r="H137" s="2" t="inlineStr">
        <is>
          <t>Alcaldía del Ayuntamiento de Guardamar del Segura</t>
        </is>
      </c>
      <c r="I137" s="2" t="inlineStr">
        <is>
          <t>Contrato administrativo de obras de reducción de la isla de calor del espacio público urbano de la Av. del Mediterráneo mediante estrategias de renaturalización del entorno de la Plaza-Jardín de la Vega Baja en Guardamar del Segura.</t>
        </is>
      </c>
      <c r="J137" s="2" t="inlineStr">
        <is>
          <t>1171/2026</t>
        </is>
      </c>
      <c r="K137" s="2" t="inlineStr">
        <is>
          <t>Abierto simplificado</t>
        </is>
      </c>
      <c r="L137" s="6" t="n">
        <v>6</v>
      </c>
      <c r="M137" s="2" t="n"/>
      <c r="N137" s="7" t="n">
        <v>0</v>
      </c>
      <c r="O137" s="4" t="n"/>
      <c r="P137" s="2" t="inlineStr">
        <is>
          <t>45112700; 45233291; 45233290; 45233200; 45233293; 45233270; 45233262; 45233294</t>
        </is>
      </c>
      <c r="Q137" s="8" t="inlineStr">
        <is>
          <t>Ver</t>
        </is>
      </c>
      <c r="R137" s="8" t="inlineStr">
        <is>
          <t>PCAP</t>
        </is>
      </c>
      <c r="S137" s="9" t="n">
        <v>46321</v>
      </c>
      <c r="T137" s="3" t="n">
        <v>46318.44822916666</v>
      </c>
      <c r="U137" s="2" t="n"/>
    </row>
    <row r="138">
      <c r="A138" s="2" t="inlineStr">
        <is>
          <t>En plazo</t>
        </is>
      </c>
      <c r="B138" s="3" t="n">
        <v>46344.99930555555</v>
      </c>
      <c r="C138" s="5" t="n">
        <v>409179.74</v>
      </c>
      <c r="D138" s="5" t="n">
        <v>409189.74</v>
      </c>
      <c r="E138" s="2" t="inlineStr">
        <is>
          <t>Andalucía</t>
        </is>
      </c>
      <c r="F138" s="2" t="inlineStr">
        <is>
          <t>Málaga</t>
        </is>
      </c>
      <c r="G138" s="2" t="n"/>
      <c r="H138" s="2" t="inlineStr">
        <is>
          <t>Alcaldía del Ayuntamiento de Estepona</t>
        </is>
      </c>
      <c r="I138" s="2" t="inlineStr">
        <is>
          <t>Obras de acondicionamiento parcela destinada a usos múltiples en calle Nueva Atalaya del T.M. de Estepona</t>
        </is>
      </c>
      <c r="J138" s="2" t="inlineStr">
        <is>
          <t>39036/2026</t>
        </is>
      </c>
      <c r="K138" s="2" t="inlineStr">
        <is>
          <t>Abierto</t>
        </is>
      </c>
      <c r="L138" s="6" t="n">
        <v>3</v>
      </c>
      <c r="M138" s="2" t="n"/>
      <c r="N138" s="7" t="n">
        <v>0</v>
      </c>
      <c r="O138" s="4" t="n"/>
      <c r="P138" s="2" t="inlineStr">
        <is>
          <t>45233140; 45233340</t>
        </is>
      </c>
      <c r="Q138" s="8" t="inlineStr">
        <is>
          <t>Ver</t>
        </is>
      </c>
      <c r="R138" s="8" t="inlineStr">
        <is>
          <t>PCAP</t>
        </is>
      </c>
      <c r="S138" s="9" t="n">
        <v>46321</v>
      </c>
      <c r="T138" s="3" t="n">
        <v>46318.44004629629</v>
      </c>
      <c r="U138" s="2" t="n"/>
    </row>
    <row r="139">
      <c r="A139" s="2" t="inlineStr">
        <is>
          <t>Resuelta</t>
        </is>
      </c>
      <c r="B139" s="3" t="n"/>
      <c r="C139" s="5" t="n">
        <v>1704058.49</v>
      </c>
      <c r="D139" s="5" t="n">
        <v>2061910.78</v>
      </c>
      <c r="E139" s="2" t="inlineStr">
        <is>
          <t>Andalucía</t>
        </is>
      </c>
      <c r="F139" s="2" t="inlineStr">
        <is>
          <t>Granada</t>
        </is>
      </c>
      <c r="G139" s="2" t="n"/>
      <c r="H139" s="2" t="inlineStr">
        <is>
          <t>Demarcación de Carreteras del Estado en Andalucía Oriental</t>
        </is>
      </c>
      <c r="I139" s="2" t="inlineStr">
        <is>
          <t>Estabilización de taludes en la N-323 entre los PP.KK. 57+770 y 57+840, margen derecho e izquierdo, en el T.M de Cárcheres; en la A-44: entre los PP.KK. 56+670 y 56+700, mi y en el P.K. 57+350, MI en el T.M. de Pegalajar ; entre los PP.KK. 69+390 y 69+470, md y entre el PP.KK. 76+620 y 76+720 , M.D, el T.M. Campillo de Arenas, provincia de Jaén, LOTE 3-Clave: 38-J-260007</t>
        </is>
      </c>
      <c r="J139" s="2" t="inlineStr">
        <is>
          <t>EM38-J-260007.L3</t>
        </is>
      </c>
      <c r="K139" s="2" t="inlineStr">
        <is>
          <t>Negociado sin publicidad</t>
        </is>
      </c>
      <c r="L139" s="6" t="n">
        <v>6</v>
      </c>
      <c r="M139" s="2" t="n"/>
      <c r="N139" s="7" t="n"/>
      <c r="O139" s="4" t="n"/>
      <c r="P139" s="2" t="inlineStr">
        <is>
          <t>45000000</t>
        </is>
      </c>
      <c r="Q139" s="8" t="inlineStr">
        <is>
          <t>Ver</t>
        </is>
      </c>
      <c r="R139" s="2" t="n"/>
      <c r="S139" s="9" t="n">
        <v>46321</v>
      </c>
      <c r="T139" s="3" t="n">
        <v>46318.43965277778</v>
      </c>
      <c r="U139" s="2" t="n"/>
    </row>
    <row r="140">
      <c r="A140" s="2" t="inlineStr">
        <is>
          <t>Pendiente de adjudicación</t>
        </is>
      </c>
      <c r="B140" s="3" t="n">
        <v>46314.99930555555</v>
      </c>
      <c r="C140" s="5" t="n">
        <v>676219.35</v>
      </c>
      <c r="D140" s="5" t="n">
        <v>676219.35</v>
      </c>
      <c r="E140" s="2" t="inlineStr">
        <is>
          <t>Andalucía</t>
        </is>
      </c>
      <c r="F140" s="2" t="inlineStr">
        <is>
          <t>Sevilla</t>
        </is>
      </c>
      <c r="G140" s="2" t="inlineStr">
        <is>
          <t>MAIRENA DEL ALCOR</t>
        </is>
      </c>
      <c r="H140" s="2" t="inlineStr">
        <is>
          <t>Concejal Delegado con Delegación Genérica de Urbanismo, Vivienda, Ordenación del Territorio, Digitalización Urbana, Fondos Europeos, Servicios, Parques y Jardines, Limpieza, Coordinación de barrios, Obras, Disciplina, Patrimonio, Medio Ambiente y Movilidad del Ayuntamiento de Mairena del Alcor</t>
        </is>
      </c>
      <c r="I140" s="2" t="inlineStr">
        <is>
          <t>Ejecución de Centro de Entrenamiento de Taekwondo, en Calle Algámitas, esquina con Calle Jaén en Mairena del Alcor-Actuación PAI</t>
        </is>
      </c>
      <c r="J140" s="2" t="inlineStr">
        <is>
          <t>8174/2025</t>
        </is>
      </c>
      <c r="K140" s="2" t="inlineStr">
        <is>
          <t>Abierto simplificado</t>
        </is>
      </c>
      <c r="L140" s="6" t="n">
        <v>8</v>
      </c>
      <c r="M140" s="2" t="inlineStr">
        <is>
          <t>C*-3</t>
        </is>
      </c>
      <c r="N140" s="7" t="n">
        <v>0</v>
      </c>
      <c r="O140" s="4" t="n"/>
      <c r="P140" s="2" t="inlineStr">
        <is>
          <t>45212200</t>
        </is>
      </c>
      <c r="Q140" s="8" t="inlineStr">
        <is>
          <t>Ver</t>
        </is>
      </c>
      <c r="R140" s="8" t="inlineStr">
        <is>
          <t>PCAP</t>
        </is>
      </c>
      <c r="S140" s="9" t="n">
        <v>46321</v>
      </c>
      <c r="T140" s="3" t="n">
        <v>46318.43931712963</v>
      </c>
      <c r="U140" s="2" t="n"/>
    </row>
    <row r="141">
      <c r="A141" s="2" t="inlineStr">
        <is>
          <t>Resuelta</t>
        </is>
      </c>
      <c r="B141" s="3" t="n">
        <v>46269.99930555555</v>
      </c>
      <c r="C141" s="5" t="n">
        <v>66173.63</v>
      </c>
      <c r="D141" s="5" t="n">
        <v>66173.63</v>
      </c>
      <c r="E141" s="2" t="inlineStr">
        <is>
          <t>Comunitat Valenciana</t>
        </is>
      </c>
      <c r="F141" s="2" t="inlineStr">
        <is>
          <t>Valencia</t>
        </is>
      </c>
      <c r="G141" s="2" t="inlineStr">
        <is>
          <t>Cullera</t>
        </is>
      </c>
      <c r="H141" s="2" t="inlineStr">
        <is>
          <t>Alcaldía del Ayuntamiento de Cullera</t>
        </is>
      </c>
      <c r="I141" s="2" t="inlineStr">
        <is>
          <t>Obras de ejecución de 48 nichos de 160 cm de anchura y urbanización para ampliación de bloque en Departamento Parte Nueva</t>
        </is>
      </c>
      <c r="J141" s="2" t="inlineStr">
        <is>
          <t>2877471N</t>
        </is>
      </c>
      <c r="K141" s="2" t="inlineStr">
        <is>
          <t>Abierto simplificado</t>
        </is>
      </c>
      <c r="L141" s="6" t="n">
        <v>3</v>
      </c>
      <c r="M141" s="2" t="n"/>
      <c r="N141" s="7" t="n">
        <v>0</v>
      </c>
      <c r="O141" s="4" t="n"/>
      <c r="P141" s="2" t="inlineStr">
        <is>
          <t>45000000; 45223500</t>
        </is>
      </c>
      <c r="Q141" s="8" t="inlineStr">
        <is>
          <t>Ver</t>
        </is>
      </c>
      <c r="R141" s="8" t="inlineStr">
        <is>
          <t>PCAP</t>
        </is>
      </c>
      <c r="S141" s="9" t="n">
        <v>46314</v>
      </c>
      <c r="T141" s="3" t="n">
        <v>46318.43744212963</v>
      </c>
      <c r="U141" s="2" t="inlineStr">
        <is>
          <t>2026-10-26: estado EV → RES</t>
        </is>
      </c>
    </row>
    <row r="142">
      <c r="A142" s="2" t="inlineStr">
        <is>
          <t>Pendiente de adjudicación</t>
        </is>
      </c>
      <c r="B142" s="3" t="n">
        <v>46314.99930555555</v>
      </c>
      <c r="C142" s="5" t="n">
        <v>1118984.93</v>
      </c>
      <c r="D142" s="5" t="n">
        <v>1118984.93</v>
      </c>
      <c r="E142" s="2" t="inlineStr">
        <is>
          <t>Andalucía</t>
        </is>
      </c>
      <c r="F142" s="2" t="inlineStr">
        <is>
          <t>Sevilla</t>
        </is>
      </c>
      <c r="G142" s="2" t="inlineStr">
        <is>
          <t>MAIRENA DEL ALCOR</t>
        </is>
      </c>
      <c r="H142" s="2" t="inlineStr">
        <is>
          <t>Concejal Delegado con Delegación Genérica de Urbanismo, Vivienda, Ordenación del Territorio, Digitalización Urbana, Fondos Europeos, Servicios, Parques y Jardines, Limpieza, Coordinación de barrios, Obras, Disciplina, Patrimonio, Medio Ambiente y Movilidad del Ayuntamiento de Mairena del Alcor</t>
        </is>
      </c>
      <c r="I142" s="2" t="inlineStr">
        <is>
          <t>Reurbanización de Avenida de Lepanto en Mairena del Alcor-Actuación PAI</t>
        </is>
      </c>
      <c r="J142" s="2" t="inlineStr">
        <is>
          <t>1982/2026</t>
        </is>
      </c>
      <c r="K142" s="2" t="inlineStr">
        <is>
          <t>Abierto simplificado</t>
        </is>
      </c>
      <c r="L142" s="6" t="n">
        <v>8</v>
      </c>
      <c r="M142" s="2" t="inlineStr">
        <is>
          <t>G*-4</t>
        </is>
      </c>
      <c r="N142" s="7" t="n">
        <v>0</v>
      </c>
      <c r="O142" s="4" t="n"/>
      <c r="P142" s="2" t="inlineStr">
        <is>
          <t>45233251</t>
        </is>
      </c>
      <c r="Q142" s="8" t="inlineStr">
        <is>
          <t>Ver</t>
        </is>
      </c>
      <c r="R142" s="8" t="inlineStr">
        <is>
          <t>PCAP</t>
        </is>
      </c>
      <c r="S142" s="9" t="n">
        <v>46321</v>
      </c>
      <c r="T142" s="3" t="n">
        <v>46318.4372337963</v>
      </c>
      <c r="U142" s="2" t="n"/>
    </row>
    <row r="143">
      <c r="A143" s="2" t="inlineStr">
        <is>
          <t>Resuelta</t>
        </is>
      </c>
      <c r="B143" s="3" t="n"/>
      <c r="C143" s="5" t="n">
        <v>512357.61</v>
      </c>
      <c r="D143" s="5" t="n">
        <v>619952.71</v>
      </c>
      <c r="E143" s="2" t="inlineStr">
        <is>
          <t>Andalucía</t>
        </is>
      </c>
      <c r="F143" s="2" t="inlineStr">
        <is>
          <t>Granada</t>
        </is>
      </c>
      <c r="G143" s="2" t="n"/>
      <c r="H143" s="2" t="inlineStr">
        <is>
          <t>Demarcación de Carreteras del Estado en Andalucía Oriental</t>
        </is>
      </c>
      <c r="I143" s="2" t="inlineStr">
        <is>
          <t>Obras de Estabilización de talud entre los PP.KK. 61+845 y 61+915, margen izquierdo de la N-323, en el T.M. de Cárcheles, y adecuación del drenaje en la margen derecha del enlace 67 de la A-44, en el T.M de Campillo de Arenas, para garantizar la seguridad viaria, subsanando la situación de grave peligro existente Lote2-Clave 38-J-260007</t>
        </is>
      </c>
      <c r="J143" s="2" t="inlineStr">
        <is>
          <t>EM38-J-260007.L2</t>
        </is>
      </c>
      <c r="K143" s="2" t="inlineStr">
        <is>
          <t>Negociado sin publicidad</t>
        </is>
      </c>
      <c r="L143" s="6" t="n">
        <v>6</v>
      </c>
      <c r="M143" s="2" t="n"/>
      <c r="N143" s="7" t="n"/>
      <c r="O143" s="4" t="n"/>
      <c r="P143" s="2" t="inlineStr">
        <is>
          <t>45000000</t>
        </is>
      </c>
      <c r="Q143" s="8" t="inlineStr">
        <is>
          <t>Ver</t>
        </is>
      </c>
      <c r="R143" s="2" t="n"/>
      <c r="S143" s="9" t="n">
        <v>46321</v>
      </c>
      <c r="T143" s="3" t="n">
        <v>46318.43638888889</v>
      </c>
      <c r="U143" s="2" t="n"/>
    </row>
    <row r="144">
      <c r="A144" s="2" t="inlineStr">
        <is>
          <t>Resuelta</t>
        </is>
      </c>
      <c r="B144" s="3" t="n">
        <v>46303.45833333334</v>
      </c>
      <c r="C144" s="5" t="n">
        <v>60000</v>
      </c>
      <c r="D144" s="5" t="n">
        <v>60000</v>
      </c>
      <c r="E144" s="2" t="inlineStr">
        <is>
          <t>Andalucía</t>
        </is>
      </c>
      <c r="F144" s="2" t="inlineStr">
        <is>
          <t>Málaga</t>
        </is>
      </c>
      <c r="G144" s="2" t="n"/>
      <c r="H144" s="2" t="inlineStr">
        <is>
          <t>Rectorado de la Universidad de Málaga</t>
        </is>
      </c>
      <c r="I144" s="2" t="inlineStr">
        <is>
          <t>Obras para la Adecuación a la Normativa Vigente y Adaptación Funcional de los Ascensores de la Universidad de Málaga</t>
        </is>
      </c>
      <c r="J144" s="2" t="inlineStr">
        <is>
          <t>OB.04/2026PASS</t>
        </is>
      </c>
      <c r="K144" s="2" t="inlineStr">
        <is>
          <t>Abierto simplificado</t>
        </is>
      </c>
      <c r="L144" s="6" t="n">
        <v>1</v>
      </c>
      <c r="M144" s="2" t="n"/>
      <c r="N144" s="7" t="n">
        <v>0</v>
      </c>
      <c r="O144" s="4" t="n"/>
      <c r="P144" s="2" t="inlineStr">
        <is>
          <t>45313100</t>
        </is>
      </c>
      <c r="Q144" s="8" t="inlineStr">
        <is>
          <t>Ver</t>
        </is>
      </c>
      <c r="R144" s="8" t="inlineStr">
        <is>
          <t>PCAP</t>
        </is>
      </c>
      <c r="S144" s="9" t="n">
        <v>46317</v>
      </c>
      <c r="T144" s="3" t="n">
        <v>46318.4343287037</v>
      </c>
      <c r="U144" s="2" t="inlineStr">
        <is>
          <t>2026-10-26: estado ADJ → RES</t>
        </is>
      </c>
    </row>
    <row r="145">
      <c r="A145" s="2" t="inlineStr">
        <is>
          <t>Resuelta</t>
        </is>
      </c>
      <c r="B145" s="3" t="n"/>
      <c r="C145" s="5" t="n">
        <v>437569.04</v>
      </c>
      <c r="D145" s="5" t="n">
        <v>529458.55</v>
      </c>
      <c r="E145" s="2" t="inlineStr">
        <is>
          <t>Andalucía</t>
        </is>
      </c>
      <c r="F145" s="2" t="inlineStr">
        <is>
          <t>Granada</t>
        </is>
      </c>
      <c r="G145" s="2" t="n"/>
      <c r="H145" s="2" t="inlineStr">
        <is>
          <t>Demarcación de Carreteras del Estado en Andalucía Oriental</t>
        </is>
      </c>
      <c r="I145" s="2" t="inlineStr">
        <is>
          <t>Reparación de taludes y sistemas de drenaje en la autovía A-44, entre los PP.KK. 68+930 Y 69+050, margen derecho, en el T.M de Campillo de Arenas</t>
        </is>
      </c>
      <c r="J145" s="2" t="inlineStr">
        <is>
          <t>EM38-J-260007.L1</t>
        </is>
      </c>
      <c r="K145" s="2" t="inlineStr">
        <is>
          <t>Negociado sin publicidad</t>
        </is>
      </c>
      <c r="L145" s="6" t="n">
        <v>6</v>
      </c>
      <c r="M145" s="2" t="n"/>
      <c r="N145" s="7" t="n"/>
      <c r="O145" s="4" t="n"/>
      <c r="P145" s="2" t="inlineStr">
        <is>
          <t>45000000</t>
        </is>
      </c>
      <c r="Q145" s="8" t="inlineStr">
        <is>
          <t>Ver</t>
        </is>
      </c>
      <c r="R145" s="2" t="n"/>
      <c r="S145" s="9" t="n">
        <v>46321</v>
      </c>
      <c r="T145" s="3" t="n">
        <v>46318.43349537037</v>
      </c>
      <c r="U145" s="2" t="n"/>
    </row>
    <row r="146">
      <c r="A146" s="2" t="inlineStr">
        <is>
          <t>Pendiente de adjudicación</t>
        </is>
      </c>
      <c r="B146" s="3" t="n">
        <v>46286.99930555555</v>
      </c>
      <c r="C146" s="5" t="n">
        <v>41576.65</v>
      </c>
      <c r="D146" s="5" t="n">
        <v>41576.65</v>
      </c>
      <c r="E146" s="2" t="inlineStr">
        <is>
          <t>Comunitat Valenciana</t>
        </is>
      </c>
      <c r="F146" s="2" t="inlineStr">
        <is>
          <t>Alicante</t>
        </is>
      </c>
      <c r="G146" s="2" t="n"/>
      <c r="H146" s="2" t="inlineStr">
        <is>
          <t>Presidencia de la Diputación Provincial de Alicante</t>
        </is>
      </c>
      <c r="I146" s="2" t="inlineStr">
        <is>
          <t>Obras de mejora de las instalaciones de control para el uso del agua procedente del terciario de la EDAR de Rincón de León para la Comunidad de Regantes Tercero de Levante de Elche.</t>
        </is>
      </c>
      <c r="J146" s="2" t="inlineStr">
        <is>
          <t>O4S-080/2026</t>
        </is>
      </c>
      <c r="K146" s="2" t="inlineStr">
        <is>
          <t>Abierto simplificado</t>
        </is>
      </c>
      <c r="L146" s="6" t="n">
        <v>1</v>
      </c>
      <c r="M146" s="2" t="n"/>
      <c r="N146" s="7" t="n">
        <v>0.2</v>
      </c>
      <c r="O146" s="4" t="n"/>
      <c r="P146" s="2" t="inlineStr">
        <is>
          <t>45314000</t>
        </is>
      </c>
      <c r="Q146" s="8" t="inlineStr">
        <is>
          <t>Ver</t>
        </is>
      </c>
      <c r="R146" s="8" t="inlineStr">
        <is>
          <t>PCAP</t>
        </is>
      </c>
      <c r="S146" s="9" t="n">
        <v>46321</v>
      </c>
      <c r="T146" s="3" t="n">
        <v>46318.42913194445</v>
      </c>
      <c r="U146" s="2" t="n"/>
    </row>
    <row r="147">
      <c r="A147" s="2" t="inlineStr">
        <is>
          <t>Pendiente de adjudicación</t>
        </is>
      </c>
      <c r="B147" s="3" t="n">
        <v>46295.99930555555</v>
      </c>
      <c r="C147" s="5" t="n">
        <v>0</v>
      </c>
      <c r="D147" s="5" t="n">
        <v>1402059.56</v>
      </c>
      <c r="E147" s="2" t="inlineStr">
        <is>
          <t>Comunitat Valenciana</t>
        </is>
      </c>
      <c r="F147" s="2" t="inlineStr">
        <is>
          <t>Valencia</t>
        </is>
      </c>
      <c r="G147" s="2" t="n"/>
      <c r="H147" s="2" t="inlineStr">
        <is>
          <t>Junta de Gobierno del Ajuntament de València</t>
        </is>
      </c>
      <c r="I147" s="2" t="inlineStr">
        <is>
          <t>Ejecución de las obras del Proyecto modificado de reforma de carpinterías en fachada norte del Parque de Bomberos de El Saler y del Proyecto de Diversas obras en los distintos Parques del Departamento de Bomberos, Prevención, Intervención en Emergencias y Protección Civil, (divido en dos lotes). --</t>
        </is>
      </c>
      <c r="J147" s="2" t="inlineStr">
        <is>
          <t>04101/2026/125-O</t>
        </is>
      </c>
      <c r="K147" s="2" t="inlineStr">
        <is>
          <t>Abierto</t>
        </is>
      </c>
      <c r="L147" s="6" t="n">
        <v>6</v>
      </c>
      <c r="M147" s="2" t="n"/>
      <c r="N147" s="7" t="n">
        <v>0.49</v>
      </c>
      <c r="O147" s="4" t="n">
        <v>2</v>
      </c>
      <c r="P147" s="2" t="inlineStr">
        <is>
          <t>45216100; 45216128</t>
        </is>
      </c>
      <c r="Q147" s="8" t="inlineStr">
        <is>
          <t>Ver</t>
        </is>
      </c>
      <c r="R147" s="8" t="inlineStr">
        <is>
          <t>PCAP</t>
        </is>
      </c>
      <c r="S147" s="9" t="n">
        <v>46314</v>
      </c>
      <c r="T147" s="3" t="n">
        <v>46318.428125</v>
      </c>
      <c r="U147" s="2" t="n"/>
    </row>
    <row r="148">
      <c r="A148" s="2" t="inlineStr">
        <is>
          <t>Resuelta</t>
        </is>
      </c>
      <c r="B148" s="3" t="n">
        <v>46290.45833333334</v>
      </c>
      <c r="C148" s="5" t="n">
        <v>29702.4</v>
      </c>
      <c r="D148" s="5" t="n">
        <v>29702.4</v>
      </c>
      <c r="E148" s="2" t="inlineStr">
        <is>
          <t>Comunitat Valenciana</t>
        </is>
      </c>
      <c r="F148" s="2" t="inlineStr">
        <is>
          <t>Alicante</t>
        </is>
      </c>
      <c r="G148" s="2" t="inlineStr">
        <is>
          <t>Alicante</t>
        </is>
      </c>
      <c r="H148" s="2" t="inlineStr">
        <is>
          <t>Jefatura de Intendencia de Asuntos Económicos Este</t>
        </is>
      </c>
      <c r="I148" s="2" t="inlineStr">
        <is>
          <t>USAC Alférez Rojas. Sustitución Ventanas en Edificios E0012 y E0013 por Mejora Eficiencia Energética en Acto. Alicante.</t>
        </is>
      </c>
      <c r="J148" s="2" t="inlineStr">
        <is>
          <t>2026/ETSAE0327/00005707E</t>
        </is>
      </c>
      <c r="K148" s="2" t="inlineStr">
        <is>
          <t>Abierto</t>
        </is>
      </c>
      <c r="L148" s="6" t="n">
        <v>1</v>
      </c>
      <c r="M148" s="2" t="n"/>
      <c r="N148" s="7" t="n">
        <v>0</v>
      </c>
      <c r="O148" s="4" t="n"/>
      <c r="P148" s="2" t="inlineStr">
        <is>
          <t>45421132</t>
        </is>
      </c>
      <c r="Q148" s="8" t="inlineStr">
        <is>
          <t>Ver</t>
        </is>
      </c>
      <c r="R148" s="8" t="inlineStr">
        <is>
          <t>PCAP</t>
        </is>
      </c>
      <c r="S148" s="9" t="n">
        <v>46321</v>
      </c>
      <c r="T148" s="3" t="n">
        <v>46318.42716435185</v>
      </c>
      <c r="U148" s="2" t="n"/>
    </row>
    <row r="149">
      <c r="A149" s="2" t="inlineStr">
        <is>
          <t>Resuelta</t>
        </is>
      </c>
      <c r="B149" s="3" t="n">
        <v>46225.5</v>
      </c>
      <c r="C149" s="5" t="n">
        <v>94260.33</v>
      </c>
      <c r="D149" s="5" t="n">
        <v>94260.33</v>
      </c>
      <c r="E149" s="2" t="inlineStr">
        <is>
          <t>Andalucía</t>
        </is>
      </c>
      <c r="F149" s="2" t="inlineStr">
        <is>
          <t>Málaga</t>
        </is>
      </c>
      <c r="G149" s="2" t="inlineStr">
        <is>
          <t>Casares (Málaga)</t>
        </is>
      </c>
      <c r="H149" s="2" t="inlineStr">
        <is>
          <t>Junta de Gobierno del Ayuntamiento de Casares</t>
        </is>
      </c>
      <c r="I149" s="2" t="inlineStr">
        <is>
          <t>"Arreglo camino la jordana. Caminos públicos: Jordana, Loma Matutes y Caules. T.M. de Casares (Málaga)"</t>
        </is>
      </c>
      <c r="J149" s="2" t="inlineStr">
        <is>
          <t>1403/2026</t>
        </is>
      </c>
      <c r="K149" s="2" t="inlineStr">
        <is>
          <t>Abierto simplificado</t>
        </is>
      </c>
      <c r="L149" s="6" t="n">
        <v>2</v>
      </c>
      <c r="M149" s="2" t="n"/>
      <c r="N149" s="7" t="n">
        <v>0</v>
      </c>
      <c r="O149" s="4" t="n"/>
      <c r="P149" s="2" t="inlineStr">
        <is>
          <t>45233222; 45233223</t>
        </is>
      </c>
      <c r="Q149" s="8" t="inlineStr">
        <is>
          <t>Ver</t>
        </is>
      </c>
      <c r="R149" s="8" t="inlineStr">
        <is>
          <t>PCAP</t>
        </is>
      </c>
      <c r="S149" s="9" t="n">
        <v>46318</v>
      </c>
      <c r="T149" s="3" t="n">
        <v>46318.4253587963</v>
      </c>
      <c r="U149" s="2" t="inlineStr">
        <is>
          <t>2026-10-26: estado ADJ → RES</t>
        </is>
      </c>
    </row>
    <row r="150">
      <c r="A150" s="2" t="inlineStr">
        <is>
          <t>En plazo</t>
        </is>
      </c>
      <c r="B150" s="3" t="n">
        <v>46344.99930555555</v>
      </c>
      <c r="C150" s="5" t="n">
        <v>2292565.93</v>
      </c>
      <c r="D150" s="5" t="n">
        <v>2292565.93</v>
      </c>
      <c r="E150" s="2" t="inlineStr">
        <is>
          <t>Comunitat Valenciana</t>
        </is>
      </c>
      <c r="F150" s="2" t="inlineStr">
        <is>
          <t>Valencia</t>
        </is>
      </c>
      <c r="G150" s="2" t="n"/>
      <c r="H150" s="2" t="inlineStr">
        <is>
          <t>Pleno del Ayuntamiento de Carlet</t>
        </is>
      </c>
      <c r="I150" s="2" t="inlineStr">
        <is>
          <t>Obras de restitución de la red de saneamiento y pluviales del barrio del Cortijo y reposición de pluviales en la calle Rafael Peris, financiadas con cargo al Fondo de Solidaridad de la Unión Europea</t>
        </is>
      </c>
      <c r="J150" s="2" t="inlineStr">
        <is>
          <t>3126/2026</t>
        </is>
      </c>
      <c r="K150" s="2" t="inlineStr">
        <is>
          <t>Abierto</t>
        </is>
      </c>
      <c r="L150" s="6" t="n">
        <v>9</v>
      </c>
      <c r="M150" s="2" t="inlineStr">
        <is>
          <t>E*-4</t>
        </is>
      </c>
      <c r="N150" s="7" t="n">
        <v>0</v>
      </c>
      <c r="O150" s="4" t="n"/>
      <c r="P150" s="2" t="inlineStr">
        <is>
          <t>45240000; 45232440; 45233200; 45232150</t>
        </is>
      </c>
      <c r="Q150" s="8" t="inlineStr">
        <is>
          <t>Ver</t>
        </is>
      </c>
      <c r="R150" s="8" t="inlineStr">
        <is>
          <t>PCAP</t>
        </is>
      </c>
      <c r="S150" s="9" t="n">
        <v>46321</v>
      </c>
      <c r="T150" s="3" t="n">
        <v>46318.42034722222</v>
      </c>
      <c r="U150" s="2" t="n"/>
    </row>
    <row r="151">
      <c r="A151" s="2" t="inlineStr">
        <is>
          <t>Pendiente de adjudicación</t>
        </is>
      </c>
      <c r="B151" s="3" t="n">
        <v>46308.5</v>
      </c>
      <c r="C151" s="5" t="n">
        <v>88488.39999999999</v>
      </c>
      <c r="D151" s="5" t="n">
        <v>88488.39999999999</v>
      </c>
      <c r="E151" s="2" t="inlineStr">
        <is>
          <t>Comunitat Valenciana</t>
        </is>
      </c>
      <c r="F151" s="2" t="inlineStr">
        <is>
          <t>Castellón</t>
        </is>
      </c>
      <c r="G151" s="2" t="inlineStr">
        <is>
          <t>Alfondeguilla</t>
        </is>
      </c>
      <c r="H151" s="2" t="inlineStr">
        <is>
          <t>Pleno del Ayuntamiento de Alfondeguilla</t>
        </is>
      </c>
      <c r="I151" s="2" t="inlineStr">
        <is>
          <t>Obra "acondicionamiento del acceso a la piscina municipal y casal jove de Alfondeguilla”</t>
        </is>
      </c>
      <c r="J151" s="2" t="inlineStr">
        <is>
          <t>310/2026</t>
        </is>
      </c>
      <c r="K151" s="2" t="inlineStr">
        <is>
          <t>Abierto simplificado</t>
        </is>
      </c>
      <c r="L151" s="6" t="n">
        <v>3</v>
      </c>
      <c r="M151" s="2" t="n"/>
      <c r="N151" s="7" t="n">
        <v>0</v>
      </c>
      <c r="O151" s="4" t="n"/>
      <c r="P151" s="2" t="inlineStr">
        <is>
          <t>45233252; 45212000; 45200000</t>
        </is>
      </c>
      <c r="Q151" s="8" t="inlineStr">
        <is>
          <t>Ver</t>
        </is>
      </c>
      <c r="R151" s="8" t="inlineStr">
        <is>
          <t>PCAP</t>
        </is>
      </c>
      <c r="S151" s="9" t="n">
        <v>46310</v>
      </c>
      <c r="T151" s="3" t="n">
        <v>46318.4194212963</v>
      </c>
      <c r="U151" s="2" t="n"/>
    </row>
    <row r="152">
      <c r="A152" s="2" t="inlineStr">
        <is>
          <t>Pendiente de adjudicación</t>
        </is>
      </c>
      <c r="B152" s="3" t="n">
        <v>46190.58333333334</v>
      </c>
      <c r="C152" s="5" t="n">
        <v>1116618.11</v>
      </c>
      <c r="D152" s="5" t="n">
        <v>1228279.92</v>
      </c>
      <c r="E152" s="2" t="inlineStr">
        <is>
          <t>Comunitat Valenciana</t>
        </is>
      </c>
      <c r="F152" s="2" t="inlineStr">
        <is>
          <t>Alicante</t>
        </is>
      </c>
      <c r="G152" s="2" t="n"/>
      <c r="H152" s="2" t="inlineStr">
        <is>
          <t>Vicepresidencia del Consejo de Administración de la Entidad Pública de Saneamiento de Aguas Residuales de la Comunidad Valenciana</t>
        </is>
      </c>
      <c r="I152" s="2" t="inlineStr">
        <is>
          <t>Ejecución de las obras de construcción del tratamiento terciario de la EDAR de Xixona (Alicante)</t>
        </is>
      </c>
      <c r="J152" s="2" t="inlineStr">
        <is>
          <t>CMAYOR/2026/EPSAR/0078</t>
        </is>
      </c>
      <c r="K152" s="2" t="inlineStr">
        <is>
          <t>Abierto simplificado</t>
        </is>
      </c>
      <c r="L152" s="6" t="n">
        <v>12</v>
      </c>
      <c r="M152" s="2" t="inlineStr">
        <is>
          <t>K8-4</t>
        </is>
      </c>
      <c r="N152" s="7" t="n">
        <v>0</v>
      </c>
      <c r="O152" s="4" t="n"/>
      <c r="P152" s="2" t="inlineStr">
        <is>
          <t>45232420</t>
        </is>
      </c>
      <c r="Q152" s="8" t="inlineStr">
        <is>
          <t>Ver</t>
        </is>
      </c>
      <c r="R152" s="8" t="inlineStr">
        <is>
          <t>PCAP</t>
        </is>
      </c>
      <c r="S152" s="9" t="n">
        <v>46321</v>
      </c>
      <c r="T152" s="3" t="n">
        <v>46318.41640046296</v>
      </c>
      <c r="U152" s="2" t="n"/>
    </row>
    <row r="153">
      <c r="A153" s="2" t="inlineStr">
        <is>
          <t>Pendiente de adjudicación</t>
        </is>
      </c>
      <c r="B153" s="3" t="n">
        <v>46279.99930555555</v>
      </c>
      <c r="C153" s="5" t="n">
        <v>155697.1</v>
      </c>
      <c r="D153" s="5" t="n">
        <v>202406.23</v>
      </c>
      <c r="E153" s="2" t="inlineStr">
        <is>
          <t>Comunitat Valenciana</t>
        </is>
      </c>
      <c r="F153" s="2" t="inlineStr">
        <is>
          <t>Castellón</t>
        </is>
      </c>
      <c r="G153" s="2" t="n"/>
      <c r="H153" s="2" t="inlineStr">
        <is>
          <t>Departamento de Salud de Vinaroz. Dirección Económica-Gerencia</t>
        </is>
      </c>
      <c r="I153" s="2" t="inlineStr">
        <is>
          <t>Ejecución de las obras de construcción y ampliación de salas destinadas a despachos en el hospital de Vinaròs</t>
        </is>
      </c>
      <c r="J153" s="2" t="inlineStr">
        <is>
          <t>PA 1245/2026</t>
        </is>
      </c>
      <c r="K153" s="2" t="inlineStr">
        <is>
          <t>Abierto</t>
        </is>
      </c>
      <c r="L153" s="6" t="n">
        <v>6</v>
      </c>
      <c r="M153" s="2" t="n"/>
      <c r="N153" s="7" t="n">
        <v>0.25</v>
      </c>
      <c r="O153" s="4" t="n"/>
      <c r="P153" s="2" t="inlineStr">
        <is>
          <t>45215100; 45000000; 45300000; 45215140; 45200000; 45262900</t>
        </is>
      </c>
      <c r="Q153" s="8" t="inlineStr">
        <is>
          <t>Ver</t>
        </is>
      </c>
      <c r="R153" s="8" t="inlineStr">
        <is>
          <t>PCAP</t>
        </is>
      </c>
      <c r="S153" s="9" t="n">
        <v>46310</v>
      </c>
      <c r="T153" s="3" t="n">
        <v>46318.41553240741</v>
      </c>
      <c r="U153" s="2" t="n"/>
    </row>
    <row r="154">
      <c r="A154" s="2" t="inlineStr">
        <is>
          <t>Pendiente de adjudicación</t>
        </is>
      </c>
      <c r="B154" s="3" t="n">
        <v>46279.99930555555</v>
      </c>
      <c r="C154" s="5" t="n">
        <v>2406538.47</v>
      </c>
      <c r="D154" s="5" t="n">
        <v>3128500.01</v>
      </c>
      <c r="E154" s="2" t="inlineStr">
        <is>
          <t>Comunitat Valenciana</t>
        </is>
      </c>
      <c r="F154" s="2" t="inlineStr">
        <is>
          <t>Castellón</t>
        </is>
      </c>
      <c r="G154" s="2" t="n"/>
      <c r="H154" s="2" t="inlineStr">
        <is>
          <t>Departamento de Salud de Vinaroz. Dirección Económica-Gerencia</t>
        </is>
      </c>
      <c r="I154" s="2" t="inlineStr">
        <is>
          <t>Ejecución de las obras de construcción de 18 nuevas consultas externas en el Hospital de Vinaròs</t>
        </is>
      </c>
      <c r="J154" s="2" t="inlineStr">
        <is>
          <t>PA 718/2026 bis</t>
        </is>
      </c>
      <c r="K154" s="2" t="inlineStr">
        <is>
          <t>Abierto</t>
        </is>
      </c>
      <c r="L154" s="6" t="n">
        <v>6</v>
      </c>
      <c r="M154" s="2" t="inlineStr">
        <is>
          <t>C*-5</t>
        </is>
      </c>
      <c r="N154" s="7" t="n">
        <v>0.2</v>
      </c>
      <c r="O154" s="4" t="n"/>
      <c r="P154" s="2" t="inlineStr">
        <is>
          <t>45215100; 45215140; 45300000; 45200000</t>
        </is>
      </c>
      <c r="Q154" s="8" t="inlineStr">
        <is>
          <t>Ver</t>
        </is>
      </c>
      <c r="R154" s="8" t="inlineStr">
        <is>
          <t>PCAP</t>
        </is>
      </c>
      <c r="S154" s="9" t="n">
        <v>46310</v>
      </c>
      <c r="T154" s="3" t="n">
        <v>46318.41462962963</v>
      </c>
      <c r="U154" s="2" t="n"/>
    </row>
    <row r="155">
      <c r="A155" s="2" t="inlineStr">
        <is>
          <t>Adjudicada</t>
        </is>
      </c>
      <c r="B155" s="3" t="n">
        <v>46272.99930555555</v>
      </c>
      <c r="C155" s="5" t="n">
        <v>48000</v>
      </c>
      <c r="D155" s="5" t="n">
        <v>48000</v>
      </c>
      <c r="E155" s="2" t="inlineStr">
        <is>
          <t>Andalucía</t>
        </is>
      </c>
      <c r="F155" s="2" t="inlineStr">
        <is>
          <t>Málaga</t>
        </is>
      </c>
      <c r="G155" s="2" t="n"/>
      <c r="H155" s="2" t="inlineStr">
        <is>
          <t>Dirección Gerencia de Limpieza de Málaga Sociedad Anónima Municipal</t>
        </is>
      </c>
      <c r="I155" s="2" t="inlineStr">
        <is>
          <t>Contratación de obras de adecuación, reposición y mantenimiento de diversos trabajos metálicos en diferentes zonas de las plantas existentes de tratamiento de residuos, con el fin de reparar zonas deterioradas, acondicionar zonas de paso, habilitar alternativas de alimentación, que mejoren la disponibilidad de las plantas.</t>
        </is>
      </c>
      <c r="J155" s="2" t="inlineStr">
        <is>
          <t>2026PL105</t>
        </is>
      </c>
      <c r="K155" s="2" t="inlineStr">
        <is>
          <t>Abierto simplificado</t>
        </is>
      </c>
      <c r="L155" s="6" t="n">
        <v>5</v>
      </c>
      <c r="M155" s="2" t="n"/>
      <c r="N155" s="7" t="n">
        <v>0</v>
      </c>
      <c r="O155" s="4" t="n"/>
      <c r="P155" s="2" t="inlineStr">
        <is>
          <t>45421160; 45223110</t>
        </is>
      </c>
      <c r="Q155" s="8" t="inlineStr">
        <is>
          <t>Ver</t>
        </is>
      </c>
      <c r="R155" s="8" t="inlineStr">
        <is>
          <t>PCAP</t>
        </is>
      </c>
      <c r="S155" s="9" t="n">
        <v>46321</v>
      </c>
      <c r="T155" s="3" t="n">
        <v>46318.41165509259</v>
      </c>
      <c r="U155" s="2" t="n"/>
    </row>
    <row r="156">
      <c r="A156" s="2" t="inlineStr">
        <is>
          <t>Adjudicada</t>
        </is>
      </c>
      <c r="B156" s="3" t="n">
        <v>45980.99930555555</v>
      </c>
      <c r="C156" s="5" t="n">
        <v>296216.74</v>
      </c>
      <c r="D156" s="5" t="n">
        <v>296216.74</v>
      </c>
      <c r="E156" s="2" t="inlineStr">
        <is>
          <t>Comunitat Valenciana</t>
        </is>
      </c>
      <c r="F156" s="2" t="inlineStr">
        <is>
          <t>Alicante</t>
        </is>
      </c>
      <c r="G156" s="2" t="n"/>
      <c r="H156" s="2" t="inlineStr">
        <is>
          <t>Presidencia de la Diputación Provincial de Alicante</t>
        </is>
      </c>
      <c r="I156" s="2" t="inlineStr">
        <is>
          <t>Obras Variante de la carretera CV-954, P.K. 0+550 en Torremendo – Alicante</t>
        </is>
      </c>
      <c r="J156" s="2" t="inlineStr">
        <is>
          <t>O6S-206/2025</t>
        </is>
      </c>
      <c r="K156" s="2" t="inlineStr">
        <is>
          <t>Abierto simplificado</t>
        </is>
      </c>
      <c r="L156" s="6" t="n">
        <v>3</v>
      </c>
      <c r="M156" s="2" t="n"/>
      <c r="N156" s="7" t="n">
        <v>0.25</v>
      </c>
      <c r="O156" s="4" t="n"/>
      <c r="P156" s="2" t="inlineStr">
        <is>
          <t>45233140</t>
        </is>
      </c>
      <c r="Q156" s="8" t="inlineStr">
        <is>
          <t>Ver</t>
        </is>
      </c>
      <c r="R156" s="8" t="inlineStr">
        <is>
          <t>PCAP</t>
        </is>
      </c>
      <c r="S156" s="9" t="n">
        <v>46321</v>
      </c>
      <c r="T156" s="3" t="n">
        <v>46318.4115625</v>
      </c>
      <c r="U156" s="2" t="n"/>
    </row>
    <row r="157">
      <c r="A157" s="2" t="inlineStr">
        <is>
          <t>Adjudicada</t>
        </is>
      </c>
      <c r="B157" s="3" t="n">
        <v>46251.99930555555</v>
      </c>
      <c r="C157" s="5" t="n">
        <v>259796.68</v>
      </c>
      <c r="D157" s="5" t="n">
        <v>259796.68</v>
      </c>
      <c r="E157" s="2" t="inlineStr">
        <is>
          <t>Andalucía</t>
        </is>
      </c>
      <c r="F157" s="2" t="inlineStr">
        <is>
          <t>Cádiz</t>
        </is>
      </c>
      <c r="G157" s="2" t="n"/>
      <c r="H157" s="2" t="inlineStr">
        <is>
          <t>Intendente de Rota</t>
        </is>
      </c>
      <c r="I157" s="2" t="inlineStr">
        <is>
          <t>Reparación y recorrido de portones en el sector de Polvorines, en la Base Naval de Rota.</t>
        </is>
      </c>
      <c r="J157" s="2" t="inlineStr">
        <is>
          <t>2026/AR46U/00001148E</t>
        </is>
      </c>
      <c r="K157" s="2" t="inlineStr">
        <is>
          <t>Abierto simplificado</t>
        </is>
      </c>
      <c r="L157" s="6" t="n">
        <v>6</v>
      </c>
      <c r="M157" s="2" t="n"/>
      <c r="N157" s="7" t="n">
        <v>0</v>
      </c>
      <c r="O157" s="4" t="n"/>
      <c r="P157" s="2" t="inlineStr">
        <is>
          <t>45421160</t>
        </is>
      </c>
      <c r="Q157" s="8" t="inlineStr">
        <is>
          <t>Ver</t>
        </is>
      </c>
      <c r="R157" s="8" t="inlineStr">
        <is>
          <t>PCAP</t>
        </is>
      </c>
      <c r="S157" s="9" t="n">
        <v>46321</v>
      </c>
      <c r="T157" s="3" t="n">
        <v>46318.40811342592</v>
      </c>
      <c r="U157" s="2" t="n"/>
    </row>
    <row r="158">
      <c r="A158" s="2" t="inlineStr">
        <is>
          <t>Resuelta</t>
        </is>
      </c>
      <c r="B158" s="3" t="n">
        <v>46296.45833333334</v>
      </c>
      <c r="C158" s="5" t="n">
        <v>39867.77</v>
      </c>
      <c r="D158" s="5" t="n">
        <v>39867.77</v>
      </c>
      <c r="E158" s="2" t="inlineStr">
        <is>
          <t>Comunitat Valenciana</t>
        </is>
      </c>
      <c r="F158" s="2" t="inlineStr">
        <is>
          <t>Castellón</t>
        </is>
      </c>
      <c r="G158" s="2" t="inlineStr">
        <is>
          <t>Grao de Castellón</t>
        </is>
      </c>
      <c r="H158" s="2" t="inlineStr">
        <is>
          <t>Jefatura de Intendencia de Asuntos Económicos Este</t>
        </is>
      </c>
      <c r="I158" s="2" t="inlineStr">
        <is>
          <t>Mantenimiento del pavimento de la explanada entre las pistas deportivas en la RM. La Plana - Castellón</t>
        </is>
      </c>
      <c r="J158" s="2" t="inlineStr">
        <is>
          <t>2026/ETSAE0327/00006212E</t>
        </is>
      </c>
      <c r="K158" s="2" t="inlineStr">
        <is>
          <t>Abierto</t>
        </is>
      </c>
      <c r="L158" s="6" t="n">
        <v>1</v>
      </c>
      <c r="M158" s="2" t="n"/>
      <c r="N158" s="7" t="n">
        <v>0</v>
      </c>
      <c r="O158" s="4" t="n"/>
      <c r="P158" s="2" t="inlineStr">
        <is>
          <t>45212290</t>
        </is>
      </c>
      <c r="Q158" s="8" t="inlineStr">
        <is>
          <t>Ver</t>
        </is>
      </c>
      <c r="R158" s="8" t="inlineStr">
        <is>
          <t>PCAP</t>
        </is>
      </c>
      <c r="S158" s="9" t="n">
        <v>46321</v>
      </c>
      <c r="T158" s="3" t="n">
        <v>46318.40513888889</v>
      </c>
      <c r="U158" s="2" t="n"/>
    </row>
    <row r="159">
      <c r="A159" s="2" t="inlineStr">
        <is>
          <t>Adjudicada</t>
        </is>
      </c>
      <c r="B159" s="3" t="n">
        <v>46238.99930555555</v>
      </c>
      <c r="C159" s="5" t="n">
        <v>53510.52</v>
      </c>
      <c r="D159" s="5" t="n">
        <v>53510.52</v>
      </c>
      <c r="E159" s="2" t="inlineStr">
        <is>
          <t>Andalucía</t>
        </is>
      </c>
      <c r="F159" s="2" t="inlineStr">
        <is>
          <t>Granada</t>
        </is>
      </c>
      <c r="G159" s="2" t="inlineStr">
        <is>
          <t>Monachil</t>
        </is>
      </c>
      <c r="H159" s="2" t="inlineStr">
        <is>
          <t>Junta de Gobierno del Ayuntamiento de Monachil</t>
        </is>
      </c>
      <c r="I159" s="2" t="inlineStr">
        <is>
          <t>Obras de Refuerzo de Firme</t>
        </is>
      </c>
      <c r="J159" s="2" t="inlineStr">
        <is>
          <t>2463/2026</t>
        </is>
      </c>
      <c r="K159" s="2" t="inlineStr">
        <is>
          <t>Abierto simplificado</t>
        </is>
      </c>
      <c r="L159" s="6" t="n">
        <v>1</v>
      </c>
      <c r="M159" s="2" t="n"/>
      <c r="N159" s="7" t="n">
        <v>0</v>
      </c>
      <c r="O159" s="4" t="n"/>
      <c r="P159" s="2" t="inlineStr">
        <is>
          <t>45233200; 45233222</t>
        </is>
      </c>
      <c r="Q159" s="8" t="inlineStr">
        <is>
          <t>Ver</t>
        </is>
      </c>
      <c r="R159" s="8" t="inlineStr">
        <is>
          <t>PCAP</t>
        </is>
      </c>
      <c r="S159" s="9" t="n">
        <v>46310</v>
      </c>
      <c r="T159" s="3" t="n">
        <v>46318.405</v>
      </c>
      <c r="U159" s="2" t="inlineStr">
        <is>
          <t>2026-10-26: estado EV → ADJ</t>
        </is>
      </c>
    </row>
    <row r="160">
      <c r="A160" s="2" t="inlineStr">
        <is>
          <t>Pendiente de adjudicación</t>
        </is>
      </c>
      <c r="B160" s="3" t="n">
        <v>46253.99930555555</v>
      </c>
      <c r="C160" s="5" t="n">
        <v>453634.2</v>
      </c>
      <c r="D160" s="5" t="n">
        <v>453634.2</v>
      </c>
      <c r="E160" s="2" t="inlineStr">
        <is>
          <t>Andalucía</t>
        </is>
      </c>
      <c r="F160" s="2" t="inlineStr">
        <is>
          <t>Sevilla</t>
        </is>
      </c>
      <c r="G160" s="2" t="n"/>
      <c r="H160" s="2" t="inlineStr">
        <is>
          <t>Junta de Gobierno del Ayuntamiento de Dos Hermanas</t>
        </is>
      </c>
      <c r="I160" s="2" t="inlineStr">
        <is>
          <t>Mejora Urbana en Calle Cerro de la Atalaya</t>
        </is>
      </c>
      <c r="J160" s="2" t="inlineStr">
        <is>
          <t>2026000001</t>
        </is>
      </c>
      <c r="K160" s="2" t="inlineStr">
        <is>
          <t>Abierto simplificado</t>
        </is>
      </c>
      <c r="L160" s="6" t="n">
        <v>8</v>
      </c>
      <c r="M160" s="2" t="n"/>
      <c r="N160" s="7" t="n">
        <v>0</v>
      </c>
      <c r="O160" s="4" t="n"/>
      <c r="P160" s="2" t="inlineStr">
        <is>
          <t>45112000; 45233200</t>
        </is>
      </c>
      <c r="Q160" s="8" t="inlineStr">
        <is>
          <t>Ver</t>
        </is>
      </c>
      <c r="R160" s="8" t="inlineStr">
        <is>
          <t>PCAP</t>
        </is>
      </c>
      <c r="S160" s="9" t="n">
        <v>46317</v>
      </c>
      <c r="T160" s="3" t="n">
        <v>46318.4044212963</v>
      </c>
      <c r="U160" s="2" t="n"/>
    </row>
    <row r="161">
      <c r="A161" s="2" t="inlineStr">
        <is>
          <t>En plazo</t>
        </is>
      </c>
      <c r="B161" s="3" t="n">
        <v>46330.99930555555</v>
      </c>
      <c r="C161" s="5" t="n">
        <v>125511.8</v>
      </c>
      <c r="D161" s="5" t="n">
        <v>125511.8</v>
      </c>
      <c r="E161" s="2" t="inlineStr">
        <is>
          <t>Comunitat Valenciana</t>
        </is>
      </c>
      <c r="F161" s="2" t="inlineStr">
        <is>
          <t>Valencia</t>
        </is>
      </c>
      <c r="G161" s="2" t="inlineStr">
        <is>
          <t>GUADASSUAR</t>
        </is>
      </c>
      <c r="H161" s="2" t="inlineStr">
        <is>
          <t>Junta de Gobierno del Ayuntamiento de Guadassuar</t>
        </is>
      </c>
      <c r="I161" s="2" t="inlineStr">
        <is>
          <t>Contrato de obras para la ejecución de la actuación de la obra civil para la implantación de la fibra óptica</t>
        </is>
      </c>
      <c r="J161" s="2" t="inlineStr">
        <is>
          <t>3031043H</t>
        </is>
      </c>
      <c r="K161" s="2" t="inlineStr">
        <is>
          <t>Abierto</t>
        </is>
      </c>
      <c r="L161" s="6" t="n">
        <v>2</v>
      </c>
      <c r="M161" s="2" t="n"/>
      <c r="N161" s="7" t="n">
        <v>0</v>
      </c>
      <c r="O161" s="4" t="n"/>
      <c r="P161" s="2" t="inlineStr">
        <is>
          <t>45231600</t>
        </is>
      </c>
      <c r="Q161" s="8" t="inlineStr">
        <is>
          <t>Ver</t>
        </is>
      </c>
      <c r="R161" s="8" t="inlineStr">
        <is>
          <t>PCAP</t>
        </is>
      </c>
      <c r="S161" s="9" t="n">
        <v>46318</v>
      </c>
      <c r="T161" s="3" t="n">
        <v>46318.40387731481</v>
      </c>
      <c r="U161" s="2" t="n"/>
    </row>
    <row r="162">
      <c r="A162" s="2" t="inlineStr">
        <is>
          <t>Resuelta</t>
        </is>
      </c>
      <c r="B162" s="3" t="n">
        <v>45462.58333333334</v>
      </c>
      <c r="C162" s="5" t="n">
        <v>747320.71</v>
      </c>
      <c r="D162" s="5" t="n">
        <v>747320.71</v>
      </c>
      <c r="E162" s="2" t="inlineStr">
        <is>
          <t>Comunitat Valenciana</t>
        </is>
      </c>
      <c r="F162" s="2" t="inlineStr">
        <is>
          <t>Valencia</t>
        </is>
      </c>
      <c r="G162" s="2" t="n"/>
      <c r="H162" s="2" t="inlineStr">
        <is>
          <t>Departamento de Salud Valencia Dr. Peset. Dirección Económica-Gerencia</t>
        </is>
      </c>
      <c r="I162" s="2" t="inlineStr">
        <is>
          <t>Obra de reparación estructural y bóvedas del Centro de Salud Fuente de San Luis del Departamento de Salud Valencia-Doctor Peset, sostenible y respetuosa con el medio ambiente. Lote único.</t>
        </is>
      </c>
      <c r="J162" s="2" t="inlineStr">
        <is>
          <t>PAS 616/2024</t>
        </is>
      </c>
      <c r="K162" s="2" t="inlineStr">
        <is>
          <t>Abierto simplificado</t>
        </is>
      </c>
      <c r="L162" s="6" t="n">
        <v>9</v>
      </c>
      <c r="M162" s="2" t="n"/>
      <c r="N162" s="7" t="n">
        <v>0.25</v>
      </c>
      <c r="O162" s="4" t="n"/>
      <c r="P162" s="2" t="inlineStr">
        <is>
          <t>45261000</t>
        </is>
      </c>
      <c r="Q162" s="8" t="inlineStr">
        <is>
          <t>Ver</t>
        </is>
      </c>
      <c r="R162" s="8" t="inlineStr">
        <is>
          <t>PCAP</t>
        </is>
      </c>
      <c r="S162" s="9" t="n">
        <v>46321</v>
      </c>
      <c r="T162" s="3" t="n">
        <v>46318.40346064815</v>
      </c>
      <c r="U162" s="2" t="n"/>
    </row>
    <row r="163">
      <c r="A163" s="2" t="inlineStr">
        <is>
          <t>Pendiente de adjudicación</t>
        </is>
      </c>
      <c r="B163" s="3" t="n">
        <v>46245.99930555555</v>
      </c>
      <c r="C163" s="5" t="n">
        <v>177332.61</v>
      </c>
      <c r="D163" s="5" t="n">
        <v>177332.61</v>
      </c>
      <c r="E163" s="2" t="inlineStr">
        <is>
          <t>Andalucía</t>
        </is>
      </c>
      <c r="F163" s="2" t="inlineStr">
        <is>
          <t>Almería</t>
        </is>
      </c>
      <c r="G163" s="2" t="n"/>
      <c r="H163" s="2" t="inlineStr">
        <is>
          <t>Junta de Gobierno del Ayuntamiento de Almería</t>
        </is>
      </c>
      <c r="I163" s="2" t="inlineStr">
        <is>
          <t>Contrato de Obras para la reposición y reparación de barandillas en vía pública</t>
        </is>
      </c>
      <c r="J163" s="2" t="inlineStr">
        <is>
          <t>AYAL-2026000152</t>
        </is>
      </c>
      <c r="K163" s="2" t="inlineStr">
        <is>
          <t>Abierto simplificado</t>
        </is>
      </c>
      <c r="L163" s="6" t="n">
        <v>3</v>
      </c>
      <c r="M163" s="2" t="n"/>
      <c r="N163" s="7" t="n">
        <v>0</v>
      </c>
      <c r="O163" s="4" t="n"/>
      <c r="P163" s="2" t="inlineStr">
        <is>
          <t>45342000; 45262640; 45233293</t>
        </is>
      </c>
      <c r="Q163" s="8" t="inlineStr">
        <is>
          <t>Ver</t>
        </is>
      </c>
      <c r="R163" s="8" t="inlineStr">
        <is>
          <t>PCAP</t>
        </is>
      </c>
      <c r="S163" s="9" t="n">
        <v>46310</v>
      </c>
      <c r="T163" s="3" t="n">
        <v>46318.40318287037</v>
      </c>
      <c r="U163" s="2" t="n"/>
    </row>
    <row r="164">
      <c r="A164" s="2" t="inlineStr">
        <is>
          <t>Resuelta</t>
        </is>
      </c>
      <c r="B164" s="3" t="n">
        <v>46174.58333333334</v>
      </c>
      <c r="C164" s="5" t="n">
        <v>560234.4</v>
      </c>
      <c r="D164" s="5" t="n">
        <v>560234.4</v>
      </c>
      <c r="E164" s="2" t="inlineStr">
        <is>
          <t>Andalucía</t>
        </is>
      </c>
      <c r="F164" s="2" t="inlineStr">
        <is>
          <t>Córdoba</t>
        </is>
      </c>
      <c r="G164" s="2" t="n"/>
      <c r="H164" s="2" t="inlineStr">
        <is>
          <t>Consejo de Administración de la Empresa Municipal Saneamientos de Córdoba S.A. (SADECO)</t>
        </is>
      </c>
      <c r="I164" s="2" t="inlineStr">
        <is>
          <t>Contrato de obras para el sellado de la zona 5 del vertedero de apoyo del Complejo Medioambiental de Córdoba Juan Revilla</t>
        </is>
      </c>
      <c r="J164" s="2" t="inlineStr">
        <is>
          <t>Exp C26/40</t>
        </is>
      </c>
      <c r="K164" s="2" t="inlineStr">
        <is>
          <t>Abierto</t>
        </is>
      </c>
      <c r="L164" s="6" t="n">
        <v>3</v>
      </c>
      <c r="M164" s="2" t="inlineStr">
        <is>
          <t>A1-3</t>
        </is>
      </c>
      <c r="N164" s="7" t="n">
        <v>0.3</v>
      </c>
      <c r="O164" s="4" t="n"/>
      <c r="P164" s="2" t="inlineStr">
        <is>
          <t>45000000; 45100000</t>
        </is>
      </c>
      <c r="Q164" s="8" t="inlineStr">
        <is>
          <t>Ver</t>
        </is>
      </c>
      <c r="R164" s="8" t="inlineStr">
        <is>
          <t>PCAP</t>
        </is>
      </c>
      <c r="S164" s="9" t="n">
        <v>46321</v>
      </c>
      <c r="T164" s="3" t="n">
        <v>46318.40292824074</v>
      </c>
      <c r="U164" s="2" t="n"/>
    </row>
    <row r="165">
      <c r="A165" s="2" t="inlineStr">
        <is>
          <t>Adjudicada</t>
        </is>
      </c>
      <c r="B165" s="3" t="n">
        <v>46223.54166666666</v>
      </c>
      <c r="C165" s="5" t="n">
        <v>4839880.66</v>
      </c>
      <c r="D165" s="5" t="n">
        <v>4839880.66</v>
      </c>
      <c r="E165" s="2" t="inlineStr">
        <is>
          <t>Comunitat Valenciana</t>
        </is>
      </c>
      <c r="F165" s="2" t="inlineStr">
        <is>
          <t>Alicante</t>
        </is>
      </c>
      <c r="G165" s="2" t="n"/>
      <c r="H165" s="2" t="inlineStr">
        <is>
          <t>Junta de Gobierno Local del Ayuntamiento de Alicante</t>
        </is>
      </c>
      <c r="I165" s="2" t="inlineStr">
        <is>
          <t>Obras de ejecución del CEIP La Cañada del Fenollar, financiadas mediante el programa EDIFICANT de la Generalitat Valenciana</t>
        </is>
      </c>
      <c r="J165" s="2" t="inlineStr">
        <is>
          <t>70/26</t>
        </is>
      </c>
      <c r="K165" s="2" t="inlineStr">
        <is>
          <t>Abierto</t>
        </is>
      </c>
      <c r="L165" s="6" t="n">
        <v>22</v>
      </c>
      <c r="M165" s="2" t="inlineStr">
        <is>
          <t>C*-5</t>
        </is>
      </c>
      <c r="N165" s="7" t="n">
        <v>0.316</v>
      </c>
      <c r="O165" s="4" t="n"/>
      <c r="P165" s="2" t="inlineStr">
        <is>
          <t>45214200</t>
        </is>
      </c>
      <c r="Q165" s="8" t="inlineStr">
        <is>
          <t>Ver</t>
        </is>
      </c>
      <c r="R165" s="8" t="inlineStr">
        <is>
          <t>PCAP</t>
        </is>
      </c>
      <c r="S165" s="9" t="n">
        <v>46321</v>
      </c>
      <c r="T165" s="3" t="n">
        <v>46318.39940972222</v>
      </c>
      <c r="U165" s="2" t="n"/>
    </row>
    <row r="166">
      <c r="A166" s="2" t="inlineStr">
        <is>
          <t>En plazo</t>
        </is>
      </c>
      <c r="B166" s="3" t="n">
        <v>46337.58333333334</v>
      </c>
      <c r="C166" s="5" t="n">
        <v>153220.61</v>
      </c>
      <c r="D166" s="5" t="n">
        <v>153220.61</v>
      </c>
      <c r="E166" s="2" t="inlineStr">
        <is>
          <t>Andalucía</t>
        </is>
      </c>
      <c r="F166" s="2" t="inlineStr">
        <is>
          <t>Jaén</t>
        </is>
      </c>
      <c r="G166" s="2" t="n"/>
      <c r="H166" s="2" t="inlineStr">
        <is>
          <t>Rectorado de la Universidad de Jaén</t>
        </is>
      </c>
      <c r="I166" s="2" t="inlineStr">
        <is>
          <t>Obras de adaptación de la planta baja del Edificio Aulario para la Casa del Estudiantado de Linares</t>
        </is>
      </c>
      <c r="J166" s="2" t="inlineStr">
        <is>
          <t>EXO-2026/06</t>
        </is>
      </c>
      <c r="K166" s="2" t="inlineStr">
        <is>
          <t>Abierto simplificado</t>
        </is>
      </c>
      <c r="L166" s="6" t="n">
        <v>4</v>
      </c>
      <c r="M166" s="2" t="n"/>
      <c r="N166" s="7" t="n">
        <v>0.25</v>
      </c>
      <c r="O166" s="4" t="n"/>
      <c r="P166" s="2" t="inlineStr">
        <is>
          <t>45000000</t>
        </is>
      </c>
      <c r="Q166" s="8" t="inlineStr">
        <is>
          <t>Ver</t>
        </is>
      </c>
      <c r="R166" s="8" t="inlineStr">
        <is>
          <t>PCAP</t>
        </is>
      </c>
      <c r="S166" s="9" t="n">
        <v>46318</v>
      </c>
      <c r="T166" s="3" t="n">
        <v>46318.39936342592</v>
      </c>
      <c r="U166" s="2" t="n"/>
    </row>
    <row r="167">
      <c r="A167" s="2" t="inlineStr">
        <is>
          <t>Pendiente de adjudicación</t>
        </is>
      </c>
      <c r="B167" s="3" t="n">
        <v>46276.99930555555</v>
      </c>
      <c r="C167" s="5" t="n">
        <v>982418.9</v>
      </c>
      <c r="D167" s="5" t="n">
        <v>982418.9</v>
      </c>
      <c r="E167" s="2" t="inlineStr">
        <is>
          <t>Andalucía</t>
        </is>
      </c>
      <c r="F167" s="2" t="inlineStr">
        <is>
          <t>Sevilla</t>
        </is>
      </c>
      <c r="G167" s="2" t="n"/>
      <c r="H167" s="2" t="inlineStr">
        <is>
          <t>Presidencia de la Diputación Provincial de Sevilla</t>
        </is>
      </c>
      <c r="I167" s="2" t="inlineStr">
        <is>
          <t>Obras de electrificación para culminación del nuevo bombeo en el sistema de abastecimiento de Las Navas de la Concepción (Sevilla)</t>
        </is>
      </c>
      <c r="J167" s="2" t="inlineStr">
        <is>
          <t>2026/000603-PAAS</t>
        </is>
      </c>
      <c r="K167" s="2" t="inlineStr">
        <is>
          <t>Abierto simplificado</t>
        </is>
      </c>
      <c r="L167" s="6" t="n">
        <v>12</v>
      </c>
      <c r="M167" s="2" t="inlineStr">
        <is>
          <t>I6-2; I5-3</t>
        </is>
      </c>
      <c r="N167" s="7" t="n">
        <v>0.25</v>
      </c>
      <c r="O167" s="4" t="n"/>
      <c r="P167" s="2" t="inlineStr">
        <is>
          <t>45315300</t>
        </is>
      </c>
      <c r="Q167" s="8" t="inlineStr">
        <is>
          <t>Ver</t>
        </is>
      </c>
      <c r="R167" s="8" t="inlineStr">
        <is>
          <t>PCAP</t>
        </is>
      </c>
      <c r="S167" s="9" t="n">
        <v>46321</v>
      </c>
      <c r="T167" s="3" t="n">
        <v>46318.39857638889</v>
      </c>
      <c r="U167" s="2" t="n"/>
    </row>
    <row r="168">
      <c r="A168" s="2" t="inlineStr">
        <is>
          <t>Pendiente de adjudicación</t>
        </is>
      </c>
      <c r="B168" s="3" t="n">
        <v>46316.99930555555</v>
      </c>
      <c r="C168" s="5" t="n">
        <v>296679.88</v>
      </c>
      <c r="D168" s="5" t="n">
        <v>296679.88</v>
      </c>
      <c r="E168" s="2" t="inlineStr">
        <is>
          <t>Comunitat Valenciana</t>
        </is>
      </c>
      <c r="F168" s="2" t="inlineStr">
        <is>
          <t>Castellón</t>
        </is>
      </c>
      <c r="G168" s="2" t="n"/>
      <c r="H168" s="2" t="inlineStr">
        <is>
          <t>Junta de Gobierno del Ayuntamiento de Castellón de la Plana</t>
        </is>
      </c>
      <c r="I168" s="2" t="inlineStr">
        <is>
          <t>Obras de reforma de las escuelas municipales infantiles: Chupetes, Biberons y Peücs.</t>
        </is>
      </c>
      <c r="J168" s="2" t="inlineStr">
        <is>
          <t>3632_1/2026</t>
        </is>
      </c>
      <c r="K168" s="2" t="inlineStr">
        <is>
          <t>Abierto</t>
        </is>
      </c>
      <c r="L168" s="6" t="n">
        <v>1.9</v>
      </c>
      <c r="M168" s="2" t="n"/>
      <c r="N168" s="7" t="n">
        <v>0.471</v>
      </c>
      <c r="O168" s="4" t="n"/>
      <c r="P168" s="2" t="inlineStr">
        <is>
          <t>45453100; 45331000</t>
        </is>
      </c>
      <c r="Q168" s="8" t="inlineStr">
        <is>
          <t>Ver</t>
        </is>
      </c>
      <c r="R168" s="8" t="inlineStr">
        <is>
          <t>PCAP</t>
        </is>
      </c>
      <c r="S168" s="9" t="n">
        <v>46321</v>
      </c>
      <c r="T168" s="3" t="n">
        <v>46318.39800925926</v>
      </c>
      <c r="U168" s="2" t="n"/>
    </row>
    <row r="169">
      <c r="A169" s="2" t="inlineStr">
        <is>
          <t>Resuelta</t>
        </is>
      </c>
      <c r="B169" s="3" t="n">
        <v>46280.99930555555</v>
      </c>
      <c r="C169" s="5" t="n">
        <v>380165.29</v>
      </c>
      <c r="D169" s="5" t="n">
        <v>380165.29</v>
      </c>
      <c r="E169" s="2" t="inlineStr">
        <is>
          <t>Andalucía</t>
        </is>
      </c>
      <c r="F169" s="2" t="inlineStr">
        <is>
          <t>Cádiz</t>
        </is>
      </c>
      <c r="G169" s="2" t="inlineStr">
        <is>
          <t>SAN JOSE DEL VALLE</t>
        </is>
      </c>
      <c r="H169" s="2" t="inlineStr">
        <is>
          <t>Alcaldía del Ayuntamiento de San José del Valle</t>
        </is>
      </c>
      <c r="I169" s="2" t="inlineStr">
        <is>
          <t>Rehabilitación del Pabellón Polideportivo Municipal Manuel Barroso Garrido. Plan de Cooperación a las Obras y Servicios de Competencia Municipal PPCOS 2026-2027 (Diputación de Cádiz).Subvención Ministerio Política Territorial Real Decreto Ley 5-2026</t>
        </is>
      </c>
      <c r="J169" s="2" t="inlineStr">
        <is>
          <t>2254-2026</t>
        </is>
      </c>
      <c r="K169" s="2" t="inlineStr">
        <is>
          <t>Abierto simplificado</t>
        </is>
      </c>
      <c r="L169" s="6" t="n">
        <v>6</v>
      </c>
      <c r="M169" s="2" t="n"/>
      <c r="N169" s="7" t="n">
        <v>0</v>
      </c>
      <c r="O169" s="4" t="n"/>
      <c r="P169" s="2" t="inlineStr">
        <is>
          <t>45000000; 45200000</t>
        </is>
      </c>
      <c r="Q169" s="8" t="inlineStr">
        <is>
          <t>Ver</t>
        </is>
      </c>
      <c r="R169" s="8" t="inlineStr">
        <is>
          <t>PCAP</t>
        </is>
      </c>
      <c r="S169" s="9" t="n">
        <v>46321</v>
      </c>
      <c r="T169" s="3" t="n">
        <v>46318.39741898148</v>
      </c>
      <c r="U169" s="2" t="n"/>
    </row>
    <row r="170">
      <c r="A170" s="2" t="inlineStr">
        <is>
          <t>Resuelta</t>
        </is>
      </c>
      <c r="B170" s="3" t="n">
        <v>46308.45833333334</v>
      </c>
      <c r="C170" s="5" t="n">
        <v>85856.34</v>
      </c>
      <c r="D170" s="5" t="n">
        <v>85856.34</v>
      </c>
      <c r="E170" s="2" t="inlineStr">
        <is>
          <t>Andalucía</t>
        </is>
      </c>
      <c r="F170" s="2" t="inlineStr">
        <is>
          <t>Córdoba</t>
        </is>
      </c>
      <c r="G170" s="2" t="n"/>
      <c r="H170" s="2" t="inlineStr">
        <is>
          <t>ADIF - Presidencia</t>
        </is>
      </c>
      <c r="I170" s="2" t="inlineStr">
        <is>
          <t>Obras de ejecución del Proyecto de Nuevo Gabinete de Circulación Tipo en la Estación de Palma del Río (Córdoba).</t>
        </is>
      </c>
      <c r="J170" s="2" t="inlineStr">
        <is>
          <t>3.26/46506.0046</t>
        </is>
      </c>
      <c r="K170" s="2" t="inlineStr">
        <is>
          <t>Abierto simplificado</t>
        </is>
      </c>
      <c r="L170" s="6" t="n">
        <v>6</v>
      </c>
      <c r="M170" s="2" t="inlineStr">
        <is>
          <t>C2-1</t>
        </is>
      </c>
      <c r="N170" s="7" t="n">
        <v>0</v>
      </c>
      <c r="O170" s="4" t="n"/>
      <c r="P170" s="2" t="inlineStr">
        <is>
          <t>45223000</t>
        </is>
      </c>
      <c r="Q170" s="8" t="inlineStr">
        <is>
          <t>Ver</t>
        </is>
      </c>
      <c r="R170" s="8" t="inlineStr">
        <is>
          <t>PCAP</t>
        </is>
      </c>
      <c r="S170" s="9" t="n">
        <v>46321</v>
      </c>
      <c r="T170" s="3" t="n">
        <v>46318.39679398148</v>
      </c>
      <c r="U170" s="2" t="n"/>
    </row>
    <row r="171">
      <c r="A171" s="2" t="inlineStr">
        <is>
          <t>Pendiente de adjudicación</t>
        </is>
      </c>
      <c r="B171" s="3" t="n">
        <v>46300.99930555555</v>
      </c>
      <c r="C171" s="5" t="n">
        <v>485250</v>
      </c>
      <c r="D171" s="5" t="n">
        <v>485250</v>
      </c>
      <c r="E171" s="2" t="inlineStr">
        <is>
          <t>Comunitat Valenciana</t>
        </is>
      </c>
      <c r="F171" s="2" t="inlineStr">
        <is>
          <t>Valencia</t>
        </is>
      </c>
      <c r="G171" s="2" t="inlineStr">
        <is>
          <t>Real</t>
        </is>
      </c>
      <c r="H171" s="2" t="inlineStr">
        <is>
          <t>Pleno del Ajuntament de Real</t>
        </is>
      </c>
      <c r="I171" s="2" t="inlineStr">
        <is>
          <t>Contrato de obras de adecuación de aparcamiento público previsto en el PMUS de Real e integración ambiental de su entorno en las parcelas 61,62 y 64 del polígono 1 y en el número 6 de la calle Mariano Nieto y Vicente Galdón.</t>
        </is>
      </c>
      <c r="J171" s="2" t="inlineStr">
        <is>
          <t>1211/2026</t>
        </is>
      </c>
      <c r="K171" s="2" t="inlineStr">
        <is>
          <t>Abierto simplificado</t>
        </is>
      </c>
      <c r="L171" s="6" t="n">
        <v>5</v>
      </c>
      <c r="M171" s="2" t="n"/>
      <c r="N171" s="7" t="n">
        <v>0</v>
      </c>
      <c r="O171" s="4" t="n"/>
      <c r="P171" s="2" t="inlineStr">
        <is>
          <t>45233140; 45112723; 45200000; 45316100; 45233262; 45232452; 45233222</t>
        </is>
      </c>
      <c r="Q171" s="8" t="inlineStr">
        <is>
          <t>Ver</t>
        </is>
      </c>
      <c r="R171" s="8" t="inlineStr">
        <is>
          <t>PCAP</t>
        </is>
      </c>
      <c r="S171" s="9" t="n">
        <v>46321</v>
      </c>
      <c r="T171" s="3" t="n">
        <v>46318.3946412037</v>
      </c>
      <c r="U171" s="2" t="n"/>
    </row>
    <row r="172">
      <c r="A172" s="2" t="inlineStr">
        <is>
          <t>Pendiente de adjudicación</t>
        </is>
      </c>
      <c r="B172" s="3" t="n">
        <v>46280.99930555555</v>
      </c>
      <c r="C172" s="5" t="n">
        <v>382644.51</v>
      </c>
      <c r="D172" s="5" t="n">
        <v>382644.51</v>
      </c>
      <c r="E172" s="2" t="inlineStr">
        <is>
          <t>Comunitat Valenciana</t>
        </is>
      </c>
      <c r="F172" s="2" t="inlineStr">
        <is>
          <t>Alicante</t>
        </is>
      </c>
      <c r="G172" s="2" t="n"/>
      <c r="H172" s="2" t="inlineStr">
        <is>
          <t>Presidencia de la Diputación Provincial de Alicante</t>
        </is>
      </c>
      <c r="I172" s="2" t="inlineStr">
        <is>
          <t>"Obras de mejora de la captación de agua en alta por medio de la conexión del depósito Busot con el depósito municipal, en el municipio de Busot"</t>
        </is>
      </c>
      <c r="J172" s="2" t="inlineStr">
        <is>
          <t>O6S-077/2026</t>
        </is>
      </c>
      <c r="K172" s="2" t="inlineStr">
        <is>
          <t>Abierto simplificado</t>
        </is>
      </c>
      <c r="L172" s="6" t="n">
        <v>4</v>
      </c>
      <c r="M172" s="2" t="n"/>
      <c r="N172" s="7" t="n">
        <v>0.25</v>
      </c>
      <c r="O172" s="4" t="n"/>
      <c r="P172" s="2" t="inlineStr">
        <is>
          <t>45232150; 45232152</t>
        </is>
      </c>
      <c r="Q172" s="8" t="inlineStr">
        <is>
          <t>Ver</t>
        </is>
      </c>
      <c r="R172" s="8" t="inlineStr">
        <is>
          <t>PCAP</t>
        </is>
      </c>
      <c r="S172" s="9" t="n">
        <v>46321</v>
      </c>
      <c r="T172" s="3" t="n">
        <v>46318.39335648148</v>
      </c>
      <c r="U172" s="2" t="n"/>
    </row>
    <row r="173">
      <c r="A173" s="2" t="inlineStr">
        <is>
          <t>Pendiente de adjudicación</t>
        </is>
      </c>
      <c r="B173" s="3" t="n">
        <v>46314.99930555555</v>
      </c>
      <c r="C173" s="5" t="n">
        <v>79990</v>
      </c>
      <c r="D173" s="5" t="n">
        <v>79990</v>
      </c>
      <c r="E173" s="2" t="inlineStr">
        <is>
          <t>Comunitat Valenciana</t>
        </is>
      </c>
      <c r="F173" s="2" t="inlineStr">
        <is>
          <t>Alicante</t>
        </is>
      </c>
      <c r="G173" s="2" t="n"/>
      <c r="H173" s="2" t="inlineStr">
        <is>
          <t>Teniente de Alcalde de Contratación Pública del Ayuntamiento de Elche</t>
        </is>
      </c>
      <c r="I173" s="2" t="inlineStr">
        <is>
          <t>Contrato de obras de ejecución del Proyecto de Transformación Inteligente de la Sala de Estudios Municipal de Altábix</t>
        </is>
      </c>
      <c r="J173" s="2" t="inlineStr">
        <is>
          <t>OBR/ABR_SP_SMPL/2026000159</t>
        </is>
      </c>
      <c r="K173" s="2" t="inlineStr">
        <is>
          <t>Abierto simplificado</t>
        </is>
      </c>
      <c r="L173" s="6" t="n">
        <v>1</v>
      </c>
      <c r="M173" s="2" t="n"/>
      <c r="N173" s="7" t="n">
        <v>0</v>
      </c>
      <c r="O173" s="4" t="n"/>
      <c r="P173" s="2" t="inlineStr">
        <is>
          <t>45262520; 45314310; 45311000; 32523000</t>
        </is>
      </c>
      <c r="Q173" s="8" t="inlineStr">
        <is>
          <t>Ver</t>
        </is>
      </c>
      <c r="R173" s="8" t="inlineStr">
        <is>
          <t>PCAP</t>
        </is>
      </c>
      <c r="S173" s="9" t="n">
        <v>46314</v>
      </c>
      <c r="T173" s="3" t="n">
        <v>46318.39158564815</v>
      </c>
      <c r="U173" s="2" t="inlineStr">
        <is>
          <t>2026-10-22: estado PUB → EV</t>
        </is>
      </c>
    </row>
    <row r="174">
      <c r="A174" s="2" t="inlineStr">
        <is>
          <t>Resuelta</t>
        </is>
      </c>
      <c r="B174" s="3" t="n">
        <v>46315.99930555555</v>
      </c>
      <c r="C174" s="5" t="n">
        <v>826446.28</v>
      </c>
      <c r="D174" s="5" t="n">
        <v>826446.28</v>
      </c>
      <c r="E174" s="2" t="inlineStr">
        <is>
          <t>Andalucía</t>
        </is>
      </c>
      <c r="F174" s="2" t="inlineStr">
        <is>
          <t>Málaga</t>
        </is>
      </c>
      <c r="G174" s="2" t="n"/>
      <c r="H174" s="2" t="inlineStr">
        <is>
          <t>Alcaldía del Ayuntamiento de Parauta</t>
        </is>
      </c>
      <c r="I174" s="2" t="inlineStr">
        <is>
          <t>Construccion de aparcamiento de Parauta</t>
        </is>
      </c>
      <c r="J174" s="2" t="inlineStr">
        <is>
          <t>2026/195</t>
        </is>
      </c>
      <c r="K174" s="2" t="inlineStr">
        <is>
          <t>Abierto simplificado</t>
        </is>
      </c>
      <c r="L174" s="6" t="n">
        <v>11</v>
      </c>
      <c r="M174" s="2" t="inlineStr">
        <is>
          <t>C2-3</t>
        </is>
      </c>
      <c r="N174" s="7" t="n">
        <v>0.15</v>
      </c>
      <c r="O174" s="4" t="n"/>
      <c r="P174" s="2" t="inlineStr">
        <is>
          <t>45223310</t>
        </is>
      </c>
      <c r="Q174" s="8" t="inlineStr">
        <is>
          <t>Ver</t>
        </is>
      </c>
      <c r="R174" s="8" t="inlineStr">
        <is>
          <t>PCAP</t>
        </is>
      </c>
      <c r="S174" s="9" t="n">
        <v>46321</v>
      </c>
      <c r="T174" s="3" t="n">
        <v>46318.38969907408</v>
      </c>
      <c r="U174" s="2" t="n"/>
    </row>
    <row r="175">
      <c r="A175" s="2" t="inlineStr">
        <is>
          <t>Adjudicada</t>
        </is>
      </c>
      <c r="B175" s="3" t="n">
        <v>46272.99930555555</v>
      </c>
      <c r="C175" s="5" t="n">
        <v>247843.76</v>
      </c>
      <c r="D175" s="5" t="n">
        <v>247843.76</v>
      </c>
      <c r="E175" s="2" t="inlineStr">
        <is>
          <t>Andalucía</t>
        </is>
      </c>
      <c r="F175" s="2" t="inlineStr">
        <is>
          <t>Málaga</t>
        </is>
      </c>
      <c r="G175" s="2" t="n"/>
      <c r="H175" s="2" t="inlineStr">
        <is>
          <t>Junta de Gobierno del Ayuntamiento de Fuengirola</t>
        </is>
      </c>
      <c r="I175" s="2" t="inlineStr">
        <is>
          <t>Obras de adecuación de zona verde y construcción de pista de baloncesto 3x3</t>
        </is>
      </c>
      <c r="J175" s="2" t="inlineStr">
        <is>
          <t>CONTR-2026000073</t>
        </is>
      </c>
      <c r="K175" s="2" t="inlineStr">
        <is>
          <t>Abierto simplificado</t>
        </is>
      </c>
      <c r="L175" s="6" t="n">
        <v>2.5</v>
      </c>
      <c r="M175" s="2" t="n"/>
      <c r="N175" s="7" t="n">
        <v>0.25</v>
      </c>
      <c r="O175" s="4" t="n"/>
      <c r="P175" s="2" t="inlineStr">
        <is>
          <t>45233140; 45212200</t>
        </is>
      </c>
      <c r="Q175" s="8" t="inlineStr">
        <is>
          <t>Ver</t>
        </is>
      </c>
      <c r="R175" s="8" t="inlineStr">
        <is>
          <t>PCAP</t>
        </is>
      </c>
      <c r="S175" s="9" t="n">
        <v>46317</v>
      </c>
      <c r="T175" s="3" t="n">
        <v>46318.38921296296</v>
      </c>
      <c r="U175" s="2" t="inlineStr">
        <is>
          <t>2026-10-26: estado EV → ADJ</t>
        </is>
      </c>
    </row>
    <row r="176">
      <c r="A176" s="2" t="inlineStr">
        <is>
          <t>Resuelta</t>
        </is>
      </c>
      <c r="B176" s="3" t="n">
        <v>45964.99930555555</v>
      </c>
      <c r="C176" s="5" t="n">
        <v>49586.78</v>
      </c>
      <c r="D176" s="5" t="n">
        <v>49586.78</v>
      </c>
      <c r="E176" s="2" t="inlineStr">
        <is>
          <t>Comunitat Valenciana</t>
        </is>
      </c>
      <c r="F176" s="2" t="inlineStr">
        <is>
          <t>Valencia</t>
        </is>
      </c>
      <c r="G176" s="2" t="n"/>
      <c r="H176" s="2" t="inlineStr">
        <is>
          <t>Alcaldía del Ajuntament de Massamagrell</t>
        </is>
      </c>
      <c r="I176" s="2" t="inlineStr">
        <is>
          <t>El objeto del contrato comprende la realización de las obras necesarias el reasfaltado del vial nº4 del polígono industrial “El bobalar”, la reparación de alcorques y aceras y la reparación de algunas zonas de aparcamiento.</t>
        </is>
      </c>
      <c r="J176" s="2" t="inlineStr">
        <is>
          <t>4830/2025</t>
        </is>
      </c>
      <c r="K176" s="2" t="inlineStr">
        <is>
          <t>Abierto simplificado</t>
        </is>
      </c>
      <c r="L176" s="6" t="n">
        <v>1</v>
      </c>
      <c r="M176" s="2" t="n"/>
      <c r="N176" s="7" t="n">
        <v>0</v>
      </c>
      <c r="O176" s="4" t="n"/>
      <c r="P176" s="2" t="inlineStr">
        <is>
          <t>45000000; 45233200; 45233251; 45233222; 45233252</t>
        </is>
      </c>
      <c r="Q176" s="8" t="inlineStr">
        <is>
          <t>Ver</t>
        </is>
      </c>
      <c r="R176" s="8" t="inlineStr">
        <is>
          <t>PCAP</t>
        </is>
      </c>
      <c r="S176" s="9" t="n">
        <v>46321</v>
      </c>
      <c r="T176" s="3" t="n">
        <v>46318.38622685185</v>
      </c>
      <c r="U176" s="2" t="n"/>
    </row>
    <row r="177">
      <c r="A177" s="2" t="inlineStr">
        <is>
          <t>Pendiente de adjudicación</t>
        </is>
      </c>
      <c r="B177" s="3" t="n">
        <v>46302.99930555555</v>
      </c>
      <c r="C177" s="5" t="n">
        <v>18122.63</v>
      </c>
      <c r="D177" s="5" t="n">
        <v>18122.63</v>
      </c>
      <c r="E177" s="2" t="inlineStr">
        <is>
          <t>Comunitat Valenciana</t>
        </is>
      </c>
      <c r="F177" s="2" t="inlineStr">
        <is>
          <t>Alicante</t>
        </is>
      </c>
      <c r="G177" s="2" t="n"/>
      <c r="H177" s="2" t="inlineStr">
        <is>
          <t>Teniente de Alcalde de Contratación Pública del Ayuntamiento de Elche</t>
        </is>
      </c>
      <c r="I177" s="2" t="inlineStr">
        <is>
          <t>Obras de reforma de la instalación de la red de saneamiento del cementerio viejo de Elche.</t>
        </is>
      </c>
      <c r="J177" s="2" t="inlineStr">
        <is>
          <t>OBR/ABR_SP_SMPL/2026000152</t>
        </is>
      </c>
      <c r="K177" s="2" t="inlineStr">
        <is>
          <t>Abierto simplificado</t>
        </is>
      </c>
      <c r="L177" s="6" t="n">
        <v>2</v>
      </c>
      <c r="M177" s="2" t="n"/>
      <c r="N177" s="7" t="n">
        <v>0</v>
      </c>
      <c r="O177" s="4" t="n"/>
      <c r="P177" s="2" t="inlineStr">
        <is>
          <t>45232410; 45232400</t>
        </is>
      </c>
      <c r="Q177" s="8" t="inlineStr">
        <is>
          <t>Ver</t>
        </is>
      </c>
      <c r="R177" s="8" t="inlineStr">
        <is>
          <t>PCAP</t>
        </is>
      </c>
      <c r="S177" s="9" t="n">
        <v>46315</v>
      </c>
      <c r="T177" s="3" t="n">
        <v>46318.38515046296</v>
      </c>
      <c r="U177" s="2" t="n"/>
    </row>
    <row r="178">
      <c r="A178" s="2" t="inlineStr">
        <is>
          <t>Pendiente de adjudicación</t>
        </is>
      </c>
      <c r="B178" s="3" t="n">
        <v>46309.99930555555</v>
      </c>
      <c r="C178" s="5" t="n">
        <v>573975.21</v>
      </c>
      <c r="D178" s="5" t="n">
        <v>573975.21</v>
      </c>
      <c r="E178" s="2" t="inlineStr">
        <is>
          <t>Andalucía</t>
        </is>
      </c>
      <c r="F178" s="2" t="inlineStr">
        <is>
          <t>Jaén</t>
        </is>
      </c>
      <c r="G178" s="2" t="inlineStr">
        <is>
          <t>Jaén</t>
        </is>
      </c>
      <c r="H178" s="2" t="inlineStr">
        <is>
          <t>Presidencia de la Diputación Provincial de Jaén</t>
        </is>
      </c>
      <c r="I178" s="2" t="inlineStr">
        <is>
          <t>Obras de rehabilitación de estancias de la academia de la Guardia Civil en Ubeda Jaén</t>
        </is>
      </c>
      <c r="J178" s="2" t="inlineStr">
        <is>
          <t>CO-2026/000237</t>
        </is>
      </c>
      <c r="K178" s="2" t="inlineStr">
        <is>
          <t>Abierto</t>
        </is>
      </c>
      <c r="L178" s="6" t="n">
        <v>8</v>
      </c>
      <c r="M178" s="2" t="inlineStr">
        <is>
          <t>C4-3</t>
        </is>
      </c>
      <c r="N178" s="7" t="n">
        <v>0.4</v>
      </c>
      <c r="O178" s="4" t="n"/>
      <c r="P178" s="2" t="inlineStr">
        <is>
          <t>45453100</t>
        </is>
      </c>
      <c r="Q178" s="8" t="inlineStr">
        <is>
          <t>Ver</t>
        </is>
      </c>
      <c r="R178" s="8" t="inlineStr">
        <is>
          <t>PCAP</t>
        </is>
      </c>
      <c r="S178" s="9" t="n">
        <v>46321</v>
      </c>
      <c r="T178" s="3" t="n">
        <v>46318.38296296296</v>
      </c>
      <c r="U178" s="2" t="n"/>
    </row>
    <row r="179">
      <c r="A179" s="2" t="inlineStr">
        <is>
          <t>Resuelta</t>
        </is>
      </c>
      <c r="B179" s="3" t="n">
        <v>46294.41666666666</v>
      </c>
      <c r="C179" s="5" t="n">
        <v>19580</v>
      </c>
      <c r="D179" s="5" t="n">
        <v>19580</v>
      </c>
      <c r="E179" s="2" t="inlineStr">
        <is>
          <t>Andalucía</t>
        </is>
      </c>
      <c r="F179" s="2" t="inlineStr">
        <is>
          <t>Granada</t>
        </is>
      </c>
      <c r="G179" s="2" t="n"/>
      <c r="H179" s="2" t="inlineStr">
        <is>
          <t>Empresa de Transformación Agraria S.A.,S.M.E., M.P., (TRAGSA)</t>
        </is>
      </c>
      <c r="I179" s="2" t="inlineStr">
        <is>
          <t>Contrato derivado del "Acuerdo Marco para el Alquiler de Maquinaria de Obra Civil, Agrícola y Forestal, y Camiones para obras de construcción y demolición, dotada de operario, para las actuaciones de la Gerencia Provincial de Tragsa en Granada, incluidas las obras con Fondos en el Marco del Plan de Recuperación, Transformación y Resiliencia financiado por Unión Europea Next Generation EU"</t>
        </is>
      </c>
      <c r="J179" s="2" t="inlineStr">
        <is>
          <t>TSA0077561-343</t>
        </is>
      </c>
      <c r="K179" s="2" t="inlineStr">
        <is>
          <t>Abierto</t>
        </is>
      </c>
      <c r="L179" s="6" t="n">
        <v>1</v>
      </c>
      <c r="M179" s="2" t="n"/>
      <c r="N179" s="7" t="n">
        <v>0</v>
      </c>
      <c r="O179" s="4" t="n"/>
      <c r="P179" s="2" t="inlineStr">
        <is>
          <t>45500000</t>
        </is>
      </c>
      <c r="Q179" s="8" t="inlineStr">
        <is>
          <t>Ver</t>
        </is>
      </c>
      <c r="R179" s="8" t="inlineStr">
        <is>
          <t>PCAP</t>
        </is>
      </c>
      <c r="S179" s="9" t="n">
        <v>46321</v>
      </c>
      <c r="T179" s="3" t="n">
        <v>46318.37831018519</v>
      </c>
      <c r="U179" s="2" t="n"/>
    </row>
    <row r="180">
      <c r="A180" s="2" t="inlineStr">
        <is>
          <t>Pendiente de adjudicación</t>
        </is>
      </c>
      <c r="B180" s="3" t="n">
        <v>46308.58333333334</v>
      </c>
      <c r="C180" s="5" t="n">
        <v>211475.81</v>
      </c>
      <c r="D180" s="5" t="n">
        <v>253770.97</v>
      </c>
      <c r="E180" s="2" t="inlineStr">
        <is>
          <t>Comunitat Valenciana</t>
        </is>
      </c>
      <c r="F180" s="2" t="inlineStr">
        <is>
          <t>Valencia</t>
        </is>
      </c>
      <c r="G180" s="2" t="n"/>
      <c r="H180" s="2" t="inlineStr">
        <is>
          <t>Junta de Gobierno del Ayuntamiento de Paterna</t>
        </is>
      </c>
      <c r="I180" s="2" t="inlineStr">
        <is>
          <t>Obras de restauración de la Torre de Paterna.</t>
        </is>
      </c>
      <c r="J180" s="2" t="inlineStr">
        <is>
          <t>172/2026/123</t>
        </is>
      </c>
      <c r="K180" s="2" t="inlineStr">
        <is>
          <t>Abierto</t>
        </is>
      </c>
      <c r="L180" s="6" t="n">
        <v>6</v>
      </c>
      <c r="M180" s="2" t="inlineStr">
        <is>
          <t>K7-2</t>
        </is>
      </c>
      <c r="N180" s="7" t="n">
        <v>0.4</v>
      </c>
      <c r="O180" s="4" t="n"/>
      <c r="P180" s="2" t="inlineStr">
        <is>
          <t>45000000</t>
        </is>
      </c>
      <c r="Q180" s="8" t="inlineStr">
        <is>
          <t>Ver</t>
        </is>
      </c>
      <c r="R180" s="8" t="inlineStr">
        <is>
          <t>PCAP</t>
        </is>
      </c>
      <c r="S180" s="9" t="n">
        <v>46321</v>
      </c>
      <c r="T180" s="3" t="n">
        <v>46318.37829861111</v>
      </c>
      <c r="U180" s="2" t="n"/>
    </row>
    <row r="181">
      <c r="A181" s="2" t="inlineStr">
        <is>
          <t>En plazo</t>
        </is>
      </c>
      <c r="B181" s="3" t="n">
        <v>46329.45833333334</v>
      </c>
      <c r="C181" s="5" t="n">
        <v>590000</v>
      </c>
      <c r="D181" s="5" t="n">
        <v>590000</v>
      </c>
      <c r="E181" s="2" t="inlineStr">
        <is>
          <t>Andalucía</t>
        </is>
      </c>
      <c r="F181" s="2" t="inlineStr">
        <is>
          <t>Cádiz</t>
        </is>
      </c>
      <c r="G181" s="2" t="n"/>
      <c r="H181" s="2" t="inlineStr">
        <is>
          <t>Comité Central de Compras de Navantia S.A., S.M.E.</t>
        </is>
      </c>
      <c r="I181" s="2" t="inlineStr">
        <is>
          <t>Licitación para la adjudicación de un Contrato para los trabajos de rehabilitación de accesos, protecciones colectivas y líneas de vida en grúas en Navantia Cádiz.</t>
        </is>
      </c>
      <c r="J181" s="2" t="inlineStr">
        <is>
          <t>5100075545 Líneas Vida Grúas Navantia Cádiz</t>
        </is>
      </c>
      <c r="K181" s="2" t="inlineStr">
        <is>
          <t>Normas internas</t>
        </is>
      </c>
      <c r="L181" s="6" t="n">
        <v>7</v>
      </c>
      <c r="M181" s="2" t="n"/>
      <c r="N181" s="7" t="n">
        <v>1</v>
      </c>
      <c r="O181" s="4" t="n"/>
      <c r="P181" s="2" t="inlineStr">
        <is>
          <t>45262600; 45340000</t>
        </is>
      </c>
      <c r="Q181" s="8" t="inlineStr">
        <is>
          <t>Ver</t>
        </is>
      </c>
      <c r="R181" s="8" t="inlineStr">
        <is>
          <t>PCAP</t>
        </is>
      </c>
      <c r="S181" s="9" t="n">
        <v>46310</v>
      </c>
      <c r="T181" s="3" t="n">
        <v>46318.37800925926</v>
      </c>
      <c r="U181" s="2" t="inlineStr">
        <is>
          <t>2026-10-26: plazo 2026-10-28 12:00 → 2026-11-03 11:00</t>
        </is>
      </c>
    </row>
    <row r="182">
      <c r="A182" s="2" t="inlineStr">
        <is>
          <t>En plazo</t>
        </is>
      </c>
      <c r="B182" s="3" t="n">
        <v>46344.99930555555</v>
      </c>
      <c r="C182" s="5" t="n">
        <v>782875</v>
      </c>
      <c r="D182" s="5" t="n">
        <v>782875</v>
      </c>
      <c r="E182" s="2" t="inlineStr">
        <is>
          <t>Andalucía</t>
        </is>
      </c>
      <c r="F182" s="2" t="inlineStr">
        <is>
          <t>Sevilla</t>
        </is>
      </c>
      <c r="G182" s="2" t="n"/>
      <c r="H182" s="2" t="inlineStr">
        <is>
          <t>Alcaldía del Ayuntamiento de Lantejuela</t>
        </is>
      </c>
      <c r="I182" s="2" t="inlineStr">
        <is>
          <t>Obras de actuciones de reforma en el complejo polideportivo municipal de lantejuela (Sevilla)</t>
        </is>
      </c>
      <c r="J182" s="2" t="inlineStr">
        <is>
          <t>P4105200B-2026/000230-PAA</t>
        </is>
      </c>
      <c r="K182" s="2" t="inlineStr">
        <is>
          <t>Abierto</t>
        </is>
      </c>
      <c r="L182" s="6" t="n">
        <v>6</v>
      </c>
      <c r="M182" s="2" t="n"/>
      <c r="N182" s="7" t="n">
        <v>0</v>
      </c>
      <c r="O182" s="4" t="n">
        <v>2</v>
      </c>
      <c r="P182" s="2" t="inlineStr">
        <is>
          <t>45200000; 45212200</t>
        </is>
      </c>
      <c r="Q182" s="8" t="inlineStr">
        <is>
          <t>Ver</t>
        </is>
      </c>
      <c r="R182" s="8" t="inlineStr">
        <is>
          <t>PCAP</t>
        </is>
      </c>
      <c r="S182" s="9" t="n">
        <v>46321</v>
      </c>
      <c r="T182" s="3" t="n">
        <v>46318.37633101852</v>
      </c>
      <c r="U182" s="2" t="n"/>
    </row>
    <row r="183">
      <c r="A183" s="2" t="inlineStr">
        <is>
          <t>Pendiente de adjudicación</t>
        </is>
      </c>
      <c r="B183" s="3" t="n">
        <v>46301.99930555555</v>
      </c>
      <c r="C183" s="5" t="n">
        <v>422756.96</v>
      </c>
      <c r="D183" s="5" t="n">
        <v>422756.96</v>
      </c>
      <c r="E183" s="2" t="inlineStr">
        <is>
          <t>Andalucía</t>
        </is>
      </c>
      <c r="F183" s="2" t="inlineStr">
        <is>
          <t>Granada</t>
        </is>
      </c>
      <c r="G183" s="2" t="n"/>
      <c r="H183" s="2" t="inlineStr">
        <is>
          <t>Junta de Gobierno Local del Ayuntamiento de Vélez de Benaudalla</t>
        </is>
      </c>
      <c r="I183" s="2" t="inlineStr">
        <is>
          <t>Contrato de obras que comprende conjuntamente la elaboración del proyecto y la ejecución de las obras de reposición del puente sobre el río Guadalfeo, en el Camino «Barranco de las Viñas y las Madres», Vélez de Benaudalla (Granada).</t>
        </is>
      </c>
      <c r="J183" s="2" t="inlineStr">
        <is>
          <t>485.1/2026</t>
        </is>
      </c>
      <c r="K183" s="2" t="inlineStr">
        <is>
          <t>Abierto</t>
        </is>
      </c>
      <c r="L183" s="6" t="n">
        <v>12</v>
      </c>
      <c r="M183" s="2" t="n"/>
      <c r="N183" s="7" t="n">
        <v>0.45</v>
      </c>
      <c r="O183" s="4" t="n"/>
      <c r="P183" s="2" t="inlineStr">
        <is>
          <t>45200000; 71322300; 45221110</t>
        </is>
      </c>
      <c r="Q183" s="8" t="inlineStr">
        <is>
          <t>Ver</t>
        </is>
      </c>
      <c r="R183" s="8" t="inlineStr">
        <is>
          <t>PCAP</t>
        </is>
      </c>
      <c r="S183" s="9" t="n">
        <v>46318</v>
      </c>
      <c r="T183" s="3" t="n">
        <v>46318.37606481482</v>
      </c>
      <c r="U183" s="2" t="n"/>
    </row>
    <row r="184">
      <c r="A184" s="2" t="inlineStr">
        <is>
          <t>En plazo</t>
        </is>
      </c>
      <c r="B184" s="3" t="n">
        <v>46340.99930555555</v>
      </c>
      <c r="C184" s="5" t="n">
        <v>3796334.26</v>
      </c>
      <c r="D184" s="5" t="n">
        <v>3796334.26</v>
      </c>
      <c r="E184" s="2" t="inlineStr">
        <is>
          <t>Andalucía</t>
        </is>
      </c>
      <c r="F184" s="2" t="inlineStr">
        <is>
          <t>Málaga</t>
        </is>
      </c>
      <c r="G184" s="2" t="inlineStr">
        <is>
          <t>Coín</t>
        </is>
      </c>
      <c r="H184" s="2" t="inlineStr">
        <is>
          <t>Alcaldía del Ayuntamiento de Coín</t>
        </is>
      </c>
      <c r="I184" s="2" t="inlineStr">
        <is>
          <t>Contrato de las obras de construcción de un puente sobre el rio Pereilas T.M. de Coín, Málaga, financiado con cargo a las ayudas de la Administración General del Estado a través del Ministerio de Política Territorial y Memoria Democrática previstas en el artículo 7 del Real Decreto-Ley 5/2026 de 17 de febrero.</t>
        </is>
      </c>
      <c r="J184" s="2" t="inlineStr">
        <is>
          <t>4835/2026</t>
        </is>
      </c>
      <c r="K184" s="2" t="inlineStr">
        <is>
          <t>Abierto</t>
        </is>
      </c>
      <c r="L184" s="6" t="n">
        <v>18</v>
      </c>
      <c r="M184" s="2" t="inlineStr">
        <is>
          <t>B*-5</t>
        </is>
      </c>
      <c r="N184" s="7" t="n">
        <v>0.25</v>
      </c>
      <c r="O184" s="4" t="n"/>
      <c r="P184" s="2" t="inlineStr">
        <is>
          <t>45221110; 45233222</t>
        </is>
      </c>
      <c r="Q184" s="8" t="inlineStr">
        <is>
          <t>Ver</t>
        </is>
      </c>
      <c r="R184" s="8" t="inlineStr">
        <is>
          <t>PCAP</t>
        </is>
      </c>
      <c r="S184" s="9" t="n">
        <v>46315</v>
      </c>
      <c r="T184" s="3" t="n">
        <v>46318.3759375</v>
      </c>
      <c r="U184" s="2" t="n"/>
    </row>
    <row r="185">
      <c r="A185" s="2" t="inlineStr">
        <is>
          <t>En plazo</t>
        </is>
      </c>
      <c r="B185" s="3" t="n">
        <v>46342.99930555555</v>
      </c>
      <c r="C185" s="5" t="n">
        <v>207893.88</v>
      </c>
      <c r="D185" s="5" t="n">
        <v>207893.88</v>
      </c>
      <c r="E185" s="2" t="inlineStr">
        <is>
          <t>Comunitat Valenciana</t>
        </is>
      </c>
      <c r="F185" s="2" t="inlineStr">
        <is>
          <t>Alicante</t>
        </is>
      </c>
      <c r="G185" s="2" t="inlineStr">
        <is>
          <t>Dénia</t>
        </is>
      </c>
      <c r="H185" s="2" t="inlineStr">
        <is>
          <t>Departamento de Salud de Denia. Dirección Económica-Gerencia</t>
        </is>
      </c>
      <c r="I185" s="2" t="inlineStr">
        <is>
          <t>Obras de adecuación y reforma de diversos espacios en el Hospital de Dénia, Hall de celadores, Medicina Preventiva/UHD y consulta Odontológica.</t>
        </is>
      </c>
      <c r="J185" s="2" t="inlineStr">
        <is>
          <t>PAS 736/2026</t>
        </is>
      </c>
      <c r="K185" s="2" t="inlineStr">
        <is>
          <t>Abierto simplificado</t>
        </is>
      </c>
      <c r="L185" s="6" t="n">
        <v>2</v>
      </c>
      <c r="M185" s="2" t="inlineStr">
        <is>
          <t>C4-2</t>
        </is>
      </c>
      <c r="N185" s="7" t="n">
        <v>0</v>
      </c>
      <c r="O185" s="4" t="n"/>
      <c r="P185" s="2" t="inlineStr">
        <is>
          <t>45215140</t>
        </is>
      </c>
      <c r="Q185" s="8" t="inlineStr">
        <is>
          <t>Ver</t>
        </is>
      </c>
      <c r="R185" s="8" t="inlineStr">
        <is>
          <t>PCAP</t>
        </is>
      </c>
      <c r="S185" s="9" t="n">
        <v>46321</v>
      </c>
      <c r="T185" s="3" t="n">
        <v>46318.37556712963</v>
      </c>
      <c r="U185" s="2" t="n"/>
    </row>
    <row r="186">
      <c r="A186" s="2" t="inlineStr">
        <is>
          <t>Resuelta</t>
        </is>
      </c>
      <c r="B186" s="3" t="n">
        <v>46223.58333333334</v>
      </c>
      <c r="C186" s="5" t="n">
        <v>173206.63</v>
      </c>
      <c r="D186" s="5" t="n">
        <v>173206.63</v>
      </c>
      <c r="E186" s="2" t="inlineStr">
        <is>
          <t>Andalucía</t>
        </is>
      </c>
      <c r="F186" s="2" t="inlineStr">
        <is>
          <t>Almería</t>
        </is>
      </c>
      <c r="G186" s="2" t="inlineStr">
        <is>
          <t>Adra</t>
        </is>
      </c>
      <c r="H186" s="2" t="inlineStr">
        <is>
          <t>Junta de Gobierno Local del Ayuntamiento de Adra</t>
        </is>
      </c>
      <c r="I186" s="2" t="inlineStr">
        <is>
          <t>Construcción de 304 Nuevos Nichos en el Cementerio Municipal de Adra</t>
        </is>
      </c>
      <c r="J186" s="2" t="inlineStr">
        <is>
          <t>5488/2026</t>
        </is>
      </c>
      <c r="K186" s="2" t="inlineStr">
        <is>
          <t>Abierto</t>
        </is>
      </c>
      <c r="L186" s="6" t="n">
        <v>3</v>
      </c>
      <c r="M186" s="2" t="n"/>
      <c r="N186" s="7" t="n">
        <v>0.25</v>
      </c>
      <c r="O186" s="4" t="n"/>
      <c r="P186" s="2" t="inlineStr">
        <is>
          <t>45215400</t>
        </is>
      </c>
      <c r="Q186" s="8" t="inlineStr">
        <is>
          <t>Ver</t>
        </is>
      </c>
      <c r="R186" s="8" t="inlineStr">
        <is>
          <t>PCAP</t>
        </is>
      </c>
      <c r="S186" s="9" t="n">
        <v>46321</v>
      </c>
      <c r="T186" s="3" t="n">
        <v>46318.37545138889</v>
      </c>
      <c r="U186" s="2" t="n"/>
    </row>
    <row r="187">
      <c r="A187" s="2" t="inlineStr">
        <is>
          <t>En plazo</t>
        </is>
      </c>
      <c r="B187" s="3" t="n">
        <v>46338.5</v>
      </c>
      <c r="C187" s="5" t="n">
        <v>13595000</v>
      </c>
      <c r="D187" s="5" t="n">
        <v>14138800</v>
      </c>
      <c r="E187" s="2" t="inlineStr">
        <is>
          <t>Andalucía</t>
        </is>
      </c>
      <c r="F187" s="2" t="inlineStr">
        <is>
          <t>Sevilla</t>
        </is>
      </c>
      <c r="G187" s="2" t="inlineStr">
        <is>
          <t>Sevilla</t>
        </is>
      </c>
      <c r="H187" s="2" t="inlineStr">
        <is>
          <t>Aena. Presidencia. Consejero Delegado</t>
        </is>
      </c>
      <c r="I187" s="2" t="inlineStr">
        <is>
          <t>Renovación Del Sistema De Climatización Y Adecuación De La Protección Contra Incendios. Aeropuerto De Sevilla</t>
        </is>
      </c>
      <c r="J187" s="2" t="inlineStr">
        <is>
          <t>DIN-434/2026</t>
        </is>
      </c>
      <c r="K187" s="2" t="inlineStr">
        <is>
          <t>Abierto</t>
        </is>
      </c>
      <c r="L187" s="6" t="n">
        <v>39</v>
      </c>
      <c r="M187" s="2" t="n"/>
      <c r="N187" s="7" t="n">
        <v>0</v>
      </c>
      <c r="O187" s="4" t="n"/>
      <c r="P187" s="2" t="inlineStr">
        <is>
          <t>45331200</t>
        </is>
      </c>
      <c r="Q187" s="8" t="inlineStr">
        <is>
          <t>Ver</t>
        </is>
      </c>
      <c r="R187" s="8" t="inlineStr">
        <is>
          <t>PCAP</t>
        </is>
      </c>
      <c r="S187" s="9" t="n">
        <v>46311</v>
      </c>
      <c r="T187" s="3" t="n">
        <v>46318.375</v>
      </c>
      <c r="U187" s="2" t="inlineStr">
        <is>
          <t>2026-10-23: plazo 2026-10-28 12:00 → 2026-11-12 12:00</t>
        </is>
      </c>
    </row>
    <row r="188">
      <c r="A188" s="2" t="inlineStr">
        <is>
          <t>Resuelta</t>
        </is>
      </c>
      <c r="B188" s="3" t="n">
        <v>46280.99930555555</v>
      </c>
      <c r="C188" s="5" t="n">
        <v>330578.51</v>
      </c>
      <c r="D188" s="5" t="n">
        <v>330578.51</v>
      </c>
      <c r="E188" s="2" t="inlineStr">
        <is>
          <t>Andalucía</t>
        </is>
      </c>
      <c r="F188" s="2" t="inlineStr">
        <is>
          <t>Cádiz</t>
        </is>
      </c>
      <c r="G188" s="2" t="inlineStr">
        <is>
          <t>SAN JOSE DEL VALLE</t>
        </is>
      </c>
      <c r="H188" s="2" t="inlineStr">
        <is>
          <t>Alcaldía del Ayuntamiento de San José del Valle</t>
        </is>
      </c>
      <c r="I188" s="2" t="inlineStr">
        <is>
          <t>Asfaltado Avenida de la Independencia y aparcamiento de Plaza de Juan Durán. Plan + Inversión Cádiz 2026</t>
        </is>
      </c>
      <c r="J188" s="2" t="inlineStr">
        <is>
          <t>2261-2026</t>
        </is>
      </c>
      <c r="K188" s="2" t="inlineStr">
        <is>
          <t>Abierto simplificado</t>
        </is>
      </c>
      <c r="L188" s="6" t="n">
        <v>3</v>
      </c>
      <c r="M188" s="2" t="n"/>
      <c r="N188" s="7" t="n">
        <v>0</v>
      </c>
      <c r="O188" s="4" t="n"/>
      <c r="P188" s="2" t="inlineStr">
        <is>
          <t>45233222; 45000000</t>
        </is>
      </c>
      <c r="Q188" s="8" t="inlineStr">
        <is>
          <t>Ver</t>
        </is>
      </c>
      <c r="R188" s="8" t="inlineStr">
        <is>
          <t>PCAP</t>
        </is>
      </c>
      <c r="S188" s="9" t="n">
        <v>46321</v>
      </c>
      <c r="T188" s="3" t="n">
        <v>46318.37474537037</v>
      </c>
      <c r="U188" s="2" t="n"/>
    </row>
    <row r="189">
      <c r="A189" s="2" t="inlineStr">
        <is>
          <t>Resuelta</t>
        </is>
      </c>
      <c r="B189" s="3" t="n">
        <v>46287.41666666666</v>
      </c>
      <c r="C189" s="5" t="n">
        <v>5600</v>
      </c>
      <c r="D189" s="5" t="n">
        <v>5600</v>
      </c>
      <c r="E189" s="2" t="inlineStr">
        <is>
          <t>Andalucía</t>
        </is>
      </c>
      <c r="F189" s="2" t="inlineStr">
        <is>
          <t>Granada</t>
        </is>
      </c>
      <c r="G189" s="2" t="n"/>
      <c r="H189" s="2" t="inlineStr">
        <is>
          <t>Empresa de Transformación Agraria S.A.,S.M.E., M.P., (TRAGSA)</t>
        </is>
      </c>
      <c r="I189" s="2" t="inlineStr">
        <is>
          <t>Contrato derivado del "Acuerdo Marco para el Alquiler de Maquinaria de Obra Civil, Agrícola y Forestal, y Camiones para obras de construcción y demolición, dotada de operario, para las actuaciones de la Gerencia Provincial de Tragsa en Granada, incluidas las obras con Fondos en el Marco del Plan de Recuperación, Transformación y Resiliencia financiado por Unión Europea Next-Generation EU"</t>
        </is>
      </c>
      <c r="J189" s="2" t="inlineStr">
        <is>
          <t>TSA0077561-342</t>
        </is>
      </c>
      <c r="K189" s="2" t="inlineStr">
        <is>
          <t>Abierto</t>
        </is>
      </c>
      <c r="L189" s="6" t="n">
        <v>2</v>
      </c>
      <c r="M189" s="2" t="n"/>
      <c r="N189" s="7" t="n">
        <v>0</v>
      </c>
      <c r="O189" s="4" t="n"/>
      <c r="P189" s="2" t="inlineStr">
        <is>
          <t>45500000</t>
        </is>
      </c>
      <c r="Q189" s="8" t="inlineStr">
        <is>
          <t>Ver</t>
        </is>
      </c>
      <c r="R189" s="8" t="inlineStr">
        <is>
          <t>PCAP</t>
        </is>
      </c>
      <c r="S189" s="9" t="n">
        <v>46321</v>
      </c>
      <c r="T189" s="3" t="n">
        <v>46318.37434027778</v>
      </c>
      <c r="U189" s="2" t="n"/>
    </row>
    <row r="190">
      <c r="A190" s="2" t="inlineStr">
        <is>
          <t>Resuelta</t>
        </is>
      </c>
      <c r="B190" s="3" t="n">
        <v>46239.99930555555</v>
      </c>
      <c r="C190" s="5" t="n">
        <v>519280.24</v>
      </c>
      <c r="D190" s="5" t="n">
        <v>519280.24</v>
      </c>
      <c r="E190" s="2" t="inlineStr">
        <is>
          <t>Andalucía</t>
        </is>
      </c>
      <c r="F190" s="2" t="inlineStr">
        <is>
          <t>Huelva</t>
        </is>
      </c>
      <c r="G190" s="2" t="n"/>
      <c r="H190" s="2" t="inlineStr">
        <is>
          <t>Junta de Gobierno de la Diputación Provincial de Huelva</t>
        </is>
      </c>
      <c r="I190" s="2" t="inlineStr">
        <is>
          <t>Contrato de Obras correspondientes a "Rehabiliatacióm de firmes en diversas carreteras provinciales - lote 1C.P. HU-3301 Lepe, El Terrón.</t>
        </is>
      </c>
      <c r="J190" s="2" t="inlineStr">
        <is>
          <t>2025/CMY_03/000088NSP</t>
        </is>
      </c>
      <c r="K190" s="2" t="inlineStr">
        <is>
          <t>Negociado sin publicidad</t>
        </is>
      </c>
      <c r="L190" s="6" t="n">
        <v>45</v>
      </c>
      <c r="M190" s="2" t="n"/>
      <c r="N190" s="7" t="n">
        <v>0</v>
      </c>
      <c r="O190" s="4" t="n"/>
      <c r="P190" s="2" t="inlineStr">
        <is>
          <t>45233000</t>
        </is>
      </c>
      <c r="Q190" s="8" t="inlineStr">
        <is>
          <t>Ver</t>
        </is>
      </c>
      <c r="R190" s="8" t="inlineStr">
        <is>
          <t>PCAP</t>
        </is>
      </c>
      <c r="S190" s="9" t="n">
        <v>46310</v>
      </c>
      <c r="T190" s="3" t="n">
        <v>46318.37335648148</v>
      </c>
      <c r="U190" s="2" t="inlineStr">
        <is>
          <t>2026-10-26: estado ADJ → RES</t>
        </is>
      </c>
    </row>
    <row r="191">
      <c r="A191" s="2" t="inlineStr">
        <is>
          <t>Pendiente de adjudicación</t>
        </is>
      </c>
      <c r="B191" s="3" t="n">
        <v>46280.99930555555</v>
      </c>
      <c r="C191" s="5" t="n">
        <v>103433.16</v>
      </c>
      <c r="D191" s="5" t="n">
        <v>103433.16</v>
      </c>
      <c r="E191" s="2" t="inlineStr">
        <is>
          <t>Comunitat Valenciana</t>
        </is>
      </c>
      <c r="F191" s="2" t="inlineStr">
        <is>
          <t>Alicante</t>
        </is>
      </c>
      <c r="G191" s="2" t="n"/>
      <c r="H191" s="2" t="inlineStr">
        <is>
          <t>Presidencia de la Diputación Provincial de Alicante</t>
        </is>
      </c>
      <c r="I191" s="2" t="inlineStr">
        <is>
          <t>"Obras de reparación y reforma del pozo de captación nº 4 del servicio de abastecimiento de agua potable en Ibi"</t>
        </is>
      </c>
      <c r="J191" s="2" t="inlineStr">
        <is>
          <t>O4S-079/2026</t>
        </is>
      </c>
      <c r="K191" s="2" t="inlineStr">
        <is>
          <t>Abierto simplificado</t>
        </is>
      </c>
      <c r="L191" s="6" t="n">
        <v>2</v>
      </c>
      <c r="M191" s="2" t="n"/>
      <c r="N191" s="7" t="n">
        <v>0.25</v>
      </c>
      <c r="O191" s="4" t="n"/>
      <c r="P191" s="2" t="inlineStr">
        <is>
          <t>45262220</t>
        </is>
      </c>
      <c r="Q191" s="8" t="inlineStr">
        <is>
          <t>Ver</t>
        </is>
      </c>
      <c r="R191" s="8" t="inlineStr">
        <is>
          <t>PCAP</t>
        </is>
      </c>
      <c r="S191" s="9" t="n">
        <v>46321</v>
      </c>
      <c r="T191" s="3" t="n">
        <v>46318.37306712963</v>
      </c>
      <c r="U191" s="2" t="n"/>
    </row>
    <row r="192">
      <c r="A192" s="2" t="inlineStr">
        <is>
          <t>Resuelta</t>
        </is>
      </c>
      <c r="B192" s="3" t="n">
        <v>46260.99930555555</v>
      </c>
      <c r="C192" s="5" t="n">
        <v>249741.95</v>
      </c>
      <c r="D192" s="5" t="n">
        <v>249741.95</v>
      </c>
      <c r="E192" s="2" t="inlineStr">
        <is>
          <t>Andalucía</t>
        </is>
      </c>
      <c r="F192" s="2" t="inlineStr">
        <is>
          <t>Sevilla</t>
        </is>
      </c>
      <c r="G192" s="2" t="inlineStr">
        <is>
          <t>Écija</t>
        </is>
      </c>
      <c r="H192" s="2" t="inlineStr">
        <is>
          <t>Junta de Gobierno del Ayuntamiento de Ecija</t>
        </is>
      </c>
      <c r="I192" s="2" t="inlineStr">
        <is>
          <t>Obras consistentes en "Renovación de equipos de climatización del Mercado Municipal de Abastos situado en Calle Compañía, 6". Financiado con cargo al Plan de Cooperación General "Sevilla 107" de la Excma. Diputación Provincial de Sevilla.</t>
        </is>
      </c>
      <c r="J192" s="2" t="inlineStr">
        <is>
          <t>1824/2026</t>
        </is>
      </c>
      <c r="K192" s="2" t="inlineStr">
        <is>
          <t>Abierto simplificado</t>
        </is>
      </c>
      <c r="L192" s="6" t="n">
        <v>3</v>
      </c>
      <c r="M192" s="2" t="n"/>
      <c r="N192" s="7" t="n">
        <v>0</v>
      </c>
      <c r="O192" s="4" t="n"/>
      <c r="P192" s="2" t="inlineStr">
        <is>
          <t>45331000</t>
        </is>
      </c>
      <c r="Q192" s="8" t="inlineStr">
        <is>
          <t>Ver</t>
        </is>
      </c>
      <c r="R192" s="8" t="inlineStr">
        <is>
          <t>PCAP</t>
        </is>
      </c>
      <c r="S192" s="9" t="n">
        <v>46310</v>
      </c>
      <c r="T192" s="3" t="n">
        <v>46318.37261574074</v>
      </c>
      <c r="U192" s="2" t="inlineStr">
        <is>
          <t>2026-10-26: estado ADJ → RES</t>
        </is>
      </c>
    </row>
    <row r="193">
      <c r="A193" s="2" t="inlineStr">
        <is>
          <t>En plazo</t>
        </is>
      </c>
      <c r="B193" s="3" t="n">
        <v>46338.79166666666</v>
      </c>
      <c r="C193" s="5" t="n">
        <v>230820.7</v>
      </c>
      <c r="D193" s="5" t="n">
        <v>230820.7</v>
      </c>
      <c r="E193" s="2" t="inlineStr">
        <is>
          <t>Comunitat Valenciana</t>
        </is>
      </c>
      <c r="F193" s="2" t="inlineStr">
        <is>
          <t>Alicante</t>
        </is>
      </c>
      <c r="G193" s="2" t="inlineStr">
        <is>
          <t>Alicante (Alacant)</t>
        </is>
      </c>
      <c r="H193" s="2" t="inlineStr">
        <is>
          <t>Junta de Gobierno del Ayuntamiento de Santa Pola</t>
        </is>
      </c>
      <c r="I193" s="2" t="inlineStr">
        <is>
          <t>Licitación para la contratación de las Obras de ejecución de pista de pádel, calistenia y retopping de pistas de tenis en Polideportivo José Antonio Alemany.</t>
        </is>
      </c>
      <c r="J193" s="2" t="inlineStr">
        <is>
          <t>18861/2026</t>
        </is>
      </c>
      <c r="K193" s="2" t="inlineStr">
        <is>
          <t>Abierto simplificado</t>
        </is>
      </c>
      <c r="L193" s="6" t="n">
        <v>3</v>
      </c>
      <c r="M193" s="2" t="n"/>
      <c r="N193" s="7" t="n">
        <v>0.2</v>
      </c>
      <c r="O193" s="4" t="n"/>
      <c r="P193" s="2" t="inlineStr">
        <is>
          <t>45212200</t>
        </is>
      </c>
      <c r="Q193" s="8" t="inlineStr">
        <is>
          <t>Ver</t>
        </is>
      </c>
      <c r="R193" s="8" t="inlineStr">
        <is>
          <t>PCAP</t>
        </is>
      </c>
      <c r="S193" s="9" t="n">
        <v>46321</v>
      </c>
      <c r="T193" s="3" t="n">
        <v>46318.37166666667</v>
      </c>
      <c r="U193" s="2" t="n"/>
    </row>
    <row r="194">
      <c r="A194" s="2" t="inlineStr">
        <is>
          <t>Resuelta</t>
        </is>
      </c>
      <c r="B194" s="3" t="n">
        <v>46309.99930555555</v>
      </c>
      <c r="C194" s="5" t="n">
        <v>111570.25</v>
      </c>
      <c r="D194" s="5" t="n">
        <v>111570.25</v>
      </c>
      <c r="E194" s="2" t="inlineStr">
        <is>
          <t>Andalucía</t>
        </is>
      </c>
      <c r="F194" s="2" t="inlineStr">
        <is>
          <t>Sevilla</t>
        </is>
      </c>
      <c r="G194" s="2" t="inlineStr">
        <is>
          <t>CABEZAS DE SAN JUAN (LAS)</t>
        </is>
      </c>
      <c r="H194" s="2" t="inlineStr">
        <is>
          <t>Alcaldia del Ayuntamiento de Las Cabezas de San Juan</t>
        </is>
      </c>
      <c r="I194" s="2" t="inlineStr">
        <is>
          <t>Realización de un corredor verde, para conexión de la zona urbana con el parque periurbano "El Ranchillo", ejecutándolo con materiales sostenibles.</t>
        </is>
      </c>
      <c r="J194" s="2" t="inlineStr">
        <is>
          <t>1971/2026</t>
        </is>
      </c>
      <c r="K194" s="2" t="inlineStr">
        <is>
          <t>Abierto simplificado</t>
        </is>
      </c>
      <c r="L194" s="6" t="n">
        <v>6</v>
      </c>
      <c r="M194" s="2" t="n"/>
      <c r="N194" s="7" t="n">
        <v>0</v>
      </c>
      <c r="O194" s="4" t="n"/>
      <c r="P194" s="2" t="inlineStr">
        <is>
          <t>45000000</t>
        </is>
      </c>
      <c r="Q194" s="8" t="inlineStr">
        <is>
          <t>Ver</t>
        </is>
      </c>
      <c r="R194" s="8" t="inlineStr">
        <is>
          <t>PCAP</t>
        </is>
      </c>
      <c r="S194" s="9" t="n">
        <v>46311</v>
      </c>
      <c r="T194" s="3" t="n">
        <v>46318.36929398148</v>
      </c>
      <c r="U194" s="2" t="inlineStr">
        <is>
          <t>2026-10-23: estado EV → ADJ | 2026-10-26: estado ADJ → RES</t>
        </is>
      </c>
    </row>
    <row r="195">
      <c r="A195" s="2" t="inlineStr">
        <is>
          <t>Pendiente de adjudicación</t>
        </is>
      </c>
      <c r="B195" s="3" t="n">
        <v>46310.99930555555</v>
      </c>
      <c r="C195" s="5" t="n">
        <v>393831.58</v>
      </c>
      <c r="D195" s="5" t="n">
        <v>393831.58</v>
      </c>
      <c r="E195" s="2" t="inlineStr">
        <is>
          <t>Andalucía</t>
        </is>
      </c>
      <c r="F195" s="2" t="inlineStr">
        <is>
          <t>Jaén</t>
        </is>
      </c>
      <c r="G195" s="2" t="inlineStr">
        <is>
          <t>Linares</t>
        </is>
      </c>
      <c r="H195" s="2" t="inlineStr">
        <is>
          <t>Alcaldía del Ayuntamiento de Linares</t>
        </is>
      </c>
      <c r="I195" s="2" t="inlineStr">
        <is>
          <t>Rehabilitación de las pistas de atletismo del centro deportivo municipal "Mariano de la Paz"</t>
        </is>
      </c>
      <c r="J195" s="2" t="inlineStr">
        <is>
          <t>2026/8575</t>
        </is>
      </c>
      <c r="K195" s="2" t="inlineStr">
        <is>
          <t>Abierto simplificado</t>
        </is>
      </c>
      <c r="L195" s="6" t="n">
        <v>3</v>
      </c>
      <c r="M195" s="2" t="n"/>
      <c r="N195" s="7" t="n">
        <v>0</v>
      </c>
      <c r="O195" s="4" t="n"/>
      <c r="P195" s="2" t="inlineStr">
        <is>
          <t>45212200</t>
        </is>
      </c>
      <c r="Q195" s="8" t="inlineStr">
        <is>
          <t>Ver</t>
        </is>
      </c>
      <c r="R195" s="8" t="inlineStr">
        <is>
          <t>PCAP</t>
        </is>
      </c>
      <c r="S195" s="9" t="n">
        <v>46321</v>
      </c>
      <c r="T195" s="3" t="n">
        <v>46318.36511574074</v>
      </c>
      <c r="U195" s="2" t="n"/>
    </row>
    <row r="196">
      <c r="A196" s="2" t="inlineStr">
        <is>
          <t>En plazo</t>
        </is>
      </c>
      <c r="B196" s="3" t="n">
        <v>46322.58333333334</v>
      </c>
      <c r="C196" s="5" t="n">
        <v>141825.96</v>
      </c>
      <c r="D196" s="5" t="n">
        <v>141825.96</v>
      </c>
      <c r="E196" s="2" t="inlineStr">
        <is>
          <t>Comunitat Valenciana</t>
        </is>
      </c>
      <c r="F196" s="2" t="inlineStr">
        <is>
          <t>Valencia</t>
        </is>
      </c>
      <c r="G196" s="2" t="inlineStr">
        <is>
          <t>Tuéjar</t>
        </is>
      </c>
      <c r="H196" s="2" t="inlineStr">
        <is>
          <t>Alcaldía del Ayuntamiento de Tuéjar</t>
        </is>
      </c>
      <c r="I196" s="2" t="inlineStr">
        <is>
          <t>La ejecución de las obras consistentes en la eliminación de barreras arquitectónicas dentro del inmueble de la Piscina municipal, estas comprenden las siguientes actuaciones: Remodelación de la rampa de acceso a las piscinas y vestuarios, reforma interior de vestuarios y aseos para hacerlos adaptados.</t>
        </is>
      </c>
      <c r="J196" s="2" t="inlineStr">
        <is>
          <t>420/2026</t>
        </is>
      </c>
      <c r="K196" s="2" t="inlineStr">
        <is>
          <t>Abierto simplificado</t>
        </is>
      </c>
      <c r="L196" s="6" t="n">
        <v>4.2</v>
      </c>
      <c r="M196" s="2" t="n"/>
      <c r="N196" s="7" t="n">
        <v>0</v>
      </c>
      <c r="O196" s="4" t="n"/>
      <c r="P196" s="2" t="inlineStr">
        <is>
          <t>45212290</t>
        </is>
      </c>
      <c r="Q196" s="8" t="inlineStr">
        <is>
          <t>Ver</t>
        </is>
      </c>
      <c r="R196" s="8" t="inlineStr">
        <is>
          <t>PCAP</t>
        </is>
      </c>
      <c r="S196" s="9" t="n">
        <v>46310</v>
      </c>
      <c r="T196" s="3" t="n">
        <v>46318.36486111111</v>
      </c>
      <c r="U196" s="2" t="n"/>
    </row>
    <row r="197">
      <c r="A197" s="2" t="inlineStr">
        <is>
          <t>Pendiente de adjudicación</t>
        </is>
      </c>
      <c r="B197" s="3" t="n">
        <v>46310.99930555555</v>
      </c>
      <c r="C197" s="5" t="n">
        <v>181818.17</v>
      </c>
      <c r="D197" s="5" t="n">
        <v>181818.17</v>
      </c>
      <c r="E197" s="2" t="inlineStr">
        <is>
          <t>Andalucía</t>
        </is>
      </c>
      <c r="F197" s="2" t="inlineStr">
        <is>
          <t>Jaén</t>
        </is>
      </c>
      <c r="G197" s="2" t="inlineStr">
        <is>
          <t>Linares</t>
        </is>
      </c>
      <c r="H197" s="2" t="inlineStr">
        <is>
          <t>Alcaldía del Ayuntamiento de Linares</t>
        </is>
      </c>
      <c r="I197" s="2" t="inlineStr">
        <is>
          <t>Cerramiento perimetral e iluminación de las pistas semicubiertas de las instalaciones deportivas municipales de San José</t>
        </is>
      </c>
      <c r="J197" s="2" t="inlineStr">
        <is>
          <t>2026/13134</t>
        </is>
      </c>
      <c r="K197" s="2" t="inlineStr">
        <is>
          <t>Abierto simplificado</t>
        </is>
      </c>
      <c r="L197" s="6" t="n">
        <v>2</v>
      </c>
      <c r="M197" s="2" t="n"/>
      <c r="N197" s="7" t="n">
        <v>0</v>
      </c>
      <c r="O197" s="4" t="n"/>
      <c r="P197" s="2" t="inlineStr">
        <is>
          <t>45450000</t>
        </is>
      </c>
      <c r="Q197" s="8" t="inlineStr">
        <is>
          <t>Ver</t>
        </is>
      </c>
      <c r="R197" s="8" t="inlineStr">
        <is>
          <t>PCAP</t>
        </is>
      </c>
      <c r="S197" s="9" t="n">
        <v>46321</v>
      </c>
      <c r="T197" s="3" t="n">
        <v>46318.36152777778</v>
      </c>
      <c r="U197" s="2" t="n"/>
    </row>
    <row r="198">
      <c r="A198" s="2" t="inlineStr">
        <is>
          <t>Resuelta</t>
        </is>
      </c>
      <c r="B198" s="3" t="n">
        <v>46287.99930555555</v>
      </c>
      <c r="C198" s="5" t="n">
        <v>34907.3</v>
      </c>
      <c r="D198" s="5" t="n">
        <v>34907.3</v>
      </c>
      <c r="E198" s="2" t="inlineStr">
        <is>
          <t>Andalucía</t>
        </is>
      </c>
      <c r="F198" s="2" t="inlineStr">
        <is>
          <t>Jaén</t>
        </is>
      </c>
      <c r="G198" s="2" t="inlineStr">
        <is>
          <t>Castellar</t>
        </is>
      </c>
      <c r="H198" s="2" t="inlineStr">
        <is>
          <t>Alcaldía del Ayuntamiento de Castellar</t>
        </is>
      </c>
      <c r="I198" s="2" t="inlineStr">
        <is>
          <t>El objeto es regir la ejecución del contrato de obra Intervención en la fachada este del edificio de la Colegiata de Santiago declarado como Bien de Interés Cultural.</t>
        </is>
      </c>
      <c r="J198" s="2" t="inlineStr">
        <is>
          <t>301/2026</t>
        </is>
      </c>
      <c r="K198" s="2" t="inlineStr">
        <is>
          <t>Abierto simplificado</t>
        </is>
      </c>
      <c r="L198" s="6" t="n">
        <v>1</v>
      </c>
      <c r="M198" s="2" t="n"/>
      <c r="N198" s="7" t="n">
        <v>0</v>
      </c>
      <c r="O198" s="4" t="n"/>
      <c r="P198" s="2" t="inlineStr">
        <is>
          <t>45212350</t>
        </is>
      </c>
      <c r="Q198" s="8" t="inlineStr">
        <is>
          <t>Ver</t>
        </is>
      </c>
      <c r="R198" s="8" t="inlineStr">
        <is>
          <t>PCAP</t>
        </is>
      </c>
      <c r="S198" s="9" t="n">
        <v>46321</v>
      </c>
      <c r="T198" s="3" t="n">
        <v>46318.35990740741</v>
      </c>
      <c r="U198" s="2" t="n"/>
    </row>
    <row r="199">
      <c r="A199" s="2" t="inlineStr">
        <is>
          <t>En plazo</t>
        </is>
      </c>
      <c r="B199" s="3" t="n">
        <v>46335.99930555555</v>
      </c>
      <c r="C199" s="5" t="n">
        <v>10454.99</v>
      </c>
      <c r="D199" s="5" t="n">
        <v>10454.99</v>
      </c>
      <c r="E199" s="2" t="inlineStr">
        <is>
          <t>Andalucía</t>
        </is>
      </c>
      <c r="F199" s="2" t="inlineStr">
        <is>
          <t>Córdoba</t>
        </is>
      </c>
      <c r="G199" s="2" t="n"/>
      <c r="H199" s="2" t="inlineStr">
        <is>
          <t>Diputado delegado de Infraestructuras, Sostenibilidad y Agricultura</t>
        </is>
      </c>
      <c r="I199" s="2" t="inlineStr">
        <is>
          <t>Contratación de la obra Remodelación de la instalación eléctrica de edificio para Escuela de Adultos en la aldea de El Alcornocal, en Fuente Obejuna (Córdoba). Obra incluida en el Plan de Aldeas 2024-2027.</t>
        </is>
      </c>
      <c r="J199" s="2" t="inlineStr">
        <is>
          <t>913/26</t>
        </is>
      </c>
      <c r="K199" s="2" t="inlineStr">
        <is>
          <t>Abierto simplificado</t>
        </is>
      </c>
      <c r="L199" s="6" t="n">
        <v>2</v>
      </c>
      <c r="M199" s="2" t="n"/>
      <c r="N199" s="7" t="n">
        <v>0</v>
      </c>
      <c r="O199" s="4" t="n"/>
      <c r="P199" s="2" t="inlineStr">
        <is>
          <t>45310000</t>
        </is>
      </c>
      <c r="Q199" s="8" t="inlineStr">
        <is>
          <t>Ver</t>
        </is>
      </c>
      <c r="R199" s="8" t="inlineStr">
        <is>
          <t>PCAP</t>
        </is>
      </c>
      <c r="S199" s="9" t="n">
        <v>46321</v>
      </c>
      <c r="T199" s="3" t="n">
        <v>46318.35966435185</v>
      </c>
      <c r="U199" s="2" t="n"/>
    </row>
    <row r="200">
      <c r="A200" s="2" t="inlineStr">
        <is>
          <t>Pendiente de adjudicación</t>
        </is>
      </c>
      <c r="B200" s="3" t="n">
        <v>46310.99930555555</v>
      </c>
      <c r="C200" s="5" t="n">
        <v>165289.26</v>
      </c>
      <c r="D200" s="5" t="n">
        <v>165289.26</v>
      </c>
      <c r="E200" s="2" t="inlineStr">
        <is>
          <t>Andalucía</t>
        </is>
      </c>
      <c r="F200" s="2" t="inlineStr">
        <is>
          <t>Jaén</t>
        </is>
      </c>
      <c r="G200" s="2" t="n"/>
      <c r="H200" s="2" t="inlineStr">
        <is>
          <t>Alcaldía del Ayuntamiento de Linares</t>
        </is>
      </c>
      <c r="I200" s="2" t="inlineStr">
        <is>
          <t>Contrato de obra para la renovación de pavimentos y jardinería en el Paseo de Linarejos en Linares (Jaén)</t>
        </is>
      </c>
      <c r="J200" s="2" t="inlineStr">
        <is>
          <t>2026/12945</t>
        </is>
      </c>
      <c r="K200" s="2" t="inlineStr">
        <is>
          <t>Abierto simplificado</t>
        </is>
      </c>
      <c r="L200" s="6" t="n">
        <v>2.5</v>
      </c>
      <c r="M200" s="2" t="inlineStr">
        <is>
          <t>G6-2</t>
        </is>
      </c>
      <c r="N200" s="7" t="n">
        <v>0</v>
      </c>
      <c r="O200" s="4" t="n"/>
      <c r="P200" s="2" t="inlineStr">
        <is>
          <t>45233252</t>
        </is>
      </c>
      <c r="Q200" s="8" t="inlineStr">
        <is>
          <t>Ver</t>
        </is>
      </c>
      <c r="R200" s="8" t="inlineStr">
        <is>
          <t>PCAP</t>
        </is>
      </c>
      <c r="S200" s="9" t="n">
        <v>46321</v>
      </c>
      <c r="T200" s="3" t="n">
        <v>46318.35934027778</v>
      </c>
      <c r="U200" s="2" t="n"/>
    </row>
    <row r="201">
      <c r="A201" s="2" t="inlineStr">
        <is>
          <t>En plazo</t>
        </is>
      </c>
      <c r="B201" s="3" t="n">
        <v>46345.58333333334</v>
      </c>
      <c r="C201" s="5" t="n">
        <v>2070399.74</v>
      </c>
      <c r="D201" s="5" t="n">
        <v>2070399.74</v>
      </c>
      <c r="E201" s="2" t="inlineStr">
        <is>
          <t>Comunitat Valenciana</t>
        </is>
      </c>
      <c r="F201" s="2" t="inlineStr">
        <is>
          <t>Valencia</t>
        </is>
      </c>
      <c r="G201" s="2" t="n"/>
      <c r="H201" s="2" t="inlineStr">
        <is>
          <t>Concejalía Delegada de Contratación del Ayuntamiento de Gandía</t>
        </is>
      </c>
      <c r="I201" s="2" t="inlineStr">
        <is>
          <t>Contrato de obras consistente en la ejecución del proyecto actualizado de actuaciones en el CEIP Mondúber, derivado de la modificación de la delegación de competencias_ EDIFICANT.</t>
        </is>
      </c>
      <c r="J201" s="2" t="inlineStr">
        <is>
          <t>CONT-074/2026 (50124/2026)</t>
        </is>
      </c>
      <c r="K201" s="2" t="inlineStr">
        <is>
          <t>Abierto</t>
        </is>
      </c>
      <c r="L201" s="6" t="n">
        <v>14</v>
      </c>
      <c r="M201" s="2" t="inlineStr">
        <is>
          <t>C*-5</t>
        </is>
      </c>
      <c r="N201" s="7" t="n">
        <v>0.25</v>
      </c>
      <c r="O201" s="4" t="n"/>
      <c r="P201" s="2" t="inlineStr">
        <is>
          <t>45214210</t>
        </is>
      </c>
      <c r="Q201" s="8" t="inlineStr">
        <is>
          <t>Ver</t>
        </is>
      </c>
      <c r="R201" s="8" t="inlineStr">
        <is>
          <t>PCAP</t>
        </is>
      </c>
      <c r="S201" s="9" t="n">
        <v>46321</v>
      </c>
      <c r="T201" s="3" t="n">
        <v>46318.35078703704</v>
      </c>
      <c r="U201" s="2" t="n"/>
    </row>
    <row r="202">
      <c r="A202" s="2" t="inlineStr">
        <is>
          <t>En plazo</t>
        </is>
      </c>
      <c r="B202" s="3" t="n">
        <v>46338.79166666666</v>
      </c>
      <c r="C202" s="5" t="n">
        <v>116421.18</v>
      </c>
      <c r="D202" s="5" t="n">
        <v>116421.18</v>
      </c>
      <c r="E202" s="2" t="inlineStr">
        <is>
          <t>Comunitat Valenciana</t>
        </is>
      </c>
      <c r="F202" s="2" t="inlineStr">
        <is>
          <t>Alicante</t>
        </is>
      </c>
      <c r="G202" s="2" t="inlineStr">
        <is>
          <t>Alicante (Alacant)</t>
        </is>
      </c>
      <c r="H202" s="2" t="inlineStr">
        <is>
          <t>Junta de Gobierno del Ayuntamiento de Santa Pola</t>
        </is>
      </c>
      <c r="I202" s="2" t="inlineStr">
        <is>
          <t>Licitación para la contratación de las Obras de Rehabilitación de la Torre del Reloj en fachada principal del Castillo Fortaleza de Santa Pola</t>
        </is>
      </c>
      <c r="J202" s="2" t="inlineStr">
        <is>
          <t>10579/2026</t>
        </is>
      </c>
      <c r="K202" s="2" t="inlineStr">
        <is>
          <t>Abierto simplificado</t>
        </is>
      </c>
      <c r="L202" s="6" t="n">
        <v>3</v>
      </c>
      <c r="M202" s="2" t="n"/>
      <c r="N202" s="7" t="n">
        <v>0.35</v>
      </c>
      <c r="O202" s="4" t="n"/>
      <c r="P202" s="2" t="inlineStr">
        <is>
          <t>45454100; 45212350</t>
        </is>
      </c>
      <c r="Q202" s="8" t="inlineStr">
        <is>
          <t>Ver</t>
        </is>
      </c>
      <c r="R202" s="8" t="inlineStr">
        <is>
          <t>PCAP</t>
        </is>
      </c>
      <c r="S202" s="9" t="n">
        <v>46321</v>
      </c>
      <c r="T202" s="3" t="n">
        <v>46318.35075231481</v>
      </c>
      <c r="U202" s="2" t="n"/>
    </row>
    <row r="203">
      <c r="A203" s="2" t="inlineStr">
        <is>
          <t>Adjudicada</t>
        </is>
      </c>
      <c r="B203" s="3" t="n">
        <v>46203.99930555555</v>
      </c>
      <c r="C203" s="5" t="n">
        <v>400785.31</v>
      </c>
      <c r="D203" s="5" t="n">
        <v>480942.37</v>
      </c>
      <c r="E203" s="2" t="inlineStr">
        <is>
          <t>Comunitat Valenciana</t>
        </is>
      </c>
      <c r="F203" s="2" t="inlineStr">
        <is>
          <t>Alicante</t>
        </is>
      </c>
      <c r="G203" s="2" t="inlineStr">
        <is>
          <t>Alicante</t>
        </is>
      </c>
      <c r="H203" s="2" t="inlineStr">
        <is>
          <t>Departamento de Salud Alicante. Dirección Económica-Gerencia</t>
        </is>
      </c>
      <c r="I203" s="2" t="inlineStr">
        <is>
          <t>Obra de reforma para las sustitución de tuberías generales de distribución ACS y retorno (torres a, b, c, y d) en el Hospital General Universitario Dr. Balmis de Alicante</t>
        </is>
      </c>
      <c r="J203" s="2" t="inlineStr">
        <is>
          <t>PAS 198/2026</t>
        </is>
      </c>
      <c r="K203" s="2" t="inlineStr">
        <is>
          <t>Abierto simplificado</t>
        </is>
      </c>
      <c r="L203" s="6" t="n">
        <v>6</v>
      </c>
      <c r="M203" s="2" t="n"/>
      <c r="N203" s="7" t="n">
        <v>0.25</v>
      </c>
      <c r="O203" s="4" t="n"/>
      <c r="P203" s="2" t="inlineStr">
        <is>
          <t>45330000</t>
        </is>
      </c>
      <c r="Q203" s="8" t="inlineStr">
        <is>
          <t>Ver</t>
        </is>
      </c>
      <c r="R203" s="8" t="inlineStr">
        <is>
          <t>PCAP</t>
        </is>
      </c>
      <c r="S203" s="9" t="n">
        <v>46321</v>
      </c>
      <c r="T203" s="3" t="n">
        <v>46318.34877314815</v>
      </c>
      <c r="U203" s="2" t="n"/>
    </row>
    <row r="204">
      <c r="A204" s="2" t="inlineStr">
        <is>
          <t>Pendiente de adjudicación</t>
        </is>
      </c>
      <c r="B204" s="3" t="n">
        <v>46311.99930555555</v>
      </c>
      <c r="C204" s="5" t="n">
        <v>79929.78999999999</v>
      </c>
      <c r="D204" s="5" t="n">
        <v>79929.78999999999</v>
      </c>
      <c r="E204" s="2" t="inlineStr">
        <is>
          <t>Comunitat Valenciana</t>
        </is>
      </c>
      <c r="F204" s="2" t="inlineStr">
        <is>
          <t>Castellón</t>
        </is>
      </c>
      <c r="G204" s="2" t="n"/>
      <c r="H204" s="2" t="inlineStr">
        <is>
          <t>Junta de Gobierno del Ayuntamiento de Castellón de la Plana</t>
        </is>
      </c>
      <c r="I204" s="2" t="inlineStr">
        <is>
          <t>Trabajos de limpieza, reparación, impermeabilización y pintura en el Templete y Vallados del Parque Ribalta de Castellón</t>
        </is>
      </c>
      <c r="J204" s="2" t="inlineStr">
        <is>
          <t>98577/2026</t>
        </is>
      </c>
      <c r="K204" s="2" t="inlineStr">
        <is>
          <t>Abierto simplificado</t>
        </is>
      </c>
      <c r="L204" s="6" t="n">
        <v>0.5</v>
      </c>
      <c r="M204" s="2" t="n"/>
      <c r="N204" s="7" t="n">
        <v>0</v>
      </c>
      <c r="O204" s="4" t="n"/>
      <c r="P204" s="2" t="inlineStr">
        <is>
          <t>45212350</t>
        </is>
      </c>
      <c r="Q204" s="8" t="inlineStr">
        <is>
          <t>Ver</t>
        </is>
      </c>
      <c r="R204" s="8" t="inlineStr">
        <is>
          <t>PCAP</t>
        </is>
      </c>
      <c r="S204" s="9" t="n">
        <v>46315</v>
      </c>
      <c r="T204" s="3" t="n">
        <v>46318.3484837963</v>
      </c>
      <c r="U204" s="2" t="n"/>
    </row>
    <row r="205">
      <c r="A205" s="2" t="inlineStr">
        <is>
          <t>Pendiente de adjudicación</t>
        </is>
      </c>
      <c r="B205" s="3" t="n">
        <v>46311.99930555555</v>
      </c>
      <c r="C205" s="5" t="n">
        <v>79722.62</v>
      </c>
      <c r="D205" s="5" t="n">
        <v>79722.62</v>
      </c>
      <c r="E205" s="2" t="inlineStr">
        <is>
          <t>Comunitat Valenciana</t>
        </is>
      </c>
      <c r="F205" s="2" t="inlineStr">
        <is>
          <t>Castellón</t>
        </is>
      </c>
      <c r="G205" s="2" t="n"/>
      <c r="H205" s="2" t="inlineStr">
        <is>
          <t>Junta de Gobierno del Ayuntamiento de Castellón de la Plana</t>
        </is>
      </c>
      <c r="I205" s="2" t="inlineStr">
        <is>
          <t>Trabajos de subsanación de patologías estructurales y desperfectos en edificaciones, mejora del mobiliario y equipamiento del Parque Ribalta de Castellón.</t>
        </is>
      </c>
      <c r="J205" s="2" t="inlineStr">
        <is>
          <t>98704/2026</t>
        </is>
      </c>
      <c r="K205" s="2" t="inlineStr">
        <is>
          <t>Abierto simplificado</t>
        </is>
      </c>
      <c r="L205" s="6" t="n">
        <v>0.5</v>
      </c>
      <c r="M205" s="2" t="n"/>
      <c r="N205" s="7" t="n">
        <v>0</v>
      </c>
      <c r="O205" s="4" t="n"/>
      <c r="P205" s="2" t="inlineStr">
        <is>
          <t>45212350</t>
        </is>
      </c>
      <c r="Q205" s="8" t="inlineStr">
        <is>
          <t>Ver</t>
        </is>
      </c>
      <c r="R205" s="8" t="inlineStr">
        <is>
          <t>PCAP</t>
        </is>
      </c>
      <c r="S205" s="9" t="n">
        <v>46315</v>
      </c>
      <c r="T205" s="3" t="n">
        <v>46318.34681712963</v>
      </c>
      <c r="U205" s="2" t="n"/>
    </row>
    <row r="206">
      <c r="A206" s="2" t="inlineStr">
        <is>
          <t>Pendiente de adjudicación</t>
        </is>
      </c>
      <c r="B206" s="3" t="n">
        <v>46296.99930555555</v>
      </c>
      <c r="C206" s="5" t="n">
        <v>447605.75</v>
      </c>
      <c r="D206" s="5" t="n">
        <v>492366.33</v>
      </c>
      <c r="E206" s="2" t="inlineStr">
        <is>
          <t>Comunitat Valenciana</t>
        </is>
      </c>
      <c r="F206" s="2" t="inlineStr">
        <is>
          <t>Valencia</t>
        </is>
      </c>
      <c r="G206" s="2" t="n"/>
      <c r="H206" s="2" t="inlineStr">
        <is>
          <t>Junta de Gobierno del Ajuntament de València</t>
        </is>
      </c>
      <c r="I206" s="2" t="inlineStr">
        <is>
          <t>Obras de creación del jardín de Monteolivete, en la plaza ubicada entre la calle Escultor José Capuz, avenida Reino de València y calle Luis Oliag.-</t>
        </is>
      </c>
      <c r="J206" s="2" t="inlineStr">
        <is>
          <t>04101/2026/175-O</t>
        </is>
      </c>
      <c r="K206" s="2" t="inlineStr">
        <is>
          <t>Abierto simplificado</t>
        </is>
      </c>
      <c r="L206" s="6" t="n">
        <v>5</v>
      </c>
      <c r="M206" s="2" t="n"/>
      <c r="N206" s="7" t="n">
        <v>0</v>
      </c>
      <c r="O206" s="4" t="n"/>
      <c r="P206" s="2" t="inlineStr">
        <is>
          <t>45112712</t>
        </is>
      </c>
      <c r="Q206" s="8" t="inlineStr">
        <is>
          <t>Ver</t>
        </is>
      </c>
      <c r="R206" s="8" t="inlineStr">
        <is>
          <t>PCAP</t>
        </is>
      </c>
      <c r="S206" s="9" t="n">
        <v>46310</v>
      </c>
      <c r="T206" s="3" t="n">
        <v>46318.34384259259</v>
      </c>
      <c r="U206" s="2" t="n"/>
    </row>
    <row r="207">
      <c r="A207" s="2" t="inlineStr">
        <is>
          <t>Pendiente de adjudicación</t>
        </is>
      </c>
      <c r="B207" s="3" t="n">
        <v>46276.54166666666</v>
      </c>
      <c r="C207" s="5" t="n">
        <v>17892605.41</v>
      </c>
      <c r="D207" s="5" t="n">
        <v>17892605.41</v>
      </c>
      <c r="E207" s="2" t="inlineStr">
        <is>
          <t>Comunitat Valenciana</t>
        </is>
      </c>
      <c r="F207" s="2" t="n"/>
      <c r="G207" s="2" t="n"/>
      <c r="H207" s="2" t="inlineStr">
        <is>
          <t>ADIF -Consejo de Administración</t>
        </is>
      </c>
      <c r="I207" s="2" t="inlineStr">
        <is>
          <t>Ejecución de las obras del proyecto de construcción de afecciones a instalaciones de seguridad por duplicación de vía entre La Encina y L'Alcúdia de Crespins, y ampliación de la playa de vías de la estación de L'Alcúdia de Crespins.</t>
        </is>
      </c>
      <c r="J207" s="2" t="inlineStr">
        <is>
          <t>3.26/27507.0088</t>
        </is>
      </c>
      <c r="K207" s="2" t="inlineStr">
        <is>
          <t>Abierto</t>
        </is>
      </c>
      <c r="L207" s="6" t="n">
        <v>50</v>
      </c>
      <c r="M207" s="2" t="inlineStr">
        <is>
          <t>D3-5</t>
        </is>
      </c>
      <c r="N207" s="7" t="n">
        <v>0.49</v>
      </c>
      <c r="O207" s="4" t="n"/>
      <c r="P207" s="2" t="inlineStr">
        <is>
          <t>45234115</t>
        </is>
      </c>
      <c r="Q207" s="8" t="inlineStr">
        <is>
          <t>Ver</t>
        </is>
      </c>
      <c r="R207" s="8" t="inlineStr">
        <is>
          <t>PCAP</t>
        </is>
      </c>
      <c r="S207" s="9" t="n">
        <v>46311</v>
      </c>
      <c r="T207" s="3" t="n">
        <v>46318.33719907407</v>
      </c>
      <c r="U207" s="2" t="n"/>
    </row>
    <row r="208">
      <c r="A208" s="2" t="inlineStr">
        <is>
          <t>Pendiente de adjudicación</t>
        </is>
      </c>
      <c r="B208" s="3" t="n">
        <v>46308.99930555555</v>
      </c>
      <c r="C208" s="5" t="n">
        <v>247753.82</v>
      </c>
      <c r="D208" s="5" t="n">
        <v>247753.82</v>
      </c>
      <c r="E208" s="2" t="inlineStr">
        <is>
          <t>Andalucía</t>
        </is>
      </c>
      <c r="F208" s="2" t="inlineStr">
        <is>
          <t>Sevilla</t>
        </is>
      </c>
      <c r="G208" s="2" t="n"/>
      <c r="H208" s="2" t="inlineStr">
        <is>
          <t>Alcaldía del Ayuntamiento de Espartinas</t>
        </is>
      </c>
      <c r="I208" s="2" t="inlineStr">
        <is>
          <t>Ejecución de las obras del Proyecto Constructivo de Rehabilitación de Acerados del Viario Público, conforme a lo previsto en el Proyecto Técnico que establece las características de la actuación.</t>
        </is>
      </c>
      <c r="J208" s="2" t="inlineStr">
        <is>
          <t>2322/2026</t>
        </is>
      </c>
      <c r="K208" s="2" t="inlineStr">
        <is>
          <t>Abierto simplificado</t>
        </is>
      </c>
      <c r="L208" s="6" t="n">
        <v>1.3</v>
      </c>
      <c r="M208" s="2" t="n"/>
      <c r="N208" s="7" t="n">
        <v>0</v>
      </c>
      <c r="O208" s="4" t="n"/>
      <c r="P208" s="2" t="inlineStr">
        <is>
          <t>45233222; 45233252</t>
        </is>
      </c>
      <c r="Q208" s="8" t="inlineStr">
        <is>
          <t>Ver</t>
        </is>
      </c>
      <c r="R208" s="8" t="inlineStr">
        <is>
          <t>PCAP</t>
        </is>
      </c>
      <c r="S208" s="9" t="n">
        <v>46310</v>
      </c>
      <c r="T208" s="3" t="n">
        <v>46318.33688657408</v>
      </c>
      <c r="U208" s="2" t="inlineStr">
        <is>
          <t>2026-10-16: estado PUB → EV</t>
        </is>
      </c>
    </row>
    <row r="209">
      <c r="A209" s="2" t="inlineStr">
        <is>
          <t>En plazo</t>
        </is>
      </c>
      <c r="B209" s="3" t="n">
        <v>46337.79166666666</v>
      </c>
      <c r="C209" s="5" t="n">
        <v>639142.6800000001</v>
      </c>
      <c r="D209" s="5" t="n">
        <v>692237.37</v>
      </c>
      <c r="E209" s="2" t="inlineStr">
        <is>
          <t>Comunitat Valenciana</t>
        </is>
      </c>
      <c r="F209" s="2" t="inlineStr">
        <is>
          <t>Alicante</t>
        </is>
      </c>
      <c r="G209" s="2" t="inlineStr">
        <is>
          <t>Alicante (Alacant)</t>
        </is>
      </c>
      <c r="H209" s="2" t="inlineStr">
        <is>
          <t>Junta de Gobierno del Ayuntamiento de Santa Pola</t>
        </is>
      </c>
      <c r="I209" s="2" t="inlineStr">
        <is>
          <t>Licitación para la contratación de las Obras de urbanización de los viales de la parcela del polígono 7.2.C de Gran Alacant (Consultorio)</t>
        </is>
      </c>
      <c r="J209" s="2" t="inlineStr">
        <is>
          <t>21085/2026</t>
        </is>
      </c>
      <c r="K209" s="2" t="inlineStr">
        <is>
          <t>Abierto simplificado</t>
        </is>
      </c>
      <c r="L209" s="6" t="n">
        <v>5</v>
      </c>
      <c r="M209" s="2" t="inlineStr">
        <is>
          <t>G*-3</t>
        </is>
      </c>
      <c r="N209" s="7" t="n">
        <v>0.45</v>
      </c>
      <c r="O209" s="4" t="n"/>
      <c r="P209" s="2" t="inlineStr">
        <is>
          <t>45112500; 45211360</t>
        </is>
      </c>
      <c r="Q209" s="8" t="inlineStr">
        <is>
          <t>Ver</t>
        </is>
      </c>
      <c r="R209" s="8" t="inlineStr">
        <is>
          <t>PCAP</t>
        </is>
      </c>
      <c r="S209" s="9" t="n">
        <v>46321</v>
      </c>
      <c r="T209" s="3" t="n">
        <v>46318.32799768518</v>
      </c>
      <c r="U209" s="2" t="n"/>
    </row>
    <row r="210">
      <c r="A210" s="2" t="inlineStr">
        <is>
          <t>Resuelta</t>
        </is>
      </c>
      <c r="B210" s="3" t="n">
        <v>46227.99930555555</v>
      </c>
      <c r="C210" s="5" t="n">
        <v>45216.53</v>
      </c>
      <c r="D210" s="5" t="n">
        <v>45216.53</v>
      </c>
      <c r="E210" s="2" t="inlineStr">
        <is>
          <t>Andalucía</t>
        </is>
      </c>
      <c r="F210" s="2" t="inlineStr">
        <is>
          <t>Granada</t>
        </is>
      </c>
      <c r="G210" s="2" t="inlineStr">
        <is>
          <t>LUGROS</t>
        </is>
      </c>
      <c r="H210" s="2" t="inlineStr">
        <is>
          <t>Presidencia de la Diputación Provincial de Granada</t>
        </is>
      </c>
      <c r="I210" s="2" t="inlineStr">
        <is>
          <t>2024/4/PPOYS-108/1 "Lugros, acondicionamiento de redes y pavimentación en C/ San José"</t>
        </is>
      </c>
      <c r="J210" s="2" t="inlineStr">
        <is>
          <t>OB-048/26</t>
        </is>
      </c>
      <c r="K210" s="2" t="inlineStr">
        <is>
          <t>Negociado sin publicidad</t>
        </is>
      </c>
      <c r="L210" s="6" t="n">
        <v>5</v>
      </c>
      <c r="M210" s="2" t="inlineStr">
        <is>
          <t>G6-1</t>
        </is>
      </c>
      <c r="N210" s="7" t="n">
        <v>0</v>
      </c>
      <c r="O210" s="4" t="n"/>
      <c r="P210" s="2" t="inlineStr">
        <is>
          <t>45233252; 45262620</t>
        </is>
      </c>
      <c r="Q210" s="8" t="inlineStr">
        <is>
          <t>Ver</t>
        </is>
      </c>
      <c r="R210" s="8" t="inlineStr">
        <is>
          <t>PCAP</t>
        </is>
      </c>
      <c r="S210" s="9" t="n">
        <v>46317</v>
      </c>
      <c r="T210" s="3" t="n">
        <v>46318.32386574074</v>
      </c>
      <c r="U210" s="2" t="inlineStr">
        <is>
          <t>2026-10-26: estado ADJ → RES</t>
        </is>
      </c>
    </row>
    <row r="211">
      <c r="A211" s="2" t="inlineStr">
        <is>
          <t>Resuelta</t>
        </is>
      </c>
      <c r="B211" s="3" t="n">
        <v>46148.54166666666</v>
      </c>
      <c r="C211" s="5" t="n">
        <v>17244620.1</v>
      </c>
      <c r="D211" s="5" t="n">
        <v>17244620.1</v>
      </c>
      <c r="E211" s="2" t="inlineStr">
        <is>
          <t>Andalucía</t>
        </is>
      </c>
      <c r="F211" s="2" t="inlineStr">
        <is>
          <t>Sevilla</t>
        </is>
      </c>
      <c r="G211" s="2" t="n"/>
      <c r="H211" s="2" t="inlineStr">
        <is>
          <t>ADIF -Consejo de Administración</t>
        </is>
      </c>
      <c r="I211" s="2" t="inlineStr">
        <is>
          <t>Obras de ejecución del proyecto constructivo de la nueva estación Casilla de los Pinos en Dos Hermanas</t>
        </is>
      </c>
      <c r="J211" s="2" t="inlineStr">
        <is>
          <t>3.26/06110.0006</t>
        </is>
      </c>
      <c r="K211" s="2" t="inlineStr">
        <is>
          <t>Abierto</t>
        </is>
      </c>
      <c r="L211" s="6" t="n">
        <v>24</v>
      </c>
      <c r="M211" s="2" t="inlineStr">
        <is>
          <t>K1-4; C3-5; D4-2; C2-4</t>
        </is>
      </c>
      <c r="N211" s="7" t="n">
        <v>0.49</v>
      </c>
      <c r="O211" s="4" t="n"/>
      <c r="P211" s="2" t="inlineStr">
        <is>
          <t>45111200</t>
        </is>
      </c>
      <c r="Q211" s="8" t="inlineStr">
        <is>
          <t>Ver</t>
        </is>
      </c>
      <c r="R211" s="8" t="inlineStr">
        <is>
          <t>PCAP</t>
        </is>
      </c>
      <c r="S211" s="9" t="n">
        <v>46318</v>
      </c>
      <c r="T211" s="3" t="n">
        <v>46318.31074074074</v>
      </c>
      <c r="U211" s="2" t="inlineStr">
        <is>
          <t>2026-10-26: estado ADJ → RES</t>
        </is>
      </c>
    </row>
    <row r="212">
      <c r="A212" s="2" t="inlineStr">
        <is>
          <t>Resuelta</t>
        </is>
      </c>
      <c r="B212" s="3" t="n">
        <v>46300.99930555555</v>
      </c>
      <c r="C212" s="5" t="n">
        <v>767981.26</v>
      </c>
      <c r="D212" s="5" t="n">
        <v>767981.26</v>
      </c>
      <c r="E212" s="2" t="inlineStr">
        <is>
          <t>Andalucía</t>
        </is>
      </c>
      <c r="F212" s="2" t="inlineStr">
        <is>
          <t>Granada</t>
        </is>
      </c>
      <c r="G212" s="2" t="n"/>
      <c r="H212" s="2" t="inlineStr">
        <is>
          <t>Alcaldía del Ayuntamiento de Atarfe</t>
        </is>
      </c>
      <c r="I212" s="2" t="inlineStr">
        <is>
          <t>Obra para la ejecución del Centro Arqueológico Medina Elvira.</t>
        </is>
      </c>
      <c r="J212" s="2" t="inlineStr">
        <is>
          <t>5796/2026</t>
        </is>
      </c>
      <c r="K212" s="2" t="inlineStr">
        <is>
          <t>Abierto</t>
        </is>
      </c>
      <c r="L212" s="6" t="n">
        <v>18</v>
      </c>
      <c r="M212" s="2" t="n"/>
      <c r="N212" s="7" t="n">
        <v>0</v>
      </c>
      <c r="O212" s="4" t="n"/>
      <c r="P212" s="2" t="inlineStr">
        <is>
          <t>45000000; 45212314; 45210000</t>
        </is>
      </c>
      <c r="Q212" s="8" t="inlineStr">
        <is>
          <t>Ver</t>
        </is>
      </c>
      <c r="R212" s="8" t="inlineStr">
        <is>
          <t>PCAP</t>
        </is>
      </c>
      <c r="S212" s="9" t="n">
        <v>46310</v>
      </c>
      <c r="T212" s="3" t="n">
        <v>46318.30574074074</v>
      </c>
      <c r="U212" s="2" t="inlineStr">
        <is>
          <t>2026-10-26: estado EV → RES</t>
        </is>
      </c>
    </row>
    <row r="213">
      <c r="A213" s="2" t="inlineStr">
        <is>
          <t>Resuelta</t>
        </is>
      </c>
      <c r="B213" s="3" t="n">
        <v>46258.58333333334</v>
      </c>
      <c r="C213" s="5" t="n">
        <v>474784.18</v>
      </c>
      <c r="D213" s="5" t="n">
        <v>474784.18</v>
      </c>
      <c r="E213" s="2" t="inlineStr">
        <is>
          <t>Andalucía</t>
        </is>
      </c>
      <c r="F213" s="2" t="inlineStr">
        <is>
          <t>Córdoba</t>
        </is>
      </c>
      <c r="G213" s="2" t="n"/>
      <c r="H213" s="2" t="inlineStr">
        <is>
          <t>Consejo de Administración de la Empresa Municipal Saneamientos de Córdoba S.A. (SADECO)</t>
        </is>
      </c>
      <c r="I213" s="2" t="inlineStr">
        <is>
          <t>Contrato de obras de adecuación del drenaje para la ampliación del área de vertido (fase 7) y protección del camino de acceso al actual vaso de vertido (fase 6) en el Complejo Medioambiental Juan Revilla</t>
        </is>
      </c>
      <c r="J213" s="2" t="inlineStr">
        <is>
          <t>Exp C26/61</t>
        </is>
      </c>
      <c r="K213" s="2" t="inlineStr">
        <is>
          <t>Abierto</t>
        </is>
      </c>
      <c r="L213" s="6" t="n">
        <v>3</v>
      </c>
      <c r="M213" s="2" t="inlineStr">
        <is>
          <t>E5-3</t>
        </is>
      </c>
      <c r="N213" s="7" t="n">
        <v>0</v>
      </c>
      <c r="O213" s="4" t="n"/>
      <c r="P213" s="2" t="inlineStr">
        <is>
          <t>45000000; 45232451</t>
        </is>
      </c>
      <c r="Q213" s="8" t="inlineStr">
        <is>
          <t>Ver</t>
        </is>
      </c>
      <c r="R213" s="8" t="inlineStr">
        <is>
          <t>PCAP</t>
        </is>
      </c>
      <c r="S213" s="9" t="n">
        <v>46321</v>
      </c>
      <c r="T213" s="3" t="n">
        <v>46318.26141203703</v>
      </c>
      <c r="U213" s="2" t="n"/>
    </row>
    <row r="214">
      <c r="A214" s="2" t="inlineStr">
        <is>
          <t>En plazo</t>
        </is>
      </c>
      <c r="B214" s="3" t="n">
        <v>46337.99930555555</v>
      </c>
      <c r="C214" s="5" t="n">
        <v>164439.17</v>
      </c>
      <c r="D214" s="5" t="n">
        <v>164439.17</v>
      </c>
      <c r="E214" s="2" t="inlineStr">
        <is>
          <t>Andalucía</t>
        </is>
      </c>
      <c r="F214" s="2" t="inlineStr">
        <is>
          <t>Granada</t>
        </is>
      </c>
      <c r="G214" s="2" t="n"/>
      <c r="H214" s="2" t="inlineStr">
        <is>
          <t>Alcaldia del Ayuntamiento de Salobreña</t>
        </is>
      </c>
      <c r="I214" s="2" t="inlineStr">
        <is>
          <t>La ejecución de las obras de remodelación de la Calle Granada de Lobres</t>
        </is>
      </c>
      <c r="J214" s="2" t="inlineStr">
        <is>
          <t>Expte.5710/2026</t>
        </is>
      </c>
      <c r="K214" s="2" t="inlineStr">
        <is>
          <t>Abierto simplificado</t>
        </is>
      </c>
      <c r="L214" s="6" t="n">
        <v>2.5</v>
      </c>
      <c r="M214" s="2" t="n"/>
      <c r="N214" s="7" t="n">
        <v>0</v>
      </c>
      <c r="O214" s="4" t="n"/>
      <c r="P214" s="2" t="inlineStr">
        <is>
          <t>45000000; 45233222; 45100000</t>
        </is>
      </c>
      <c r="Q214" s="8" t="inlineStr">
        <is>
          <t>Ver</t>
        </is>
      </c>
      <c r="R214" s="8" t="inlineStr">
        <is>
          <t>PCAP</t>
        </is>
      </c>
      <c r="S214" s="9" t="n">
        <v>46321</v>
      </c>
      <c r="T214" s="3" t="n">
        <v>46317.91916666667</v>
      </c>
      <c r="U214" s="2" t="n"/>
    </row>
    <row r="215">
      <c r="A215" s="2" t="inlineStr">
        <is>
          <t>En plazo</t>
        </is>
      </c>
      <c r="B215" s="3" t="n">
        <v>46337.99930555555</v>
      </c>
      <c r="C215" s="5" t="n">
        <v>525204.12</v>
      </c>
      <c r="D215" s="5" t="n">
        <v>525204.12</v>
      </c>
      <c r="E215" s="2" t="inlineStr">
        <is>
          <t>Andalucía</t>
        </is>
      </c>
      <c r="F215" s="2" t="inlineStr">
        <is>
          <t>Granada</t>
        </is>
      </c>
      <c r="G215" s="2" t="n"/>
      <c r="H215" s="2" t="inlineStr">
        <is>
          <t>Alcaldia del Ayuntamiento de Salobreña</t>
        </is>
      </c>
      <c r="I215" s="2" t="inlineStr">
        <is>
          <t>La ejecución del proyecto para la remodelación del espacio peatonal existente en el entorno del Juan ramón Jiménez</t>
        </is>
      </c>
      <c r="J215" s="2" t="inlineStr">
        <is>
          <t>Expte.5430/2026</t>
        </is>
      </c>
      <c r="K215" s="2" t="inlineStr">
        <is>
          <t>Abierto simplificado</t>
        </is>
      </c>
      <c r="L215" s="6" t="n">
        <v>2.5</v>
      </c>
      <c r="M215" s="2" t="inlineStr">
        <is>
          <t>G6-3</t>
        </is>
      </c>
      <c r="N215" s="7" t="n">
        <v>0</v>
      </c>
      <c r="O215" s="4" t="n"/>
      <c r="P215" s="2" t="inlineStr">
        <is>
          <t>45000000; 45100000; 45233222</t>
        </is>
      </c>
      <c r="Q215" s="8" t="inlineStr">
        <is>
          <t>Ver</t>
        </is>
      </c>
      <c r="R215" s="8" t="inlineStr">
        <is>
          <t>PCAP</t>
        </is>
      </c>
      <c r="S215" s="9" t="n">
        <v>46321</v>
      </c>
      <c r="T215" s="3" t="n">
        <v>46317.90481481481</v>
      </c>
      <c r="U215" s="2" t="n"/>
    </row>
    <row r="216">
      <c r="A216" s="2" t="inlineStr">
        <is>
          <t>En plazo</t>
        </is>
      </c>
      <c r="B216" s="3" t="n">
        <v>46337.99930555555</v>
      </c>
      <c r="C216" s="5" t="n">
        <v>360545.73</v>
      </c>
      <c r="D216" s="5" t="n">
        <v>360545.73</v>
      </c>
      <c r="E216" s="2" t="inlineStr">
        <is>
          <t>Comunitat Valenciana</t>
        </is>
      </c>
      <c r="F216" s="2" t="inlineStr">
        <is>
          <t>Alicante</t>
        </is>
      </c>
      <c r="G216" s="2" t="n"/>
      <c r="H216" s="2" t="inlineStr">
        <is>
          <t>Junta de Gobierno del Ayuntamiento de Torrevieja</t>
        </is>
      </c>
      <c r="I216" s="2" t="inlineStr">
        <is>
          <t>Contratación de la obra de reforma de las oficinas del cementerio municipal de Torrevieja</t>
        </is>
      </c>
      <c r="J216" s="2" t="inlineStr">
        <is>
          <t>69000/2026</t>
        </is>
      </c>
      <c r="K216" s="2" t="inlineStr">
        <is>
          <t>Abierto simplificado</t>
        </is>
      </c>
      <c r="L216" s="6" t="n">
        <v>8</v>
      </c>
      <c r="M216" s="2" t="n"/>
      <c r="N216" s="7" t="n">
        <v>0</v>
      </c>
      <c r="O216" s="4" t="n"/>
      <c r="P216" s="2" t="inlineStr">
        <is>
          <t>45454000</t>
        </is>
      </c>
      <c r="Q216" s="8" t="inlineStr">
        <is>
          <t>Ver</t>
        </is>
      </c>
      <c r="R216" s="8" t="inlineStr">
        <is>
          <t>PCAP</t>
        </is>
      </c>
      <c r="S216" s="9" t="n">
        <v>46310</v>
      </c>
      <c r="T216" s="3" t="n">
        <v>46317.85550925926</v>
      </c>
      <c r="U216" s="2" t="inlineStr">
        <is>
          <t>2026-10-26: plazo 2026-10-28 23:59 → 2026-11-11 23:59</t>
        </is>
      </c>
    </row>
    <row r="217">
      <c r="A217" s="2" t="inlineStr">
        <is>
          <t>Adjudicada</t>
        </is>
      </c>
      <c r="B217" s="3" t="n">
        <v>46281.99930555555</v>
      </c>
      <c r="C217" s="5" t="n">
        <v>41065.31</v>
      </c>
      <c r="D217" s="5" t="n">
        <v>41065.31</v>
      </c>
      <c r="E217" s="2" t="inlineStr">
        <is>
          <t>Andalucía</t>
        </is>
      </c>
      <c r="F217" s="2" t="inlineStr">
        <is>
          <t>Málaga</t>
        </is>
      </c>
      <c r="G217" s="2" t="n"/>
      <c r="H217" s="2" t="inlineStr">
        <is>
          <t>Concejalía Delegada de la Presidencia de la Junta Municipal del Distrito nº 7, Carretera de Cádiz del Ayuntamiento de Málaga</t>
        </is>
      </c>
      <c r="I217" s="2" t="inlineStr">
        <is>
          <t>Contrato de obra relativo a Proyecto de acondicionamiento de jardín en Calle Jalón en el Distrito 7 Carretera de Cádiz</t>
        </is>
      </c>
      <c r="J217" s="2" t="inlineStr">
        <is>
          <t>PASA 26/09/000</t>
        </is>
      </c>
      <c r="K217" s="2" t="inlineStr">
        <is>
          <t>Abierto simplificado</t>
        </is>
      </c>
      <c r="L217" s="6" t="n">
        <v>3</v>
      </c>
      <c r="M217" s="2" t="n"/>
      <c r="N217" s="7" t="n">
        <v>0</v>
      </c>
      <c r="O217" s="4" t="n"/>
      <c r="P217" s="2" t="inlineStr">
        <is>
          <t>45233200; 45112360</t>
        </is>
      </c>
      <c r="Q217" s="8" t="inlineStr">
        <is>
          <t>Ver</t>
        </is>
      </c>
      <c r="R217" s="8" t="inlineStr">
        <is>
          <t>PCAP</t>
        </is>
      </c>
      <c r="S217" s="9" t="n">
        <v>46318</v>
      </c>
      <c r="T217" s="3" t="n">
        <v>46317.80030092593</v>
      </c>
      <c r="U217" s="2" t="n"/>
    </row>
    <row r="218">
      <c r="A218" s="2" t="inlineStr">
        <is>
          <t>En plazo</t>
        </is>
      </c>
      <c r="B218" s="3" t="n">
        <v>46346.58333333334</v>
      </c>
      <c r="C218" s="5" t="n">
        <v>193217.16</v>
      </c>
      <c r="D218" s="5" t="n">
        <v>193217.16</v>
      </c>
      <c r="E218" s="2" t="inlineStr">
        <is>
          <t>Andalucía</t>
        </is>
      </c>
      <c r="F218" s="2" t="inlineStr">
        <is>
          <t>Sevilla</t>
        </is>
      </c>
      <c r="G218" s="2" t="n"/>
      <c r="H218" s="2" t="inlineStr">
        <is>
          <t>Alcaldía del Ayuntamiento de El Ronquillo</t>
        </is>
      </c>
      <c r="I218" s="2" t="inlineStr">
        <is>
          <t>Reforma Vestuarios Campo de Futbol</t>
        </is>
      </c>
      <c r="J218" s="2" t="inlineStr">
        <is>
          <t>P4108300G-2026/000025-PAAS</t>
        </is>
      </c>
      <c r="K218" s="2" t="inlineStr">
        <is>
          <t>Abierto simplificado</t>
        </is>
      </c>
      <c r="L218" s="6" t="n">
        <v>8</v>
      </c>
      <c r="M218" s="2" t="n"/>
      <c r="N218" s="7" t="n">
        <v>0</v>
      </c>
      <c r="O218" s="4" t="n"/>
      <c r="P218" s="2" t="inlineStr">
        <is>
          <t>45212290</t>
        </is>
      </c>
      <c r="Q218" s="8" t="inlineStr">
        <is>
          <t>Ver</t>
        </is>
      </c>
      <c r="R218" s="8" t="inlineStr">
        <is>
          <t>PCAP</t>
        </is>
      </c>
      <c r="S218" s="9" t="n">
        <v>46318</v>
      </c>
      <c r="T218" s="3" t="n">
        <v>46317.78828703704</v>
      </c>
      <c r="U218" s="2" t="n"/>
    </row>
    <row r="219">
      <c r="A219" s="2" t="inlineStr">
        <is>
          <t>En plazo</t>
        </is>
      </c>
      <c r="B219" s="3" t="n">
        <v>46331.58333333334</v>
      </c>
      <c r="C219" s="5" t="n">
        <v>67791.5</v>
      </c>
      <c r="D219" s="5" t="n">
        <v>67791.5</v>
      </c>
      <c r="E219" s="2" t="inlineStr">
        <is>
          <t>Comunitat Valenciana</t>
        </is>
      </c>
      <c r="F219" s="2" t="inlineStr">
        <is>
          <t>Valencia</t>
        </is>
      </c>
      <c r="G219" s="2" t="n"/>
      <c r="H219" s="2" t="inlineStr">
        <is>
          <t>Pleno del Ayuntamiento de Aras de los Olmos</t>
        </is>
      </c>
      <c r="I219" s="2" t="inlineStr">
        <is>
          <t>Contrato abierto simplificado sumario de obras reforma consultorio auxiliar de aras de los olmos POI 2024-2027</t>
        </is>
      </c>
      <c r="J219" s="2" t="inlineStr">
        <is>
          <t>105/2026</t>
        </is>
      </c>
      <c r="K219" s="2" t="inlineStr">
        <is>
          <t>Abierto simplificado</t>
        </is>
      </c>
      <c r="L219" s="6" t="n">
        <v>3</v>
      </c>
      <c r="M219" s="2" t="n"/>
      <c r="N219" s="7" t="n"/>
      <c r="O219" s="4" t="n"/>
      <c r="P219" s="2" t="inlineStr">
        <is>
          <t>45000000; 45400000; 45300000</t>
        </is>
      </c>
      <c r="Q219" s="8" t="inlineStr">
        <is>
          <t>Ver</t>
        </is>
      </c>
      <c r="R219" s="8" t="inlineStr">
        <is>
          <t>PCAP</t>
        </is>
      </c>
      <c r="S219" s="9" t="n">
        <v>46318</v>
      </c>
      <c r="T219" s="3" t="n">
        <v>46317.76361111111</v>
      </c>
      <c r="U219" s="2" t="n"/>
    </row>
    <row r="220">
      <c r="A220" s="2" t="inlineStr">
        <is>
          <t>Resuelta</t>
        </is>
      </c>
      <c r="B220" s="3" t="n">
        <v>46230.99930555555</v>
      </c>
      <c r="C220" s="5" t="n">
        <v>95639.35000000001</v>
      </c>
      <c r="D220" s="5" t="n">
        <v>95639.35000000001</v>
      </c>
      <c r="E220" s="2" t="inlineStr">
        <is>
          <t>Comunitat Valenciana</t>
        </is>
      </c>
      <c r="F220" s="2" t="inlineStr">
        <is>
          <t>Valencia</t>
        </is>
      </c>
      <c r="G220" s="2" t="n"/>
      <c r="H220" s="2" t="inlineStr">
        <is>
          <t>Junta de Gobierno del Ayuntamiento de Alboraya</t>
        </is>
      </c>
      <c r="I220" s="2" t="inlineStr">
        <is>
          <t>Obras de ejecución de colector de saneamiento y pluvial de la Calle Sant Vicent</t>
        </is>
      </c>
      <c r="J220" s="2" t="inlineStr">
        <is>
          <t>2117/2026</t>
        </is>
      </c>
      <c r="K220" s="2" t="inlineStr">
        <is>
          <t>Abierto simplificado</t>
        </is>
      </c>
      <c r="L220" s="6" t="n">
        <v>2</v>
      </c>
      <c r="M220" s="2" t="n"/>
      <c r="N220" s="7" t="n">
        <v>0</v>
      </c>
      <c r="O220" s="4" t="n"/>
      <c r="P220" s="2" t="inlineStr">
        <is>
          <t>45232400</t>
        </is>
      </c>
      <c r="Q220" s="8" t="inlineStr">
        <is>
          <t>Ver</t>
        </is>
      </c>
      <c r="R220" s="8" t="inlineStr">
        <is>
          <t>PCAP</t>
        </is>
      </c>
      <c r="S220" s="9" t="n">
        <v>46318</v>
      </c>
      <c r="T220" s="3" t="n">
        <v>46317.69309027777</v>
      </c>
      <c r="U220" s="2" t="n"/>
    </row>
    <row r="221">
      <c r="A221" s="2" t="inlineStr">
        <is>
          <t>Resuelta</t>
        </is>
      </c>
      <c r="B221" s="3" t="n">
        <v>46226.54166666666</v>
      </c>
      <c r="C221" s="5" t="n">
        <v>1649940.26</v>
      </c>
      <c r="D221" s="5" t="n">
        <v>1649940.26</v>
      </c>
      <c r="E221" s="2" t="inlineStr">
        <is>
          <t>Andalucía</t>
        </is>
      </c>
      <c r="F221" s="2" t="inlineStr">
        <is>
          <t>Almería</t>
        </is>
      </c>
      <c r="G221" s="2" t="inlineStr">
        <is>
          <t>Almeria</t>
        </is>
      </c>
      <c r="H221" s="2" t="inlineStr">
        <is>
          <t>Rectorado de la Universidad de Almería</t>
        </is>
      </c>
      <c r="I221" s="2" t="inlineStr">
        <is>
          <t>Ejecución de la obra de Reforma y Ampliación del Edificio Paseo de la Universidad de Almería</t>
        </is>
      </c>
      <c r="J221" s="2" t="inlineStr">
        <is>
          <t>1099</t>
        </is>
      </c>
      <c r="K221" s="2" t="inlineStr">
        <is>
          <t>Abierto simplificado</t>
        </is>
      </c>
      <c r="L221" s="6" t="n">
        <v>12</v>
      </c>
      <c r="M221" s="2" t="n"/>
      <c r="N221" s="7" t="n">
        <v>0.25</v>
      </c>
      <c r="O221" s="4" t="n"/>
      <c r="P221" s="2" t="inlineStr">
        <is>
          <t>45210000; 45214000; 45214400</t>
        </is>
      </c>
      <c r="Q221" s="8" t="inlineStr">
        <is>
          <t>Ver</t>
        </is>
      </c>
      <c r="R221" s="8" t="inlineStr">
        <is>
          <t>PCAP</t>
        </is>
      </c>
      <c r="S221" s="9" t="n">
        <v>46318</v>
      </c>
      <c r="T221" s="3" t="n">
        <v>46317.67003472222</v>
      </c>
      <c r="U221" s="2" t="n"/>
    </row>
    <row r="222">
      <c r="A222" s="2" t="inlineStr">
        <is>
          <t>Adjudicada</t>
        </is>
      </c>
      <c r="B222" s="3" t="n">
        <v>46266.58333333334</v>
      </c>
      <c r="C222" s="5" t="n">
        <v>89628.10000000001</v>
      </c>
      <c r="D222" s="5" t="n">
        <v>89628.10000000001</v>
      </c>
      <c r="E222" s="2" t="inlineStr">
        <is>
          <t>Comunitat Valenciana</t>
        </is>
      </c>
      <c r="F222" s="2" t="inlineStr">
        <is>
          <t>Valencia</t>
        </is>
      </c>
      <c r="G222" s="2" t="inlineStr">
        <is>
          <t>Gandia</t>
        </is>
      </c>
      <c r="H222" s="2" t="inlineStr">
        <is>
          <t>Departamento de Salud de Gandía. Dirección Económica-Gerencia</t>
        </is>
      </c>
      <c r="I222" s="2" t="inlineStr">
        <is>
          <t>obra de mejora en la impermeabilización del aparcamiento superior del Hospital Universitario Francesc de Borja de Gandía, según especificaciones descritas en el PPT, respetuoso con el medio ambiente.</t>
        </is>
      </c>
      <c r="J222" s="2" t="inlineStr">
        <is>
          <t>PAS-OB 1160/2026</t>
        </is>
      </c>
      <c r="K222" s="2" t="inlineStr">
        <is>
          <t>Abierto simplificado</t>
        </is>
      </c>
      <c r="L222" s="6" t="n">
        <v>2</v>
      </c>
      <c r="M222" s="2" t="n"/>
      <c r="N222" s="7" t="n">
        <v>0.25</v>
      </c>
      <c r="O222" s="4" t="n"/>
      <c r="P222" s="2" t="inlineStr">
        <is>
          <t>45215100; 45261420; 45223300; 45442000</t>
        </is>
      </c>
      <c r="Q222" s="8" t="inlineStr">
        <is>
          <t>Ver</t>
        </is>
      </c>
      <c r="R222" s="8" t="inlineStr">
        <is>
          <t>PCAP</t>
        </is>
      </c>
      <c r="S222" s="9" t="n">
        <v>46318</v>
      </c>
      <c r="T222" s="3" t="n">
        <v>46317.66789351852</v>
      </c>
      <c r="U222" s="2" t="n"/>
    </row>
    <row r="223">
      <c r="A223" s="2" t="inlineStr">
        <is>
          <t>Pendiente de adjudicación</t>
        </is>
      </c>
      <c r="B223" s="3" t="n">
        <v>46293.99930555555</v>
      </c>
      <c r="C223" s="5" t="n">
        <v>176104.46</v>
      </c>
      <c r="D223" s="5" t="n">
        <v>176104.46</v>
      </c>
      <c r="E223" s="2" t="inlineStr">
        <is>
          <t>Comunitat Valenciana</t>
        </is>
      </c>
      <c r="F223" s="2" t="inlineStr">
        <is>
          <t>Valencia</t>
        </is>
      </c>
      <c r="G223" s="2" t="inlineStr">
        <is>
          <t>Sollana</t>
        </is>
      </c>
      <c r="H223" s="2" t="inlineStr">
        <is>
          <t>Junta de Gobierno del Ayuntamiento de Sollana</t>
        </is>
      </c>
      <c r="I223" s="2" t="inlineStr">
        <is>
          <t>EjecuciOn de las obras correspondientes al proyecto denominado URBANIZACIÓN ENTORNO PISTAS PÁDEL</t>
        </is>
      </c>
      <c r="J223" s="2" t="inlineStr">
        <is>
          <t>938-2026</t>
        </is>
      </c>
      <c r="K223" s="2" t="inlineStr">
        <is>
          <t>Abierto simplificado</t>
        </is>
      </c>
      <c r="L223" s="6" t="n">
        <v>2</v>
      </c>
      <c r="M223" s="2" t="inlineStr">
        <is>
          <t>C3-2; G4-2</t>
        </is>
      </c>
      <c r="N223" s="7" t="n">
        <v>0</v>
      </c>
      <c r="O223" s="4" t="n"/>
      <c r="P223" s="2" t="inlineStr">
        <is>
          <t>45200000; 45233222</t>
        </is>
      </c>
      <c r="Q223" s="8" t="inlineStr">
        <is>
          <t>Ver</t>
        </is>
      </c>
      <c r="R223" s="8" t="inlineStr">
        <is>
          <t>PCAP</t>
        </is>
      </c>
      <c r="S223" s="9" t="n">
        <v>46310</v>
      </c>
      <c r="T223" s="3" t="n">
        <v>46317.6208912037</v>
      </c>
      <c r="U223" s="2" t="n"/>
    </row>
    <row r="224">
      <c r="A224" s="2" t="inlineStr">
        <is>
          <t>En plazo</t>
        </is>
      </c>
      <c r="B224" s="3" t="n">
        <v>46337.99930555555</v>
      </c>
      <c r="C224" s="5" t="n">
        <v>93092.92</v>
      </c>
      <c r="D224" s="5" t="n">
        <v>93090.92</v>
      </c>
      <c r="E224" s="2" t="inlineStr">
        <is>
          <t>Andalucía</t>
        </is>
      </c>
      <c r="F224" s="2" t="inlineStr">
        <is>
          <t>Jaén</t>
        </is>
      </c>
      <c r="G224" s="2" t="inlineStr">
        <is>
          <t>Segura de la Sierra</t>
        </is>
      </c>
      <c r="H224" s="2" t="inlineStr">
        <is>
          <t>Alcaldía del Ayuntamiento de Segura de la Sierra</t>
        </is>
      </c>
      <c r="I224" s="2" t="inlineStr">
        <is>
          <t>Adecuación mejora de viales en Cortijos Nuevos del Ayuntamiento de Segura de la Sierra (Jaén).</t>
        </is>
      </c>
      <c r="J224" s="2" t="inlineStr">
        <is>
          <t>964/2026</t>
        </is>
      </c>
      <c r="K224" s="2" t="inlineStr">
        <is>
          <t>Abierto simplificado</t>
        </is>
      </c>
      <c r="L224" s="6" t="n">
        <v>6</v>
      </c>
      <c r="M224" s="2" t="inlineStr">
        <is>
          <t>C6-1</t>
        </is>
      </c>
      <c r="N224" s="7" t="n">
        <v>0</v>
      </c>
      <c r="O224" s="4" t="n"/>
      <c r="P224" s="2" t="inlineStr">
        <is>
          <t>45432110</t>
        </is>
      </c>
      <c r="Q224" s="8" t="inlineStr">
        <is>
          <t>Ver</t>
        </is>
      </c>
      <c r="R224" s="8" t="inlineStr">
        <is>
          <t>PCAP</t>
        </is>
      </c>
      <c r="S224" s="9" t="n">
        <v>46318</v>
      </c>
      <c r="T224" s="3" t="n">
        <v>46317.62032407407</v>
      </c>
      <c r="U224" s="2" t="n"/>
    </row>
    <row r="225">
      <c r="A225" s="2" t="inlineStr">
        <is>
          <t>En plazo</t>
        </is>
      </c>
      <c r="B225" s="3" t="n">
        <v>46337.99930555555</v>
      </c>
      <c r="C225" s="5" t="n">
        <v>407503.07</v>
      </c>
      <c r="D225" s="5" t="n">
        <v>448253.38</v>
      </c>
      <c r="E225" s="2" t="inlineStr">
        <is>
          <t>Comunitat Valenciana</t>
        </is>
      </c>
      <c r="F225" s="2" t="inlineStr">
        <is>
          <t>Valencia</t>
        </is>
      </c>
      <c r="G225" s="2" t="n"/>
      <c r="H225" s="2" t="inlineStr">
        <is>
          <t>Junta de Gobierno del Ajuntament de València</t>
        </is>
      </c>
      <c r="I225" s="2" t="inlineStr">
        <is>
          <t>Obras de mejora de Itinerarios Ciclistas de los Presupuestos Participativos 2020-2021, dividido en 3 lotes. Propuestas de Inversión nº 4331, nº 4633, nº 5008.</t>
        </is>
      </c>
      <c r="J225" s="2" t="inlineStr">
        <is>
          <t>04101/2026/172-O</t>
        </is>
      </c>
      <c r="K225" s="2" t="inlineStr">
        <is>
          <t>Abierto simplificado</t>
        </is>
      </c>
      <c r="L225" s="6" t="n">
        <v>4</v>
      </c>
      <c r="M225" s="2" t="n"/>
      <c r="N225" s="7" t="n">
        <v>0</v>
      </c>
      <c r="O225" s="4" t="n">
        <v>3</v>
      </c>
      <c r="P225" s="2" t="inlineStr">
        <is>
          <t>45200000</t>
        </is>
      </c>
      <c r="Q225" s="8" t="inlineStr">
        <is>
          <t>Ver</t>
        </is>
      </c>
      <c r="R225" s="8" t="inlineStr">
        <is>
          <t>PCAP</t>
        </is>
      </c>
      <c r="S225" s="9" t="n">
        <v>46318</v>
      </c>
      <c r="T225" s="3" t="n">
        <v>46317.61730324074</v>
      </c>
      <c r="U225" s="2" t="n"/>
    </row>
    <row r="226">
      <c r="A226" s="2" t="inlineStr">
        <is>
          <t>Resuelta</t>
        </is>
      </c>
      <c r="B226" s="3" t="n">
        <v>46280.41666666666</v>
      </c>
      <c r="C226" s="5" t="n">
        <v>106398</v>
      </c>
      <c r="D226" s="5" t="n">
        <v>106398</v>
      </c>
      <c r="E226" s="2" t="inlineStr">
        <is>
          <t>Andalucía</t>
        </is>
      </c>
      <c r="F226" s="2" t="inlineStr">
        <is>
          <t>Almería</t>
        </is>
      </c>
      <c r="G226" s="2" t="n"/>
      <c r="H226" s="2" t="inlineStr">
        <is>
          <t>Empresa de Transformación Agraria S.A.,S.M.E., M.P., (TRAGSA)</t>
        </is>
      </c>
      <c r="I226" s="2" t="inlineStr">
        <is>
          <t>Contrato derivado del "AM para el alquiler de maquinaria de obra civil, agrícola y forestal, y camiones para obras de construcción y demolición, dotada de operario, para las actuaciones del ámbito territorial de la gerencia provincial de Tragsa en Almería, incluidas las obras con fondos en el marco del PRTR, a adjudicar por procedimiento abierto, sujeto a regulación armonizada. TSA0078977"</t>
        </is>
      </c>
      <c r="J226" s="2" t="inlineStr">
        <is>
          <t>TSA0078977-356</t>
        </is>
      </c>
      <c r="K226" s="2" t="inlineStr">
        <is>
          <t>Abierto</t>
        </is>
      </c>
      <c r="L226" s="6" t="n">
        <v>6</v>
      </c>
      <c r="M226" s="2" t="n"/>
      <c r="N226" s="7" t="n">
        <v>0</v>
      </c>
      <c r="O226" s="4" t="n"/>
      <c r="P226" s="2" t="inlineStr">
        <is>
          <t>45500000</t>
        </is>
      </c>
      <c r="Q226" s="8" t="inlineStr">
        <is>
          <t>Ver</t>
        </is>
      </c>
      <c r="R226" s="8" t="inlineStr">
        <is>
          <t>PCAP</t>
        </is>
      </c>
      <c r="S226" s="9" t="n">
        <v>46310</v>
      </c>
      <c r="T226" s="3" t="n">
        <v>46317.61061342592</v>
      </c>
      <c r="U226" s="2" t="n"/>
    </row>
    <row r="227">
      <c r="A227" s="2" t="inlineStr">
        <is>
          <t>Resuelta</t>
        </is>
      </c>
      <c r="B227" s="3" t="n">
        <v>46280.41666666666</v>
      </c>
      <c r="C227" s="5" t="n">
        <v>106398</v>
      </c>
      <c r="D227" s="5" t="n">
        <v>106398</v>
      </c>
      <c r="E227" s="2" t="inlineStr">
        <is>
          <t>Andalucía</t>
        </is>
      </c>
      <c r="F227" s="2" t="inlineStr">
        <is>
          <t>Almería</t>
        </is>
      </c>
      <c r="G227" s="2" t="n"/>
      <c r="H227" s="2" t="inlineStr">
        <is>
          <t>Empresa de Transformación Agraria S.A.,S.M.E., M.P., (TRAGSA)</t>
        </is>
      </c>
      <c r="I227" s="2" t="inlineStr">
        <is>
          <t>Contrato derivado del "AM para el alquiler de maquinaria de obra civil, agrícola y forestal, y camiones para obras de construcción y demolición, dotada de operario, para las actuaciones del ámbito territorial de la gerencia provincial de Tragsa en Almería, incluidas las obras con fondos en el marco del PRTR, a adjudicar por procedimiento abierto, sujeto a regulación armonizada. TSA0078977"</t>
        </is>
      </c>
      <c r="J227" s="2" t="inlineStr">
        <is>
          <t>TSA0078977-355</t>
        </is>
      </c>
      <c r="K227" s="2" t="inlineStr">
        <is>
          <t>Abierto</t>
        </is>
      </c>
      <c r="L227" s="6" t="n">
        <v>6</v>
      </c>
      <c r="M227" s="2" t="n"/>
      <c r="N227" s="7" t="n">
        <v>0</v>
      </c>
      <c r="O227" s="4" t="n"/>
      <c r="P227" s="2" t="inlineStr">
        <is>
          <t>45500000</t>
        </is>
      </c>
      <c r="Q227" s="8" t="inlineStr">
        <is>
          <t>Ver</t>
        </is>
      </c>
      <c r="R227" s="8" t="inlineStr">
        <is>
          <t>PCAP</t>
        </is>
      </c>
      <c r="S227" s="9" t="n">
        <v>46310</v>
      </c>
      <c r="T227" s="3" t="n">
        <v>46317.60969907408</v>
      </c>
      <c r="U227" s="2" t="n"/>
    </row>
    <row r="228">
      <c r="A228" s="2" t="inlineStr">
        <is>
          <t>Resuelta</t>
        </is>
      </c>
      <c r="B228" s="3" t="n">
        <v>46280.41666666666</v>
      </c>
      <c r="C228" s="5" t="n">
        <v>106398</v>
      </c>
      <c r="D228" s="5" t="n">
        <v>106398</v>
      </c>
      <c r="E228" s="2" t="inlineStr">
        <is>
          <t>Andalucía</t>
        </is>
      </c>
      <c r="F228" s="2" t="inlineStr">
        <is>
          <t>Almería</t>
        </is>
      </c>
      <c r="G228" s="2" t="n"/>
      <c r="H228" s="2" t="inlineStr">
        <is>
          <t>Empresa de Transformación Agraria S.A.,S.M.E., M.P., (TRAGSA)</t>
        </is>
      </c>
      <c r="I228" s="2" t="inlineStr">
        <is>
          <t>Contrato derivado del "AM para el alquiler de maquinaria de obra civil, agrícola y forestal, y camiones para obras de construcción y demolición, dotada de operario, para las actuaciones del ámbito territorial de la gerencia provincial de Tragsa en Almería, incluidas las obras con fondos en el marco del PRTR, a adjudicar por procedimiento abierto, sujeto a regulación armonizada. TSA0078977"</t>
        </is>
      </c>
      <c r="J228" s="2" t="inlineStr">
        <is>
          <t>TSA0078977-354</t>
        </is>
      </c>
      <c r="K228" s="2" t="inlineStr">
        <is>
          <t>Abierto</t>
        </is>
      </c>
      <c r="L228" s="6" t="n">
        <v>6</v>
      </c>
      <c r="M228" s="2" t="n"/>
      <c r="N228" s="7" t="n">
        <v>0</v>
      </c>
      <c r="O228" s="4" t="n"/>
      <c r="P228" s="2" t="inlineStr">
        <is>
          <t>45500000</t>
        </is>
      </c>
      <c r="Q228" s="8" t="inlineStr">
        <is>
          <t>Ver</t>
        </is>
      </c>
      <c r="R228" s="8" t="inlineStr">
        <is>
          <t>PCAP</t>
        </is>
      </c>
      <c r="S228" s="9" t="n">
        <v>46310</v>
      </c>
      <c r="T228" s="3" t="n">
        <v>46317.60859953704</v>
      </c>
      <c r="U228" s="2" t="n"/>
    </row>
    <row r="229">
      <c r="A229" s="2" t="inlineStr">
        <is>
          <t>Resuelta</t>
        </is>
      </c>
      <c r="B229" s="3" t="n">
        <v>46287.41666666666</v>
      </c>
      <c r="C229" s="5" t="n">
        <v>11500</v>
      </c>
      <c r="D229" s="5" t="n">
        <v>11500</v>
      </c>
      <c r="E229" s="2" t="inlineStr">
        <is>
          <t>Andalucía</t>
        </is>
      </c>
      <c r="F229" s="2" t="inlineStr">
        <is>
          <t>Granada</t>
        </is>
      </c>
      <c r="G229" s="2" t="n"/>
      <c r="H229" s="2" t="inlineStr">
        <is>
          <t>Empresa de Transformación Agraria S.A.,S.M.E., M.P., (TRAGSA)</t>
        </is>
      </c>
      <c r="I229" s="2" t="inlineStr">
        <is>
          <t>Contrato derivado del "Acuerdo Marco para el Alquiler de Maquinaria de Obra Civil, Agrícola y Forestal, y Camiones para obras de construcción y demolición, dotada de operario, para las actuaciones de la Gerencia Provincial de Tragsa en Granada, incluidas las obras con Fondos en el Marco del Plan de Recuperación, Transformación y Resiliencia financiado por Unión Europea Next-Generation EU"</t>
        </is>
      </c>
      <c r="J229" s="2" t="inlineStr">
        <is>
          <t>TSA0077561-340</t>
        </is>
      </c>
      <c r="K229" s="2" t="inlineStr">
        <is>
          <t>Abierto</t>
        </is>
      </c>
      <c r="L229" s="6" t="n">
        <v>2</v>
      </c>
      <c r="M229" s="2" t="n"/>
      <c r="N229" s="7" t="n">
        <v>0</v>
      </c>
      <c r="O229" s="4" t="n"/>
      <c r="P229" s="2" t="inlineStr">
        <is>
          <t>45500000</t>
        </is>
      </c>
      <c r="Q229" s="8" t="inlineStr">
        <is>
          <t>Ver</t>
        </is>
      </c>
      <c r="R229" s="8" t="inlineStr">
        <is>
          <t>PCAP</t>
        </is>
      </c>
      <c r="S229" s="9" t="n">
        <v>46315</v>
      </c>
      <c r="T229" s="3" t="n">
        <v>46317.60739583334</v>
      </c>
      <c r="U229" s="2" t="n"/>
    </row>
    <row r="230">
      <c r="A230" s="2" t="inlineStr">
        <is>
          <t>Resuelta</t>
        </is>
      </c>
      <c r="B230" s="3" t="n">
        <v>46287.41666666666</v>
      </c>
      <c r="C230" s="5" t="n">
        <v>46000</v>
      </c>
      <c r="D230" s="5" t="n">
        <v>46000</v>
      </c>
      <c r="E230" s="2" t="inlineStr">
        <is>
          <t>Andalucía</t>
        </is>
      </c>
      <c r="F230" s="2" t="inlineStr">
        <is>
          <t>Granada</t>
        </is>
      </c>
      <c r="G230" s="2" t="n"/>
      <c r="H230" s="2" t="inlineStr">
        <is>
          <t>Empresa de Transformación Agraria S.A.,S.M.E., M.P., (TRAGSA)</t>
        </is>
      </c>
      <c r="I230" s="2" t="inlineStr">
        <is>
          <t>Contrato derivado del "Acuerdo Marco para el Alquiler de Maquinaria de Obra Civil, Agrícola y Forestal, y Camiones para obras de construcción y demolición, dotada de operario, para las actuaciones de la Gerencia Provincial de Tragsa en Granada, incluidas las obras con Fondos en el Marco del Plan de Recuperación, Transformación y Resiliencia financiado por Unión Europea Next Generation EU"</t>
        </is>
      </c>
      <c r="J230" s="2" t="inlineStr">
        <is>
          <t>TSA0077561-336</t>
        </is>
      </c>
      <c r="K230" s="2" t="inlineStr">
        <is>
          <t>Abierto</t>
        </is>
      </c>
      <c r="L230" s="6" t="n">
        <v>2</v>
      </c>
      <c r="M230" s="2" t="n"/>
      <c r="N230" s="7" t="n">
        <v>0</v>
      </c>
      <c r="O230" s="4" t="n"/>
      <c r="P230" s="2" t="inlineStr">
        <is>
          <t>45500000</t>
        </is>
      </c>
      <c r="Q230" s="8" t="inlineStr">
        <is>
          <t>Ver</t>
        </is>
      </c>
      <c r="R230" s="8" t="inlineStr">
        <is>
          <t>PCAP</t>
        </is>
      </c>
      <c r="S230" s="9" t="n">
        <v>46317</v>
      </c>
      <c r="T230" s="3" t="n">
        <v>46317.605625</v>
      </c>
      <c r="U230" s="2" t="n"/>
    </row>
    <row r="231">
      <c r="A231" s="2" t="inlineStr">
        <is>
          <t>Resuelta</t>
        </is>
      </c>
      <c r="B231" s="3" t="n">
        <v>46280.41666666666</v>
      </c>
      <c r="C231" s="5" t="n">
        <v>27250</v>
      </c>
      <c r="D231" s="5" t="n">
        <v>27250</v>
      </c>
      <c r="E231" s="2" t="inlineStr">
        <is>
          <t>Andalucía</t>
        </is>
      </c>
      <c r="F231" s="2" t="inlineStr">
        <is>
          <t>Granada</t>
        </is>
      </c>
      <c r="G231" s="2" t="n"/>
      <c r="H231" s="2" t="inlineStr">
        <is>
          <t>Empresa de Transformación Agraria S.A.,S.M.E., M.P., (TRAGSA)</t>
        </is>
      </c>
      <c r="I231" s="2" t="inlineStr">
        <is>
          <t>Contrato derivado del "Acuerdo Marco para el Alquiler de Maquinaria de Obra Civil, Agrícola y Forestal, y Camiones para obras de construcción y demolición, dotada de operario, para las actuaciones de la Gerencia Provincial de Tragsa en Granada, incluidas las obras con Fondos en el Marco del Plan de Recuperación, Transformación y Resiliencia financiado por Unión Europea Next Generation EU"</t>
        </is>
      </c>
      <c r="J231" s="2" t="inlineStr">
        <is>
          <t>TSA0077561-334</t>
        </is>
      </c>
      <c r="K231" s="2" t="inlineStr">
        <is>
          <t>Abierto</t>
        </is>
      </c>
      <c r="L231" s="6" t="n">
        <v>3</v>
      </c>
      <c r="M231" s="2" t="n"/>
      <c r="N231" s="7" t="n">
        <v>0</v>
      </c>
      <c r="O231" s="4" t="n"/>
      <c r="P231" s="2" t="inlineStr">
        <is>
          <t>45500000</t>
        </is>
      </c>
      <c r="Q231" s="8" t="inlineStr">
        <is>
          <t>Ver</t>
        </is>
      </c>
      <c r="R231" s="8" t="inlineStr">
        <is>
          <t>PCAP</t>
        </is>
      </c>
      <c r="S231" s="9" t="n">
        <v>46310</v>
      </c>
      <c r="T231" s="3" t="n">
        <v>46317.60460648148</v>
      </c>
      <c r="U231" s="2" t="n"/>
    </row>
    <row r="232">
      <c r="A232" s="2" t="inlineStr">
        <is>
          <t>Resuelta</t>
        </is>
      </c>
      <c r="B232" s="3" t="n">
        <v>46280.41666666666</v>
      </c>
      <c r="C232" s="5" t="n">
        <v>88750</v>
      </c>
      <c r="D232" s="5" t="n">
        <v>88750</v>
      </c>
      <c r="E232" s="2" t="inlineStr">
        <is>
          <t>Andalucía</t>
        </is>
      </c>
      <c r="F232" s="2" t="inlineStr">
        <is>
          <t>Granada</t>
        </is>
      </c>
      <c r="G232" s="2" t="n"/>
      <c r="H232" s="2" t="inlineStr">
        <is>
          <t>Empresa de Transformación Agraria S.A.,S.M.E., M.P., (TRAGSA)</t>
        </is>
      </c>
      <c r="I232" s="2" t="inlineStr">
        <is>
          <t>Contrato derivado del "Acuerdo Marco para el Alquiler de Maquinaria de Obra Civil, Agrícola y Forestal, y Camiones para obras de construcción y demolición, dotada de operario, para las actuaciones de la Gerencia Provincial de Tragsa en Granada, incluidas las obras con Fondos en el Marco del Plan de Recuperación, Transformación y Resiliencia financiado por Unión Europea Next-Generation EU"</t>
        </is>
      </c>
      <c r="J232" s="2" t="inlineStr">
        <is>
          <t>TSA0077561-333</t>
        </is>
      </c>
      <c r="K232" s="2" t="inlineStr">
        <is>
          <t>Abierto</t>
        </is>
      </c>
      <c r="L232" s="6" t="n">
        <v>2</v>
      </c>
      <c r="M232" s="2" t="n"/>
      <c r="N232" s="7" t="n">
        <v>0</v>
      </c>
      <c r="O232" s="4" t="n"/>
      <c r="P232" s="2" t="inlineStr">
        <is>
          <t>45500000</t>
        </is>
      </c>
      <c r="Q232" s="8" t="inlineStr">
        <is>
          <t>Ver</t>
        </is>
      </c>
      <c r="R232" s="8" t="inlineStr">
        <is>
          <t>PCAP</t>
        </is>
      </c>
      <c r="S232" s="9" t="n">
        <v>46310</v>
      </c>
      <c r="T232" s="3" t="n">
        <v>46317.60324074074</v>
      </c>
      <c r="U232" s="2" t="n"/>
    </row>
    <row r="233">
      <c r="A233" s="2" t="inlineStr">
        <is>
          <t>Resuelta</t>
        </is>
      </c>
      <c r="B233" s="3" t="n">
        <v>46003.99930555555</v>
      </c>
      <c r="C233" s="5" t="n">
        <v>62250</v>
      </c>
      <c r="D233" s="5" t="n">
        <v>62250</v>
      </c>
      <c r="E233" s="2" t="inlineStr">
        <is>
          <t>Andalucía</t>
        </is>
      </c>
      <c r="F233" s="2" t="inlineStr">
        <is>
          <t>Sevilla</t>
        </is>
      </c>
      <c r="G233" s="2" t="n"/>
      <c r="H233" s="2" t="inlineStr">
        <is>
          <t>Teniente Alcalde, Delegado de Contratación del Ayuntamiento de Lebrija</t>
        </is>
      </c>
      <c r="I233" s="2" t="inlineStr">
        <is>
          <t>contratación de equipos de obras y arrendamiento de maquinaria de obra sin conductor para la ejecución del "Modificado de Proyecto de Pavimentación e Infraestructura en calle San Francisco -Tramo 3 - Parte 2" de Lebrija.</t>
        </is>
      </c>
      <c r="J233" s="2" t="inlineStr">
        <is>
          <t>P4105300J-2025/000247-PAAB</t>
        </is>
      </c>
      <c r="K233" s="2" t="inlineStr">
        <is>
          <t>Abierto simplificado</t>
        </is>
      </c>
      <c r="L233" s="6" t="n">
        <v>6</v>
      </c>
      <c r="M233" s="2" t="n"/>
      <c r="N233" s="7" t="n">
        <v>0</v>
      </c>
      <c r="O233" s="4" t="n">
        <v>12</v>
      </c>
      <c r="P233" s="2" t="inlineStr">
        <is>
          <t>45500000; 60181000; 43300000</t>
        </is>
      </c>
      <c r="Q233" s="8" t="inlineStr">
        <is>
          <t>Ver</t>
        </is>
      </c>
      <c r="R233" s="8" t="inlineStr">
        <is>
          <t>PCAP</t>
        </is>
      </c>
      <c r="S233" s="9" t="n">
        <v>46318</v>
      </c>
      <c r="T233" s="3" t="n">
        <v>46317.60258101852</v>
      </c>
      <c r="U233" s="2" t="n"/>
    </row>
    <row r="234">
      <c r="A234" s="2" t="inlineStr">
        <is>
          <t>Resuelta</t>
        </is>
      </c>
      <c r="B234" s="3" t="n">
        <v>45951.41666666666</v>
      </c>
      <c r="C234" s="5" t="n">
        <v>99750</v>
      </c>
      <c r="D234" s="5" t="n">
        <v>99750</v>
      </c>
      <c r="E234" s="2" t="inlineStr">
        <is>
          <t>Andalucía</t>
        </is>
      </c>
      <c r="F234" s="2" t="inlineStr">
        <is>
          <t>Sevilla</t>
        </is>
      </c>
      <c r="G234" s="2" t="n"/>
      <c r="H234" s="2" t="inlineStr">
        <is>
          <t>Empresa de Transformación Agraria S.A.,S.M.E., M.P., (TRAGSA)</t>
        </is>
      </c>
      <c r="I234" s="2" t="inlineStr">
        <is>
          <t>Contrato derivado del "Acuerdo Marco para alquiler de maquinaria de obra civil, agrícola y forestal, y camiones para obras de construcción y demolición, dotada de operario, para las actuaciones del ámbito territorial de la Gerencia provincial de Tragsa en Sevilla, en el marco del Plan de Recuperación, Transformación y Resiliencia, financiado por la Unión Europea - NEXTGENERATION EU.</t>
        </is>
      </c>
      <c r="J234" s="2" t="inlineStr">
        <is>
          <t>TSA0076787-124</t>
        </is>
      </c>
      <c r="K234" s="2" t="inlineStr">
        <is>
          <t>Abierto</t>
        </is>
      </c>
      <c r="L234" s="6" t="n">
        <v>12</v>
      </c>
      <c r="M234" s="2" t="n"/>
      <c r="N234" s="7" t="n">
        <v>0</v>
      </c>
      <c r="O234" s="4" t="n"/>
      <c r="P234" s="2" t="inlineStr">
        <is>
          <t>45500000</t>
        </is>
      </c>
      <c r="Q234" s="8" t="inlineStr">
        <is>
          <t>Ver</t>
        </is>
      </c>
      <c r="R234" s="8" t="inlineStr">
        <is>
          <t>PCAP</t>
        </is>
      </c>
      <c r="S234" s="9" t="n">
        <v>46315</v>
      </c>
      <c r="T234" s="3" t="n">
        <v>46317.60224537037</v>
      </c>
      <c r="U234" s="2" t="n"/>
    </row>
    <row r="235">
      <c r="A235" s="2" t="inlineStr">
        <is>
          <t>Resuelta</t>
        </is>
      </c>
      <c r="B235" s="3" t="n">
        <v>45979.41666666666</v>
      </c>
      <c r="C235" s="5" t="n">
        <v>39000</v>
      </c>
      <c r="D235" s="5" t="n">
        <v>39000</v>
      </c>
      <c r="E235" s="2" t="inlineStr">
        <is>
          <t>Andalucía</t>
        </is>
      </c>
      <c r="F235" s="2" t="inlineStr">
        <is>
          <t>Granada</t>
        </is>
      </c>
      <c r="G235" s="2" t="n"/>
      <c r="H235" s="2" t="inlineStr">
        <is>
          <t>Empresa de Transformación Agraria S.A.,S.M.E., M.P., (TRAGSA)</t>
        </is>
      </c>
      <c r="I235" s="2" t="inlineStr">
        <is>
          <t>Contrato derivado del "Acuerdo Marco para el Alquiler de Maquinaria de Obra Civil, Agrícola y Forestal, y Camiones para obras de construcción y demolición, dotada de operario, para las actuaciones de la Gerencia Provincial de Tragsa en Granada, incluidas las obras con Fondos en el Marco del Plan de Recuperación, Transformación y Resiliencia – financiado por Unión Europea-Next Generation EU"</t>
        </is>
      </c>
      <c r="J235" s="2" t="inlineStr">
        <is>
          <t>TSA0077561-222</t>
        </is>
      </c>
      <c r="K235" s="2" t="inlineStr">
        <is>
          <t>Abierto</t>
        </is>
      </c>
      <c r="L235" s="6" t="n"/>
      <c r="M235" s="2" t="n"/>
      <c r="N235" s="7" t="n">
        <v>0</v>
      </c>
      <c r="O235" s="4" t="n"/>
      <c r="P235" s="2" t="inlineStr">
        <is>
          <t>45500000</t>
        </is>
      </c>
      <c r="Q235" s="8" t="inlineStr">
        <is>
          <t>Ver</t>
        </is>
      </c>
      <c r="R235" s="8" t="inlineStr">
        <is>
          <t>PCAP</t>
        </is>
      </c>
      <c r="S235" s="9" t="n">
        <v>46317</v>
      </c>
      <c r="T235" s="3" t="n">
        <v>46317.60123842592</v>
      </c>
      <c r="U235" s="2" t="n"/>
    </row>
    <row r="236">
      <c r="A236" s="2" t="inlineStr">
        <is>
          <t>Pendiente de adjudicación</t>
        </is>
      </c>
      <c r="B236" s="3" t="n">
        <v>46309.99930555555</v>
      </c>
      <c r="C236" s="5" t="n">
        <v>174883.47</v>
      </c>
      <c r="D236" s="5" t="n">
        <v>174883.47</v>
      </c>
      <c r="E236" s="2" t="inlineStr">
        <is>
          <t>Andalucía</t>
        </is>
      </c>
      <c r="F236" s="2" t="inlineStr">
        <is>
          <t>Almería</t>
        </is>
      </c>
      <c r="G236" s="2" t="inlineStr">
        <is>
          <t>VÍCAR</t>
        </is>
      </c>
      <c r="H236" s="2" t="inlineStr">
        <is>
          <t>JUNTA DE GOBIERNO LOCAL AYUNTAMIENTO DE VÍCAR</t>
        </is>
      </c>
      <c r="I236" s="2" t="inlineStr">
        <is>
          <t>Reposición del césped artificial de los campos de fútbol-7 en la Ciudad Deportiva, TM de VÍCAR (Almería).</t>
        </is>
      </c>
      <c r="J236" s="2" t="inlineStr">
        <is>
          <t>8226/2026</t>
        </is>
      </c>
      <c r="K236" s="2" t="inlineStr">
        <is>
          <t>Abierto simplificado</t>
        </is>
      </c>
      <c r="L236" s="6" t="n">
        <v>2</v>
      </c>
      <c r="M236" s="2" t="n"/>
      <c r="N236" s="7" t="n">
        <v>0.25</v>
      </c>
      <c r="O236" s="4" t="n"/>
      <c r="P236" s="2" t="inlineStr">
        <is>
          <t>45212290; 39293400; 45212200</t>
        </is>
      </c>
      <c r="Q236" s="8" t="inlineStr">
        <is>
          <t>Ver</t>
        </is>
      </c>
      <c r="R236" s="8" t="inlineStr">
        <is>
          <t>PCAP</t>
        </is>
      </c>
      <c r="S236" s="9" t="n">
        <v>46317</v>
      </c>
      <c r="T236" s="3" t="n">
        <v>46317.60033564815</v>
      </c>
      <c r="U236" s="2" t="n"/>
    </row>
    <row r="237">
      <c r="A237" s="2" t="inlineStr">
        <is>
          <t>Resuelta</t>
        </is>
      </c>
      <c r="B237" s="3" t="n">
        <v>46105.41666666666</v>
      </c>
      <c r="C237" s="5" t="n">
        <v>66528</v>
      </c>
      <c r="D237" s="5" t="n">
        <v>66528</v>
      </c>
      <c r="E237" s="2" t="inlineStr">
        <is>
          <t>Andalucía</t>
        </is>
      </c>
      <c r="F237" s="2" t="inlineStr">
        <is>
          <t>Córdoba</t>
        </is>
      </c>
      <c r="G237" s="2" t="n"/>
      <c r="H237" s="2" t="inlineStr">
        <is>
          <t>Empresa de Transformación Agraria S.A.,S.M.E., M.P., (TRAGSA)</t>
        </is>
      </c>
      <c r="I237" s="2" t="inlineStr">
        <is>
          <t>Contrato derivado del Acuerdo marco para alquiler de maquinaria de obra civil, agrícola y forestal, y camiones para obras de construcción y demolición, dotada de operario, para las actuaciones del ámbito territorial de la gerencia provincial de Tragsa en Córdoba, incluida las obras con fondos en el marco del plan de recuperación, transformación y resiliencia–financiado por la unión europea</t>
        </is>
      </c>
      <c r="J237" s="2" t="inlineStr">
        <is>
          <t>TSA0079529-098</t>
        </is>
      </c>
      <c r="K237" s="2" t="inlineStr">
        <is>
          <t>Abierto</t>
        </is>
      </c>
      <c r="L237" s="6" t="n"/>
      <c r="M237" s="2" t="n"/>
      <c r="N237" s="7" t="n">
        <v>0</v>
      </c>
      <c r="O237" s="4" t="n"/>
      <c r="P237" s="2" t="inlineStr">
        <is>
          <t>45500000</t>
        </is>
      </c>
      <c r="Q237" s="8" t="inlineStr">
        <is>
          <t>Ver</t>
        </is>
      </c>
      <c r="R237" s="8" t="inlineStr">
        <is>
          <t>PCAP</t>
        </is>
      </c>
      <c r="S237" s="9" t="n">
        <v>46317</v>
      </c>
      <c r="T237" s="3" t="n">
        <v>46317.60012731481</v>
      </c>
      <c r="U237" s="2" t="n"/>
    </row>
    <row r="238">
      <c r="A238" s="2" t="inlineStr">
        <is>
          <t>Pendiente de adjudicación</t>
        </is>
      </c>
      <c r="B238" s="3" t="n">
        <v>46253.58333333334</v>
      </c>
      <c r="C238" s="5" t="n">
        <v>82607.77</v>
      </c>
      <c r="D238" s="5" t="n">
        <v>82607.77</v>
      </c>
      <c r="E238" s="2" t="inlineStr">
        <is>
          <t>Comunitat Valenciana</t>
        </is>
      </c>
      <c r="F238" s="2" t="inlineStr">
        <is>
          <t>Valencia</t>
        </is>
      </c>
      <c r="G238" s="2" t="inlineStr">
        <is>
          <t>Requena</t>
        </is>
      </c>
      <c r="H238" s="2" t="inlineStr">
        <is>
          <t>Alcaldía del Ayuntamiento de Requena</t>
        </is>
      </c>
      <c r="I238" s="2" t="inlineStr">
        <is>
          <t>Obras de instalación fotovoltaica de autoconsumo colectivo a través de red en el Centro de Día de Requena</t>
        </is>
      </c>
      <c r="J238" s="2" t="inlineStr">
        <is>
          <t>2813654D</t>
        </is>
      </c>
      <c r="K238" s="2" t="inlineStr">
        <is>
          <t>Abierto simplificado</t>
        </is>
      </c>
      <c r="L238" s="6" t="n">
        <v>2</v>
      </c>
      <c r="M238" s="2" t="n"/>
      <c r="N238" s="7" t="n">
        <v>0</v>
      </c>
      <c r="O238" s="4" t="n"/>
      <c r="P238" s="2" t="inlineStr">
        <is>
          <t>45300000</t>
        </is>
      </c>
      <c r="Q238" s="8" t="inlineStr">
        <is>
          <t>Ver</t>
        </is>
      </c>
      <c r="R238" s="8" t="inlineStr">
        <is>
          <t>PCAP</t>
        </is>
      </c>
      <c r="S238" s="9" t="n">
        <v>46318</v>
      </c>
      <c r="T238" s="3" t="n">
        <v>46317.59652777778</v>
      </c>
      <c r="U238" s="2" t="n"/>
    </row>
    <row r="239">
      <c r="A239" s="2" t="inlineStr">
        <is>
          <t>Pendiente de adjudicación</t>
        </is>
      </c>
      <c r="B239" s="3" t="n">
        <v>46315.54166666666</v>
      </c>
      <c r="C239" s="5" t="n">
        <v>266719.26</v>
      </c>
      <c r="D239" s="5" t="n">
        <v>266719.26</v>
      </c>
      <c r="E239" s="2" t="inlineStr">
        <is>
          <t>Comunitat Valenciana</t>
        </is>
      </c>
      <c r="F239" s="2" t="inlineStr">
        <is>
          <t>Alicante</t>
        </is>
      </c>
      <c r="G239" s="2" t="n"/>
      <c r="H239" s="2" t="inlineStr">
        <is>
          <t>Junta de Gobierno Local del Ayuntamiento de Alicante</t>
        </is>
      </c>
      <c r="I239" s="2" t="inlineStr">
        <is>
          <t>Proyecto de inserción de una plataforma blanda estacional peatonal en formato de no rotonda táctica en la intersección de las Calles del Marco y del Dólar. Polígono industrial "Las Atalayas" OLÍGONO INDUSTRIAL ¿LAS ATALAYAS¿</t>
        </is>
      </c>
      <c r="J239" s="2" t="inlineStr">
        <is>
          <t>97/26</t>
        </is>
      </c>
      <c r="K239" s="2" t="inlineStr">
        <is>
          <t>Abierto simplificado</t>
        </is>
      </c>
      <c r="L239" s="6" t="n">
        <v>3</v>
      </c>
      <c r="M239" s="2" t="n"/>
      <c r="N239" s="7" t="n">
        <v>0</v>
      </c>
      <c r="O239" s="4" t="n"/>
      <c r="P239" s="2" t="inlineStr">
        <is>
          <t>45233140</t>
        </is>
      </c>
      <c r="Q239" s="8" t="inlineStr">
        <is>
          <t>Ver</t>
        </is>
      </c>
      <c r="R239" s="8" t="inlineStr">
        <is>
          <t>PCAP</t>
        </is>
      </c>
      <c r="S239" s="9" t="n">
        <v>46310</v>
      </c>
      <c r="T239" s="3" t="n">
        <v>46317.59125</v>
      </c>
      <c r="U239" s="2" t="inlineStr">
        <is>
          <t>2026-10-23: estado PUB → EV</t>
        </is>
      </c>
    </row>
    <row r="240">
      <c r="A240" s="2" t="inlineStr">
        <is>
          <t>En plazo</t>
        </is>
      </c>
      <c r="B240" s="3" t="n">
        <v>46337.99930555555</v>
      </c>
      <c r="C240" s="5" t="n">
        <v>49043.32</v>
      </c>
      <c r="D240" s="5" t="n">
        <v>53947.65</v>
      </c>
      <c r="E240" s="2" t="inlineStr">
        <is>
          <t>Andalucía</t>
        </is>
      </c>
      <c r="F240" s="2" t="inlineStr">
        <is>
          <t>Málaga</t>
        </is>
      </c>
      <c r="G240" s="2" t="inlineStr">
        <is>
          <t>Cuevas del Becerro</t>
        </is>
      </c>
      <c r="H240" s="2" t="inlineStr">
        <is>
          <t>Alcaldía del Ayuntamiento de Cuevas del Becerro</t>
        </is>
      </c>
      <c r="I240" s="2" t="inlineStr">
        <is>
          <t>Reparación de daños en el centro cultural "Margarita Nebro"</t>
        </is>
      </c>
      <c r="J240" s="2" t="inlineStr">
        <is>
          <t>75/2026</t>
        </is>
      </c>
      <c r="K240" s="2" t="inlineStr">
        <is>
          <t>Abierto</t>
        </is>
      </c>
      <c r="L240" s="6" t="n">
        <v>3</v>
      </c>
      <c r="M240" s="2" t="n"/>
      <c r="N240" s="7" t="n">
        <v>0.25</v>
      </c>
      <c r="O240" s="4" t="n"/>
      <c r="P240" s="2" t="inlineStr">
        <is>
          <t>45215222</t>
        </is>
      </c>
      <c r="Q240" s="8" t="inlineStr">
        <is>
          <t>Ver</t>
        </is>
      </c>
      <c r="R240" s="8" t="inlineStr">
        <is>
          <t>PCAP</t>
        </is>
      </c>
      <c r="S240" s="9" t="n">
        <v>46318</v>
      </c>
      <c r="T240" s="3" t="n">
        <v>46317.59048611111</v>
      </c>
      <c r="U240" s="2" t="n"/>
    </row>
    <row r="241">
      <c r="A241" s="2" t="inlineStr">
        <is>
          <t>En plazo</t>
        </is>
      </c>
      <c r="B241" s="3" t="n">
        <v>46330.79166666666</v>
      </c>
      <c r="C241" s="5" t="n">
        <v>5022149.12</v>
      </c>
      <c r="D241" s="5" t="n">
        <v>5022149.12</v>
      </c>
      <c r="E241" s="2" t="inlineStr">
        <is>
          <t>Andalucía</t>
        </is>
      </c>
      <c r="F241" s="2" t="inlineStr">
        <is>
          <t>Cádiz</t>
        </is>
      </c>
      <c r="G241" s="2" t="inlineStr">
        <is>
          <t>TARIFA</t>
        </is>
      </c>
      <c r="H241" s="2" t="inlineStr">
        <is>
          <t>Pleno del Ayuntamiento de Tarifa</t>
        </is>
      </c>
      <c r="I241" s="2" t="inlineStr">
        <is>
          <t>construcción de 59 viviendas en alquiler social en edificios energéticamente eficientes, en el marco del capítulo VII del Real Decreto 853/2021, de 5 de octubre, por el que se regulan los programas de ayuda en materia de rehabilitación residencial y vivienda social del Plan de Recuperación, transformación y resiliencia, mediante procedimiento simplificado urgente</t>
        </is>
      </c>
      <c r="J241" s="2" t="inlineStr">
        <is>
          <t>2026/8791</t>
        </is>
      </c>
      <c r="K241" s="2" t="inlineStr">
        <is>
          <t>Abierto simplificado</t>
        </is>
      </c>
      <c r="L241" s="6" t="n">
        <v>18</v>
      </c>
      <c r="M241" s="2" t="inlineStr">
        <is>
          <t>C*-5</t>
        </is>
      </c>
      <c r="N241" s="7" t="n">
        <v>0</v>
      </c>
      <c r="O241" s="4" t="n"/>
      <c r="P241" s="2" t="inlineStr">
        <is>
          <t>45211000</t>
        </is>
      </c>
      <c r="Q241" s="8" t="inlineStr">
        <is>
          <t>Ver</t>
        </is>
      </c>
      <c r="R241" s="8" t="inlineStr">
        <is>
          <t>PCAP</t>
        </is>
      </c>
      <c r="S241" s="9" t="n">
        <v>46317</v>
      </c>
      <c r="T241" s="3" t="n">
        <v>46317.5900462963</v>
      </c>
      <c r="U241" s="2" t="n"/>
    </row>
    <row r="242">
      <c r="A242" s="2" t="inlineStr">
        <is>
          <t>En plazo</t>
        </is>
      </c>
      <c r="B242" s="3" t="n">
        <v>46346.58333333334</v>
      </c>
      <c r="C242" s="5" t="n">
        <v>413223.14</v>
      </c>
      <c r="D242" s="5" t="n">
        <v>413223.14</v>
      </c>
      <c r="E242" s="2" t="inlineStr">
        <is>
          <t>Andalucía</t>
        </is>
      </c>
      <c r="F242" s="2" t="inlineStr">
        <is>
          <t>Sevilla</t>
        </is>
      </c>
      <c r="G242" s="2" t="n"/>
      <c r="H242" s="2" t="inlineStr">
        <is>
          <t>Pleno del Ayuntamiento de Guadalcanal</t>
        </is>
      </c>
      <c r="I242" s="2" t="inlineStr">
        <is>
          <t>Terminación y puesta en funcionamiento de Albergue Municipal de Guadalcanal</t>
        </is>
      </c>
      <c r="J242" s="2" t="inlineStr">
        <is>
          <t>P4104800J-2026/000013-PAAS</t>
        </is>
      </c>
      <c r="K242" s="2" t="inlineStr">
        <is>
          <t>Abierto simplificado</t>
        </is>
      </c>
      <c r="L242" s="6" t="n">
        <v>5</v>
      </c>
      <c r="M242" s="2" t="n"/>
      <c r="N242" s="7" t="n">
        <v>0</v>
      </c>
      <c r="O242" s="4" t="n"/>
      <c r="P242" s="2" t="inlineStr">
        <is>
          <t>45400000</t>
        </is>
      </c>
      <c r="Q242" s="8" t="inlineStr">
        <is>
          <t>Ver</t>
        </is>
      </c>
      <c r="R242" s="8" t="inlineStr">
        <is>
          <t>PCAP</t>
        </is>
      </c>
      <c r="S242" s="9" t="n">
        <v>46318</v>
      </c>
      <c r="T242" s="3" t="n">
        <v>46317.58902777778</v>
      </c>
      <c r="U242" s="2" t="n"/>
    </row>
    <row r="243">
      <c r="A243" s="2" t="inlineStr">
        <is>
          <t>Pendiente de adjudicación</t>
        </is>
      </c>
      <c r="B243" s="3" t="n">
        <v>46281.58333333334</v>
      </c>
      <c r="C243" s="5" t="n">
        <v>260054.71</v>
      </c>
      <c r="D243" s="5" t="n">
        <v>260054.71</v>
      </c>
      <c r="E243" s="2" t="inlineStr">
        <is>
          <t>Andalucía</t>
        </is>
      </c>
      <c r="F243" s="2" t="inlineStr">
        <is>
          <t>Granada</t>
        </is>
      </c>
      <c r="G243" s="2" t="inlineStr">
        <is>
          <t>Albolote (Granada)</t>
        </is>
      </c>
      <c r="H243" s="2" t="inlineStr">
        <is>
          <t>Junta de Gobierno del Ayuntamiento de Albolote</t>
        </is>
      </c>
      <c r="I243" s="2" t="inlineStr">
        <is>
          <t>Reforma y ampliación del Centro de Día Ocupacional del Ayuntamiento de Albolote</t>
        </is>
      </c>
      <c r="J243" s="2" t="inlineStr">
        <is>
          <t>512bis/2025</t>
        </is>
      </c>
      <c r="K243" s="2" t="inlineStr">
        <is>
          <t>Abierto simplificado</t>
        </is>
      </c>
      <c r="L243" s="6" t="n">
        <v>8</v>
      </c>
      <c r="M243" s="2" t="n"/>
      <c r="N243" s="7" t="n">
        <v>0</v>
      </c>
      <c r="O243" s="4" t="n"/>
      <c r="P243" s="2" t="inlineStr">
        <is>
          <t>45000000; 45331110; 45331200; 45111200; 45300000; 45323000; 45111230; 45112000; 45262670; 45314200; 45315000; 45111100; 45111213; 45111220; 45331100; 45421100; 45430000; 45111214; 45112300; 45232410; 45262650; 45310000; 45321000; 45331000; 45210000; 45421110; 45320000; 45343200; 45431000; 45330000; 45112210; 45262210</t>
        </is>
      </c>
      <c r="Q243" s="8" t="inlineStr">
        <is>
          <t>Ver</t>
        </is>
      </c>
      <c r="R243" s="8" t="inlineStr">
        <is>
          <t>PCAP</t>
        </is>
      </c>
      <c r="S243" s="9" t="n">
        <v>46318</v>
      </c>
      <c r="T243" s="3" t="n">
        <v>46317.58738425926</v>
      </c>
      <c r="U243" s="2" t="n"/>
    </row>
    <row r="244">
      <c r="A244" s="2" t="inlineStr">
        <is>
          <t>Pendiente de adjudicación</t>
        </is>
      </c>
      <c r="B244" s="3" t="n">
        <v>46286.54166666666</v>
      </c>
      <c r="C244" s="5" t="n">
        <v>677038.98</v>
      </c>
      <c r="D244" s="5" t="n">
        <v>744742.88</v>
      </c>
      <c r="E244" s="2" t="inlineStr">
        <is>
          <t>Comunitat Valenciana</t>
        </is>
      </c>
      <c r="F244" s="2" t="inlineStr">
        <is>
          <t>Valencia</t>
        </is>
      </c>
      <c r="G244" s="2" t="n"/>
      <c r="H244" s="2" t="inlineStr">
        <is>
          <t>Presidencia de la Diputación Provincial de Valencia</t>
        </is>
      </c>
      <c r="I244" s="2" t="inlineStr">
        <is>
          <t>S-510CIT/O. Acondicionamiento y mejora del Camí Vell de Terol</t>
        </is>
      </c>
      <c r="J244" s="2" t="inlineStr">
        <is>
          <t>3666/25/CAR</t>
        </is>
      </c>
      <c r="K244" s="2" t="inlineStr">
        <is>
          <t>Abierto</t>
        </is>
      </c>
      <c r="L244" s="6" t="n">
        <v>5</v>
      </c>
      <c r="M244" s="2" t="inlineStr">
        <is>
          <t>G4-3</t>
        </is>
      </c>
      <c r="N244" s="7" t="n">
        <v>0.35</v>
      </c>
      <c r="O244" s="4" t="n"/>
      <c r="P244" s="2" t="inlineStr">
        <is>
          <t>45233120</t>
        </is>
      </c>
      <c r="Q244" s="8" t="inlineStr">
        <is>
          <t>Ver</t>
        </is>
      </c>
      <c r="R244" s="8" t="inlineStr">
        <is>
          <t>PCAP</t>
        </is>
      </c>
      <c r="S244" s="9" t="n">
        <v>46314</v>
      </c>
      <c r="T244" s="3" t="n">
        <v>46317.58393518518</v>
      </c>
      <c r="U244" s="2" t="n"/>
    </row>
    <row r="245">
      <c r="A245" s="2" t="inlineStr">
        <is>
          <t>Resuelta</t>
        </is>
      </c>
      <c r="B245" s="3" t="n">
        <v>46279.99930555555</v>
      </c>
      <c r="C245" s="5" t="n">
        <v>209942.25</v>
      </c>
      <c r="D245" s="5" t="n">
        <v>209942.25</v>
      </c>
      <c r="E245" s="2" t="inlineStr">
        <is>
          <t>Andalucía</t>
        </is>
      </c>
      <c r="F245" s="2" t="inlineStr">
        <is>
          <t>Huelva</t>
        </is>
      </c>
      <c r="G245" s="2" t="inlineStr">
        <is>
          <t>Punta Umbría</t>
        </is>
      </c>
      <c r="H245" s="2" t="inlineStr">
        <is>
          <t>Alcaldía del Ayuntamiento de Punta umbría</t>
        </is>
      </c>
      <c r="I245" s="2" t="inlineStr">
        <is>
          <t>Obras del Proyecto de Reurbanización de la Calle Góndola, tramo entre cuesta de La Pamblanca y Calle Galatea, en el Municipio de Punta Umbría (Huelva).</t>
        </is>
      </c>
      <c r="J245" s="2" t="inlineStr">
        <is>
          <t>4832/2026</t>
        </is>
      </c>
      <c r="K245" s="2" t="inlineStr">
        <is>
          <t>Abierto simplificado</t>
        </is>
      </c>
      <c r="L245" s="6" t="n">
        <v>4</v>
      </c>
      <c r="M245" s="2" t="n"/>
      <c r="N245" s="7" t="n">
        <v>0</v>
      </c>
      <c r="O245" s="4" t="n"/>
      <c r="P245" s="2" t="inlineStr">
        <is>
          <t>45111000; 45233293; 45233140; 45231110; 45231300</t>
        </is>
      </c>
      <c r="Q245" s="8" t="inlineStr">
        <is>
          <t>Ver</t>
        </is>
      </c>
      <c r="R245" s="8" t="inlineStr">
        <is>
          <t>PCAP</t>
        </is>
      </c>
      <c r="S245" s="9" t="n">
        <v>46310</v>
      </c>
      <c r="T245" s="3" t="n">
        <v>46317.58172453703</v>
      </c>
      <c r="U245" s="2" t="inlineStr">
        <is>
          <t>2026-10-23: estado ADJ → RES</t>
        </is>
      </c>
    </row>
    <row r="246">
      <c r="A246" s="2" t="inlineStr">
        <is>
          <t>Pendiente de adjudicación</t>
        </is>
      </c>
      <c r="B246" s="3" t="n">
        <v>46310.99930555555</v>
      </c>
      <c r="C246" s="5" t="n">
        <v>743801.65</v>
      </c>
      <c r="D246" s="5" t="n">
        <v>743801.65</v>
      </c>
      <c r="E246" s="2" t="inlineStr">
        <is>
          <t>Andalucía</t>
        </is>
      </c>
      <c r="F246" s="2" t="inlineStr">
        <is>
          <t>Sevilla</t>
        </is>
      </c>
      <c r="G246" s="2" t="n"/>
      <c r="H246" s="2" t="inlineStr">
        <is>
          <t>Alcaldía del Ayuntamiento de El Viso del Alcor</t>
        </is>
      </c>
      <c r="I246" s="2" t="inlineStr">
        <is>
          <t>Obra de reforma de Pabellón Deportivo y ampliación del Gimnasio Santa Lucía</t>
        </is>
      </c>
      <c r="J246" s="2" t="inlineStr">
        <is>
          <t>4546/2026</t>
        </is>
      </c>
      <c r="K246" s="2" t="inlineStr">
        <is>
          <t>Abierto simplificado</t>
        </is>
      </c>
      <c r="L246" s="6" t="n">
        <v>9</v>
      </c>
      <c r="M246" s="2" t="inlineStr">
        <is>
          <t>C*-3</t>
        </is>
      </c>
      <c r="N246" s="7" t="n">
        <v>0</v>
      </c>
      <c r="O246" s="4" t="n"/>
      <c r="P246" s="2" t="inlineStr">
        <is>
          <t>45210000</t>
        </is>
      </c>
      <c r="Q246" s="8" t="inlineStr">
        <is>
          <t>Ver</t>
        </is>
      </c>
      <c r="R246" s="8" t="inlineStr">
        <is>
          <t>PCAP</t>
        </is>
      </c>
      <c r="S246" s="9" t="n">
        <v>46310</v>
      </c>
      <c r="T246" s="3" t="n">
        <v>46317.57714120371</v>
      </c>
      <c r="U246" s="2" t="inlineStr">
        <is>
          <t>2026-10-22: estado PUB → EV</t>
        </is>
      </c>
    </row>
    <row r="247">
      <c r="A247" s="2" t="inlineStr">
        <is>
          <t>En plazo</t>
        </is>
      </c>
      <c r="B247" s="3" t="n">
        <v>46337.99930555555</v>
      </c>
      <c r="C247" s="5" t="n">
        <v>59644.24</v>
      </c>
      <c r="D247" s="5" t="n">
        <v>59644.24</v>
      </c>
      <c r="E247" s="2" t="inlineStr">
        <is>
          <t>Andalucía</t>
        </is>
      </c>
      <c r="F247" s="2" t="inlineStr">
        <is>
          <t>Jaén</t>
        </is>
      </c>
      <c r="G247" s="2" t="inlineStr">
        <is>
          <t>Jaén</t>
        </is>
      </c>
      <c r="H247" s="2" t="inlineStr">
        <is>
          <t>Presidencia de la Diputación Provincial de Jaén</t>
        </is>
      </c>
      <c r="I247" s="2" t="inlineStr">
        <is>
          <t>Obras de salón deportivo cultural en Chiclana de Segura</t>
        </is>
      </c>
      <c r="J247" s="2" t="inlineStr">
        <is>
          <t>CO-2025/000173</t>
        </is>
      </c>
      <c r="K247" s="2" t="inlineStr">
        <is>
          <t>Abierto simplificado</t>
        </is>
      </c>
      <c r="L247" s="6" t="n">
        <v>3</v>
      </c>
      <c r="M247" s="2" t="n"/>
      <c r="N247" s="7" t="n">
        <v>0</v>
      </c>
      <c r="O247" s="4" t="n"/>
      <c r="P247" s="2" t="inlineStr">
        <is>
          <t>45262520; 45400000</t>
        </is>
      </c>
      <c r="Q247" s="8" t="inlineStr">
        <is>
          <t>Ver</t>
        </is>
      </c>
      <c r="R247" s="8" t="inlineStr">
        <is>
          <t>PCAP</t>
        </is>
      </c>
      <c r="S247" s="9" t="n">
        <v>46318</v>
      </c>
      <c r="T247" s="3" t="n">
        <v>46317.57456018519</v>
      </c>
      <c r="U247" s="2" t="n"/>
    </row>
    <row r="248">
      <c r="A248" s="2" t="inlineStr">
        <is>
          <t>En plazo</t>
        </is>
      </c>
      <c r="B248" s="3" t="n">
        <v>46337.99930555555</v>
      </c>
      <c r="C248" s="5" t="n">
        <v>263604.77</v>
      </c>
      <c r="D248" s="5" t="n">
        <v>263604.77</v>
      </c>
      <c r="E248" s="2" t="inlineStr">
        <is>
          <t>Andalucía</t>
        </is>
      </c>
      <c r="F248" s="2" t="inlineStr">
        <is>
          <t>Málaga</t>
        </is>
      </c>
      <c r="G248" s="2" t="n"/>
      <c r="H248" s="2" t="inlineStr">
        <is>
          <t>Concejalía de Hacienda del Ayuntamiento de Benalmádena</t>
        </is>
      </c>
      <c r="I248" s="2" t="inlineStr">
        <is>
          <t>Ejecución del tramo de senda litoral que discurre desde el chiringuito Kalifato hasta el final de la rampa escalonada que alcanza la Avenida del Sol.</t>
        </is>
      </c>
      <c r="J248" s="2" t="inlineStr">
        <is>
          <t>2026/21990V</t>
        </is>
      </c>
      <c r="K248" s="2" t="inlineStr">
        <is>
          <t>Abierto simplificado</t>
        </is>
      </c>
      <c r="L248" s="6" t="n">
        <v>2.1</v>
      </c>
      <c r="M248" s="2" t="n"/>
      <c r="N248" s="7" t="n">
        <v>0</v>
      </c>
      <c r="O248" s="4" t="n"/>
      <c r="P248" s="2" t="inlineStr">
        <is>
          <t>45220000</t>
        </is>
      </c>
      <c r="Q248" s="8" t="inlineStr">
        <is>
          <t>Ver</t>
        </is>
      </c>
      <c r="R248" s="8" t="inlineStr">
        <is>
          <t>PCAP</t>
        </is>
      </c>
      <c r="S248" s="9" t="n">
        <v>46318</v>
      </c>
      <c r="T248" s="3" t="n">
        <v>46317.57119212963</v>
      </c>
      <c r="U248" s="2" t="n"/>
    </row>
    <row r="249">
      <c r="A249" s="2" t="inlineStr">
        <is>
          <t>Pendiente de adjudicación</t>
        </is>
      </c>
      <c r="B249" s="3" t="n">
        <v>46276.58333333334</v>
      </c>
      <c r="C249" s="5" t="n">
        <v>145261.38</v>
      </c>
      <c r="D249" s="5" t="n">
        <v>159787.52</v>
      </c>
      <c r="E249" s="2" t="inlineStr">
        <is>
          <t>Comunitat Valenciana</t>
        </is>
      </c>
      <c r="F249" s="2" t="inlineStr">
        <is>
          <t>Castellón</t>
        </is>
      </c>
      <c r="G249" s="2" t="inlineStr">
        <is>
          <t>CASTELLÓN</t>
        </is>
      </c>
      <c r="H249" s="2" t="inlineStr">
        <is>
          <t>Departamento de Salud de Castellón. Dirección Económica-Gerencia</t>
        </is>
      </c>
      <c r="I249" s="2" t="inlineStr">
        <is>
          <t>Obra de instalación de tres grupos electrógenos en los centros de salud de Pintor Sorolla, Adzeneta y Benlloch, adscritos del Departamento de Salud de Castellón (DSCS).</t>
        </is>
      </c>
      <c r="J249" s="2" t="inlineStr">
        <is>
          <t>1285/2026</t>
        </is>
      </c>
      <c r="K249" s="2" t="inlineStr">
        <is>
          <t>Abierto simplificado</t>
        </is>
      </c>
      <c r="L249" s="6" t="n">
        <v>3</v>
      </c>
      <c r="M249" s="2" t="n"/>
      <c r="N249" s="7" t="n">
        <v>0.263</v>
      </c>
      <c r="O249" s="4" t="n"/>
      <c r="P249" s="2" t="inlineStr">
        <is>
          <t>45317300; 31121000</t>
        </is>
      </c>
      <c r="Q249" s="8" t="inlineStr">
        <is>
          <t>Ver</t>
        </is>
      </c>
      <c r="R249" s="8" t="inlineStr">
        <is>
          <t>PCAP</t>
        </is>
      </c>
      <c r="S249" s="9" t="n">
        <v>46318</v>
      </c>
      <c r="T249" s="3" t="n">
        <v>46317.57016203704</v>
      </c>
      <c r="U249" s="2" t="n"/>
    </row>
    <row r="250">
      <c r="A250" s="2" t="inlineStr">
        <is>
          <t>Resuelta</t>
        </is>
      </c>
      <c r="B250" s="3" t="n">
        <v>45345.5</v>
      </c>
      <c r="C250" s="5" t="n">
        <v>4849270.7</v>
      </c>
      <c r="D250" s="5" t="n">
        <v>4849270.7</v>
      </c>
      <c r="E250" s="2" t="inlineStr">
        <is>
          <t>Andalucía</t>
        </is>
      </c>
      <c r="F250" s="2" t="inlineStr">
        <is>
          <t>Sevilla</t>
        </is>
      </c>
      <c r="G250" s="2" t="n"/>
      <c r="H250" s="2" t="inlineStr">
        <is>
          <t>Consejo de Administración de la Sociedad de Infraestructuras y Equipamientos Penitenciarios y de la Seguridad del Estado, S.M.E., S.A</t>
        </is>
      </c>
      <c r="I250" s="2" t="inlineStr">
        <is>
          <t>Obra de Rehabilitación del Centro Penitenciario de Alcalá de Guadaira (Sevilla) (23.111.RCP1004.OB.08)</t>
        </is>
      </c>
      <c r="J250" s="2" t="inlineStr">
        <is>
          <t>23.111.RCP1004.OB.08</t>
        </is>
      </c>
      <c r="K250" s="2" t="inlineStr">
        <is>
          <t>Abierto</t>
        </is>
      </c>
      <c r="L250" s="6" t="n">
        <v>12</v>
      </c>
      <c r="M250" s="2" t="inlineStr">
        <is>
          <t>C*-5</t>
        </is>
      </c>
      <c r="N250" s="7" t="n">
        <v>0.3</v>
      </c>
      <c r="O250" s="4" t="n"/>
      <c r="P250" s="2" t="inlineStr">
        <is>
          <t>45216113</t>
        </is>
      </c>
      <c r="Q250" s="8" t="inlineStr">
        <is>
          <t>Ver</t>
        </is>
      </c>
      <c r="R250" s="8" t="inlineStr">
        <is>
          <t>PCAP</t>
        </is>
      </c>
      <c r="S250" s="9" t="n">
        <v>46318</v>
      </c>
      <c r="T250" s="3" t="n">
        <v>46317.56969907408</v>
      </c>
      <c r="U250" s="2" t="n"/>
    </row>
    <row r="251">
      <c r="A251" s="2" t="inlineStr">
        <is>
          <t>En plazo</t>
        </is>
      </c>
      <c r="B251" s="3" t="n">
        <v>46332.99930555555</v>
      </c>
      <c r="C251" s="5" t="n">
        <v>28660.05</v>
      </c>
      <c r="D251" s="5" t="n">
        <v>34392.06</v>
      </c>
      <c r="E251" s="2" t="inlineStr">
        <is>
          <t>Andalucía</t>
        </is>
      </c>
      <c r="F251" s="2" t="inlineStr">
        <is>
          <t>Almería</t>
        </is>
      </c>
      <c r="G251" s="2" t="n"/>
      <c r="H251" s="2" t="inlineStr">
        <is>
          <t>Alcaldía del Ayuntamiento de El Ejido</t>
        </is>
      </c>
      <c r="I251" s="2" t="inlineStr">
        <is>
          <t>Es objeto de la presente licitación por el procedimiento abierto simplificado, la contratación de la ejecución del proyecto de obras denominado infraestructura de seguridad ciudadana, fase II, El Ejido (Almería), conforme a las especificaciones y características expuestas en el presente pliego y en el proyecto técnico.</t>
        </is>
      </c>
      <c r="J251" s="2" t="inlineStr">
        <is>
          <t>2026 1553</t>
        </is>
      </c>
      <c r="K251" s="2" t="inlineStr">
        <is>
          <t>Abierto simplificado</t>
        </is>
      </c>
      <c r="L251" s="6" t="n">
        <v>3</v>
      </c>
      <c r="M251" s="2" t="n"/>
      <c r="N251" s="7" t="n">
        <v>0</v>
      </c>
      <c r="O251" s="4" t="n"/>
      <c r="P251" s="2" t="inlineStr">
        <is>
          <t>45233252; 44162200</t>
        </is>
      </c>
      <c r="Q251" s="8" t="inlineStr">
        <is>
          <t>Ver</t>
        </is>
      </c>
      <c r="R251" s="8" t="inlineStr">
        <is>
          <t>PCAP</t>
        </is>
      </c>
      <c r="S251" s="9" t="n">
        <v>46318</v>
      </c>
      <c r="T251" s="3" t="n">
        <v>46317.56958333333</v>
      </c>
      <c r="U251" s="2" t="n"/>
    </row>
    <row r="252">
      <c r="A252" s="2" t="inlineStr">
        <is>
          <t>Resuelta</t>
        </is>
      </c>
      <c r="B252" s="3" t="n">
        <v>46281.99930555555</v>
      </c>
      <c r="C252" s="5" t="n">
        <v>59559.5</v>
      </c>
      <c r="D252" s="5" t="n">
        <v>71471.39999999999</v>
      </c>
      <c r="E252" s="2" t="inlineStr">
        <is>
          <t>Andalucía</t>
        </is>
      </c>
      <c r="F252" s="2" t="inlineStr">
        <is>
          <t>Cádiz</t>
        </is>
      </c>
      <c r="G252" s="2" t="inlineStr">
        <is>
          <t>Cádiz</t>
        </is>
      </c>
      <c r="H252" s="2" t="inlineStr">
        <is>
          <t>Dirección Gerencia de la Mutua de Andalucía y Ceuta</t>
        </is>
      </c>
      <c r="I252" s="2" t="inlineStr">
        <is>
          <t>Obra sala fisioterapia y ventilación en Cádiz para Mutua CESMA.</t>
        </is>
      </c>
      <c r="J252" s="2" t="inlineStr">
        <is>
          <t>CG-2026/5101/0163</t>
        </is>
      </c>
      <c r="K252" s="2" t="inlineStr">
        <is>
          <t>Abierto</t>
        </is>
      </c>
      <c r="L252" s="6" t="n">
        <v>2</v>
      </c>
      <c r="M252" s="2" t="n"/>
      <c r="N252" s="7" t="n">
        <v>0.5</v>
      </c>
      <c r="O252" s="4" t="n"/>
      <c r="P252" s="2" t="inlineStr">
        <is>
          <t>45453100</t>
        </is>
      </c>
      <c r="Q252" s="8" t="inlineStr">
        <is>
          <t>Ver</t>
        </is>
      </c>
      <c r="R252" s="8" t="inlineStr">
        <is>
          <t>PCAP</t>
        </is>
      </c>
      <c r="S252" s="9" t="n">
        <v>46311</v>
      </c>
      <c r="T252" s="3" t="n">
        <v>46317.56302083333</v>
      </c>
      <c r="U252" s="2" t="inlineStr">
        <is>
          <t>2026-10-23: estado ADJ → RES</t>
        </is>
      </c>
    </row>
    <row r="253">
      <c r="A253" s="2" t="inlineStr">
        <is>
          <t>Pendiente de adjudicación</t>
        </is>
      </c>
      <c r="B253" s="3" t="n">
        <v>46272.99930555555</v>
      </c>
      <c r="C253" s="5" t="n">
        <v>111733.59</v>
      </c>
      <c r="D253" s="5" t="n">
        <v>111733.59</v>
      </c>
      <c r="E253" s="2" t="inlineStr">
        <is>
          <t>Andalucía</t>
        </is>
      </c>
      <c r="F253" s="2" t="inlineStr">
        <is>
          <t>Córdoba</t>
        </is>
      </c>
      <c r="G253" s="2" t="inlineStr">
        <is>
          <t>Pozoblanco (Córdoba)</t>
        </is>
      </c>
      <c r="H253" s="2" t="inlineStr">
        <is>
          <t>Diputado delegado de Infraestructuras, Sostenibilidad y Agricultura</t>
        </is>
      </c>
      <c r="I253" s="2" t="inlineStr">
        <is>
          <t>Contratación de las obras de Demolición de inmueble en calle Cronista Sepúlveda, 15. Pozoblanco (Córdoba)). Obra incluida en los planes provinciales de obras y servicios 2024-2027 (bienio 2026-2027).</t>
        </is>
      </c>
      <c r="J253" s="2" t="inlineStr">
        <is>
          <t>628/26</t>
        </is>
      </c>
      <c r="K253" s="2" t="inlineStr">
        <is>
          <t>Abierto</t>
        </is>
      </c>
      <c r="L253" s="6" t="n">
        <v>3.5</v>
      </c>
      <c r="M253" s="2" t="n"/>
      <c r="N253" s="7" t="n">
        <v>0.25</v>
      </c>
      <c r="O253" s="4" t="n"/>
      <c r="P253" s="2" t="inlineStr">
        <is>
          <t>45110000; 45111100</t>
        </is>
      </c>
      <c r="Q253" s="8" t="inlineStr">
        <is>
          <t>Ver</t>
        </is>
      </c>
      <c r="R253" s="8" t="inlineStr">
        <is>
          <t>PCAP</t>
        </is>
      </c>
      <c r="S253" s="9" t="n">
        <v>46318</v>
      </c>
      <c r="T253" s="3" t="n">
        <v>46317.56133101852</v>
      </c>
      <c r="U253" s="2" t="n"/>
    </row>
    <row r="254">
      <c r="A254" s="2" t="inlineStr">
        <is>
          <t>Pendiente de adjudicación</t>
        </is>
      </c>
      <c r="B254" s="3" t="n">
        <v>46332.99930555555</v>
      </c>
      <c r="C254" s="5" t="n">
        <v>197880.98</v>
      </c>
      <c r="D254" s="5" t="n">
        <v>197880.98</v>
      </c>
      <c r="E254" s="2" t="inlineStr">
        <is>
          <t>Andalucía</t>
        </is>
      </c>
      <c r="F254" s="2" t="inlineStr">
        <is>
          <t>Córdoba</t>
        </is>
      </c>
      <c r="G254" s="2" t="n"/>
      <c r="H254" s="2" t="inlineStr">
        <is>
          <t>Diputado delegado de Infraestructuras, Sostenibilidad y Agricultura</t>
        </is>
      </c>
      <c r="I254" s="2" t="inlineStr">
        <is>
          <t>Contrato de obra de Ampliación Parque Municipal Las Erillas, en Hornachuelos (Córdoba). Obra incluida en el Plan de Humanización de Entornos Urbanos 2024-2027 (bienio 2024-2025).</t>
        </is>
      </c>
      <c r="J254" s="2" t="inlineStr">
        <is>
          <t>650/26 BIS</t>
        </is>
      </c>
      <c r="K254" s="2" t="inlineStr">
        <is>
          <t>Negociado sin publicidad</t>
        </is>
      </c>
      <c r="L254" s="6" t="n">
        <v>10</v>
      </c>
      <c r="M254" s="2" t="n"/>
      <c r="N254" s="7" t="n">
        <v>0.25</v>
      </c>
      <c r="O254" s="4" t="n"/>
      <c r="P254" s="2" t="inlineStr">
        <is>
          <t>45212000; 45300000</t>
        </is>
      </c>
      <c r="Q254" s="8" t="inlineStr">
        <is>
          <t>Ver</t>
        </is>
      </c>
      <c r="R254" s="8" t="inlineStr">
        <is>
          <t>PCAP</t>
        </is>
      </c>
      <c r="S254" s="9" t="n">
        <v>46318</v>
      </c>
      <c r="T254" s="3" t="n">
        <v>46317.56074074074</v>
      </c>
      <c r="U254" s="2" t="n"/>
    </row>
    <row r="255">
      <c r="A255" s="2" t="inlineStr">
        <is>
          <t>Pendiente de adjudicación</t>
        </is>
      </c>
      <c r="B255" s="3" t="n">
        <v>46294.99930555555</v>
      </c>
      <c r="C255" s="5" t="n">
        <v>70103.86</v>
      </c>
      <c r="D255" s="5" t="n">
        <v>70103.86</v>
      </c>
      <c r="E255" s="2" t="inlineStr">
        <is>
          <t>Andalucía</t>
        </is>
      </c>
      <c r="F255" s="2" t="inlineStr">
        <is>
          <t>Cádiz</t>
        </is>
      </c>
      <c r="G255" s="2" t="inlineStr">
        <is>
          <t>Algeciras</t>
        </is>
      </c>
      <c r="H255" s="2" t="inlineStr">
        <is>
          <t>Alcaldía del Ayuntamiento de Algeciras</t>
        </is>
      </c>
      <c r="I255" s="2" t="inlineStr">
        <is>
          <t>Proyecto de reconstrucción y acondicionamiento del murete en Sotorrebolo</t>
        </is>
      </c>
      <c r="J255" s="2" t="inlineStr">
        <is>
          <t>24273/2026</t>
        </is>
      </c>
      <c r="K255" s="2" t="inlineStr">
        <is>
          <t>Abierto simplificado</t>
        </is>
      </c>
      <c r="L255" s="6" t="n">
        <v>3</v>
      </c>
      <c r="M255" s="2" t="n"/>
      <c r="N255" s="7" t="n">
        <v>0</v>
      </c>
      <c r="O255" s="4" t="n">
        <v>2</v>
      </c>
      <c r="P255" s="2" t="inlineStr">
        <is>
          <t>45233140; 71317210</t>
        </is>
      </c>
      <c r="Q255" s="8" t="inlineStr">
        <is>
          <t>Ver</t>
        </is>
      </c>
      <c r="R255" s="8" t="inlineStr">
        <is>
          <t>PCAP</t>
        </is>
      </c>
      <c r="S255" s="9" t="n">
        <v>46318</v>
      </c>
      <c r="T255" s="3" t="n">
        <v>46317.5586574074</v>
      </c>
      <c r="U255" s="2" t="n"/>
    </row>
    <row r="256">
      <c r="A256" s="2" t="inlineStr">
        <is>
          <t>Pendiente de adjudicación</t>
        </is>
      </c>
      <c r="B256" s="3" t="n">
        <v>46287.99930555555</v>
      </c>
      <c r="C256" s="5" t="n">
        <v>817092.0699999999</v>
      </c>
      <c r="D256" s="5" t="n">
        <v>817092.0699999999</v>
      </c>
      <c r="E256" s="2" t="inlineStr">
        <is>
          <t>Andalucía</t>
        </is>
      </c>
      <c r="F256" s="2" t="inlineStr">
        <is>
          <t>Cádiz</t>
        </is>
      </c>
      <c r="G256" s="2" t="n"/>
      <c r="H256" s="2" t="inlineStr">
        <is>
          <t>Alcaldía del Ayuntamiento de Algeciras</t>
        </is>
      </c>
      <c r="I256" s="2" t="inlineStr">
        <is>
          <t>Ejecución pasarela peatonal sobre el río Pícaro, para la conexión de calle Orión con los camarotes de Getares, restauración de parte del margen del río y restitución de senderos peatonales. Parque fluvial de río Pícaro</t>
        </is>
      </c>
      <c r="J256" s="2" t="inlineStr">
        <is>
          <t>28168/2016</t>
        </is>
      </c>
      <c r="K256" s="2" t="inlineStr">
        <is>
          <t>Abierto simplificado</t>
        </is>
      </c>
      <c r="L256" s="6" t="n">
        <v>6</v>
      </c>
      <c r="M256" s="2" t="n"/>
      <c r="N256" s="7" t="n">
        <v>0</v>
      </c>
      <c r="O256" s="4" t="n">
        <v>3</v>
      </c>
      <c r="P256" s="2" t="inlineStr">
        <is>
          <t>45262210; 45246200; 71317210; 45246510; 45262211; 45316100; 45233261; 45221113</t>
        </is>
      </c>
      <c r="Q256" s="8" t="inlineStr">
        <is>
          <t>Ver</t>
        </is>
      </c>
      <c r="R256" s="8" t="inlineStr">
        <is>
          <t>PCAP</t>
        </is>
      </c>
      <c r="S256" s="9" t="n">
        <v>46310</v>
      </c>
      <c r="T256" s="3" t="n">
        <v>46317.55628472222</v>
      </c>
      <c r="U256" s="2" t="n"/>
    </row>
    <row r="257">
      <c r="A257" s="2" t="inlineStr">
        <is>
          <t>Pendiente de adjudicación</t>
        </is>
      </c>
      <c r="B257" s="3" t="n">
        <v>46272.99930555555</v>
      </c>
      <c r="C257" s="5" t="n">
        <v>247933.88</v>
      </c>
      <c r="D257" s="5" t="n">
        <v>247933.88</v>
      </c>
      <c r="E257" s="2" t="inlineStr">
        <is>
          <t>Andalucía</t>
        </is>
      </c>
      <c r="F257" s="2" t="inlineStr">
        <is>
          <t>Córdoba</t>
        </is>
      </c>
      <c r="G257" s="2" t="inlineStr">
        <is>
          <t>Adamuz</t>
        </is>
      </c>
      <c r="H257" s="2" t="inlineStr">
        <is>
          <t>Diputado delegado de Infraestructuras, Sostenibilidad y Agricultura</t>
        </is>
      </c>
      <c r="I257" s="2" t="inlineStr">
        <is>
          <t>Contratación del Centro de Iniciativa Empresarial. Adamuz (Córdoba). Obra incluida en los planes provinciales de obras y servicios 2024-2027 (bienio 2026-2027).</t>
        </is>
      </c>
      <c r="J257" s="2" t="inlineStr">
        <is>
          <t>450/26</t>
        </is>
      </c>
      <c r="K257" s="2" t="inlineStr">
        <is>
          <t>Abierto</t>
        </is>
      </c>
      <c r="L257" s="6" t="n">
        <v>5</v>
      </c>
      <c r="M257" s="2" t="n"/>
      <c r="N257" s="7" t="n">
        <v>0.25</v>
      </c>
      <c r="O257" s="4" t="n"/>
      <c r="P257" s="2" t="inlineStr">
        <is>
          <t>45200000</t>
        </is>
      </c>
      <c r="Q257" s="8" t="inlineStr">
        <is>
          <t>Ver</t>
        </is>
      </c>
      <c r="R257" s="8" t="inlineStr">
        <is>
          <t>PCAP</t>
        </is>
      </c>
      <c r="S257" s="9" t="n">
        <v>46318</v>
      </c>
      <c r="T257" s="3" t="n">
        <v>46317.55543981482</v>
      </c>
      <c r="U257" s="2" t="n"/>
    </row>
    <row r="258">
      <c r="A258" s="2" t="inlineStr">
        <is>
          <t>Resuelta</t>
        </is>
      </c>
      <c r="B258" s="3" t="n">
        <v>46289.41666666666</v>
      </c>
      <c r="C258" s="5" t="n">
        <v>20661.14</v>
      </c>
      <c r="D258" s="5" t="n">
        <v>20661.14</v>
      </c>
      <c r="E258" s="2" t="inlineStr">
        <is>
          <t>Comunitat Valenciana</t>
        </is>
      </c>
      <c r="F258" s="2" t="inlineStr">
        <is>
          <t>Valencia</t>
        </is>
      </c>
      <c r="G258" s="2" t="inlineStr">
        <is>
          <t>VALENCIA</t>
        </is>
      </c>
      <c r="H258" s="2" t="inlineStr">
        <is>
          <t>Jefatura de Intendencia de Asuntos Económicos Este</t>
        </is>
      </c>
      <c r="I258" s="2" t="inlineStr">
        <is>
          <t>Reparación cerraduras puertas acceso habitaciones RMD QUART CDSM Valencia</t>
        </is>
      </c>
      <c r="J258" s="2" t="inlineStr">
        <is>
          <t>2026/ETSAE0327/00006496E</t>
        </is>
      </c>
      <c r="K258" s="2" t="inlineStr">
        <is>
          <t>Abierto</t>
        </is>
      </c>
      <c r="L258" s="6" t="n">
        <v>1</v>
      </c>
      <c r="M258" s="2" t="n"/>
      <c r="N258" s="7" t="n">
        <v>0</v>
      </c>
      <c r="O258" s="4" t="n"/>
      <c r="P258" s="2" t="inlineStr">
        <is>
          <t>45111320</t>
        </is>
      </c>
      <c r="Q258" s="8" t="inlineStr">
        <is>
          <t>Ver</t>
        </is>
      </c>
      <c r="R258" s="8" t="inlineStr">
        <is>
          <t>PCAP</t>
        </is>
      </c>
      <c r="S258" s="9" t="n">
        <v>46318</v>
      </c>
      <c r="T258" s="3" t="n">
        <v>46317.55479166667</v>
      </c>
      <c r="U258" s="2" t="n"/>
    </row>
    <row r="259">
      <c r="A259" s="2" t="inlineStr">
        <is>
          <t>En plazo</t>
        </is>
      </c>
      <c r="B259" s="3" t="n">
        <v>46335.99930555555</v>
      </c>
      <c r="C259" s="5" t="n">
        <v>638659.75</v>
      </c>
      <c r="D259" s="5" t="n">
        <v>638659.75</v>
      </c>
      <c r="E259" s="2" t="inlineStr">
        <is>
          <t>Comunitat Valenciana</t>
        </is>
      </c>
      <c r="F259" s="2" t="inlineStr">
        <is>
          <t>Valencia</t>
        </is>
      </c>
      <c r="G259" s="2" t="n"/>
      <c r="H259" s="2" t="inlineStr">
        <is>
          <t>Alcaldía del Ayuntamiento de Quart de Poblet</t>
        </is>
      </c>
      <c r="I259" s="2" t="inlineStr">
        <is>
          <t>Proyecto de habilitación del local situado en la C/ Joanot Martorell, 6 para dependencias de la Policía Local del municipio de Quart de Poblet, incluido dentro del Pla Obert d´Inversions 24-27 de la Diputación Provincial e Valencia</t>
        </is>
      </c>
      <c r="J259" s="2" t="inlineStr">
        <is>
          <t>2870452P</t>
        </is>
      </c>
      <c r="K259" s="2" t="inlineStr">
        <is>
          <t>Abierto simplificado</t>
        </is>
      </c>
      <c r="L259" s="6" t="n">
        <v>5</v>
      </c>
      <c r="M259" s="2" t="n"/>
      <c r="N259" s="7" t="n">
        <v>0.25</v>
      </c>
      <c r="O259" s="4" t="n"/>
      <c r="P259" s="2" t="inlineStr">
        <is>
          <t>45000000; 45450000; 45213100</t>
        </is>
      </c>
      <c r="Q259" s="8" t="inlineStr">
        <is>
          <t>Ver</t>
        </is>
      </c>
      <c r="R259" s="8" t="inlineStr">
        <is>
          <t>PCAP</t>
        </is>
      </c>
      <c r="S259" s="9" t="n">
        <v>46315</v>
      </c>
      <c r="T259" s="3" t="n">
        <v>46317.55314814814</v>
      </c>
      <c r="U259" s="2" t="n"/>
    </row>
    <row r="260">
      <c r="A260" s="2" t="inlineStr">
        <is>
          <t>Pendiente de adjudicación</t>
        </is>
      </c>
      <c r="B260" s="3" t="n">
        <v>46283.99930555555</v>
      </c>
      <c r="C260" s="5" t="n">
        <v>315000</v>
      </c>
      <c r="D260" s="5" t="n">
        <v>315000</v>
      </c>
      <c r="E260" s="2" t="inlineStr">
        <is>
          <t>Andalucía</t>
        </is>
      </c>
      <c r="F260" s="2" t="inlineStr">
        <is>
          <t>Málaga</t>
        </is>
      </c>
      <c r="G260" s="2" t="inlineStr">
        <is>
          <t>Benalmádena (Málaga).</t>
        </is>
      </c>
      <c r="H260" s="2" t="inlineStr">
        <is>
          <t>Consejería delegada de ACOSOL, S.A.U.</t>
        </is>
      </c>
      <c r="I260" s="2" t="inlineStr">
        <is>
          <t>Contratación de la Obra de adecuación de las instalaciones de almacenamiento de productos químicos (APQ) de la EDAR Arroyo de la Miel, en Benalmádena (Málaga)</t>
        </is>
      </c>
      <c r="J260" s="2" t="inlineStr">
        <is>
          <t>R-18-26 (5003)</t>
        </is>
      </c>
      <c r="K260" s="2" t="inlineStr">
        <is>
          <t>Abierto</t>
        </is>
      </c>
      <c r="L260" s="6" t="n">
        <v>6</v>
      </c>
      <c r="M260" s="2" t="n"/>
      <c r="N260" s="7" t="n">
        <v>0.42</v>
      </c>
      <c r="O260" s="4" t="n"/>
      <c r="P260" s="2" t="inlineStr">
        <is>
          <t>45252100; 45252000</t>
        </is>
      </c>
      <c r="Q260" s="8" t="inlineStr">
        <is>
          <t>Ver</t>
        </is>
      </c>
      <c r="R260" s="8" t="inlineStr">
        <is>
          <t>PCAP</t>
        </is>
      </c>
      <c r="S260" s="9" t="n">
        <v>46318</v>
      </c>
      <c r="T260" s="3" t="n">
        <v>46317.55239583334</v>
      </c>
      <c r="U260" s="2" t="n"/>
    </row>
    <row r="261">
      <c r="A261" s="2" t="inlineStr">
        <is>
          <t>Adjudicada</t>
        </is>
      </c>
      <c r="B261" s="3" t="n">
        <v>46269.99930555555</v>
      </c>
      <c r="C261" s="5" t="n">
        <v>78109.03</v>
      </c>
      <c r="D261" s="5" t="n">
        <v>78109.03</v>
      </c>
      <c r="E261" s="2" t="inlineStr">
        <is>
          <t>Comunitat Valenciana</t>
        </is>
      </c>
      <c r="F261" s="2" t="inlineStr">
        <is>
          <t>Valencia</t>
        </is>
      </c>
      <c r="G261" s="2" t="inlineStr">
        <is>
          <t>Riba-roja del Túria</t>
        </is>
      </c>
      <c r="H261" s="2" t="inlineStr">
        <is>
          <t>Presidencia del Consorcio Valencia Interior</t>
        </is>
      </c>
      <c r="I261" s="2" t="inlineStr">
        <is>
          <t>Mejora en el Cerramiento del Ecoparque de Riba-roja del Túria</t>
        </is>
      </c>
      <c r="J261" s="2" t="inlineStr">
        <is>
          <t>141/2026</t>
        </is>
      </c>
      <c r="K261" s="2" t="inlineStr">
        <is>
          <t>Abierto</t>
        </is>
      </c>
      <c r="L261" s="6" t="n">
        <v>1</v>
      </c>
      <c r="M261" s="2" t="inlineStr">
        <is>
          <t>C2-4</t>
        </is>
      </c>
      <c r="N261" s="7" t="n">
        <v>0</v>
      </c>
      <c r="O261" s="4" t="n"/>
      <c r="P261" s="2" t="inlineStr">
        <is>
          <t>45223100; 45262210; 45223210; 45262520</t>
        </is>
      </c>
      <c r="Q261" s="8" t="inlineStr">
        <is>
          <t>Ver</t>
        </is>
      </c>
      <c r="R261" s="8" t="inlineStr">
        <is>
          <t>PCAP</t>
        </is>
      </c>
      <c r="S261" s="9" t="n">
        <v>46318</v>
      </c>
      <c r="T261" s="3" t="n">
        <v>46317.55236111111</v>
      </c>
      <c r="U261" s="2" t="n"/>
    </row>
    <row r="262">
      <c r="A262" s="2" t="inlineStr">
        <is>
          <t>En plazo</t>
        </is>
      </c>
      <c r="B262" s="3" t="n">
        <v>46336.99930555555</v>
      </c>
      <c r="C262" s="5" t="n">
        <v>450265.24</v>
      </c>
      <c r="D262" s="5" t="n">
        <v>495291.76</v>
      </c>
      <c r="E262" s="2" t="inlineStr">
        <is>
          <t>Comunitat Valenciana</t>
        </is>
      </c>
      <c r="F262" s="2" t="n"/>
      <c r="G262" s="2" t="n"/>
      <c r="H262" s="2" t="inlineStr">
        <is>
          <t>Valenciana d'Estrategies i Recursos per a la Sostenibilitat Ambiental, Sociedad Anónima</t>
        </is>
      </c>
      <c r="I262" s="2" t="inlineStr">
        <is>
          <t>Trabajos de instalación de los sistemas de protección colectiva anticaídas en las cubiertas de las plantas de residuos de VAERSA.</t>
        </is>
      </c>
      <c r="J262" s="2" t="inlineStr">
        <is>
          <t>CMAYOR/2026/VAERS/0053</t>
        </is>
      </c>
      <c r="K262" s="2" t="inlineStr">
        <is>
          <t>Abierto simplificado</t>
        </is>
      </c>
      <c r="L262" s="6" t="n">
        <v>3</v>
      </c>
      <c r="M262" s="2" t="n"/>
      <c r="N262" s="7" t="n">
        <v>0</v>
      </c>
      <c r="O262" s="4" t="n"/>
      <c r="P262" s="2" t="inlineStr">
        <is>
          <t>45340000</t>
        </is>
      </c>
      <c r="Q262" s="8" t="inlineStr">
        <is>
          <t>Ver</t>
        </is>
      </c>
      <c r="R262" s="8" t="inlineStr">
        <is>
          <t>PCAP</t>
        </is>
      </c>
      <c r="S262" s="9" t="n">
        <v>46318</v>
      </c>
      <c r="T262" s="3" t="n">
        <v>46317.5502662037</v>
      </c>
      <c r="U262" s="2" t="n"/>
    </row>
    <row r="263">
      <c r="A263" s="2" t="inlineStr">
        <is>
          <t>En plazo</t>
        </is>
      </c>
      <c r="B263" s="3" t="n">
        <v>46336.99930555555</v>
      </c>
      <c r="C263" s="5" t="n">
        <v>1191404.96</v>
      </c>
      <c r="D263" s="5" t="n">
        <v>1191404.96</v>
      </c>
      <c r="E263" s="2" t="inlineStr">
        <is>
          <t>Andalucía</t>
        </is>
      </c>
      <c r="F263" s="2" t="inlineStr">
        <is>
          <t>Almería</t>
        </is>
      </c>
      <c r="G263" s="2" t="n"/>
      <c r="H263" s="2" t="inlineStr">
        <is>
          <t>Junta de Gobierno de la Diputación Provincial de Almería</t>
        </is>
      </c>
      <c r="I263" s="2" t="inlineStr">
        <is>
          <t>Renovación De Calles Casco Histórico. Carboneras 85PPOS24-27BI</t>
        </is>
      </c>
      <c r="J263" s="2" t="inlineStr">
        <is>
          <t>2025/D31000/006-013/00198</t>
        </is>
      </c>
      <c r="K263" s="2" t="inlineStr">
        <is>
          <t>Abierto simplificado</t>
        </is>
      </c>
      <c r="L263" s="6" t="n">
        <v>10</v>
      </c>
      <c r="M263" s="2" t="inlineStr">
        <is>
          <t>E1-4; G6-4</t>
        </is>
      </c>
      <c r="N263" s="7" t="n">
        <v>0.25</v>
      </c>
      <c r="O263" s="4" t="n"/>
      <c r="P263" s="2" t="inlineStr">
        <is>
          <t>45233250</t>
        </is>
      </c>
      <c r="Q263" s="8" t="inlineStr">
        <is>
          <t>Ver</t>
        </is>
      </c>
      <c r="R263" s="8" t="inlineStr">
        <is>
          <t>PCAP</t>
        </is>
      </c>
      <c r="S263" s="9" t="n">
        <v>46317</v>
      </c>
      <c r="T263" s="3" t="n">
        <v>46317.54997685185</v>
      </c>
      <c r="U263" s="2" t="n"/>
    </row>
    <row r="264">
      <c r="A264" s="2" t="inlineStr">
        <is>
          <t>Resuelta</t>
        </is>
      </c>
      <c r="B264" s="3" t="n">
        <v>46128.99930555555</v>
      </c>
      <c r="C264" s="5" t="n">
        <v>60000</v>
      </c>
      <c r="D264" s="5" t="n">
        <v>60000</v>
      </c>
      <c r="E264" s="2" t="inlineStr">
        <is>
          <t>Andalucía</t>
        </is>
      </c>
      <c r="F264" s="2" t="inlineStr">
        <is>
          <t>Sevilla</t>
        </is>
      </c>
      <c r="G264" s="2" t="n"/>
      <c r="H264" s="2" t="inlineStr">
        <is>
          <t>Alcaldía del Ayuntamiento de Utrera</t>
        </is>
      </c>
      <c r="I264" s="2" t="inlineStr">
        <is>
          <t>Ejecución de las obras del proyecto básico y de ejecución de “Actuaciones urgentes de estanqueidad de cubierta y cerramientos en Centro de Mayores Olivareros de Utrera”</t>
        </is>
      </c>
      <c r="J264" s="2" t="inlineStr">
        <is>
          <t>OB67/2025</t>
        </is>
      </c>
      <c r="K264" s="2" t="inlineStr">
        <is>
          <t>Abierto simplificado</t>
        </is>
      </c>
      <c r="L264" s="6" t="n">
        <v>2</v>
      </c>
      <c r="M264" s="2" t="n"/>
      <c r="N264" s="7" t="n">
        <v>0</v>
      </c>
      <c r="O264" s="4" t="n"/>
      <c r="P264" s="2" t="inlineStr">
        <is>
          <t>45261420; 45261214; 45321000; 45261300</t>
        </is>
      </c>
      <c r="Q264" s="8" t="inlineStr">
        <is>
          <t>Ver</t>
        </is>
      </c>
      <c r="R264" s="8" t="inlineStr">
        <is>
          <t>PCAP</t>
        </is>
      </c>
      <c r="S264" s="9" t="n">
        <v>46318</v>
      </c>
      <c r="T264" s="3" t="n">
        <v>46317.5490625</v>
      </c>
      <c r="U264" s="2" t="n"/>
    </row>
    <row r="265">
      <c r="A265" s="2" t="inlineStr">
        <is>
          <t>Pendiente de adjudicación</t>
        </is>
      </c>
      <c r="B265" s="3" t="n">
        <v>46216.99930555555</v>
      </c>
      <c r="C265" s="5" t="n">
        <v>2143547.1</v>
      </c>
      <c r="D265" s="5" t="n">
        <v>2143547.1</v>
      </c>
      <c r="E265" s="2" t="inlineStr">
        <is>
          <t>Comunitat Valenciana</t>
        </is>
      </c>
      <c r="F265" s="2" t="inlineStr">
        <is>
          <t>Valencia</t>
        </is>
      </c>
      <c r="G265" s="2" t="inlineStr">
        <is>
          <t>Sollana</t>
        </is>
      </c>
      <c r="H265" s="2" t="inlineStr">
        <is>
          <t>Pleno del Ayuntamiento de Sollana</t>
        </is>
      </c>
      <c r="I265" s="2" t="inlineStr">
        <is>
          <t>El objeto de la presente actuación es la redacción del Proyecto y Ejecución de la obra para la restauración del camí D'Alcira, Machi, Torre Trullás, Mallaes, Malet y otros, pertenecientes al Barranc dels Algadins afectados por la DANA</t>
        </is>
      </c>
      <c r="J265" s="2" t="inlineStr">
        <is>
          <t>DANA2024 838-2026</t>
        </is>
      </c>
      <c r="K265" s="2" t="inlineStr">
        <is>
          <t>Abierto</t>
        </is>
      </c>
      <c r="L265" s="6" t="n">
        <v>8</v>
      </c>
      <c r="M265" s="2" t="inlineStr">
        <is>
          <t>G4-4</t>
        </is>
      </c>
      <c r="N265" s="7" t="n">
        <v>0.4</v>
      </c>
      <c r="O265" s="4" t="n"/>
      <c r="P265" s="2" t="inlineStr">
        <is>
          <t>45220000; 71000000; 45233222</t>
        </is>
      </c>
      <c r="Q265" s="8" t="inlineStr">
        <is>
          <t>Ver</t>
        </is>
      </c>
      <c r="R265" s="8" t="inlineStr">
        <is>
          <t>PCAP</t>
        </is>
      </c>
      <c r="S265" s="9" t="n">
        <v>46318</v>
      </c>
      <c r="T265" s="3" t="n">
        <v>46317.54891203704</v>
      </c>
      <c r="U265" s="2" t="n"/>
    </row>
    <row r="266">
      <c r="A266" s="2" t="inlineStr">
        <is>
          <t>Resuelta</t>
        </is>
      </c>
      <c r="B266" s="3" t="n">
        <v>46289.41666666666</v>
      </c>
      <c r="C266" s="5" t="n">
        <v>217868.6</v>
      </c>
      <c r="D266" s="5" t="n">
        <v>217868.6</v>
      </c>
      <c r="E266" s="2" t="inlineStr">
        <is>
          <t>Comunitat Valenciana</t>
        </is>
      </c>
      <c r="F266" s="2" t="inlineStr">
        <is>
          <t>Valencia</t>
        </is>
      </c>
      <c r="G266" s="2" t="inlineStr">
        <is>
          <t>PATERNA. VALENCIA.</t>
        </is>
      </c>
      <c r="H266" s="2" t="inlineStr">
        <is>
          <t>Jefatura de Intendencia de Asuntos Económicos Este</t>
        </is>
      </c>
      <c r="I266" s="2" t="inlineStr">
        <is>
          <t>Reparación baches calle principal Acuartelamiento en el Acto. Daoiz y Velarde en Valencia.</t>
        </is>
      </c>
      <c r="J266" s="2" t="inlineStr">
        <is>
          <t>2026/ETSAE0327/00006455E</t>
        </is>
      </c>
      <c r="K266" s="2" t="inlineStr">
        <is>
          <t>Abierto</t>
        </is>
      </c>
      <c r="L266" s="6" t="n">
        <v>1.5</v>
      </c>
      <c r="M266" s="2" t="n"/>
      <c r="N266" s="7" t="n">
        <v>0</v>
      </c>
      <c r="O266" s="4" t="n"/>
      <c r="P266" s="2" t="inlineStr">
        <is>
          <t>45233252</t>
        </is>
      </c>
      <c r="Q266" s="8" t="inlineStr">
        <is>
          <t>Ver</t>
        </is>
      </c>
      <c r="R266" s="8" t="inlineStr">
        <is>
          <t>PCAP</t>
        </is>
      </c>
      <c r="S266" s="9" t="n">
        <v>46318</v>
      </c>
      <c r="T266" s="3" t="n">
        <v>46317.54716435185</v>
      </c>
      <c r="U266" s="2" t="n"/>
    </row>
    <row r="267">
      <c r="A267" s="2" t="inlineStr">
        <is>
          <t>Pendiente de adjudicación</t>
        </is>
      </c>
      <c r="B267" s="3" t="n">
        <v>46272.58333333334</v>
      </c>
      <c r="C267" s="5" t="n">
        <v>1507550.58</v>
      </c>
      <c r="D267" s="5" t="n">
        <v>1507550.58</v>
      </c>
      <c r="E267" s="2" t="inlineStr">
        <is>
          <t>Comunitat Valenciana</t>
        </is>
      </c>
      <c r="F267" s="2" t="inlineStr">
        <is>
          <t>Alicante</t>
        </is>
      </c>
      <c r="G267" s="2" t="n"/>
      <c r="H267" s="2" t="inlineStr">
        <is>
          <t>Junta de Gobierno Local del Ayuntamiento de Jávea</t>
        </is>
      </c>
      <c r="I267" s="2" t="inlineStr">
        <is>
          <t>Obras de adecuación y remodelación del Parque Montaner.</t>
        </is>
      </c>
      <c r="J267" s="2" t="inlineStr">
        <is>
          <t>8214/2026</t>
        </is>
      </c>
      <c r="K267" s="2" t="inlineStr">
        <is>
          <t>Abierto simplificado</t>
        </is>
      </c>
      <c r="L267" s="6" t="n">
        <v>11</v>
      </c>
      <c r="M267" s="2" t="n"/>
      <c r="N267" s="7" t="n">
        <v>0.25</v>
      </c>
      <c r="O267" s="4" t="n"/>
      <c r="P267" s="2" t="inlineStr">
        <is>
          <t>45000000; 43325000; 45112711; 45111000</t>
        </is>
      </c>
      <c r="Q267" s="8" t="inlineStr">
        <is>
          <t>Ver</t>
        </is>
      </c>
      <c r="R267" s="8" t="inlineStr">
        <is>
          <t>PCAP</t>
        </is>
      </c>
      <c r="S267" s="9" t="n">
        <v>46317</v>
      </c>
      <c r="T267" s="3" t="n">
        <v>46317.54704861111</v>
      </c>
      <c r="U267" s="2" t="n"/>
    </row>
    <row r="268">
      <c r="A268" s="2" t="inlineStr">
        <is>
          <t>Pendiente de adjudicación</t>
        </is>
      </c>
      <c r="B268" s="3" t="n">
        <v>46216.99930555555</v>
      </c>
      <c r="C268" s="5" t="n">
        <v>2267020.11</v>
      </c>
      <c r="D268" s="5" t="n">
        <v>2267020.11</v>
      </c>
      <c r="E268" s="2" t="inlineStr">
        <is>
          <t>Comunitat Valenciana</t>
        </is>
      </c>
      <c r="F268" s="2" t="inlineStr">
        <is>
          <t>Valencia</t>
        </is>
      </c>
      <c r="G268" s="2" t="inlineStr">
        <is>
          <t>Sollana</t>
        </is>
      </c>
      <c r="H268" s="2" t="inlineStr">
        <is>
          <t>Pleno del Ayuntamiento de Sollana</t>
        </is>
      </c>
      <c r="I268" s="2" t="inlineStr">
        <is>
          <t>El objeto de la presente actuación es la redacción del Proyecto y Ejecución de la obra para la restauración de los caminos Casa del Gobernador, Pla de Dalt, Campillo, Vell de la Maquial y otros, pertenecientes al Barranc dels Algadins afectados por la DANA 2024.</t>
        </is>
      </c>
      <c r="J268" s="2" t="inlineStr">
        <is>
          <t>DANA2024 575-2026</t>
        </is>
      </c>
      <c r="K268" s="2" t="inlineStr">
        <is>
          <t>Abierto</t>
        </is>
      </c>
      <c r="L268" s="6" t="n">
        <v>8</v>
      </c>
      <c r="M268" s="2" t="inlineStr">
        <is>
          <t>G4-4</t>
        </is>
      </c>
      <c r="N268" s="7" t="n">
        <v>0.4</v>
      </c>
      <c r="O268" s="4" t="n"/>
      <c r="P268" s="2" t="inlineStr">
        <is>
          <t>45220000; 45233222; 71000000</t>
        </is>
      </c>
      <c r="Q268" s="8" t="inlineStr">
        <is>
          <t>Ver</t>
        </is>
      </c>
      <c r="R268" s="8" t="inlineStr">
        <is>
          <t>PCAP</t>
        </is>
      </c>
      <c r="S268" s="9" t="n">
        <v>46318</v>
      </c>
      <c r="T268" s="3" t="n">
        <v>46317.54653935185</v>
      </c>
      <c r="U268" s="2" t="n"/>
    </row>
    <row r="269">
      <c r="A269" s="2" t="inlineStr">
        <is>
          <t>Adjudicada</t>
        </is>
      </c>
      <c r="B269" s="3" t="n"/>
      <c r="C269" s="5" t="n">
        <v>323383.5</v>
      </c>
      <c r="D269" s="5" t="n">
        <v>323383.5</v>
      </c>
      <c r="E269" s="2" t="inlineStr">
        <is>
          <t>Andalucía</t>
        </is>
      </c>
      <c r="F269" s="2" t="inlineStr">
        <is>
          <t>Granada</t>
        </is>
      </c>
      <c r="G269" s="2" t="n"/>
      <c r="H269" s="2" t="inlineStr">
        <is>
          <t>Junta de Gobierno del Ayuntamiento de Granada</t>
        </is>
      </c>
      <c r="I269" s="2" t="inlineStr">
        <is>
          <t>Contrato de obras necesarias e imprescindibles para la eliminación de situaciones de peligro en los 38 centros educativos de la ciudad de Granada por razones de emergencia</t>
        </is>
      </c>
      <c r="J269" s="2" t="inlineStr">
        <is>
          <t>OBR-2026000124</t>
        </is>
      </c>
      <c r="K269" s="2" t="inlineStr">
        <is>
          <t>Abierto</t>
        </is>
      </c>
      <c r="L269" s="6" t="n">
        <v>1</v>
      </c>
      <c r="M269" s="2" t="n"/>
      <c r="N269" s="7" t="n">
        <v>0</v>
      </c>
      <c r="O269" s="4" t="n"/>
      <c r="P269" s="2" t="inlineStr">
        <is>
          <t>45214000</t>
        </is>
      </c>
      <c r="Q269" s="8" t="inlineStr">
        <is>
          <t>Ver</t>
        </is>
      </c>
      <c r="R269" s="2" t="n"/>
      <c r="S269" s="9" t="n">
        <v>46318</v>
      </c>
      <c r="T269" s="3" t="n">
        <v>46317.54145833333</v>
      </c>
      <c r="U269" s="2" t="n"/>
    </row>
    <row r="270">
      <c r="A270" s="2" t="inlineStr">
        <is>
          <t>Resuelta</t>
        </is>
      </c>
      <c r="B270" s="3" t="n">
        <v>45831.99930555555</v>
      </c>
      <c r="C270" s="5" t="n">
        <v>365498.79</v>
      </c>
      <c r="D270" s="5" t="n">
        <v>365498.79</v>
      </c>
      <c r="E270" s="2" t="inlineStr">
        <is>
          <t>Andalucía</t>
        </is>
      </c>
      <c r="F270" s="2" t="inlineStr">
        <is>
          <t>Granada</t>
        </is>
      </c>
      <c r="G270" s="2" t="inlineStr">
        <is>
          <t>Armilla - Granada</t>
        </is>
      </c>
      <c r="H270" s="2" t="inlineStr">
        <is>
          <t>Presidencia de la Diputación Provincial de Granada</t>
        </is>
      </c>
      <c r="I270" s="2" t="inlineStr">
        <is>
          <t>2024/4/MANTE-11 “DIPUTACIÓN, Intervención paisajística en los Centros Sociales de Armilla zonas 1 y 2". I</t>
        </is>
      </c>
      <c r="J270" s="2" t="inlineStr">
        <is>
          <t>OB-029/24</t>
        </is>
      </c>
      <c r="K270" s="2" t="inlineStr">
        <is>
          <t>Abierto simplificado</t>
        </is>
      </c>
      <c r="L270" s="6" t="n">
        <v>9</v>
      </c>
      <c r="M270" s="2" t="inlineStr">
        <is>
          <t>K6-3; G6-3</t>
        </is>
      </c>
      <c r="N270" s="7" t="n">
        <v>0</v>
      </c>
      <c r="O270" s="4" t="n"/>
      <c r="P270" s="2" t="inlineStr">
        <is>
          <t>45112700</t>
        </is>
      </c>
      <c r="Q270" s="8" t="inlineStr">
        <is>
          <t>Ver</t>
        </is>
      </c>
      <c r="R270" s="8" t="inlineStr">
        <is>
          <t>PCAP</t>
        </is>
      </c>
      <c r="S270" s="9" t="n">
        <v>46318</v>
      </c>
      <c r="T270" s="3" t="n">
        <v>46317.54094907407</v>
      </c>
      <c r="U270" s="2" t="n"/>
    </row>
    <row r="271">
      <c r="A271" s="2" t="inlineStr">
        <is>
          <t>Adjudicada</t>
        </is>
      </c>
      <c r="B271" s="3" t="n">
        <v>46258.99930555555</v>
      </c>
      <c r="C271" s="5" t="n">
        <v>1439711.7</v>
      </c>
      <c r="D271" s="5" t="n">
        <v>1583682.17</v>
      </c>
      <c r="E271" s="2" t="inlineStr">
        <is>
          <t>Andalucía</t>
        </is>
      </c>
      <c r="F271" s="2" t="inlineStr">
        <is>
          <t>Málaga</t>
        </is>
      </c>
      <c r="G271" s="2" t="n"/>
      <c r="H271" s="2" t="inlineStr">
        <is>
          <t>Alcaldía del Ayuntamiento de Alpandeire</t>
        </is>
      </c>
      <c r="I271" s="2" t="inlineStr">
        <is>
          <t>Construccion de Albergue de Peregrinos de Alpandeire (Málaga)</t>
        </is>
      </c>
      <c r="J271" s="2" t="inlineStr">
        <is>
          <t>110/2026</t>
        </is>
      </c>
      <c r="K271" s="2" t="inlineStr">
        <is>
          <t>Abierto simplificado</t>
        </is>
      </c>
      <c r="L271" s="6" t="n">
        <v>11</v>
      </c>
      <c r="M271" s="2" t="inlineStr">
        <is>
          <t>K2-2; C4-2; C2-2</t>
        </is>
      </c>
      <c r="N271" s="7" t="n">
        <v>0.25</v>
      </c>
      <c r="O271" s="4" t="n"/>
      <c r="P271" s="2" t="inlineStr">
        <is>
          <t>45212412; 45000000; 45210000</t>
        </is>
      </c>
      <c r="Q271" s="8" t="inlineStr">
        <is>
          <t>Ver</t>
        </is>
      </c>
      <c r="R271" s="8" t="inlineStr">
        <is>
          <t>PCAP</t>
        </is>
      </c>
      <c r="S271" s="9" t="n">
        <v>46310</v>
      </c>
      <c r="T271" s="3" t="n">
        <v>46317.54059027778</v>
      </c>
      <c r="U271" s="2" t="inlineStr">
        <is>
          <t>2026-10-23: estado EV → ADJ</t>
        </is>
      </c>
    </row>
    <row r="272">
      <c r="A272" s="2" t="inlineStr">
        <is>
          <t>En plazo</t>
        </is>
      </c>
      <c r="B272" s="3" t="n">
        <v>46332.58333333334</v>
      </c>
      <c r="C272" s="5" t="n">
        <v>56022.08</v>
      </c>
      <c r="D272" s="5" t="n">
        <v>56022.08</v>
      </c>
      <c r="E272" s="2" t="inlineStr">
        <is>
          <t>Andalucía</t>
        </is>
      </c>
      <c r="F272" s="2" t="inlineStr">
        <is>
          <t>Almería</t>
        </is>
      </c>
      <c r="G272" s="2" t="n"/>
      <c r="H272" s="2" t="inlineStr">
        <is>
          <t>JUNTA DE GOBIERNO LOCAL AYUNTAMIENTO DE PULPÍ</t>
        </is>
      </c>
      <c r="I272" s="2" t="inlineStr">
        <is>
          <t>Ejecución de las obras correspondientes a la actuación Pista Multideporte en La Fuente</t>
        </is>
      </c>
      <c r="J272" s="2" t="inlineStr">
        <is>
          <t>1342/2026</t>
        </is>
      </c>
      <c r="K272" s="2" t="inlineStr">
        <is>
          <t>Abierto simplificado</t>
        </is>
      </c>
      <c r="L272" s="6" t="n">
        <v>1</v>
      </c>
      <c r="M272" s="2" t="n"/>
      <c r="N272" s="7" t="n">
        <v>0</v>
      </c>
      <c r="O272" s="4" t="n"/>
      <c r="P272" s="2" t="inlineStr">
        <is>
          <t>45212200; 45212213; 45212220</t>
        </is>
      </c>
      <c r="Q272" s="8" t="inlineStr">
        <is>
          <t>Ver</t>
        </is>
      </c>
      <c r="R272" s="8" t="inlineStr">
        <is>
          <t>PCAP</t>
        </is>
      </c>
      <c r="S272" s="9" t="n">
        <v>46318</v>
      </c>
      <c r="T272" s="3" t="n">
        <v>46317.53940972222</v>
      </c>
      <c r="U272" s="2" t="n"/>
    </row>
    <row r="273">
      <c r="A273" s="2" t="inlineStr">
        <is>
          <t>En plazo</t>
        </is>
      </c>
      <c r="B273" s="3" t="n">
        <v>46349.99930555555</v>
      </c>
      <c r="C273" s="5" t="n">
        <v>118443.04</v>
      </c>
      <c r="D273" s="5" t="n">
        <v>118443.04</v>
      </c>
      <c r="E273" s="2" t="inlineStr">
        <is>
          <t>Andalucía</t>
        </is>
      </c>
      <c r="F273" s="2" t="inlineStr">
        <is>
          <t>Málaga</t>
        </is>
      </c>
      <c r="G273" s="2" t="inlineStr">
        <is>
          <t>Málaga</t>
        </is>
      </c>
      <c r="H273" s="2" t="inlineStr">
        <is>
          <t>Autoridad Portuaria de Málaga</t>
        </is>
      </c>
      <c r="I273" s="2" t="inlineStr">
        <is>
          <t>Demolición del cuartel de la Guardia Civil "La Parra" del muelle 4 del Puerto de Málaga</t>
        </is>
      </c>
      <c r="J273" s="2" t="inlineStr">
        <is>
          <t>26exma-045</t>
        </is>
      </c>
      <c r="K273" s="2" t="inlineStr">
        <is>
          <t>Abierto simplificado</t>
        </is>
      </c>
      <c r="L273" s="6" t="n">
        <v>0.9</v>
      </c>
      <c r="M273" s="2" t="n"/>
      <c r="N273" s="7" t="n">
        <v>0</v>
      </c>
      <c r="O273" s="4" t="n"/>
      <c r="P273" s="2" t="inlineStr">
        <is>
          <t>45110000</t>
        </is>
      </c>
      <c r="Q273" s="8" t="inlineStr">
        <is>
          <t>Ver</t>
        </is>
      </c>
      <c r="R273" s="8" t="inlineStr">
        <is>
          <t>PCAP</t>
        </is>
      </c>
      <c r="S273" s="9" t="n">
        <v>46311</v>
      </c>
      <c r="T273" s="3" t="n">
        <v>46317.53927083333</v>
      </c>
      <c r="U273" s="2" t="n"/>
    </row>
    <row r="274">
      <c r="A274" s="2" t="inlineStr">
        <is>
          <t>Pendiente de adjudicación</t>
        </is>
      </c>
      <c r="B274" s="3" t="n">
        <v>46315.99930555555</v>
      </c>
      <c r="C274" s="5" t="n">
        <v>42072.5</v>
      </c>
      <c r="D274" s="5" t="n">
        <v>42072.5</v>
      </c>
      <c r="E274" s="2" t="inlineStr">
        <is>
          <t>Andalucía</t>
        </is>
      </c>
      <c r="F274" s="2" t="inlineStr">
        <is>
          <t>Sevilla</t>
        </is>
      </c>
      <c r="G274" s="2" t="n"/>
      <c r="H274" s="2" t="inlineStr">
        <is>
          <t>Presidencia de la Diputación Provincial de Sevilla</t>
        </is>
      </c>
      <c r="I274" s="2" t="inlineStr">
        <is>
          <t>Contrato de obras para la sustitución y automatización de la puerta del Parque Móvil de la Diputación de Sevilla, incluso conexión al centro de control del propio Parque.</t>
        </is>
      </c>
      <c r="J274" s="2" t="inlineStr">
        <is>
          <t>2026/000593-PAAB</t>
        </is>
      </c>
      <c r="K274" s="2" t="inlineStr">
        <is>
          <t>Abierto simplificado</t>
        </is>
      </c>
      <c r="L274" s="6" t="n">
        <v>1</v>
      </c>
      <c r="M274" s="2" t="n"/>
      <c r="N274" s="7" t="n">
        <v>0</v>
      </c>
      <c r="O274" s="4" t="n"/>
      <c r="P274" s="2" t="inlineStr">
        <is>
          <t>45421160</t>
        </is>
      </c>
      <c r="Q274" s="8" t="inlineStr">
        <is>
          <t>Ver</t>
        </is>
      </c>
      <c r="R274" s="8" t="inlineStr">
        <is>
          <t>PCAP</t>
        </is>
      </c>
      <c r="S274" s="9" t="n">
        <v>46318</v>
      </c>
      <c r="T274" s="3" t="n">
        <v>46317.53903935185</v>
      </c>
      <c r="U274" s="2" t="n"/>
    </row>
    <row r="275">
      <c r="A275" s="2" t="inlineStr">
        <is>
          <t>Pendiente de adjudicación</t>
        </is>
      </c>
      <c r="B275" s="3" t="n">
        <v>46314.625</v>
      </c>
      <c r="C275" s="5" t="n">
        <v>361361.97</v>
      </c>
      <c r="D275" s="5" t="n">
        <v>361361.97</v>
      </c>
      <c r="E275" s="2" t="inlineStr">
        <is>
          <t>Andalucía</t>
        </is>
      </c>
      <c r="F275" s="2" t="inlineStr">
        <is>
          <t>Córdoba</t>
        </is>
      </c>
      <c r="G275" s="2" t="n"/>
      <c r="H275" s="2" t="inlineStr">
        <is>
          <t>Alcaldía del Ayuntamiento de Montoro</t>
        </is>
      </c>
      <c r="I275" s="2" t="inlineStr">
        <is>
          <t>Contratación de las obras contenidas en el proyecto "Mejora del drenaje Camino Rural de los Huertos Familiares de San Fernando. Montoro (Córdoba)", financiado con cargo a las ayudas de la Administración General del Estado, a través del Ministerio de Política Territorial y Memoria Democrática, previstas en el artículo 7 del Real Decreto-ley 5/2026, de 17 de febrero.</t>
        </is>
      </c>
      <c r="J275" s="2" t="inlineStr">
        <is>
          <t>GEX 2026/10728</t>
        </is>
      </c>
      <c r="K275" s="2" t="inlineStr">
        <is>
          <t>Abierto simplificado</t>
        </is>
      </c>
      <c r="L275" s="6" t="n">
        <v>5</v>
      </c>
      <c r="M275" s="2" t="inlineStr">
        <is>
          <t>E4-3</t>
        </is>
      </c>
      <c r="N275" s="7" t="n">
        <v>0</v>
      </c>
      <c r="O275" s="4" t="n"/>
      <c r="P275" s="2" t="inlineStr">
        <is>
          <t>45233160</t>
        </is>
      </c>
      <c r="Q275" s="8" t="inlineStr">
        <is>
          <t>Ver</t>
        </is>
      </c>
      <c r="R275" s="8" t="inlineStr">
        <is>
          <t>PCAP</t>
        </is>
      </c>
      <c r="S275" s="9" t="n">
        <v>46318</v>
      </c>
      <c r="T275" s="3" t="n">
        <v>46317.53875</v>
      </c>
      <c r="U275" s="2" t="n"/>
    </row>
    <row r="276">
      <c r="A276" s="2" t="inlineStr">
        <is>
          <t>En plazo</t>
        </is>
      </c>
      <c r="B276" s="3" t="n">
        <v>46337.99930555555</v>
      </c>
      <c r="C276" s="5" t="n">
        <v>161765.33</v>
      </c>
      <c r="D276" s="5" t="n">
        <v>161765.33</v>
      </c>
      <c r="E276" s="2" t="inlineStr">
        <is>
          <t>Comunitat Valenciana</t>
        </is>
      </c>
      <c r="F276" s="2" t="inlineStr">
        <is>
          <t>Alicante</t>
        </is>
      </c>
      <c r="G276" s="2" t="n"/>
      <c r="H276" s="2" t="inlineStr">
        <is>
          <t>Junta de Gobierno del Ayuntamiento Dénia</t>
        </is>
      </c>
      <c r="I276" s="2" t="inlineStr">
        <is>
          <t>Obras de mejoras del pavimento en Camí de l'Advocat</t>
        </is>
      </c>
      <c r="J276" s="2" t="inlineStr">
        <is>
          <t>OBR/2026000065</t>
        </is>
      </c>
      <c r="K276" s="2" t="inlineStr">
        <is>
          <t>Abierto simplificado</t>
        </is>
      </c>
      <c r="L276" s="6" t="n">
        <v>1</v>
      </c>
      <c r="M276" s="2" t="inlineStr">
        <is>
          <t>G3-1</t>
        </is>
      </c>
      <c r="N276" s="7" t="n">
        <v>0</v>
      </c>
      <c r="O276" s="4" t="n"/>
      <c r="P276" s="2" t="inlineStr">
        <is>
          <t>45233222</t>
        </is>
      </c>
      <c r="Q276" s="8" t="inlineStr">
        <is>
          <t>Ver</t>
        </is>
      </c>
      <c r="R276" s="8" t="inlineStr">
        <is>
          <t>PCAP</t>
        </is>
      </c>
      <c r="S276" s="9" t="n">
        <v>46318</v>
      </c>
      <c r="T276" s="3" t="n">
        <v>46317.53811342592</v>
      </c>
      <c r="U276" s="2" t="n"/>
    </row>
    <row r="277">
      <c r="A277" s="2" t="inlineStr">
        <is>
          <t>Adjudicada</t>
        </is>
      </c>
      <c r="B277" s="3" t="n">
        <v>46259.99930555555</v>
      </c>
      <c r="C277" s="5" t="n">
        <v>100541.82</v>
      </c>
      <c r="D277" s="5" t="n">
        <v>100541.82</v>
      </c>
      <c r="E277" s="2" t="inlineStr">
        <is>
          <t>Comunitat Valenciana</t>
        </is>
      </c>
      <c r="F277" s="2" t="inlineStr">
        <is>
          <t>Castellón</t>
        </is>
      </c>
      <c r="G277" s="2" t="n"/>
      <c r="H277" s="2" t="inlineStr">
        <is>
          <t>Junta de Gobierno Local del Ayuntamiento de Alcalà de Xivert</t>
        </is>
      </c>
      <c r="I277" s="2" t="inlineStr">
        <is>
          <t>Obras de mejoras hidráulicas en la red de saneamiento de Alcalà de Xivert-Alcossebre</t>
        </is>
      </c>
      <c r="J277" s="2" t="inlineStr">
        <is>
          <t>2090/2026</t>
        </is>
      </c>
      <c r="K277" s="2" t="inlineStr">
        <is>
          <t>Abierto</t>
        </is>
      </c>
      <c r="L277" s="6" t="n">
        <v>5</v>
      </c>
      <c r="M277" s="2" t="n"/>
      <c r="N277" s="7" t="n">
        <v>0.3</v>
      </c>
      <c r="O277" s="4" t="n"/>
      <c r="P277" s="2" t="inlineStr">
        <is>
          <t>45232410</t>
        </is>
      </c>
      <c r="Q277" s="8" t="inlineStr">
        <is>
          <t>Ver</t>
        </is>
      </c>
      <c r="R277" s="8" t="inlineStr">
        <is>
          <t>PCAP</t>
        </is>
      </c>
      <c r="S277" s="9" t="n">
        <v>46318</v>
      </c>
      <c r="T277" s="3" t="n">
        <v>46317.5362037037</v>
      </c>
      <c r="U277" s="2" t="n"/>
    </row>
    <row r="278">
      <c r="A278" s="2" t="inlineStr">
        <is>
          <t>Pendiente de adjudicación</t>
        </is>
      </c>
      <c r="B278" s="3" t="n">
        <v>46308.99930555555</v>
      </c>
      <c r="C278" s="5" t="n">
        <v>613227.61</v>
      </c>
      <c r="D278" s="5" t="n">
        <v>735873.14</v>
      </c>
      <c r="E278" s="2" t="inlineStr">
        <is>
          <t>Andalucía</t>
        </is>
      </c>
      <c r="F278" s="2" t="inlineStr">
        <is>
          <t>Huelva</t>
        </is>
      </c>
      <c r="G278" s="2" t="inlineStr">
        <is>
          <t>Moguer</t>
        </is>
      </c>
      <c r="H278" s="2" t="inlineStr">
        <is>
          <t>Alcaldía del Ayuntamiento de Moguer</t>
        </is>
      </c>
      <c r="I278" s="2" t="inlineStr">
        <is>
          <t>Obras para la mejora ambiental de dos caminos rurales en el término municipal de Moguer, incidiendo en la conectividad, movilidad, accesibilidad y protección del dominio hidráulico. Dividiéndose el presente contrato en dos lotes: - Lote 1: Camino de La Canorra. - Lote 2: Camino de Las Peñuelas.</t>
        </is>
      </c>
      <c r="J278" s="2" t="inlineStr">
        <is>
          <t>10380/2026 OBRAS PEÑUELAS Y CANORRA</t>
        </is>
      </c>
      <c r="K278" s="2" t="inlineStr">
        <is>
          <t>Abierto</t>
        </is>
      </c>
      <c r="L278" s="6" t="n">
        <v>4</v>
      </c>
      <c r="M278" s="2" t="n"/>
      <c r="N278" s="7" t="n">
        <v>0</v>
      </c>
      <c r="O278" s="4" t="n">
        <v>2</v>
      </c>
      <c r="P278" s="2" t="inlineStr">
        <is>
          <t>45233140</t>
        </is>
      </c>
      <c r="Q278" s="8" t="inlineStr">
        <is>
          <t>Ver</t>
        </is>
      </c>
      <c r="R278" s="8" t="inlineStr">
        <is>
          <t>PCAP</t>
        </is>
      </c>
      <c r="S278" s="9" t="n">
        <v>46310</v>
      </c>
      <c r="T278" s="3" t="n">
        <v>46317.53471064815</v>
      </c>
      <c r="U278" s="2" t="inlineStr">
        <is>
          <t>2026-10-23: estado PUB → EV</t>
        </is>
      </c>
    </row>
    <row r="279">
      <c r="A279" s="2" t="inlineStr">
        <is>
          <t>Pendiente de adjudicación</t>
        </is>
      </c>
      <c r="B279" s="3" t="n">
        <v>46308.58333333334</v>
      </c>
      <c r="C279" s="5" t="n">
        <v>25392793.84</v>
      </c>
      <c r="D279" s="5" t="n">
        <v>30471352.61</v>
      </c>
      <c r="E279" s="2" t="inlineStr">
        <is>
          <t>Comunitat Valenciana</t>
        </is>
      </c>
      <c r="F279" s="2" t="inlineStr">
        <is>
          <t>Valencia</t>
        </is>
      </c>
      <c r="G279" s="2" t="n"/>
      <c r="H279" s="2" t="inlineStr">
        <is>
          <t>Subsecretaría-Conselleria de Justicia, Transparencia y Participación de la Generalitat Valenciana</t>
        </is>
      </c>
      <c r="I279" s="2" t="inlineStr">
        <is>
          <t>Obras para la construcción del Palacio de Justicia de Torrent (Valencia)</t>
        </is>
      </c>
      <c r="J279" s="2" t="inlineStr">
        <is>
          <t>CMAYOR/2026/25Y04/0031</t>
        </is>
      </c>
      <c r="K279" s="2" t="inlineStr">
        <is>
          <t>Abierto</t>
        </is>
      </c>
      <c r="L279" s="6" t="n">
        <v>24</v>
      </c>
      <c r="M279" s="2" t="inlineStr">
        <is>
          <t>C*-6</t>
        </is>
      </c>
      <c r="N279" s="7" t="n">
        <v>0.3</v>
      </c>
      <c r="O279" s="4" t="n"/>
      <c r="P279" s="2" t="inlineStr">
        <is>
          <t>45000000; 45300000; 45216112</t>
        </is>
      </c>
      <c r="Q279" s="8" t="inlineStr">
        <is>
          <t>Ver</t>
        </is>
      </c>
      <c r="R279" s="8" t="inlineStr">
        <is>
          <t>PCAP</t>
        </is>
      </c>
      <c r="S279" s="9" t="n">
        <v>46318</v>
      </c>
      <c r="T279" s="3" t="n">
        <v>46317.53424768519</v>
      </c>
      <c r="U279" s="2" t="n"/>
    </row>
    <row r="280">
      <c r="A280" s="2" t="inlineStr">
        <is>
          <t>Adjudicada</t>
        </is>
      </c>
      <c r="B280" s="3" t="n">
        <v>46280.99930555555</v>
      </c>
      <c r="C280" s="5" t="n">
        <v>206380.16</v>
      </c>
      <c r="D280" s="5" t="n">
        <v>206380.16</v>
      </c>
      <c r="E280" s="2" t="inlineStr">
        <is>
          <t>Comunitat Valenciana</t>
        </is>
      </c>
      <c r="F280" s="2" t="inlineStr">
        <is>
          <t>Castellón</t>
        </is>
      </c>
      <c r="G280" s="2" t="n"/>
      <c r="H280" s="2" t="inlineStr">
        <is>
          <t>Junta de Gobierno Local del Ayuntamiento de Alcalà de Xivert</t>
        </is>
      </c>
      <c r="I280" s="2" t="inlineStr">
        <is>
          <t>Obras de mejora, accesibilidad, peatonalización y asfaltado de la C/ Rench de Alcossebre</t>
        </is>
      </c>
      <c r="J280" s="2" t="inlineStr">
        <is>
          <t>2353/2026</t>
        </is>
      </c>
      <c r="K280" s="2" t="inlineStr">
        <is>
          <t>Abierto simplificado</t>
        </is>
      </c>
      <c r="L280" s="6" t="n">
        <v>3</v>
      </c>
      <c r="M280" s="2" t="n"/>
      <c r="N280" s="7" t="n">
        <v>0.25</v>
      </c>
      <c r="O280" s="4" t="n">
        <v>2</v>
      </c>
      <c r="P280" s="2" t="inlineStr">
        <is>
          <t>45233140; 45233200</t>
        </is>
      </c>
      <c r="Q280" s="8" t="inlineStr">
        <is>
          <t>Ver</t>
        </is>
      </c>
      <c r="R280" s="8" t="inlineStr">
        <is>
          <t>PCAP</t>
        </is>
      </c>
      <c r="S280" s="9" t="n">
        <v>46310</v>
      </c>
      <c r="T280" s="3" t="n">
        <v>46317.53395833333</v>
      </c>
      <c r="U280" s="2" t="inlineStr">
        <is>
          <t>2026-10-23: estado EV → ADJ</t>
        </is>
      </c>
    </row>
    <row r="281">
      <c r="A281" s="2" t="inlineStr">
        <is>
          <t>Pendiente de adjudicación</t>
        </is>
      </c>
      <c r="B281" s="3" t="n">
        <v>46268.5</v>
      </c>
      <c r="C281" s="5" t="n">
        <v>362933.34</v>
      </c>
      <c r="D281" s="5" t="n">
        <v>362933.34</v>
      </c>
      <c r="E281" s="2" t="inlineStr">
        <is>
          <t>Andalucía</t>
        </is>
      </c>
      <c r="F281" s="2" t="inlineStr">
        <is>
          <t>Jaén</t>
        </is>
      </c>
      <c r="G281" s="2" t="inlineStr">
        <is>
          <t>Jaén</t>
        </is>
      </c>
      <c r="H281" s="2" t="inlineStr">
        <is>
          <t>Junta de Gobierno del Ayuntamiento de Torredonjimeno</t>
        </is>
      </c>
      <c r="I281" s="2" t="inlineStr">
        <is>
          <t>Construcción de un aparcamiento de camiones</t>
        </is>
      </c>
      <c r="J281" s="2" t="inlineStr">
        <is>
          <t>2032/2026</t>
        </is>
      </c>
      <c r="K281" s="2" t="inlineStr">
        <is>
          <t>Abierto simplificado</t>
        </is>
      </c>
      <c r="L281" s="6" t="n">
        <v>6</v>
      </c>
      <c r="M281" s="2" t="n"/>
      <c r="N281" s="7" t="n">
        <v>0.4</v>
      </c>
      <c r="O281" s="4" t="n"/>
      <c r="P281" s="2" t="inlineStr">
        <is>
          <t>45213312; 45233220; 45213310</t>
        </is>
      </c>
      <c r="Q281" s="8" t="inlineStr">
        <is>
          <t>Ver</t>
        </is>
      </c>
      <c r="R281" s="8" t="inlineStr">
        <is>
          <t>PCAP</t>
        </is>
      </c>
      <c r="S281" s="9" t="n">
        <v>46318</v>
      </c>
      <c r="T281" s="3" t="n">
        <v>46317.53321759259</v>
      </c>
      <c r="U281" s="2" t="n"/>
    </row>
    <row r="282">
      <c r="A282" s="2" t="inlineStr">
        <is>
          <t>Pendiente de adjudicación</t>
        </is>
      </c>
      <c r="B282" s="3" t="n">
        <v>46314.99930555555</v>
      </c>
      <c r="C282" s="5" t="n">
        <v>113344.69</v>
      </c>
      <c r="D282" s="5" t="n">
        <v>124679.16</v>
      </c>
      <c r="E282" s="2" t="inlineStr">
        <is>
          <t>Comunitat Valenciana</t>
        </is>
      </c>
      <c r="F282" s="2" t="inlineStr">
        <is>
          <t>Valencia</t>
        </is>
      </c>
      <c r="G282" s="2" t="n"/>
      <c r="H282" s="2" t="inlineStr">
        <is>
          <t>Junta de Gobierno del Ayuntamiento de Silla</t>
        </is>
      </c>
      <c r="I282" s="2" t="inlineStr">
        <is>
          <t>Obra «Adecuación del bar-cafetería del Hogar de los Jubilados de Silla para la regularización de su actividad»</t>
        </is>
      </c>
      <c r="J282" s="2" t="inlineStr">
        <is>
          <t>3036693E</t>
        </is>
      </c>
      <c r="K282" s="2" t="inlineStr">
        <is>
          <t>Abierto simplificado</t>
        </is>
      </c>
      <c r="L282" s="6" t="n">
        <v>3</v>
      </c>
      <c r="M282" s="2" t="n"/>
      <c r="N282" s="7" t="n">
        <v>0</v>
      </c>
      <c r="O282" s="4" t="n"/>
      <c r="P282" s="2" t="inlineStr">
        <is>
          <t>45212420; 45453100</t>
        </is>
      </c>
      <c r="Q282" s="8" t="inlineStr">
        <is>
          <t>Ver</t>
        </is>
      </c>
      <c r="R282" s="8" t="inlineStr">
        <is>
          <t>PCAP</t>
        </is>
      </c>
      <c r="S282" s="9" t="n">
        <v>46317</v>
      </c>
      <c r="T282" s="3" t="n">
        <v>46317.5321875</v>
      </c>
      <c r="U282" s="2" t="n"/>
    </row>
    <row r="283">
      <c r="A283" s="2" t="inlineStr">
        <is>
          <t>En plazo</t>
        </is>
      </c>
      <c r="B283" s="3" t="n">
        <v>46332.99930555555</v>
      </c>
      <c r="C283" s="5" t="n">
        <v>41322.32</v>
      </c>
      <c r="D283" s="5" t="n">
        <v>41322.32</v>
      </c>
      <c r="E283" s="2" t="inlineStr">
        <is>
          <t>Andalucía</t>
        </is>
      </c>
      <c r="F283" s="2" t="inlineStr">
        <is>
          <t>Jaén</t>
        </is>
      </c>
      <c r="G283" s="2" t="inlineStr">
        <is>
          <t>Arquillos</t>
        </is>
      </c>
      <c r="H283" s="2" t="inlineStr">
        <is>
          <t>Alcaldía del Ayuntamiento de Arquillos</t>
        </is>
      </c>
      <c r="I283" s="2" t="inlineStr">
        <is>
          <t>Acondicionamiento de nave municipal como vivero de empresas en el municipio de Arquillos (Jaén).</t>
        </is>
      </c>
      <c r="J283" s="2" t="inlineStr">
        <is>
          <t>363/2026</t>
        </is>
      </c>
      <c r="K283" s="2" t="inlineStr">
        <is>
          <t>Abierto simplificado</t>
        </is>
      </c>
      <c r="L283" s="6" t="n">
        <v>1</v>
      </c>
      <c r="M283" s="2" t="n"/>
      <c r="N283" s="7" t="n">
        <v>0</v>
      </c>
      <c r="O283" s="4" t="n"/>
      <c r="P283" s="2" t="inlineStr">
        <is>
          <t>45210000</t>
        </is>
      </c>
      <c r="Q283" s="8" t="inlineStr">
        <is>
          <t>Ver</t>
        </is>
      </c>
      <c r="R283" s="8" t="inlineStr">
        <is>
          <t>PCAP</t>
        </is>
      </c>
      <c r="S283" s="9" t="n">
        <v>46318</v>
      </c>
      <c r="T283" s="3" t="n">
        <v>46317.53013888889</v>
      </c>
      <c r="U283" s="2" t="n"/>
    </row>
    <row r="284">
      <c r="A284" s="2" t="inlineStr">
        <is>
          <t>Resuelta</t>
        </is>
      </c>
      <c r="B284" s="3" t="n">
        <v>46286.99930555555</v>
      </c>
      <c r="C284" s="5" t="n">
        <v>781554.3199999999</v>
      </c>
      <c r="D284" s="5" t="n">
        <v>781554.3199999999</v>
      </c>
      <c r="E284" s="2" t="inlineStr">
        <is>
          <t>Andalucía</t>
        </is>
      </c>
      <c r="F284" s="2" t="inlineStr">
        <is>
          <t>Sevilla</t>
        </is>
      </c>
      <c r="G284" s="2" t="inlineStr">
        <is>
          <t>Marchena</t>
        </is>
      </c>
      <c r="H284" s="2" t="inlineStr">
        <is>
          <t>Alcaldía del Ayuntamiento de Marchena</t>
        </is>
      </c>
      <c r="I284" s="2" t="inlineStr">
        <is>
          <t>Contrato de obras para Proyecto de ciclosenda en Carretea de Carmona. Marchena (Sevilla).</t>
        </is>
      </c>
      <c r="J284" s="2" t="inlineStr">
        <is>
          <t>2026/CTT_01/000135</t>
        </is>
      </c>
      <c r="K284" s="2" t="inlineStr">
        <is>
          <t>Abierto simplificado</t>
        </is>
      </c>
      <c r="L284" s="6" t="n">
        <v>6</v>
      </c>
      <c r="M284" s="2" t="inlineStr">
        <is>
          <t>G6-3; K6-1; I1-2</t>
        </is>
      </c>
      <c r="N284" s="7" t="n">
        <v>0</v>
      </c>
      <c r="O284" s="4" t="n"/>
      <c r="P284" s="2" t="inlineStr">
        <is>
          <t>45233162; 45316100; 45316213</t>
        </is>
      </c>
      <c r="Q284" s="8" t="inlineStr">
        <is>
          <t>Ver</t>
        </is>
      </c>
      <c r="R284" s="8" t="inlineStr">
        <is>
          <t>PCAP</t>
        </is>
      </c>
      <c r="S284" s="9" t="n">
        <v>46310</v>
      </c>
      <c r="T284" s="3" t="n">
        <v>46317.52891203704</v>
      </c>
      <c r="U284" s="2" t="inlineStr">
        <is>
          <t>2026-10-19: estado EV → ADJ | 2026-10-23: estado ADJ → RES</t>
        </is>
      </c>
    </row>
    <row r="285">
      <c r="A285" s="2" t="inlineStr">
        <is>
          <t>Adjudicada</t>
        </is>
      </c>
      <c r="B285" s="3" t="n">
        <v>46307.99930555555</v>
      </c>
      <c r="C285" s="5" t="n">
        <v>93973.32000000001</v>
      </c>
      <c r="D285" s="5" t="n">
        <v>93973.32000000001</v>
      </c>
      <c r="E285" s="2" t="inlineStr">
        <is>
          <t>Comunitat Valenciana</t>
        </is>
      </c>
      <c r="F285" s="2" t="inlineStr">
        <is>
          <t>Valencia</t>
        </is>
      </c>
      <c r="G285" s="2" t="n"/>
      <c r="H285" s="2" t="inlineStr">
        <is>
          <t>Alcaldía del Ayuntamiento de Chelva</t>
        </is>
      </c>
      <c r="I285" s="2" t="inlineStr">
        <is>
          <t>Instalación ascensor para la mejora de accesibilidad del Antiguo Ayuntamiento de Chelva</t>
        </is>
      </c>
      <c r="J285" s="2" t="inlineStr">
        <is>
          <t>744/2026</t>
        </is>
      </c>
      <c r="K285" s="2" t="inlineStr">
        <is>
          <t>Abierto simplificado</t>
        </is>
      </c>
      <c r="L285" s="6" t="n"/>
      <c r="M285" s="2" t="n"/>
      <c r="N285" s="7" t="n">
        <v>0</v>
      </c>
      <c r="O285" s="4" t="n"/>
      <c r="P285" s="2" t="inlineStr">
        <is>
          <t>45313000; 45300000; 45000000; 45310000</t>
        </is>
      </c>
      <c r="Q285" s="8" t="inlineStr">
        <is>
          <t>Ver</t>
        </is>
      </c>
      <c r="R285" s="8" t="inlineStr">
        <is>
          <t>PCAP</t>
        </is>
      </c>
      <c r="S285" s="9" t="n">
        <v>46318</v>
      </c>
      <c r="T285" s="3" t="n">
        <v>46317.52244212963</v>
      </c>
      <c r="U285" s="2" t="n"/>
    </row>
    <row r="286">
      <c r="A286" s="2" t="inlineStr">
        <is>
          <t>Resuelta</t>
        </is>
      </c>
      <c r="B286" s="3" t="n">
        <v>46294.45833333334</v>
      </c>
      <c r="C286" s="5" t="n">
        <v>341946.1</v>
      </c>
      <c r="D286" s="5" t="n">
        <v>341946.1</v>
      </c>
      <c r="E286" s="2" t="inlineStr">
        <is>
          <t>Comunitat Valenciana</t>
        </is>
      </c>
      <c r="F286" s="2" t="inlineStr">
        <is>
          <t>Alicante</t>
        </is>
      </c>
      <c r="G286" s="2" t="inlineStr">
        <is>
          <t>Alicante</t>
        </is>
      </c>
      <c r="H286" s="2" t="inlineStr">
        <is>
          <t>Jefatura de Intendencia de Asuntos Económicos Este</t>
        </is>
      </c>
      <c r="I286" s="2" t="inlineStr">
        <is>
          <t>Reparación de Asfaltado de varios Viales Acto. Alférez Rojas Navarrete. Alicante. (TC 312-03/25)</t>
        </is>
      </c>
      <c r="J286" s="2" t="inlineStr">
        <is>
          <t>2026/ETSAE0327/00006363E</t>
        </is>
      </c>
      <c r="K286" s="2" t="inlineStr">
        <is>
          <t>Abierto</t>
        </is>
      </c>
      <c r="L286" s="6" t="n">
        <v>2</v>
      </c>
      <c r="M286" s="2" t="n"/>
      <c r="N286" s="7" t="n">
        <v>0</v>
      </c>
      <c r="O286" s="4" t="n"/>
      <c r="P286" s="2" t="inlineStr">
        <is>
          <t>45233141</t>
        </is>
      </c>
      <c r="Q286" s="8" t="inlineStr">
        <is>
          <t>Ver</t>
        </is>
      </c>
      <c r="R286" s="8" t="inlineStr">
        <is>
          <t>PCAP</t>
        </is>
      </c>
      <c r="S286" s="9" t="n">
        <v>46318</v>
      </c>
      <c r="T286" s="3" t="n">
        <v>46317.52146990741</v>
      </c>
      <c r="U286" s="2" t="n"/>
    </row>
    <row r="287">
      <c r="A287" s="2" t="inlineStr">
        <is>
          <t>En plazo</t>
        </is>
      </c>
      <c r="B287" s="3" t="n">
        <v>46332.99930555555</v>
      </c>
      <c r="C287" s="5" t="n">
        <v>40405.37</v>
      </c>
      <c r="D287" s="5" t="n">
        <v>40405.37</v>
      </c>
      <c r="E287" s="2" t="inlineStr">
        <is>
          <t>Andalucía</t>
        </is>
      </c>
      <c r="F287" s="2" t="inlineStr">
        <is>
          <t>Córdoba</t>
        </is>
      </c>
      <c r="G287" s="2" t="n"/>
      <c r="H287" s="2" t="inlineStr">
        <is>
          <t>Alcalde de Ayuntamiento de Puente Genil</t>
        </is>
      </c>
      <c r="I287" s="2" t="inlineStr">
        <is>
          <t>Las obras incluidas la ejecución de las obras incluidas en el Proyecto Técnico de Colocación de bionda e iluminación en vial paralelo a la A379 en la aldea "La Mina" así como bionda en el vial prolongación de Avda. Europa con C/Juan XXIII, en Puente Genil (Córdoba),</t>
        </is>
      </c>
      <c r="J287" s="2" t="inlineStr">
        <is>
          <t>32/2026</t>
        </is>
      </c>
      <c r="K287" s="2" t="inlineStr">
        <is>
          <t>Abierto simplificado</t>
        </is>
      </c>
      <c r="L287" s="6" t="n">
        <v>3</v>
      </c>
      <c r="M287" s="2" t="n"/>
      <c r="N287" s="7" t="n">
        <v>0</v>
      </c>
      <c r="O287" s="4" t="n"/>
      <c r="P287" s="2" t="inlineStr">
        <is>
          <t>45233280; 45316100</t>
        </is>
      </c>
      <c r="Q287" s="8" t="inlineStr">
        <is>
          <t>Ver</t>
        </is>
      </c>
      <c r="R287" s="8" t="inlineStr">
        <is>
          <t>PCAP</t>
        </is>
      </c>
      <c r="S287" s="9" t="n">
        <v>46318</v>
      </c>
      <c r="T287" s="3" t="n">
        <v>46317.51813657407</v>
      </c>
      <c r="U287" s="2" t="n"/>
    </row>
    <row r="288">
      <c r="A288" s="2" t="inlineStr">
        <is>
          <t>En plazo</t>
        </is>
      </c>
      <c r="B288" s="3" t="n">
        <v>46331.99930555555</v>
      </c>
      <c r="C288" s="5" t="n">
        <v>49421.49</v>
      </c>
      <c r="D288" s="5" t="n">
        <v>49421.49</v>
      </c>
      <c r="E288" s="2" t="inlineStr">
        <is>
          <t>Comunitat Valenciana</t>
        </is>
      </c>
      <c r="F288" s="2" t="inlineStr">
        <is>
          <t>Alicante</t>
        </is>
      </c>
      <c r="G288" s="2" t="n"/>
      <c r="H288" s="2" t="inlineStr">
        <is>
          <t>Alcaldía de la EATIM de Jesús Pobre</t>
        </is>
      </c>
      <c r="I288" s="2" t="inlineStr">
        <is>
          <t>Actuación de conservación y mantenimiento ordinario en instalaciones públicas de la EATIM</t>
        </is>
      </c>
      <c r="J288" s="2" t="inlineStr">
        <is>
          <t>259/2026</t>
        </is>
      </c>
      <c r="K288" s="2" t="inlineStr">
        <is>
          <t>Abierto simplificado</t>
        </is>
      </c>
      <c r="L288" s="6" t="n">
        <v>1</v>
      </c>
      <c r="M288" s="2" t="n"/>
      <c r="N288" s="7" t="n">
        <v>0</v>
      </c>
      <c r="O288" s="4" t="n">
        <v>4</v>
      </c>
      <c r="P288" s="2" t="inlineStr">
        <is>
          <t>45442100; 45432111; 45212290; 45261220</t>
        </is>
      </c>
      <c r="Q288" s="8" t="inlineStr">
        <is>
          <t>Ver</t>
        </is>
      </c>
      <c r="R288" s="8" t="inlineStr">
        <is>
          <t>PCAP</t>
        </is>
      </c>
      <c r="S288" s="9" t="n">
        <v>46318</v>
      </c>
      <c r="T288" s="3" t="n">
        <v>46317.51168981481</v>
      </c>
      <c r="U288" s="2" t="n"/>
    </row>
    <row r="289">
      <c r="A289" s="2" t="inlineStr">
        <is>
          <t>Adjudicada</t>
        </is>
      </c>
      <c r="B289" s="3" t="n">
        <v>46198.99930555555</v>
      </c>
      <c r="C289" s="5" t="n">
        <v>40214.26</v>
      </c>
      <c r="D289" s="5" t="n">
        <v>40214.26</v>
      </c>
      <c r="E289" s="2" t="inlineStr">
        <is>
          <t>Andalucía</t>
        </is>
      </c>
      <c r="F289" s="2" t="inlineStr">
        <is>
          <t>Cádiz</t>
        </is>
      </c>
      <c r="G289" s="2" t="inlineStr">
        <is>
          <t>Alcalá de los Gazules</t>
        </is>
      </c>
      <c r="H289" s="2" t="inlineStr">
        <is>
          <t>Alcaldia del Ayuntamiento de Alcalá de los Gazules</t>
        </is>
      </c>
      <c r="I289" s="2" t="inlineStr">
        <is>
          <t>Obras de cubrición de la Pista principal de pádel en Pabellón municipal Pico del Campo de Alcalá de los Gazules.</t>
        </is>
      </c>
      <c r="J289" s="2" t="inlineStr">
        <is>
          <t>1017/2026</t>
        </is>
      </c>
      <c r="K289" s="2" t="inlineStr">
        <is>
          <t>Abierto</t>
        </is>
      </c>
      <c r="L289" s="6" t="n">
        <v>4</v>
      </c>
      <c r="M289" s="2" t="n"/>
      <c r="N289" s="7" t="n">
        <v>0</v>
      </c>
      <c r="O289" s="4" t="n"/>
      <c r="P289" s="2" t="inlineStr">
        <is>
          <t>45110000</t>
        </is>
      </c>
      <c r="Q289" s="8" t="inlineStr">
        <is>
          <t>Ver</t>
        </is>
      </c>
      <c r="R289" s="8" t="inlineStr">
        <is>
          <t>PCAP</t>
        </is>
      </c>
      <c r="S289" s="9" t="n">
        <v>46318</v>
      </c>
      <c r="T289" s="3" t="n">
        <v>46317.50978009259</v>
      </c>
      <c r="U289" s="2" t="n"/>
    </row>
    <row r="290">
      <c r="A290" s="2" t="inlineStr">
        <is>
          <t>Pendiente de adjudicación</t>
        </is>
      </c>
      <c r="B290" s="3" t="n">
        <v>46300.58333333334</v>
      </c>
      <c r="C290" s="5" t="n">
        <v>160880.11</v>
      </c>
      <c r="D290" s="5" t="n">
        <v>160880.11</v>
      </c>
      <c r="E290" s="2" t="inlineStr">
        <is>
          <t>Comunitat Valenciana</t>
        </is>
      </c>
      <c r="F290" s="2" t="inlineStr">
        <is>
          <t>Valencia</t>
        </is>
      </c>
      <c r="G290" s="2" t="n"/>
      <c r="H290" s="2" t="inlineStr">
        <is>
          <t>Alcaldía del Ayuntamiento de La Font d'En Carròs</t>
        </is>
      </c>
      <c r="I290" s="2" t="inlineStr">
        <is>
          <t>Cubrición de graderío</t>
        </is>
      </c>
      <c r="J290" s="2" t="inlineStr">
        <is>
          <t>2026011</t>
        </is>
      </c>
      <c r="K290" s="2" t="inlineStr">
        <is>
          <t>Abierto simplificado</t>
        </is>
      </c>
      <c r="L290" s="6" t="n">
        <v>5</v>
      </c>
      <c r="M290" s="2" t="n"/>
      <c r="N290" s="7" t="n">
        <v>0.25</v>
      </c>
      <c r="O290" s="4" t="n"/>
      <c r="P290" s="2" t="inlineStr">
        <is>
          <t>45000000; 45223110; 45223210; 45223100; 45223000; 45223200</t>
        </is>
      </c>
      <c r="Q290" s="8" t="inlineStr">
        <is>
          <t>Ver</t>
        </is>
      </c>
      <c r="R290" s="8" t="inlineStr">
        <is>
          <t>PCAP</t>
        </is>
      </c>
      <c r="S290" s="9" t="n">
        <v>46310</v>
      </c>
      <c r="T290" s="3" t="n">
        <v>46317.5096875</v>
      </c>
      <c r="U290" s="2" t="n"/>
    </row>
    <row r="291">
      <c r="A291" s="2" t="inlineStr">
        <is>
          <t>Adjudicada</t>
        </is>
      </c>
      <c r="B291" s="3" t="n">
        <v>46101.41666666666</v>
      </c>
      <c r="C291" s="5" t="n">
        <v>704900.14</v>
      </c>
      <c r="D291" s="5" t="n">
        <v>704900.14</v>
      </c>
      <c r="E291" s="2" t="inlineStr">
        <is>
          <t>Andalucía</t>
        </is>
      </c>
      <c r="F291" s="2" t="inlineStr">
        <is>
          <t>Sevilla</t>
        </is>
      </c>
      <c r="G291" s="2" t="n"/>
      <c r="H291" s="2" t="inlineStr">
        <is>
          <t>Empresa de Transformación Agraria S.A.,S.M.E., M.P., (TRAGSA)</t>
        </is>
      </c>
      <c r="I291" s="2" t="inlineStr">
        <is>
          <t>Reparación de tubería para el proyecto de reacondicionamiento y puesta en servicio de las balsas de regulación y de las estaciones de bombeo para la modernización de la C.R. de las Marismas del Guadalquivir, TTMM Utrera y Los Palacios y Villafranca (Sevilla), obra financiada con fondos PRTR</t>
        </is>
      </c>
      <c r="J291" s="2" t="inlineStr">
        <is>
          <t>TSA0082829</t>
        </is>
      </c>
      <c r="K291" s="2" t="inlineStr">
        <is>
          <t>Abierto simplificado</t>
        </is>
      </c>
      <c r="L291" s="6" t="n">
        <v>6</v>
      </c>
      <c r="M291" s="2" t="n"/>
      <c r="N291" s="7" t="n">
        <v>0</v>
      </c>
      <c r="O291" s="4" t="n">
        <v>2</v>
      </c>
      <c r="P291" s="2" t="inlineStr">
        <is>
          <t>45240000</t>
        </is>
      </c>
      <c r="Q291" s="8" t="inlineStr">
        <is>
          <t>Ver</t>
        </is>
      </c>
      <c r="R291" s="8" t="inlineStr">
        <is>
          <t>PCAP</t>
        </is>
      </c>
      <c r="S291" s="9" t="n">
        <v>46311</v>
      </c>
      <c r="T291" s="3" t="n">
        <v>46317.50965277778</v>
      </c>
      <c r="U291" s="2" t="inlineStr">
        <is>
          <t>2026-10-23: estado EV → ADJ</t>
        </is>
      </c>
    </row>
    <row r="292">
      <c r="A292" s="2" t="inlineStr">
        <is>
          <t>Resuelta</t>
        </is>
      </c>
      <c r="B292" s="3" t="n">
        <v>46281.41666666666</v>
      </c>
      <c r="C292" s="5" t="n">
        <v>277032.03</v>
      </c>
      <c r="D292" s="5" t="n">
        <v>277032.03</v>
      </c>
      <c r="E292" s="2" t="inlineStr">
        <is>
          <t>Andalucía</t>
        </is>
      </c>
      <c r="F292" s="2" t="inlineStr">
        <is>
          <t>Málaga</t>
        </is>
      </c>
      <c r="G292" s="2" t="n"/>
      <c r="H292" s="2" t="inlineStr">
        <is>
          <t>Jefatura de Intendencia de Asuntos Económicos Sur</t>
        </is>
      </c>
      <c r="I292" s="2" t="inlineStr">
        <is>
          <t>OBRA TC 208-03/26 (INVIED 202600000222) de pintura de la fachada este del BQ. derecho y sustitución de las barandillas por acristalamiento, RMASD T.G. Castañón de Mena, Málaga</t>
        </is>
      </c>
      <c r="J292" s="2" t="inlineStr">
        <is>
          <t>2026/ETSAE0226/00005670E</t>
        </is>
      </c>
      <c r="K292" s="2" t="inlineStr">
        <is>
          <t>Abierto simplificado</t>
        </is>
      </c>
      <c r="L292" s="6" t="n">
        <v>2</v>
      </c>
      <c r="M292" s="2" t="n"/>
      <c r="N292" s="7" t="n">
        <v>0</v>
      </c>
      <c r="O292" s="4" t="n"/>
      <c r="P292" s="2" t="inlineStr">
        <is>
          <t>45216200</t>
        </is>
      </c>
      <c r="Q292" s="8" t="inlineStr">
        <is>
          <t>Ver</t>
        </is>
      </c>
      <c r="R292" s="8" t="inlineStr">
        <is>
          <t>PCAP</t>
        </is>
      </c>
      <c r="S292" s="9" t="n">
        <v>46317</v>
      </c>
      <c r="T292" s="3" t="n">
        <v>46317.50708333333</v>
      </c>
      <c r="U292" s="2" t="inlineStr">
        <is>
          <t>2026-10-23: estado ADJ → RES</t>
        </is>
      </c>
    </row>
    <row r="293">
      <c r="A293" s="2" t="inlineStr">
        <is>
          <t>En plazo</t>
        </is>
      </c>
      <c r="B293" s="3" t="n">
        <v>46343.99930555555</v>
      </c>
      <c r="C293" s="5" t="n">
        <v>108955.76</v>
      </c>
      <c r="D293" s="5" t="n">
        <v>108955.76</v>
      </c>
      <c r="E293" s="2" t="inlineStr">
        <is>
          <t>Andalucía</t>
        </is>
      </c>
      <c r="F293" s="2" t="inlineStr">
        <is>
          <t>Málaga</t>
        </is>
      </c>
      <c r="G293" s="2" t="n"/>
      <c r="H293" s="2" t="inlineStr">
        <is>
          <t>Alcaldía del Ayuntamiento de Álora</t>
        </is>
      </c>
      <c r="I293" s="2" t="inlineStr">
        <is>
          <t>Sustitución y mejora redes de abastecimiento de agua</t>
        </is>
      </c>
      <c r="J293" s="2" t="inlineStr">
        <is>
          <t>15/2026</t>
        </is>
      </c>
      <c r="K293" s="2" t="inlineStr">
        <is>
          <t>Abierto</t>
        </is>
      </c>
      <c r="L293" s="6" t="n">
        <v>4</v>
      </c>
      <c r="M293" s="2" t="n"/>
      <c r="N293" s="7" t="n">
        <v>0</v>
      </c>
      <c r="O293" s="4" t="n">
        <v>2</v>
      </c>
      <c r="P293" s="2" t="inlineStr">
        <is>
          <t>45232150</t>
        </is>
      </c>
      <c r="Q293" s="8" t="inlineStr">
        <is>
          <t>Ver</t>
        </is>
      </c>
      <c r="R293" s="8" t="inlineStr">
        <is>
          <t>PCAP</t>
        </is>
      </c>
      <c r="S293" s="9" t="n">
        <v>46318</v>
      </c>
      <c r="T293" s="3" t="n">
        <v>46317.50534722222</v>
      </c>
      <c r="U293" s="2" t="n"/>
    </row>
    <row r="294">
      <c r="A294" s="2" t="inlineStr">
        <is>
          <t>Pendiente de adjudicación</t>
        </is>
      </c>
      <c r="B294" s="3" t="n">
        <v>46308.99930555555</v>
      </c>
      <c r="C294" s="5" t="n">
        <v>341872.72</v>
      </c>
      <c r="D294" s="5" t="n">
        <v>341872.72</v>
      </c>
      <c r="E294" s="2" t="inlineStr">
        <is>
          <t>Comunitat Valenciana</t>
        </is>
      </c>
      <c r="F294" s="2" t="inlineStr">
        <is>
          <t>Alicante</t>
        </is>
      </c>
      <c r="G294" s="2" t="n"/>
      <c r="H294" s="2" t="inlineStr">
        <is>
          <t>Junta de Gobierno del Ayuntamiento de Torrevieja</t>
        </is>
      </c>
      <c r="I294" s="2" t="inlineStr">
        <is>
          <t>Obras de conexión de carriles bici en Avdas. Defina Viudes-Monje y Bielsa-La Mancha y C/ Gabriela Mistral, cofinanciado por la Unión Europea, fondo Europeo de Desarrollo Regional (FEDER) de la Comunidad Valenciana 2021-2027</t>
        </is>
      </c>
      <c r="J294" s="2" t="inlineStr">
        <is>
          <t>96347/2026</t>
        </is>
      </c>
      <c r="K294" s="2" t="inlineStr">
        <is>
          <t>Abierto simplificado</t>
        </is>
      </c>
      <c r="L294" s="6" t="n">
        <v>3</v>
      </c>
      <c r="M294" s="2" t="n"/>
      <c r="N294" s="7" t="n">
        <v>0.25</v>
      </c>
      <c r="O294" s="4" t="n"/>
      <c r="P294" s="2" t="inlineStr">
        <is>
          <t>45233162</t>
        </is>
      </c>
      <c r="Q294" s="8" t="inlineStr">
        <is>
          <t>Ver</t>
        </is>
      </c>
      <c r="R294" s="8" t="inlineStr">
        <is>
          <t>PCAP</t>
        </is>
      </c>
      <c r="S294" s="9" t="n">
        <v>46314</v>
      </c>
      <c r="T294" s="3" t="n">
        <v>46317.50244212963</v>
      </c>
      <c r="U294" s="2" t="n"/>
    </row>
    <row r="295">
      <c r="A295" s="2" t="inlineStr">
        <is>
          <t>En plazo</t>
        </is>
      </c>
      <c r="B295" s="3" t="n">
        <v>46332.99930555555</v>
      </c>
      <c r="C295" s="5" t="n">
        <v>71369.67</v>
      </c>
      <c r="D295" s="5" t="n">
        <v>71369.67</v>
      </c>
      <c r="E295" s="2" t="inlineStr">
        <is>
          <t>Andalucía</t>
        </is>
      </c>
      <c r="F295" s="2" t="inlineStr">
        <is>
          <t>Córdoba</t>
        </is>
      </c>
      <c r="G295" s="2" t="inlineStr">
        <is>
          <t>MORILES</t>
        </is>
      </c>
      <c r="H295" s="2" t="inlineStr">
        <is>
          <t>Alcaldía del Ayuntamiento de Moriles</t>
        </is>
      </c>
      <c r="I295" s="2" t="inlineStr">
        <is>
          <t>Reparaciones de filtraciones en la Casa de la Cultura.</t>
        </is>
      </c>
      <c r="J295" s="2" t="inlineStr">
        <is>
          <t>2484/2026</t>
        </is>
      </c>
      <c r="K295" s="2" t="inlineStr">
        <is>
          <t>Abierto simplificado</t>
        </is>
      </c>
      <c r="L295" s="6" t="n">
        <v>3</v>
      </c>
      <c r="M295" s="2" t="n"/>
      <c r="N295" s="7" t="n">
        <v>0</v>
      </c>
      <c r="O295" s="4" t="n"/>
      <c r="P295" s="2" t="inlineStr">
        <is>
          <t>45261900; 45261220</t>
        </is>
      </c>
      <c r="Q295" s="8" t="inlineStr">
        <is>
          <t>Ver</t>
        </is>
      </c>
      <c r="R295" s="8" t="inlineStr">
        <is>
          <t>PCAP</t>
        </is>
      </c>
      <c r="S295" s="9" t="n">
        <v>46318</v>
      </c>
      <c r="T295" s="3" t="n">
        <v>46317.50098379629</v>
      </c>
      <c r="U295" s="2" t="n"/>
    </row>
    <row r="296">
      <c r="A296" s="2" t="inlineStr">
        <is>
          <t>Resuelta</t>
        </is>
      </c>
      <c r="B296" s="3" t="n">
        <v>45922.99930555555</v>
      </c>
      <c r="C296" s="5" t="n">
        <v>7384862</v>
      </c>
      <c r="D296" s="5" t="n">
        <v>7384862</v>
      </c>
      <c r="E296" s="2" t="inlineStr">
        <is>
          <t>Comunitat Valenciana</t>
        </is>
      </c>
      <c r="F296" s="2" t="inlineStr">
        <is>
          <t>Alicante</t>
        </is>
      </c>
      <c r="G296" s="2" t="n"/>
      <c r="H296" s="2" t="inlineStr">
        <is>
          <t>Junta de Gobierno del Ayuntamiento de Torrevieja</t>
        </is>
      </c>
      <c r="I296" s="2" t="inlineStr">
        <is>
          <t>Contratación de la ejecución de obras para la Electrificación Secundaria del Recinto Portuario, mediante tramitación anticipada del gasto</t>
        </is>
      </c>
      <c r="J296" s="2" t="inlineStr">
        <is>
          <t>83338/2025</t>
        </is>
      </c>
      <c r="K296" s="2" t="inlineStr">
        <is>
          <t>Abierto</t>
        </is>
      </c>
      <c r="L296" s="6" t="n">
        <v>11</v>
      </c>
      <c r="M296" s="2" t="n"/>
      <c r="N296" s="7" t="n">
        <v>0.4</v>
      </c>
      <c r="O296" s="4" t="n"/>
      <c r="P296" s="2" t="inlineStr">
        <is>
          <t>45231400; 45231300</t>
        </is>
      </c>
      <c r="Q296" s="8" t="inlineStr">
        <is>
          <t>Ver</t>
        </is>
      </c>
      <c r="R296" s="8" t="inlineStr">
        <is>
          <t>PCAP</t>
        </is>
      </c>
      <c r="S296" s="9" t="n">
        <v>46318</v>
      </c>
      <c r="T296" s="3" t="n">
        <v>46317.49987268518</v>
      </c>
      <c r="U296" s="2" t="n"/>
    </row>
    <row r="297">
      <c r="A297" s="2" t="inlineStr">
        <is>
          <t>Pendiente de adjudicación</t>
        </is>
      </c>
      <c r="B297" s="3" t="n">
        <v>46314.99930555555</v>
      </c>
      <c r="C297" s="5" t="n">
        <v>134336.64</v>
      </c>
      <c r="D297" s="5" t="n">
        <v>134336.64</v>
      </c>
      <c r="E297" s="2" t="inlineStr">
        <is>
          <t>Comunitat Valenciana</t>
        </is>
      </c>
      <c r="F297" s="2" t="inlineStr">
        <is>
          <t>Alicante</t>
        </is>
      </c>
      <c r="G297" s="2" t="n"/>
      <c r="H297" s="2" t="inlineStr">
        <is>
          <t>Junta de Gobierno del Ayuntamiento de Elche</t>
        </is>
      </c>
      <c r="I297" s="2" t="inlineStr">
        <is>
          <t>Obras de impermeabilización de la cubierta de la piscina Esperanza Lag y la cubierta del Pabellón de La Hoya</t>
        </is>
      </c>
      <c r="J297" s="2" t="inlineStr">
        <is>
          <t>OBR/ABR_SMPL/2026000154</t>
        </is>
      </c>
      <c r="K297" s="2" t="inlineStr">
        <is>
          <t>Abierto simplificado</t>
        </is>
      </c>
      <c r="L297" s="6" t="n">
        <v>1.5</v>
      </c>
      <c r="M297" s="2" t="n"/>
      <c r="N297" s="7" t="n">
        <v>0</v>
      </c>
      <c r="O297" s="4" t="n"/>
      <c r="P297" s="2" t="inlineStr">
        <is>
          <t>45261420</t>
        </is>
      </c>
      <c r="Q297" s="8" t="inlineStr">
        <is>
          <t>Ver</t>
        </is>
      </c>
      <c r="R297" s="8" t="inlineStr">
        <is>
          <t>PCAP</t>
        </is>
      </c>
      <c r="S297" s="9" t="n">
        <v>46318</v>
      </c>
      <c r="T297" s="3" t="n">
        <v>46317.49440972223</v>
      </c>
      <c r="U297" s="2" t="n"/>
    </row>
    <row r="298">
      <c r="A298" s="2" t="inlineStr">
        <is>
          <t>Resuelta</t>
        </is>
      </c>
      <c r="B298" s="3" t="n">
        <v>46273.5</v>
      </c>
      <c r="C298" s="5" t="n">
        <v>20442.48</v>
      </c>
      <c r="D298" s="5" t="n">
        <v>20442.48</v>
      </c>
      <c r="E298" s="2" t="inlineStr">
        <is>
          <t>Comunitat Valenciana</t>
        </is>
      </c>
      <c r="F298" s="2" t="inlineStr">
        <is>
          <t>Alicante</t>
        </is>
      </c>
      <c r="G298" s="2" t="n"/>
      <c r="H298" s="2" t="inlineStr">
        <is>
          <t>Junta de Gobierno del Ayuntamiento de Alcoy</t>
        </is>
      </c>
      <c r="I298" s="2" t="inlineStr">
        <is>
          <t>Desbroce y limpieza viaria de la red municipal de carreteras Actuaciones imprescindibles para garantizar y mejorar el drenaje superficial de las carreteras municipales que se llevaran a cabo con estricta sujecion al PROYECTO PARA EL DESBROCE Y LIMPIEZA VIAL DE LA RED MUNICIPAL DE CARRETERAS 2026 redactado por el Ingeniero Civil del Departamento de Obras y Servicios del Ayuntamiento de Alcoi.</t>
        </is>
      </c>
      <c r="J298" s="2" t="inlineStr">
        <is>
          <t>C.1716</t>
        </is>
      </c>
      <c r="K298" s="2" t="inlineStr">
        <is>
          <t>Abierto simplificado</t>
        </is>
      </c>
      <c r="L298" s="6" t="n">
        <v>0.7</v>
      </c>
      <c r="M298" s="2" t="n"/>
      <c r="N298" s="7" t="n">
        <v>0</v>
      </c>
      <c r="O298" s="4" t="n"/>
      <c r="P298" s="2" t="inlineStr">
        <is>
          <t>45233141</t>
        </is>
      </c>
      <c r="Q298" s="8" t="inlineStr">
        <is>
          <t>Ver</t>
        </is>
      </c>
      <c r="R298" s="8" t="inlineStr">
        <is>
          <t>PCAP</t>
        </is>
      </c>
      <c r="S298" s="9" t="n">
        <v>46315</v>
      </c>
      <c r="T298" s="3" t="n">
        <v>46317.48836805556</v>
      </c>
      <c r="U298" s="2" t="inlineStr">
        <is>
          <t>2026-10-23: estado ADJ → RES</t>
        </is>
      </c>
    </row>
    <row r="299">
      <c r="A299" s="2" t="inlineStr">
        <is>
          <t>Pendiente de adjudicación</t>
        </is>
      </c>
      <c r="B299" s="3" t="n">
        <v>46286.99930555555</v>
      </c>
      <c r="C299" s="5" t="n">
        <v>139012.15</v>
      </c>
      <c r="D299" s="5" t="n">
        <v>139012.15</v>
      </c>
      <c r="E299" s="2" t="inlineStr">
        <is>
          <t>Comunitat Valenciana</t>
        </is>
      </c>
      <c r="F299" s="2" t="inlineStr">
        <is>
          <t>Valencia</t>
        </is>
      </c>
      <c r="G299" s="2" t="n"/>
      <c r="H299" s="2" t="inlineStr">
        <is>
          <t>Junta de Gobierno del Ayuntamiento de Sagunto</t>
        </is>
      </c>
      <c r="I299" s="2" t="inlineStr">
        <is>
          <t>Contrato de obras para la adecuación integral y creación de nuevas áreas funcionales en la Plaza Padre Jaime para la configuración de un gran parque urbano inclusivo.</t>
        </is>
      </c>
      <c r="J299" s="2" t="inlineStr">
        <is>
          <t>43/26-C</t>
        </is>
      </c>
      <c r="K299" s="2" t="inlineStr">
        <is>
          <t>Abierto</t>
        </is>
      </c>
      <c r="L299" s="6" t="n">
        <v>4</v>
      </c>
      <c r="M299" s="2" t="n"/>
      <c r="N299" s="7" t="n">
        <v>0.45</v>
      </c>
      <c r="O299" s="4" t="n"/>
      <c r="P299" s="2" t="inlineStr">
        <is>
          <t>45000000; 37535240; 45113000; 37535210; 37535250</t>
        </is>
      </c>
      <c r="Q299" s="8" t="inlineStr">
        <is>
          <t>Ver</t>
        </is>
      </c>
      <c r="R299" s="8" t="inlineStr">
        <is>
          <t>PCAP</t>
        </is>
      </c>
      <c r="S299" s="9" t="n">
        <v>46310</v>
      </c>
      <c r="T299" s="3" t="n">
        <v>46317.48396990741</v>
      </c>
      <c r="U299" s="2" t="n"/>
    </row>
    <row r="300">
      <c r="A300" s="2" t="inlineStr">
        <is>
          <t>Pendiente de adjudicación</t>
        </is>
      </c>
      <c r="B300" s="3" t="n">
        <v>46311.99930555555</v>
      </c>
      <c r="C300" s="5" t="n">
        <v>124746.89</v>
      </c>
      <c r="D300" s="5" t="n">
        <v>124746.89</v>
      </c>
      <c r="E300" s="2" t="inlineStr">
        <is>
          <t>Comunitat Valenciana</t>
        </is>
      </c>
      <c r="F300" s="2" t="inlineStr">
        <is>
          <t>Alicante</t>
        </is>
      </c>
      <c r="G300" s="2" t="inlineStr">
        <is>
          <t>Alicante</t>
        </is>
      </c>
      <c r="H300" s="2" t="inlineStr">
        <is>
          <t>Instituto Social de las Fuerzas Armadas (ISFAS)</t>
        </is>
      </c>
      <c r="I300" s="2" t="inlineStr">
        <is>
          <t>Obra de sustitución de la instalación de aire acondicionado en la planta 7ª de la Residencia de Descanso Jorge Juan de Alicante</t>
        </is>
      </c>
      <c r="J300" s="2" t="inlineStr">
        <is>
          <t>2026/IS092/00000541E</t>
        </is>
      </c>
      <c r="K300" s="2" t="inlineStr">
        <is>
          <t>Abierto simplificado</t>
        </is>
      </c>
      <c r="L300" s="6" t="n">
        <v>3</v>
      </c>
      <c r="M300" s="2" t="inlineStr">
        <is>
          <t>J2-2</t>
        </is>
      </c>
      <c r="N300" s="7" t="n">
        <v>0</v>
      </c>
      <c r="O300" s="4" t="n"/>
      <c r="P300" s="2" t="inlineStr">
        <is>
          <t>45331220</t>
        </is>
      </c>
      <c r="Q300" s="8" t="inlineStr">
        <is>
          <t>Ver</t>
        </is>
      </c>
      <c r="R300" s="8" t="inlineStr">
        <is>
          <t>PCAP</t>
        </is>
      </c>
      <c r="S300" s="9" t="n">
        <v>46318</v>
      </c>
      <c r="T300" s="3" t="n">
        <v>46317.48299768518</v>
      </c>
      <c r="U300" s="2" t="n"/>
    </row>
    <row r="301">
      <c r="A301" s="2" t="inlineStr">
        <is>
          <t>Pendiente de adjudicación</t>
        </is>
      </c>
      <c r="B301" s="3" t="n">
        <v>46279.99930555555</v>
      </c>
      <c r="C301" s="5" t="n">
        <v>410082.67</v>
      </c>
      <c r="D301" s="5" t="n">
        <v>2050413.34</v>
      </c>
      <c r="E301" s="2" t="inlineStr">
        <is>
          <t>Comunitat Valenciana</t>
        </is>
      </c>
      <c r="F301" s="2" t="inlineStr">
        <is>
          <t>Alicante</t>
        </is>
      </c>
      <c r="G301" s="2" t="n"/>
      <c r="H301" s="2" t="inlineStr">
        <is>
          <t>Presidencia de la Diputación Provincial de Alicante</t>
        </is>
      </c>
      <c r="I301" s="2" t="inlineStr">
        <is>
          <t>Obras de mejora de la señalización horizontal de la red viaria provincial. Lote 3: Mejora de la Señalización Horizontal de la red viaria provincial. Zona Sur.</t>
        </is>
      </c>
      <c r="J301" s="2" t="inlineStr">
        <is>
          <t>O6O-071/2026- L3</t>
        </is>
      </c>
      <c r="K301" s="2" t="inlineStr">
        <is>
          <t>Abierto</t>
        </is>
      </c>
      <c r="L301" s="6" t="n">
        <v>24</v>
      </c>
      <c r="M301" s="2" t="inlineStr">
        <is>
          <t>G5-2</t>
        </is>
      </c>
      <c r="N301" s="7" t="n">
        <v>0.3</v>
      </c>
      <c r="O301" s="4" t="n"/>
      <c r="P301" s="2" t="inlineStr">
        <is>
          <t>45440000</t>
        </is>
      </c>
      <c r="Q301" s="8" t="inlineStr">
        <is>
          <t>Ver</t>
        </is>
      </c>
      <c r="R301" s="8" t="inlineStr">
        <is>
          <t>PCAP</t>
        </is>
      </c>
      <c r="S301" s="9" t="n">
        <v>46318</v>
      </c>
      <c r="T301" s="3" t="n">
        <v>46317.48276620371</v>
      </c>
      <c r="U301" s="2" t="n"/>
    </row>
    <row r="302">
      <c r="A302" s="2" t="inlineStr">
        <is>
          <t>Pendiente de adjudicación</t>
        </is>
      </c>
      <c r="B302" s="3" t="n">
        <v>46300.99930555555</v>
      </c>
      <c r="C302" s="5" t="n">
        <v>156095.87</v>
      </c>
      <c r="D302" s="5" t="n">
        <v>156095.87</v>
      </c>
      <c r="E302" s="2" t="inlineStr">
        <is>
          <t>Andalucía</t>
        </is>
      </c>
      <c r="F302" s="2" t="inlineStr">
        <is>
          <t>Málaga</t>
        </is>
      </c>
      <c r="G302" s="2" t="n"/>
      <c r="H302" s="2" t="inlineStr">
        <is>
          <t>Concejalía de Hacienda del Ayuntamiento de Benalmádena</t>
        </is>
      </c>
      <c r="I302" s="2" t="inlineStr">
        <is>
          <t>Obras de sustitución de la cubierta de la Biblioteca de Arroyo de la Miel, conforme al proyecto redactado por D.LUIS GIL-DELGADO DÍEZ</t>
        </is>
      </c>
      <c r="J302" s="2" t="inlineStr">
        <is>
          <t>2026/31865W</t>
        </is>
      </c>
      <c r="K302" s="2" t="inlineStr">
        <is>
          <t>Abierto simplificado</t>
        </is>
      </c>
      <c r="L302" s="6" t="n">
        <v>4</v>
      </c>
      <c r="M302" s="2" t="n"/>
      <c r="N302" s="7" t="n">
        <v>0</v>
      </c>
      <c r="O302" s="4" t="n"/>
      <c r="P302" s="2" t="inlineStr">
        <is>
          <t>45212330; 45261000</t>
        </is>
      </c>
      <c r="Q302" s="8" t="inlineStr">
        <is>
          <t>Ver</t>
        </is>
      </c>
      <c r="R302" s="8" t="inlineStr">
        <is>
          <t>PCAP</t>
        </is>
      </c>
      <c r="S302" s="9" t="n">
        <v>46310</v>
      </c>
      <c r="T302" s="3" t="n">
        <v>46317.48175925926</v>
      </c>
      <c r="U302" s="2" t="n"/>
    </row>
    <row r="303">
      <c r="A303" s="2" t="inlineStr">
        <is>
          <t>Pendiente de adjudicación</t>
        </is>
      </c>
      <c r="B303" s="3" t="n">
        <v>46279.99930555555</v>
      </c>
      <c r="C303" s="5" t="n">
        <v>307562</v>
      </c>
      <c r="D303" s="5" t="n">
        <v>2050413.34</v>
      </c>
      <c r="E303" s="2" t="inlineStr">
        <is>
          <t>Comunitat Valenciana</t>
        </is>
      </c>
      <c r="F303" s="2" t="inlineStr">
        <is>
          <t>Alicante</t>
        </is>
      </c>
      <c r="G303" s="2" t="n"/>
      <c r="H303" s="2" t="inlineStr">
        <is>
          <t>Presidencia de la Diputación Provincial de Alicante</t>
        </is>
      </c>
      <c r="I303" s="2" t="inlineStr">
        <is>
          <t>Obras de mejora de la señalización horizontal de la red viaria provincial. Lote 2: Mejora de la Señalización Horizontal de la red viaria provincial. Zona Centro.</t>
        </is>
      </c>
      <c r="J303" s="2" t="inlineStr">
        <is>
          <t>O6O-071/2026- L2</t>
        </is>
      </c>
      <c r="K303" s="2" t="inlineStr">
        <is>
          <t>Abierto</t>
        </is>
      </c>
      <c r="L303" s="6" t="n">
        <v>24</v>
      </c>
      <c r="M303" s="2" t="inlineStr">
        <is>
          <t>G5-2</t>
        </is>
      </c>
      <c r="N303" s="7" t="n">
        <v>0.3</v>
      </c>
      <c r="O303" s="4" t="n"/>
      <c r="P303" s="2" t="inlineStr">
        <is>
          <t>45440000</t>
        </is>
      </c>
      <c r="Q303" s="8" t="inlineStr">
        <is>
          <t>Ver</t>
        </is>
      </c>
      <c r="R303" s="8" t="inlineStr">
        <is>
          <t>PCAP</t>
        </is>
      </c>
      <c r="S303" s="9" t="n">
        <v>46318</v>
      </c>
      <c r="T303" s="3" t="n">
        <v>46317.48158564815</v>
      </c>
      <c r="U303" s="2" t="n"/>
    </row>
    <row r="304">
      <c r="A304" s="2" t="inlineStr">
        <is>
          <t>Pendiente de adjudicación</t>
        </is>
      </c>
      <c r="B304" s="3" t="n">
        <v>46311.58333333334</v>
      </c>
      <c r="C304" s="5" t="n">
        <v>178801.79</v>
      </c>
      <c r="D304" s="5" t="n">
        <v>178801.79</v>
      </c>
      <c r="E304" s="2" t="inlineStr">
        <is>
          <t>Comunitat Valenciana</t>
        </is>
      </c>
      <c r="F304" s="2" t="inlineStr">
        <is>
          <t>Alicante</t>
        </is>
      </c>
      <c r="G304" s="2" t="n"/>
      <c r="H304" s="2" t="inlineStr">
        <is>
          <t>Empresa de Transformación Agraria S.A.,S.M.E., M.P., (TRAGSA)</t>
        </is>
      </c>
      <c r="I304" s="2" t="inlineStr">
        <is>
          <t>UT2 Obra de los trabajos para la reparación de hormigón, para el proyecto mejora y consolidación de la Red de Infraestructuras Hidráulicas para riego de la Vega Baja. Plan Vega Renhace Fase II (Alicante).</t>
        </is>
      </c>
      <c r="J304" s="2" t="inlineStr">
        <is>
          <t>TSA0084172</t>
        </is>
      </c>
      <c r="K304" s="2" t="inlineStr">
        <is>
          <t>Abierto simplificado</t>
        </is>
      </c>
      <c r="L304" s="6" t="n">
        <v>12</v>
      </c>
      <c r="M304" s="2" t="n"/>
      <c r="N304" s="7" t="n">
        <v>0</v>
      </c>
      <c r="O304" s="4" t="n">
        <v>2</v>
      </c>
      <c r="P304" s="2" t="inlineStr">
        <is>
          <t>45262330</t>
        </is>
      </c>
      <c r="Q304" s="8" t="inlineStr">
        <is>
          <t>Ver</t>
        </is>
      </c>
      <c r="R304" s="8" t="inlineStr">
        <is>
          <t>PCAP</t>
        </is>
      </c>
      <c r="S304" s="9" t="n">
        <v>46317</v>
      </c>
      <c r="T304" s="3" t="n">
        <v>46317.48133101852</v>
      </c>
      <c r="U304" s="2" t="n"/>
    </row>
    <row r="305">
      <c r="A305" s="2" t="inlineStr">
        <is>
          <t>Resuelta</t>
        </is>
      </c>
      <c r="B305" s="3" t="n">
        <v>46280.99930555555</v>
      </c>
      <c r="C305" s="5" t="n">
        <v>139970.06</v>
      </c>
      <c r="D305" s="5" t="n">
        <v>139970.06</v>
      </c>
      <c r="E305" s="2" t="inlineStr">
        <is>
          <t>Andalucía</t>
        </is>
      </c>
      <c r="F305" s="2" t="inlineStr">
        <is>
          <t>Huelva</t>
        </is>
      </c>
      <c r="G305" s="2" t="inlineStr">
        <is>
          <t>La Palma del Condado</t>
        </is>
      </c>
      <c r="H305" s="2" t="inlineStr">
        <is>
          <t>Alcaldía del Ayuntamiento de La Palma del Condado</t>
        </is>
      </c>
      <c r="I305" s="2" t="inlineStr">
        <is>
          <t>El objeto del contrato es la ejecución de asfaltado de las calles: C/ Poeta José M.ª Enrique Calero, C/ San Pedro, C/ Paterna, C/ Málaga, C/ Cádiz, C/ Córdoba, C/ Escacena, C/ Granada, C/ Los Pinos, C/ Leopoldo Calvo Sotelo, C/ Jazmín, C/ Nardos y C/ Camino Viejo de Sevilla de La Palma del Condado.</t>
        </is>
      </c>
      <c r="J305" s="2" t="inlineStr">
        <is>
          <t>1468/2026</t>
        </is>
      </c>
      <c r="K305" s="2" t="inlineStr">
        <is>
          <t>Abierto simplificado</t>
        </is>
      </c>
      <c r="L305" s="6" t="n">
        <v>0.5</v>
      </c>
      <c r="M305" s="2" t="n"/>
      <c r="N305" s="7" t="n">
        <v>0</v>
      </c>
      <c r="O305" s="4" t="n"/>
      <c r="P305" s="2" t="inlineStr">
        <is>
          <t>45233222</t>
        </is>
      </c>
      <c r="Q305" s="8" t="inlineStr">
        <is>
          <t>Ver</t>
        </is>
      </c>
      <c r="R305" s="8" t="inlineStr">
        <is>
          <t>PCAP</t>
        </is>
      </c>
      <c r="S305" s="9" t="n">
        <v>46310</v>
      </c>
      <c r="T305" s="3" t="n">
        <v>46317.4812962963</v>
      </c>
      <c r="U305" s="2" t="inlineStr">
        <is>
          <t>2026-10-23: estado ADJ → RES</t>
        </is>
      </c>
    </row>
    <row r="306">
      <c r="A306" s="2" t="inlineStr">
        <is>
          <t>En plazo</t>
        </is>
      </c>
      <c r="B306" s="3" t="n">
        <v>46337.99930555555</v>
      </c>
      <c r="C306" s="5" t="n">
        <v>402494.42</v>
      </c>
      <c r="D306" s="5" t="n">
        <v>402494.42</v>
      </c>
      <c r="E306" s="2" t="inlineStr">
        <is>
          <t>Comunitat Valenciana</t>
        </is>
      </c>
      <c r="F306" s="2" t="inlineStr">
        <is>
          <t>Valencia</t>
        </is>
      </c>
      <c r="G306" s="2" t="n"/>
      <c r="H306" s="2" t="inlineStr">
        <is>
          <t>Alcaldía del Ayuntamiento de Llombai</t>
        </is>
      </c>
      <c r="I306" s="2" t="inlineStr">
        <is>
          <t>Reparacion daños DANA Cami del Bornaig, Cami Alts del Romeu y Cami de Paselvir financiada al amparo de la Orden TMD/101/2025, de 31 de enero, el Ministerio de Política Territorial y Memoria Democrática</t>
        </is>
      </c>
      <c r="J306" s="2" t="inlineStr">
        <is>
          <t>1562/2026</t>
        </is>
      </c>
      <c r="K306" s="2" t="inlineStr">
        <is>
          <t>Abierto simplificado</t>
        </is>
      </c>
      <c r="L306" s="6" t="n">
        <v>3</v>
      </c>
      <c r="M306" s="2" t="n"/>
      <c r="N306" s="7" t="n">
        <v>0</v>
      </c>
      <c r="O306" s="4" t="n"/>
      <c r="P306" s="2" t="inlineStr">
        <is>
          <t>45233220; 45233223</t>
        </is>
      </c>
      <c r="Q306" s="8" t="inlineStr">
        <is>
          <t>Ver</t>
        </is>
      </c>
      <c r="R306" s="8" t="inlineStr">
        <is>
          <t>PCAP</t>
        </is>
      </c>
      <c r="S306" s="9" t="n">
        <v>46318</v>
      </c>
      <c r="T306" s="3" t="n">
        <v>46317.48043981481</v>
      </c>
      <c r="U306" s="2" t="n"/>
    </row>
    <row r="307">
      <c r="A307" s="2" t="inlineStr">
        <is>
          <t>Resuelta</t>
        </is>
      </c>
      <c r="B307" s="3" t="n">
        <v>44441.58333333334</v>
      </c>
      <c r="C307" s="5" t="n">
        <v>78512396.69</v>
      </c>
      <c r="D307" s="5" t="n">
        <v>98140495.87</v>
      </c>
      <c r="E307" s="2" t="inlineStr">
        <is>
          <t>Comunitat Valenciana</t>
        </is>
      </c>
      <c r="F307" s="2" t="n"/>
      <c r="G307" s="2" t="n"/>
      <c r="H307" s="2" t="inlineStr">
        <is>
          <t>Conselleria de Política Territorial, Obras Públicas y Movilidad</t>
        </is>
      </c>
      <c r="I307" s="2" t="inlineStr">
        <is>
          <t>Conservación, adecuación y mantenimiento de las infraestructuras de transporte de la Generalitat Valenciana en la provincia de Valencia en el periodo 2021-2025.</t>
        </is>
      </c>
      <c r="J307" s="2" t="inlineStr">
        <is>
          <t>CMAYOR/2020/03Y05/153</t>
        </is>
      </c>
      <c r="K307" s="2" t="inlineStr">
        <is>
          <t>Abierto</t>
        </is>
      </c>
      <c r="L307" s="6" t="n">
        <v>48</v>
      </c>
      <c r="M307" s="2" t="inlineStr">
        <is>
          <t>G4-4; G6-5; I1-4; G5-4</t>
        </is>
      </c>
      <c r="N307" s="7" t="n">
        <v>0.4</v>
      </c>
      <c r="O307" s="4" t="n">
        <v>3</v>
      </c>
      <c r="P307" s="2" t="inlineStr">
        <is>
          <t>45233141</t>
        </is>
      </c>
      <c r="Q307" s="8" t="inlineStr">
        <is>
          <t>Ver</t>
        </is>
      </c>
      <c r="R307" s="8" t="inlineStr">
        <is>
          <t>PCAP</t>
        </is>
      </c>
      <c r="S307" s="9" t="n">
        <v>46318</v>
      </c>
      <c r="T307" s="3" t="n">
        <v>46317.47646990741</v>
      </c>
      <c r="U307" s="2" t="n"/>
    </row>
    <row r="308">
      <c r="A308" s="2" t="inlineStr">
        <is>
          <t>Pendiente de adjudicación</t>
        </is>
      </c>
      <c r="B308" s="3" t="n">
        <v>46308.99930555555</v>
      </c>
      <c r="C308" s="5" t="n">
        <v>413223.14</v>
      </c>
      <c r="D308" s="5" t="n">
        <v>413223.14</v>
      </c>
      <c r="E308" s="2" t="inlineStr">
        <is>
          <t>Andalucía</t>
        </is>
      </c>
      <c r="F308" s="2" t="inlineStr">
        <is>
          <t>Sevilla</t>
        </is>
      </c>
      <c r="G308" s="2" t="inlineStr">
        <is>
          <t>ESTEPA</t>
        </is>
      </c>
      <c r="H308" s="2" t="inlineStr">
        <is>
          <t>Alcaldia del Ayuntamiento de Estepa</t>
        </is>
      </c>
      <c r="I308" s="2" t="inlineStr">
        <is>
          <t>Contrato mixto de obras y equipamiento para la terminación y puesta en funcionamiento (suministros y su instalación) del Hostal "Manantial de Roya", situado en Paraje Los Tajillos, a través de procedimiento abierto simplificado, tramitación ordinaria y varios criterios de adjudicación. (Actuación incluida en el Programa Más Sevilla Turístico, de la Excma. Diputación Provincial de Sevilla)</t>
        </is>
      </c>
      <c r="J308" s="2" t="inlineStr">
        <is>
          <t>1946/2026</t>
        </is>
      </c>
      <c r="K308" s="2" t="inlineStr">
        <is>
          <t>Abierto simplificado</t>
        </is>
      </c>
      <c r="L308" s="6" t="n">
        <v>7</v>
      </c>
      <c r="M308" s="2" t="n"/>
      <c r="N308" s="7" t="n">
        <v>0</v>
      </c>
      <c r="O308" s="4" t="n">
        <v>5</v>
      </c>
      <c r="P308" s="2" t="inlineStr">
        <is>
          <t>45212410; 39143100; 39291000; 39100000; 39141000; 39143200; 39143120</t>
        </is>
      </c>
      <c r="Q308" s="8" t="inlineStr">
        <is>
          <t>Ver</t>
        </is>
      </c>
      <c r="R308" s="8" t="inlineStr">
        <is>
          <t>PCAP</t>
        </is>
      </c>
      <c r="S308" s="9" t="n">
        <v>46318</v>
      </c>
      <c r="T308" s="3" t="n">
        <v>46317.47526620371</v>
      </c>
      <c r="U308" s="2" t="n"/>
    </row>
    <row r="309">
      <c r="A309" s="2" t="inlineStr">
        <is>
          <t>Resuelta</t>
        </is>
      </c>
      <c r="B309" s="3" t="n">
        <v>46300.79166666666</v>
      </c>
      <c r="C309" s="5" t="n">
        <v>98391.53</v>
      </c>
      <c r="D309" s="5" t="n">
        <v>98391.53</v>
      </c>
      <c r="E309" s="2" t="inlineStr">
        <is>
          <t>Andalucía</t>
        </is>
      </c>
      <c r="F309" s="2" t="inlineStr">
        <is>
          <t>Granada</t>
        </is>
      </c>
      <c r="G309" s="2" t="inlineStr">
        <is>
          <t>Zafarraya</t>
        </is>
      </c>
      <c r="H309" s="2" t="inlineStr">
        <is>
          <t>Alcaldia del Ayuntamiento de Zafarraya</t>
        </is>
      </c>
      <c r="I309" s="2" t="inlineStr">
        <is>
          <t>Obras de hormigonado y acondicionamiento de dos tramos del camino de Las Parideras de Zafarraya.</t>
        </is>
      </c>
      <c r="J309" s="2" t="inlineStr">
        <is>
          <t>1504/2026</t>
        </is>
      </c>
      <c r="K309" s="2" t="inlineStr">
        <is>
          <t>Abierto</t>
        </is>
      </c>
      <c r="L309" s="6" t="n">
        <v>4</v>
      </c>
      <c r="M309" s="2" t="n"/>
      <c r="N309" s="7" t="n">
        <v>0</v>
      </c>
      <c r="O309" s="4" t="n"/>
      <c r="P309" s="2" t="inlineStr">
        <is>
          <t>45231600; 45262300</t>
        </is>
      </c>
      <c r="Q309" s="8" t="inlineStr">
        <is>
          <t>Ver</t>
        </is>
      </c>
      <c r="R309" s="8" t="inlineStr">
        <is>
          <t>PCAP</t>
        </is>
      </c>
      <c r="S309" s="9" t="n">
        <v>46310</v>
      </c>
      <c r="T309" s="3" t="n">
        <v>46317.47401620371</v>
      </c>
      <c r="U309" s="2" t="inlineStr">
        <is>
          <t>2026-10-19: estado EV → ADJ | 2026-10-23: estado ADJ → RES</t>
        </is>
      </c>
    </row>
    <row r="310">
      <c r="A310" s="2" t="inlineStr">
        <is>
          <t>Pendiente de adjudicación</t>
        </is>
      </c>
      <c r="B310" s="3" t="n">
        <v>46311.41666666666</v>
      </c>
      <c r="C310" s="5" t="n">
        <v>151226.26</v>
      </c>
      <c r="D310" s="5" t="n">
        <v>151226.26</v>
      </c>
      <c r="E310" s="2" t="inlineStr">
        <is>
          <t>Andalucía</t>
        </is>
      </c>
      <c r="F310" s="2" t="inlineStr">
        <is>
          <t>Huelva</t>
        </is>
      </c>
      <c r="G310" s="2" t="n"/>
      <c r="H310" s="2" t="inlineStr">
        <is>
          <t>Empresa de Transformación Agraria S.A.,S.M.E., M.P., (TRAGSA)</t>
        </is>
      </c>
      <c r="I310" s="2" t="inlineStr">
        <is>
          <t>Ejecución de triple tratamiento superficial para la obra: Proyecto de Mejora de los caminos de acceso a la Presa del Andévalo, en los T.M. de El Almendro, El Granado y Puebla de Guzmán (Huelva).</t>
        </is>
      </c>
      <c r="J310" s="2" t="inlineStr">
        <is>
          <t>TSA0084181</t>
        </is>
      </c>
      <c r="K310" s="2" t="inlineStr">
        <is>
          <t>Abierto simplificado</t>
        </is>
      </c>
      <c r="L310" s="6" t="n">
        <v>4</v>
      </c>
      <c r="M310" s="2" t="inlineStr">
        <is>
          <t>G4-2</t>
        </is>
      </c>
      <c r="N310" s="7" t="n">
        <v>0</v>
      </c>
      <c r="O310" s="4" t="n"/>
      <c r="P310" s="2" t="inlineStr">
        <is>
          <t>45233222</t>
        </is>
      </c>
      <c r="Q310" s="8" t="inlineStr">
        <is>
          <t>Ver</t>
        </is>
      </c>
      <c r="R310" s="8" t="inlineStr">
        <is>
          <t>PCAP</t>
        </is>
      </c>
      <c r="S310" s="9" t="n">
        <v>46318</v>
      </c>
      <c r="T310" s="3" t="n">
        <v>46317.47251157407</v>
      </c>
      <c r="U310" s="2" t="n"/>
    </row>
    <row r="311">
      <c r="A311" s="2" t="inlineStr">
        <is>
          <t>En plazo</t>
        </is>
      </c>
      <c r="B311" s="3" t="n">
        <v>46328.33333333334</v>
      </c>
      <c r="C311" s="5" t="n">
        <v>1189873.92</v>
      </c>
      <c r="D311" s="5" t="n">
        <v>1189873.92</v>
      </c>
      <c r="E311" s="2" t="inlineStr">
        <is>
          <t>Comunitat Valenciana</t>
        </is>
      </c>
      <c r="F311" s="2" t="inlineStr">
        <is>
          <t>Alicante</t>
        </is>
      </c>
      <c r="G311" s="2" t="inlineStr">
        <is>
          <t>ORIHUELA</t>
        </is>
      </c>
      <c r="H311" s="2" t="inlineStr">
        <is>
          <t>Junta de Gobierno del Ayuntamiento de Orihuela</t>
        </is>
      </c>
      <c r="I311" s="2" t="inlineStr">
        <is>
          <t>Rehabilitación de Paramentos y Acondicionamiento de Sala de hombres en el Museo Arqueológico Comarcal de Orihuela</t>
        </is>
      </c>
      <c r="J311" s="2" t="inlineStr">
        <is>
          <t>4727/2026 BIS</t>
        </is>
      </c>
      <c r="K311" s="2" t="inlineStr">
        <is>
          <t>Abierto simplificado</t>
        </is>
      </c>
      <c r="L311" s="6" t="n">
        <v>12</v>
      </c>
      <c r="M311" s="2" t="inlineStr">
        <is>
          <t>C*-3; K7-3</t>
        </is>
      </c>
      <c r="N311" s="7" t="n">
        <v>0.25</v>
      </c>
      <c r="O311" s="4" t="n"/>
      <c r="P311" s="2" t="inlineStr">
        <is>
          <t>45000000; 45454100; 45453000</t>
        </is>
      </c>
      <c r="Q311" s="8" t="inlineStr">
        <is>
          <t>Ver</t>
        </is>
      </c>
      <c r="R311" s="8" t="inlineStr">
        <is>
          <t>PCAP</t>
        </is>
      </c>
      <c r="S311" s="9" t="n">
        <v>46310</v>
      </c>
      <c r="T311" s="3" t="n">
        <v>46317.47135416666</v>
      </c>
      <c r="U311" s="2" t="n"/>
    </row>
    <row r="312">
      <c r="A312" s="2" t="inlineStr">
        <is>
          <t>Pendiente de adjudicación</t>
        </is>
      </c>
      <c r="B312" s="3" t="n">
        <v>46314.99930555555</v>
      </c>
      <c r="C312" s="5" t="n">
        <v>13756016.2</v>
      </c>
      <c r="D312" s="5" t="n">
        <v>15131617.82</v>
      </c>
      <c r="E312" s="2" t="inlineStr">
        <is>
          <t>Comunitat Valenciana</t>
        </is>
      </c>
      <c r="F312" s="2" t="inlineStr">
        <is>
          <t>Valencia</t>
        </is>
      </c>
      <c r="G312" s="2" t="n"/>
      <c r="H312" s="2" t="inlineStr">
        <is>
          <t>Junta de Gobierno del Ajuntament de València</t>
        </is>
      </c>
      <c r="I312" s="2" t="inlineStr">
        <is>
          <t>Ejecución del proyecto de obras de Rehabilitación de los tramos X y XI del Jardín del Turia.-</t>
        </is>
      </c>
      <c r="J312" s="2" t="inlineStr">
        <is>
          <t>04101/2026/194-O</t>
        </is>
      </c>
      <c r="K312" s="2" t="inlineStr">
        <is>
          <t>Abierto</t>
        </is>
      </c>
      <c r="L312" s="6" t="n">
        <v>20</v>
      </c>
      <c r="M312" s="2" t="inlineStr">
        <is>
          <t>K6-3; J4-4; G6-5</t>
        </is>
      </c>
      <c r="N312" s="7" t="n">
        <v>0.25</v>
      </c>
      <c r="O312" s="4" t="n"/>
      <c r="P312" s="2" t="inlineStr">
        <is>
          <t>45112712; 45316100; 45211360; 45233161</t>
        </is>
      </c>
      <c r="Q312" s="8" t="inlineStr">
        <is>
          <t>Ver</t>
        </is>
      </c>
      <c r="R312" s="8" t="inlineStr">
        <is>
          <t>PCAP</t>
        </is>
      </c>
      <c r="S312" s="9" t="n">
        <v>46318</v>
      </c>
      <c r="T312" s="3" t="n">
        <v>46317.46979166667</v>
      </c>
      <c r="U312" s="2" t="n"/>
    </row>
    <row r="313">
      <c r="A313" s="2" t="inlineStr">
        <is>
          <t>Pendiente de adjudicación</t>
        </is>
      </c>
      <c r="B313" s="3" t="n">
        <v>46279.99930555555</v>
      </c>
      <c r="C313" s="5" t="n">
        <v>307562</v>
      </c>
      <c r="D313" s="5" t="n">
        <v>2050413.34</v>
      </c>
      <c r="E313" s="2" t="inlineStr">
        <is>
          <t>Comunitat Valenciana</t>
        </is>
      </c>
      <c r="F313" s="2" t="inlineStr">
        <is>
          <t>Alicante</t>
        </is>
      </c>
      <c r="G313" s="2" t="n"/>
      <c r="H313" s="2" t="inlineStr">
        <is>
          <t>Presidencia de la Diputación Provincial de Alicante</t>
        </is>
      </c>
      <c r="I313" s="2" t="inlineStr">
        <is>
          <t>Obras de mejora de la señalización horizontal de la red viaria provincial. Lote 1: Mejora de la señalización horizontal de la red viaria provincial. Zona Norte.</t>
        </is>
      </c>
      <c r="J313" s="2" t="inlineStr">
        <is>
          <t>O6O-071/2026- L1</t>
        </is>
      </c>
      <c r="K313" s="2" t="inlineStr">
        <is>
          <t>Abierto</t>
        </is>
      </c>
      <c r="L313" s="6" t="n">
        <v>24</v>
      </c>
      <c r="M313" s="2" t="inlineStr">
        <is>
          <t>G5-2</t>
        </is>
      </c>
      <c r="N313" s="7" t="n">
        <v>0.3</v>
      </c>
      <c r="O313" s="4" t="n"/>
      <c r="P313" s="2" t="inlineStr">
        <is>
          <t>45440000</t>
        </is>
      </c>
      <c r="Q313" s="8" t="inlineStr">
        <is>
          <t>Ver</t>
        </is>
      </c>
      <c r="R313" s="8" t="inlineStr">
        <is>
          <t>PCAP</t>
        </is>
      </c>
      <c r="S313" s="9" t="n">
        <v>46318</v>
      </c>
      <c r="T313" s="3" t="n">
        <v>46317.46967592592</v>
      </c>
      <c r="U313" s="2" t="n"/>
    </row>
    <row r="314">
      <c r="A314" s="2" t="inlineStr">
        <is>
          <t>Pendiente de adjudicación</t>
        </is>
      </c>
      <c r="B314" s="3" t="n">
        <v>46301.99930555555</v>
      </c>
      <c r="C314" s="5" t="n">
        <v>82900</v>
      </c>
      <c r="D314" s="5" t="n">
        <v>82900</v>
      </c>
      <c r="E314" s="2" t="inlineStr">
        <is>
          <t>Andalucía</t>
        </is>
      </c>
      <c r="F314" s="2" t="inlineStr">
        <is>
          <t>Córdoba</t>
        </is>
      </c>
      <c r="G314" s="2" t="n"/>
      <c r="H314" s="2" t="inlineStr">
        <is>
          <t>Diputado delegado de Infraestructuras, Sostenibilidad y Agricultura</t>
        </is>
      </c>
      <c r="I314" s="2" t="inlineStr">
        <is>
          <t>Contratación de las obras de Arreglo del camino del río de Encinarejo mediante pavimentación, en Encinarejo (Córdoba). Obra incluida en el Plan de Humanización de Entornos Urbanos y Agenda Rural 2024-2027 (Programa de Agenda Rural 24-27, bienio 26-27).</t>
        </is>
      </c>
      <c r="J314" s="2" t="inlineStr">
        <is>
          <t>721/26</t>
        </is>
      </c>
      <c r="K314" s="2" t="inlineStr">
        <is>
          <t>Abierto</t>
        </is>
      </c>
      <c r="L314" s="6" t="n">
        <v>3</v>
      </c>
      <c r="M314" s="2" t="n"/>
      <c r="N314" s="7" t="n">
        <v>0.4</v>
      </c>
      <c r="O314" s="4" t="n"/>
      <c r="P314" s="2" t="inlineStr">
        <is>
          <t>45233160</t>
        </is>
      </c>
      <c r="Q314" s="8" t="inlineStr">
        <is>
          <t>Ver</t>
        </is>
      </c>
      <c r="R314" s="8" t="inlineStr">
        <is>
          <t>PCAP</t>
        </is>
      </c>
      <c r="S314" s="9" t="n">
        <v>46310</v>
      </c>
      <c r="T314" s="3" t="n">
        <v>46317.46895833333</v>
      </c>
      <c r="U314" s="2" t="n"/>
    </row>
    <row r="315">
      <c r="A315" s="2" t="inlineStr">
        <is>
          <t>En plazo</t>
        </is>
      </c>
      <c r="B315" s="3" t="n">
        <v>46329.99930555555</v>
      </c>
      <c r="C315" s="5" t="n">
        <v>1106611.57</v>
      </c>
      <c r="D315" s="5" t="n">
        <v>1106611.57</v>
      </c>
      <c r="E315" s="2" t="inlineStr">
        <is>
          <t>Andalucía</t>
        </is>
      </c>
      <c r="F315" s="2" t="inlineStr">
        <is>
          <t>Sevilla</t>
        </is>
      </c>
      <c r="G315" s="2" t="n"/>
      <c r="H315" s="2" t="inlineStr">
        <is>
          <t>Alcaldía del Ayuntamiento de Alcalá del Río</t>
        </is>
      </c>
      <c r="I315" s="2" t="inlineStr">
        <is>
          <t>Contrato de obras relativo al Proyecto básico y de ejecución de Reforma y Acondicionamiento de la Piscina Municipal y el entorno periférico</t>
        </is>
      </c>
      <c r="J315" s="2" t="inlineStr">
        <is>
          <t>P4100500J-2026/000021-PAAS</t>
        </is>
      </c>
      <c r="K315" s="2" t="inlineStr">
        <is>
          <t>Abierto simplificado</t>
        </is>
      </c>
      <c r="L315" s="6" t="n">
        <v>16</v>
      </c>
      <c r="M315" s="2" t="inlineStr">
        <is>
          <t>J2-2; C3-2; C*-2; J*-2</t>
        </is>
      </c>
      <c r="N315" s="7" t="n">
        <v>0</v>
      </c>
      <c r="O315" s="4" t="n"/>
      <c r="P315" s="2" t="inlineStr">
        <is>
          <t>45212220</t>
        </is>
      </c>
      <c r="Q315" s="8" t="inlineStr">
        <is>
          <t>Ver</t>
        </is>
      </c>
      <c r="R315" s="8" t="inlineStr">
        <is>
          <t>PCAP</t>
        </is>
      </c>
      <c r="S315" s="9" t="n">
        <v>46310</v>
      </c>
      <c r="T315" s="3" t="n">
        <v>46317.46578703704</v>
      </c>
      <c r="U315" s="2" t="n"/>
    </row>
    <row r="316">
      <c r="A316" s="2" t="inlineStr">
        <is>
          <t>Adjudicada</t>
        </is>
      </c>
      <c r="B316" s="3" t="n"/>
      <c r="C316" s="5" t="n">
        <v>39600</v>
      </c>
      <c r="D316" s="5" t="n">
        <v>39600</v>
      </c>
      <c r="E316" s="2" t="inlineStr">
        <is>
          <t>Andalucía</t>
        </is>
      </c>
      <c r="F316" s="2" t="inlineStr">
        <is>
          <t>Málaga</t>
        </is>
      </c>
      <c r="G316" s="2" t="inlineStr">
        <is>
          <t>Málaga</t>
        </is>
      </c>
      <c r="H316" s="2" t="inlineStr">
        <is>
          <t>Aena. Dirección del Aeropuerto de Málaga-Costa del Sol</t>
        </is>
      </c>
      <c r="I316" s="2" t="inlineStr">
        <is>
          <t>Suministro E Instalación De Sistema De Enclavamiento Mecánico Entre Cabinas De Acoplamiento De Mt En El Aeropuerto De Málaga - Costa Del Sol</t>
        </is>
      </c>
      <c r="J316" s="2" t="inlineStr">
        <is>
          <t>AGP-137/2026</t>
        </is>
      </c>
      <c r="K316" s="2" t="inlineStr">
        <is>
          <t>Normas internas</t>
        </is>
      </c>
      <c r="L316" s="6" t="n">
        <v>6</v>
      </c>
      <c r="M316" s="2" t="n"/>
      <c r="N316" s="7" t="n"/>
      <c r="O316" s="4" t="n"/>
      <c r="P316" s="2" t="inlineStr">
        <is>
          <t>45317300</t>
        </is>
      </c>
      <c r="Q316" s="8" t="inlineStr">
        <is>
          <t>Ver</t>
        </is>
      </c>
      <c r="R316" s="2" t="n"/>
      <c r="S316" s="9" t="n">
        <v>46318</v>
      </c>
      <c r="T316" s="3" t="n">
        <v>46317.4655787037</v>
      </c>
      <c r="U316" s="2" t="n"/>
    </row>
    <row r="317">
      <c r="A317" s="2" t="inlineStr">
        <is>
          <t>Pendiente de adjudicación</t>
        </is>
      </c>
      <c r="B317" s="3" t="n">
        <v>46315.99930555555</v>
      </c>
      <c r="C317" s="5" t="n">
        <v>41380.57</v>
      </c>
      <c r="D317" s="5" t="n">
        <v>41380.57</v>
      </c>
      <c r="E317" s="2" t="inlineStr">
        <is>
          <t>Andalucía</t>
        </is>
      </c>
      <c r="F317" s="2" t="inlineStr">
        <is>
          <t>Sevilla</t>
        </is>
      </c>
      <c r="G317" s="2" t="inlineStr">
        <is>
          <t>GELVES</t>
        </is>
      </c>
      <c r="H317" s="2" t="inlineStr">
        <is>
          <t>Alcaldía del Ayuntamiento de Gelves</t>
        </is>
      </c>
      <c r="I317" s="2" t="inlineStr">
        <is>
          <t>Ejecución del Proyecto Básico y de Ejecución de Reformas para la Adecuación de la Accesibilidad Exterior de la Casa de la Cultura, sita en calle Párroco Juan de Dios Corrales n.º 3, Gelves (Sevilla), incluido en el Plan Provincial MÁS SEVILLA, subvencionado por la Excma. Diputación Provincial de Sevilla.</t>
        </is>
      </c>
      <c r="J317" s="2" t="inlineStr">
        <is>
          <t>LIC 42/2026 OBRAS CASA CULTURA</t>
        </is>
      </c>
      <c r="K317" s="2" t="inlineStr">
        <is>
          <t>Abierto simplificado</t>
        </is>
      </c>
      <c r="L317" s="6" t="n">
        <v>3.5</v>
      </c>
      <c r="M317" s="2" t="n"/>
      <c r="N317" s="7" t="n">
        <v>0</v>
      </c>
      <c r="O317" s="4" t="n"/>
      <c r="P317" s="2" t="inlineStr">
        <is>
          <t>45200000</t>
        </is>
      </c>
      <c r="Q317" s="8" t="inlineStr">
        <is>
          <t>Ver</t>
        </is>
      </c>
      <c r="R317" s="8" t="inlineStr">
        <is>
          <t>PCAP</t>
        </is>
      </c>
      <c r="S317" s="9" t="n">
        <v>46318</v>
      </c>
      <c r="T317" s="3" t="n">
        <v>46317.46540509259</v>
      </c>
      <c r="U317" s="2" t="n"/>
    </row>
    <row r="318">
      <c r="A318" s="2" t="inlineStr">
        <is>
          <t>Pendiente de adjudicación</t>
        </is>
      </c>
      <c r="B318" s="3" t="n">
        <v>46304.99930555555</v>
      </c>
      <c r="C318" s="5" t="n">
        <v>449000</v>
      </c>
      <c r="D318" s="5" t="n">
        <v>449000</v>
      </c>
      <c r="E318" s="2" t="inlineStr">
        <is>
          <t>Andalucía</t>
        </is>
      </c>
      <c r="F318" s="2" t="inlineStr">
        <is>
          <t>Málaga</t>
        </is>
      </c>
      <c r="G318" s="2" t="inlineStr">
        <is>
          <t>Marbella (Málaga).</t>
        </is>
      </c>
      <c r="H318" s="2" t="inlineStr">
        <is>
          <t>Consejería delegada de ACOSOL, S.A.U.</t>
        </is>
      </c>
      <c r="I318" s="2" t="inlineStr">
        <is>
          <t>Contratación de la Obra de adecuación, renovación y puesta en servicio de instalaciones eléctricas de media y baja tensión en instalaciones gestionadas por ACOSOL, S.A.- ACTUACIÓN PARA LA ADECUACIÓN ELÉCTRICA EBAR LA VÍBORA.</t>
        </is>
      </c>
      <c r="J318" s="2" t="inlineStr">
        <is>
          <t>70-26 (5308)</t>
        </is>
      </c>
      <c r="K318" s="2" t="inlineStr">
        <is>
          <t>Abierto</t>
        </is>
      </c>
      <c r="L318" s="6" t="n">
        <v>9</v>
      </c>
      <c r="M318" s="2" t="n"/>
      <c r="N318" s="7" t="n">
        <v>0.49</v>
      </c>
      <c r="O318" s="4" t="n"/>
      <c r="P318" s="2" t="inlineStr">
        <is>
          <t>45310000; 71310000; 45317000; 45252100; 71320000</t>
        </is>
      </c>
      <c r="Q318" s="8" t="inlineStr">
        <is>
          <t>Ver</t>
        </is>
      </c>
      <c r="R318" s="8" t="inlineStr">
        <is>
          <t>PCAP</t>
        </is>
      </c>
      <c r="S318" s="9" t="n">
        <v>46310</v>
      </c>
      <c r="T318" s="3" t="n">
        <v>46317.4650925926</v>
      </c>
      <c r="U318" s="2" t="n"/>
    </row>
    <row r="319">
      <c r="A319" s="2" t="inlineStr">
        <is>
          <t>En plazo</t>
        </is>
      </c>
      <c r="B319" s="3" t="n">
        <v>46335.99930555555</v>
      </c>
      <c r="C319" s="5" t="n">
        <v>188374.43</v>
      </c>
      <c r="D319" s="5" t="n">
        <v>188374.43</v>
      </c>
      <c r="E319" s="2" t="inlineStr">
        <is>
          <t>Andalucía</t>
        </is>
      </c>
      <c r="F319" s="2" t="inlineStr">
        <is>
          <t>Sevilla</t>
        </is>
      </c>
      <c r="G319" s="2" t="n"/>
      <c r="H319" s="2" t="inlineStr">
        <is>
          <t>Alcaldia del Ayuntamiento de Paradas</t>
        </is>
      </c>
      <c r="I319" s="2" t="inlineStr">
        <is>
          <t>Renovación instalaciones de alumbrado público</t>
        </is>
      </c>
      <c r="J319" s="2" t="inlineStr">
        <is>
          <t>P4107100B-2026/001584-PAA</t>
        </is>
      </c>
      <c r="K319" s="2" t="inlineStr">
        <is>
          <t>Abierto</t>
        </is>
      </c>
      <c r="L319" s="6" t="n">
        <v>2</v>
      </c>
      <c r="M319" s="2" t="n"/>
      <c r="N319" s="7" t="n">
        <v>0</v>
      </c>
      <c r="O319" s="4" t="n"/>
      <c r="P319" s="2" t="inlineStr">
        <is>
          <t>45316100; 45315600</t>
        </is>
      </c>
      <c r="Q319" s="8" t="inlineStr">
        <is>
          <t>Ver</t>
        </is>
      </c>
      <c r="R319" s="8" t="inlineStr">
        <is>
          <t>PCAP</t>
        </is>
      </c>
      <c r="S319" s="9" t="n">
        <v>46310</v>
      </c>
      <c r="T319" s="3" t="n">
        <v>46317.46150462963</v>
      </c>
      <c r="U319" s="2" t="n"/>
    </row>
    <row r="320">
      <c r="A320" s="2" t="inlineStr">
        <is>
          <t>Pendiente de adjudicación</t>
        </is>
      </c>
      <c r="B320" s="3" t="n">
        <v>46286.99930555555</v>
      </c>
      <c r="C320" s="5" t="n">
        <v>85123.78999999999</v>
      </c>
      <c r="D320" s="5" t="n">
        <v>85123.78999999999</v>
      </c>
      <c r="E320" s="2" t="inlineStr">
        <is>
          <t>Andalucía</t>
        </is>
      </c>
      <c r="F320" s="2" t="inlineStr">
        <is>
          <t>Málaga</t>
        </is>
      </c>
      <c r="G320" s="2" t="n"/>
      <c r="H320" s="2" t="inlineStr">
        <is>
          <t>Junta de Gobierno del Ayuntamiento de Marbella</t>
        </is>
      </c>
      <c r="I320" s="2" t="inlineStr">
        <is>
          <t>Contratación de la Obra denominada: Adecuación de Acerado Calle María Zambrano tramo desde Centro Comercial Forum hasta la Residencia Orpea. T.M. Marbella (Málaga)</t>
        </is>
      </c>
      <c r="J320" s="2" t="inlineStr">
        <is>
          <t>OB 318/26</t>
        </is>
      </c>
      <c r="K320" s="2" t="inlineStr">
        <is>
          <t>Abierto</t>
        </is>
      </c>
      <c r="L320" s="6" t="n">
        <v>3</v>
      </c>
      <c r="M320" s="2" t="n"/>
      <c r="N320" s="7" t="n">
        <v>0</v>
      </c>
      <c r="O320" s="4" t="n"/>
      <c r="P320" s="2" t="inlineStr">
        <is>
          <t>45233252</t>
        </is>
      </c>
      <c r="Q320" s="8" t="inlineStr">
        <is>
          <t>Ver</t>
        </is>
      </c>
      <c r="R320" s="8" t="inlineStr">
        <is>
          <t>PCAP</t>
        </is>
      </c>
      <c r="S320" s="9" t="n">
        <v>46318</v>
      </c>
      <c r="T320" s="3" t="n">
        <v>46317.46056712963</v>
      </c>
      <c r="U320" s="2" t="n"/>
    </row>
    <row r="321">
      <c r="A321" s="2" t="inlineStr">
        <is>
          <t>Pendiente de adjudicación</t>
        </is>
      </c>
      <c r="B321" s="3" t="n">
        <v>46280.99930555555</v>
      </c>
      <c r="C321" s="5" t="n">
        <v>746709.64</v>
      </c>
      <c r="D321" s="5" t="n">
        <v>746709.64</v>
      </c>
      <c r="E321" s="2" t="inlineStr">
        <is>
          <t>Comunitat Valenciana</t>
        </is>
      </c>
      <c r="F321" s="2" t="inlineStr">
        <is>
          <t>Alicante</t>
        </is>
      </c>
      <c r="G321" s="2" t="n"/>
      <c r="H321" s="2" t="inlineStr">
        <is>
          <t>Junta de Gobierno del Ayuntamiento de Aspe</t>
        </is>
      </c>
      <c r="I321" s="2" t="inlineStr">
        <is>
          <t>Contrato Administrativo de Obras rehabilitación de edificio de viviendas de profesores sito en c/Santander, 2 con destino a alquiler con fines sociales, según proyecto redactado por Xuquer Arqing.</t>
        </is>
      </c>
      <c r="J321" s="2" t="inlineStr">
        <is>
          <t>2026/45-GUACON</t>
        </is>
      </c>
      <c r="K321" s="2" t="inlineStr">
        <is>
          <t>Abierto simplificado</t>
        </is>
      </c>
      <c r="L321" s="6" t="n">
        <v>10</v>
      </c>
      <c r="M321" s="2" t="n"/>
      <c r="N321" s="7" t="n">
        <v>0</v>
      </c>
      <c r="O321" s="4" t="n"/>
      <c r="P321" s="2" t="inlineStr">
        <is>
          <t>45000000</t>
        </is>
      </c>
      <c r="Q321" s="8" t="inlineStr">
        <is>
          <t>Ver</t>
        </is>
      </c>
      <c r="R321" s="8" t="inlineStr">
        <is>
          <t>PCAP</t>
        </is>
      </c>
      <c r="S321" s="9" t="n">
        <v>46317</v>
      </c>
      <c r="T321" s="3" t="n">
        <v>46317.456875</v>
      </c>
      <c r="U321" s="2" t="n"/>
    </row>
    <row r="322">
      <c r="A322" s="2" t="inlineStr">
        <is>
          <t>Adjudicada</t>
        </is>
      </c>
      <c r="B322" s="3" t="n">
        <v>46275.41666666666</v>
      </c>
      <c r="C322" s="5" t="n">
        <v>280721.67</v>
      </c>
      <c r="D322" s="5" t="n">
        <v>280721.67</v>
      </c>
      <c r="E322" s="2" t="inlineStr">
        <is>
          <t>Andalucía</t>
        </is>
      </c>
      <c r="F322" s="2" t="inlineStr">
        <is>
          <t>Sevilla</t>
        </is>
      </c>
      <c r="G322" s="2" t="n"/>
      <c r="H322" s="2" t="inlineStr">
        <is>
          <t>Jefatura de la Sección Económico Administrativa 24 de la Base Aérea de Morón</t>
        </is>
      </c>
      <c r="I322" s="2" t="inlineStr">
        <is>
          <t>Sevilla/Morón de la Frontera/ Base Aérea de Morón/ Adecuación instalación eléctrica hangares modulares (2623EHM)</t>
        </is>
      </c>
      <c r="J322" s="2" t="inlineStr">
        <is>
          <t>2026/EA24/00001874E</t>
        </is>
      </c>
      <c r="K322" s="2" t="inlineStr">
        <is>
          <t>Abierto simplificado</t>
        </is>
      </c>
      <c r="L322" s="6" t="n">
        <v>3</v>
      </c>
      <c r="M322" s="2" t="n"/>
      <c r="N322" s="7" t="n">
        <v>0</v>
      </c>
      <c r="O322" s="4" t="n"/>
      <c r="P322" s="2" t="inlineStr">
        <is>
          <t>45310000; 45000000; 45311000</t>
        </is>
      </c>
      <c r="Q322" s="8" t="inlineStr">
        <is>
          <t>Ver</t>
        </is>
      </c>
      <c r="R322" s="8" t="inlineStr">
        <is>
          <t>PCAP</t>
        </is>
      </c>
      <c r="S322" s="9" t="n">
        <v>46318</v>
      </c>
      <c r="T322" s="3" t="n">
        <v>46317.45394675926</v>
      </c>
      <c r="U322" s="2" t="n"/>
    </row>
    <row r="323">
      <c r="A323" s="2" t="inlineStr">
        <is>
          <t>Pendiente de adjudicación</t>
        </is>
      </c>
      <c r="B323" s="3" t="n">
        <v>46260.75</v>
      </c>
      <c r="C323" s="5" t="n">
        <v>937784.38</v>
      </c>
      <c r="D323" s="5" t="n">
        <v>937784.38</v>
      </c>
      <c r="E323" s="2" t="inlineStr">
        <is>
          <t>Andalucía</t>
        </is>
      </c>
      <c r="F323" s="2" t="inlineStr">
        <is>
          <t>Córdoba</t>
        </is>
      </c>
      <c r="G323" s="2" t="inlineStr">
        <is>
          <t>Córdoba</t>
        </is>
      </c>
      <c r="H323" s="2" t="inlineStr">
        <is>
          <t>Presidencia del Consejo de Administración de la Empresa Provincial de Aguas de Córdoba S.A.</t>
        </is>
      </c>
      <c r="I323" s="2" t="inlineStr">
        <is>
          <t>Obra para la Reparación y Adecuación de Depósitos de Abastecimiento de Agua en Zona Norte</t>
        </is>
      </c>
      <c r="J323" s="2" t="inlineStr">
        <is>
          <t>CC 47/2026</t>
        </is>
      </c>
      <c r="K323" s="2" t="inlineStr">
        <is>
          <t>Abierto</t>
        </is>
      </c>
      <c r="L323" s="6" t="n">
        <v>12</v>
      </c>
      <c r="M323" s="2" t="inlineStr">
        <is>
          <t>E1-4</t>
        </is>
      </c>
      <c r="N323" s="7" t="n">
        <v>0.5</v>
      </c>
      <c r="O323" s="4" t="n"/>
      <c r="P323" s="2" t="inlineStr">
        <is>
          <t>45240000</t>
        </is>
      </c>
      <c r="Q323" s="8" t="inlineStr">
        <is>
          <t>Ver</t>
        </is>
      </c>
      <c r="R323" s="8" t="inlineStr">
        <is>
          <t>PCAP</t>
        </is>
      </c>
      <c r="S323" s="9" t="n">
        <v>46318</v>
      </c>
      <c r="T323" s="3" t="n">
        <v>46317.45241898148</v>
      </c>
      <c r="U323" s="2" t="n"/>
    </row>
    <row r="324">
      <c r="A324" s="2" t="inlineStr">
        <is>
          <t>Pendiente de adjudicación</t>
        </is>
      </c>
      <c r="B324" s="3" t="n">
        <v>46309.54166666666</v>
      </c>
      <c r="C324" s="5" t="n">
        <v>65479.02</v>
      </c>
      <c r="D324" s="5" t="n">
        <v>65479.02</v>
      </c>
      <c r="E324" s="2" t="inlineStr">
        <is>
          <t>Andalucía</t>
        </is>
      </c>
      <c r="F324" s="2" t="inlineStr">
        <is>
          <t>Sevilla</t>
        </is>
      </c>
      <c r="G324" s="2" t="n"/>
      <c r="H324" s="2" t="inlineStr">
        <is>
          <t>Autoridad Portuaria de Sevilla</t>
        </is>
      </c>
      <c r="I324" s="2" t="inlineStr">
        <is>
          <t>Nueva caseta para comedor en la zona de la Esclusa Puerto de Sevilla</t>
        </is>
      </c>
      <c r="J324" s="2" t="inlineStr">
        <is>
          <t>CONT25115</t>
        </is>
      </c>
      <c r="K324" s="2" t="inlineStr">
        <is>
          <t>Abierto</t>
        </is>
      </c>
      <c r="L324" s="6" t="n">
        <v>2</v>
      </c>
      <c r="M324" s="2" t="n"/>
      <c r="N324" s="7" t="n">
        <v>0.51</v>
      </c>
      <c r="O324" s="4" t="n"/>
      <c r="P324" s="2" t="inlineStr">
        <is>
          <t>45223000</t>
        </is>
      </c>
      <c r="Q324" s="8" t="inlineStr">
        <is>
          <t>Ver</t>
        </is>
      </c>
      <c r="R324" s="8" t="inlineStr">
        <is>
          <t>PCAP</t>
        </is>
      </c>
      <c r="S324" s="9" t="n">
        <v>46315</v>
      </c>
      <c r="T324" s="3" t="n">
        <v>46317.44997685185</v>
      </c>
      <c r="U324" s="2" t="n"/>
    </row>
    <row r="325">
      <c r="A325" s="2" t="inlineStr">
        <is>
          <t>Resuelta</t>
        </is>
      </c>
      <c r="B325" s="3" t="n">
        <v>46288.54166666666</v>
      </c>
      <c r="C325" s="5" t="n">
        <v>743801.65</v>
      </c>
      <c r="D325" s="5" t="n">
        <v>743801.65</v>
      </c>
      <c r="E325" s="2" t="inlineStr">
        <is>
          <t>Comunitat Valenciana</t>
        </is>
      </c>
      <c r="F325" s="2" t="inlineStr">
        <is>
          <t>Castellón</t>
        </is>
      </c>
      <c r="G325" s="2" t="inlineStr">
        <is>
          <t>Moncofa</t>
        </is>
      </c>
      <c r="H325" s="2" t="inlineStr">
        <is>
          <t>Alcaldía del Ayuntamiento de Moncofa</t>
        </is>
      </c>
      <c r="I325" s="2" t="inlineStr">
        <is>
          <t>Ejecución del Proyecto de reurbanización de la Plaza Constitución de Moncofa</t>
        </is>
      </c>
      <c r="J325" s="2" t="inlineStr">
        <is>
          <t>3719/2026</t>
        </is>
      </c>
      <c r="K325" s="2" t="inlineStr">
        <is>
          <t>Abierto simplificado</t>
        </is>
      </c>
      <c r="L325" s="6" t="n">
        <v>9</v>
      </c>
      <c r="M325" s="2" t="inlineStr">
        <is>
          <t>G*-3</t>
        </is>
      </c>
      <c r="N325" s="7" t="n">
        <v>0</v>
      </c>
      <c r="O325" s="4" t="n"/>
      <c r="P325" s="2" t="inlineStr">
        <is>
          <t>45233262; 45233293; 45233252</t>
        </is>
      </c>
      <c r="Q325" s="8" t="inlineStr">
        <is>
          <t>Ver</t>
        </is>
      </c>
      <c r="R325" s="8" t="inlineStr">
        <is>
          <t>PCAP</t>
        </is>
      </c>
      <c r="S325" s="9" t="n">
        <v>46317</v>
      </c>
      <c r="T325" s="3" t="n">
        <v>46317.4468287037</v>
      </c>
      <c r="U325" s="2" t="inlineStr">
        <is>
          <t>2026-10-23: estado ADJ → RES</t>
        </is>
      </c>
    </row>
    <row r="326">
      <c r="A326" s="2" t="inlineStr">
        <is>
          <t>Resuelta</t>
        </is>
      </c>
      <c r="B326" s="3" t="n"/>
      <c r="C326" s="5" t="n">
        <v>2503300</v>
      </c>
      <c r="D326" s="5" t="n">
        <v>3028993</v>
      </c>
      <c r="E326" s="2" t="inlineStr">
        <is>
          <t>Andalucía</t>
        </is>
      </c>
      <c r="F326" s="2" t="inlineStr">
        <is>
          <t>Granada</t>
        </is>
      </c>
      <c r="G326" s="2" t="n"/>
      <c r="H326" s="2" t="inlineStr">
        <is>
          <t>Demarcación de Carreteras del Estado en Andalucía Oriental</t>
        </is>
      </c>
      <c r="I326" s="2" t="inlineStr">
        <is>
          <t>Reparación de estructura sobre la línea de FF.CC Alcázar de San Juan-Cádiz, P.K. 340+100 de la Autovía A-4, T.M. Marmolejo, provincia de Jaén. LOTE 1, CLAVE 38-J-260008</t>
        </is>
      </c>
      <c r="J326" s="2" t="inlineStr">
        <is>
          <t>EM38-J-260008.L1</t>
        </is>
      </c>
      <c r="K326" s="2" t="inlineStr">
        <is>
          <t>Negociado sin publicidad</t>
        </is>
      </c>
      <c r="L326" s="6" t="n">
        <v>5</v>
      </c>
      <c r="M326" s="2" t="n"/>
      <c r="N326" s="7" t="n"/>
      <c r="O326" s="4" t="n"/>
      <c r="P326" s="2" t="inlineStr">
        <is>
          <t>45000000</t>
        </is>
      </c>
      <c r="Q326" s="8" t="inlineStr">
        <is>
          <t>Ver</t>
        </is>
      </c>
      <c r="R326" s="2" t="n"/>
      <c r="S326" s="9" t="n">
        <v>46318</v>
      </c>
      <c r="T326" s="3" t="n">
        <v>46317.44326388889</v>
      </c>
      <c r="U326" s="2" t="n"/>
    </row>
    <row r="327">
      <c r="A327" s="2" t="inlineStr">
        <is>
          <t>Resuelta</t>
        </is>
      </c>
      <c r="B327" s="3" t="n">
        <v>46308.41666666666</v>
      </c>
      <c r="C327" s="5" t="n">
        <v>363389.29</v>
      </c>
      <c r="D327" s="5" t="n">
        <v>363389.29</v>
      </c>
      <c r="E327" s="2" t="inlineStr">
        <is>
          <t>Comunitat Valenciana</t>
        </is>
      </c>
      <c r="F327" s="2" t="inlineStr">
        <is>
          <t>Valencia</t>
        </is>
      </c>
      <c r="G327" s="2" t="inlineStr">
        <is>
          <t>Massanassa (Valencia).</t>
        </is>
      </c>
      <c r="H327" s="2" t="inlineStr">
        <is>
          <t>Empresa de Transformación Agraria S.A.,S.M.E., M.P., (TRAGSA)</t>
        </is>
      </c>
      <c r="I327" s="2" t="inlineStr">
        <is>
          <t>Contrato derivado de acuerdo marco para la contratación de los trabajos de reparación de daños en infraestructuras, instalaciones y servicios de los municipios afectados por la DANA, entre el 28 de octubre y el 4 de noviembre de 2024, Nº 0786502 RECUPERACIÓN DE LA INFRAESTRUCTURA VERDE MUNICIPAL DE MASSANASSA</t>
        </is>
      </c>
      <c r="J327" s="2" t="inlineStr">
        <is>
          <t>TSA0080551-037</t>
        </is>
      </c>
      <c r="K327" s="2" t="inlineStr">
        <is>
          <t>Abierto</t>
        </is>
      </c>
      <c r="L327" s="6" t="n">
        <v>12</v>
      </c>
      <c r="M327" s="2" t="n"/>
      <c r="N327" s="7" t="n">
        <v>0</v>
      </c>
      <c r="O327" s="4" t="n"/>
      <c r="P327" s="2" t="inlineStr">
        <is>
          <t>45112700</t>
        </is>
      </c>
      <c r="Q327" s="8" t="inlineStr">
        <is>
          <t>Ver</t>
        </is>
      </c>
      <c r="R327" s="8" t="inlineStr">
        <is>
          <t>PCAP</t>
        </is>
      </c>
      <c r="S327" s="9" t="n">
        <v>46318</v>
      </c>
      <c r="T327" s="3" t="n">
        <v>46317.44043981482</v>
      </c>
      <c r="U327" s="2" t="n"/>
    </row>
    <row r="328">
      <c r="A328" s="2" t="inlineStr">
        <is>
          <t>En plazo</t>
        </is>
      </c>
      <c r="B328" s="3" t="n">
        <v>46323.04097222222</v>
      </c>
      <c r="C328" s="5" t="n">
        <v>547041.28</v>
      </c>
      <c r="D328" s="5" t="n">
        <v>547041.28</v>
      </c>
      <c r="E328" s="2" t="inlineStr">
        <is>
          <t>Andalucía</t>
        </is>
      </c>
      <c r="F328" s="2" t="inlineStr">
        <is>
          <t>Sevilla</t>
        </is>
      </c>
      <c r="G328" s="2" t="inlineStr">
        <is>
          <t>Sevilla</t>
        </is>
      </c>
      <c r="H328" s="2" t="inlineStr">
        <is>
          <t>Consejo de Administración de la Agencia de Régimen Especial Ciclo Integral Aguas del Retortillo</t>
        </is>
      </c>
      <c r="I328" s="2" t="inlineStr">
        <is>
          <t>PAS/OBRAS/007/2026 Obras construcción EDAR Natural Puerto de la Encina</t>
        </is>
      </c>
      <c r="J328" s="2" t="inlineStr">
        <is>
          <t>1009/2026</t>
        </is>
      </c>
      <c r="K328" s="2" t="inlineStr">
        <is>
          <t>Abierto simplificado</t>
        </is>
      </c>
      <c r="L328" s="6" t="n">
        <v>6</v>
      </c>
      <c r="M328" s="2" t="inlineStr">
        <is>
          <t>E1-3</t>
        </is>
      </c>
      <c r="N328" s="7" t="n">
        <v>0</v>
      </c>
      <c r="O328" s="4" t="n"/>
      <c r="P328" s="2" t="inlineStr">
        <is>
          <t>45252100</t>
        </is>
      </c>
      <c r="Q328" s="8" t="inlineStr">
        <is>
          <t>Ver</t>
        </is>
      </c>
      <c r="R328" s="8" t="inlineStr">
        <is>
          <t>PCAP</t>
        </is>
      </c>
      <c r="S328" s="9" t="n">
        <v>46310</v>
      </c>
      <c r="T328" s="3" t="n">
        <v>46317.43938657407</v>
      </c>
      <c r="U328" s="2" t="n"/>
    </row>
    <row r="329">
      <c r="A329" s="2" t="inlineStr">
        <is>
          <t>En plazo</t>
        </is>
      </c>
      <c r="B329" s="3" t="n">
        <v>46337.625</v>
      </c>
      <c r="C329" s="5" t="n">
        <v>351239.67</v>
      </c>
      <c r="D329" s="5" t="n">
        <v>421487.6</v>
      </c>
      <c r="E329" s="2" t="inlineStr">
        <is>
          <t>Andalucía</t>
        </is>
      </c>
      <c r="F329" s="2" t="inlineStr">
        <is>
          <t>Málaga</t>
        </is>
      </c>
      <c r="G329" s="2" t="inlineStr">
        <is>
          <t>Rincón de la Victoria</t>
        </is>
      </c>
      <c r="H329" s="2" t="inlineStr">
        <is>
          <t>Alcaldía del Ayuntamiento de Rincón de la Victoria</t>
        </is>
      </c>
      <c r="I329" s="2" t="inlineStr">
        <is>
          <t>Proyecto de asfaltado de la Avda. El Cantal, Calle Acacias y Carril de Villalobos</t>
        </is>
      </c>
      <c r="J329" s="2" t="inlineStr">
        <is>
          <t>Contratación 61/26</t>
        </is>
      </c>
      <c r="K329" s="2" t="inlineStr">
        <is>
          <t>Abierto simplificado</t>
        </is>
      </c>
      <c r="L329" s="6" t="n">
        <v>1</v>
      </c>
      <c r="M329" s="2" t="n"/>
      <c r="N329" s="7" t="n">
        <v>0.25</v>
      </c>
      <c r="O329" s="4" t="n"/>
      <c r="P329" s="2" t="inlineStr">
        <is>
          <t>45000000; 45233222</t>
        </is>
      </c>
      <c r="Q329" s="8" t="inlineStr">
        <is>
          <t>Ver</t>
        </is>
      </c>
      <c r="R329" s="8" t="inlineStr">
        <is>
          <t>PCAP</t>
        </is>
      </c>
      <c r="S329" s="9" t="n">
        <v>46318</v>
      </c>
      <c r="T329" s="3" t="n">
        <v>46317.43885416666</v>
      </c>
      <c r="U329" s="2" t="n"/>
    </row>
    <row r="330">
      <c r="A330" s="2" t="inlineStr">
        <is>
          <t>Adjudicada</t>
        </is>
      </c>
      <c r="B330" s="3" t="n">
        <v>46197.99930555555</v>
      </c>
      <c r="C330" s="5" t="n">
        <v>712760.24</v>
      </c>
      <c r="D330" s="5" t="n">
        <v>712760.24</v>
      </c>
      <c r="E330" s="2" t="inlineStr">
        <is>
          <t>Andalucía</t>
        </is>
      </c>
      <c r="F330" s="2" t="inlineStr">
        <is>
          <t>Sevilla</t>
        </is>
      </c>
      <c r="G330" s="2" t="n"/>
      <c r="H330" s="2" t="inlineStr">
        <is>
          <t>Junta de Gobierno del Ayuntamiento de Villamanrique de la Condesa</t>
        </is>
      </c>
      <c r="I330" s="2" t="inlineStr">
        <is>
          <t>Renovación y Mejora del Complejo Polideportivo Municipal.</t>
        </is>
      </c>
      <c r="J330" s="2" t="inlineStr">
        <is>
          <t>624/2026</t>
        </is>
      </c>
      <c r="K330" s="2" t="inlineStr">
        <is>
          <t>Abierto simplificado</t>
        </is>
      </c>
      <c r="L330" s="6" t="n">
        <v>6</v>
      </c>
      <c r="M330" s="2" t="n"/>
      <c r="N330" s="7" t="n">
        <v>0</v>
      </c>
      <c r="O330" s="4" t="n">
        <v>3</v>
      </c>
      <c r="P330" s="2" t="inlineStr">
        <is>
          <t>45212220; 45200000</t>
        </is>
      </c>
      <c r="Q330" s="8" t="inlineStr">
        <is>
          <t>Ver</t>
        </is>
      </c>
      <c r="R330" s="8" t="inlineStr">
        <is>
          <t>PCAP</t>
        </is>
      </c>
      <c r="S330" s="9" t="n">
        <v>46310</v>
      </c>
      <c r="T330" s="3" t="n">
        <v>46317.43597222222</v>
      </c>
      <c r="U330" s="2" t="n"/>
    </row>
    <row r="331">
      <c r="A331" s="2" t="inlineStr">
        <is>
          <t>En plazo</t>
        </is>
      </c>
      <c r="B331" s="3" t="n">
        <v>46324.625</v>
      </c>
      <c r="C331" s="5" t="n">
        <v>799446.1899999999</v>
      </c>
      <c r="D331" s="5" t="n">
        <v>959335.4300000001</v>
      </c>
      <c r="E331" s="2" t="inlineStr">
        <is>
          <t>Andalucía</t>
        </is>
      </c>
      <c r="F331" s="2" t="inlineStr">
        <is>
          <t>Málaga</t>
        </is>
      </c>
      <c r="G331" s="2" t="inlineStr">
        <is>
          <t>Torre de Benagalbón, término municipal de Rincón de la Victoria</t>
        </is>
      </c>
      <c r="H331" s="2" t="inlineStr">
        <is>
          <t>Alcaldía del Ayuntamiento de Rincón de la Victoria</t>
        </is>
      </c>
      <c r="I331" s="2" t="inlineStr">
        <is>
          <t>Aparcamientos en sótano del Pabellón Rubén Ruzafa</t>
        </is>
      </c>
      <c r="J331" s="2" t="inlineStr">
        <is>
          <t>Contratación 57/26</t>
        </is>
      </c>
      <c r="K331" s="2" t="inlineStr">
        <is>
          <t>Abierto simplificado</t>
        </is>
      </c>
      <c r="L331" s="6" t="n">
        <v>8</v>
      </c>
      <c r="M331" s="2" t="inlineStr">
        <is>
          <t>C4-3</t>
        </is>
      </c>
      <c r="N331" s="7" t="n">
        <v>0.25</v>
      </c>
      <c r="O331" s="4" t="n"/>
      <c r="P331" s="2" t="inlineStr">
        <is>
          <t>45000000; 45223310</t>
        </is>
      </c>
      <c r="Q331" s="8" t="inlineStr">
        <is>
          <t>Ver</t>
        </is>
      </c>
      <c r="R331" s="8" t="inlineStr">
        <is>
          <t>PCAP</t>
        </is>
      </c>
      <c r="S331" s="9" t="n">
        <v>46317</v>
      </c>
      <c r="T331" s="3" t="n">
        <v>46317.43048611111</v>
      </c>
      <c r="U331" s="2" t="inlineStr">
        <is>
          <t>2026-10-23: plazo 2026-10-26 15:00 → 2026-10-29 15:00</t>
        </is>
      </c>
    </row>
    <row r="332">
      <c r="A332" s="2" t="inlineStr">
        <is>
          <t>Resuelta</t>
        </is>
      </c>
      <c r="B332" s="3" t="n">
        <v>46188.5</v>
      </c>
      <c r="C332" s="5" t="n">
        <v>200000</v>
      </c>
      <c r="D332" s="5" t="n">
        <v>208000</v>
      </c>
      <c r="E332" s="2" t="inlineStr">
        <is>
          <t>Andalucía</t>
        </is>
      </c>
      <c r="F332" s="2" t="inlineStr">
        <is>
          <t>Málaga</t>
        </is>
      </c>
      <c r="G332" s="2" t="inlineStr">
        <is>
          <t>Málaga</t>
        </is>
      </c>
      <c r="H332" s="2" t="inlineStr">
        <is>
          <t>Aena. Dirección del Aeropuerto de Málaga-Costa del Sol</t>
        </is>
      </c>
      <c r="I332" s="2" t="inlineStr">
        <is>
          <t>Suministro E Instalación De Backbone Principal Y Fibra Óptica En El Sce Del Aeropuerto De Málaga - Costa Del Sol</t>
        </is>
      </c>
      <c r="J332" s="2" t="inlineStr">
        <is>
          <t>AGP-68/2026</t>
        </is>
      </c>
      <c r="K332" s="2" t="inlineStr">
        <is>
          <t>Normas internas</t>
        </is>
      </c>
      <c r="L332" s="6" t="n"/>
      <c r="M332" s="2" t="n"/>
      <c r="N332" s="7" t="n">
        <v>0</v>
      </c>
      <c r="O332" s="4" t="n"/>
      <c r="P332" s="2" t="inlineStr">
        <is>
          <t>45300000</t>
        </is>
      </c>
      <c r="Q332" s="8" t="inlineStr">
        <is>
          <t>Ver</t>
        </is>
      </c>
      <c r="R332" s="8" t="inlineStr">
        <is>
          <t>PCAP</t>
        </is>
      </c>
      <c r="S332" s="9" t="n">
        <v>46310</v>
      </c>
      <c r="T332" s="3" t="n">
        <v>46317.43046296296</v>
      </c>
      <c r="U332" s="2" t="inlineStr">
        <is>
          <t>2026-10-23: estado ADJ → RES</t>
        </is>
      </c>
    </row>
    <row r="333">
      <c r="A333" s="2" t="inlineStr">
        <is>
          <t>Resuelta</t>
        </is>
      </c>
      <c r="B333" s="3" t="n">
        <v>46283.99930555555</v>
      </c>
      <c r="C333" s="5" t="n">
        <v>79126.28</v>
      </c>
      <c r="D333" s="5" t="n">
        <v>79126.28</v>
      </c>
      <c r="E333" s="2" t="inlineStr">
        <is>
          <t>Andalucía</t>
        </is>
      </c>
      <c r="F333" s="2" t="inlineStr">
        <is>
          <t>Málaga</t>
        </is>
      </c>
      <c r="G333" s="2" t="n"/>
      <c r="H333" s="2" t="inlineStr">
        <is>
          <t>Junta de Gobierno del Ayuntamiento de Fuengirola</t>
        </is>
      </c>
      <c r="I333" s="2" t="inlineStr">
        <is>
          <t>Obras de reordenación del tráfico Calle Deportes.</t>
        </is>
      </c>
      <c r="J333" s="2" t="inlineStr">
        <is>
          <t>CONTR-2026000082</t>
        </is>
      </c>
      <c r="K333" s="2" t="inlineStr">
        <is>
          <t>Abierto simplificado</t>
        </is>
      </c>
      <c r="L333" s="6" t="n">
        <v>1.3</v>
      </c>
      <c r="M333" s="2" t="n"/>
      <c r="N333" s="7" t="n">
        <v>0</v>
      </c>
      <c r="O333" s="4" t="n"/>
      <c r="P333" s="2" t="inlineStr">
        <is>
          <t>45233140</t>
        </is>
      </c>
      <c r="Q333" s="8" t="inlineStr">
        <is>
          <t>Ver</t>
        </is>
      </c>
      <c r="R333" s="8" t="inlineStr">
        <is>
          <t>PCAP</t>
        </is>
      </c>
      <c r="S333" s="9" t="n">
        <v>46310</v>
      </c>
      <c r="T333" s="3" t="n">
        <v>46317.42924768518</v>
      </c>
      <c r="U333" s="2" t="inlineStr">
        <is>
          <t>2026-10-23: estado ADJ → RES</t>
        </is>
      </c>
    </row>
    <row r="334">
      <c r="A334" s="2" t="inlineStr">
        <is>
          <t>En plazo</t>
        </is>
      </c>
      <c r="B334" s="3" t="n">
        <v>46323.99930555555</v>
      </c>
      <c r="C334" s="5" t="n">
        <v>261106.22</v>
      </c>
      <c r="D334" s="5" t="n">
        <v>261106.22</v>
      </c>
      <c r="E334" s="2" t="inlineStr">
        <is>
          <t>Comunitat Valenciana</t>
        </is>
      </c>
      <c r="F334" s="2" t="inlineStr">
        <is>
          <t>Valencia</t>
        </is>
      </c>
      <c r="G334" s="2" t="n"/>
      <c r="H334" s="2" t="inlineStr">
        <is>
          <t>Alcaldía del Ayuntamiento de Vilamarxant</t>
        </is>
      </c>
      <c r="I334" s="2" t="inlineStr">
        <is>
          <t>Es objeto del presente contrato las obras de actuación en zonas verdes calle San Jaime, Plaza del Pilar, calle Mariano Benlliure y calle Puzol de Vilamarxant.</t>
        </is>
      </c>
      <c r="J334" s="2" t="inlineStr">
        <is>
          <t>2998856D</t>
        </is>
      </c>
      <c r="K334" s="2" t="inlineStr">
        <is>
          <t>Abierto simplificado</t>
        </is>
      </c>
      <c r="L334" s="6" t="n">
        <v>3</v>
      </c>
      <c r="M334" s="2" t="n"/>
      <c r="N334" s="7" t="n">
        <v>0</v>
      </c>
      <c r="O334" s="4" t="n"/>
      <c r="P334" s="2" t="inlineStr">
        <is>
          <t>45000000</t>
        </is>
      </c>
      <c r="Q334" s="8" t="inlineStr">
        <is>
          <t>Ver</t>
        </is>
      </c>
      <c r="R334" s="8" t="inlineStr">
        <is>
          <t>PCAP</t>
        </is>
      </c>
      <c r="S334" s="9" t="n">
        <v>46310</v>
      </c>
      <c r="T334" s="3" t="n">
        <v>46317.42770833334</v>
      </c>
      <c r="U334" s="2" t="n"/>
    </row>
    <row r="335">
      <c r="A335" s="2" t="inlineStr">
        <is>
          <t>Pendiente de adjudicación</t>
        </is>
      </c>
      <c r="B335" s="3" t="n">
        <v>46300.58333333334</v>
      </c>
      <c r="C335" s="5" t="n">
        <v>1447357.42</v>
      </c>
      <c r="D335" s="5" t="n">
        <v>1736828.9</v>
      </c>
      <c r="E335" s="2" t="inlineStr">
        <is>
          <t>Andalucía</t>
        </is>
      </c>
      <c r="F335" s="2" t="inlineStr">
        <is>
          <t>Sevilla</t>
        </is>
      </c>
      <c r="G335" s="2" t="inlineStr">
        <is>
          <t>Sevilla</t>
        </is>
      </c>
      <c r="H335" s="2" t="inlineStr">
        <is>
          <t>Subsecretaría de Hacienda (Dirección General del Patrimonio del Estado)</t>
        </is>
      </c>
      <c r="I335" s="2" t="inlineStr">
        <is>
          <t>Obras de restauración de los artesonados de las Puertas de Navarra y Aragón de la Plaza de España de Sevilla</t>
        </is>
      </c>
      <c r="J335" s="2" t="inlineStr">
        <is>
          <t>MES-2026-12</t>
        </is>
      </c>
      <c r="K335" s="2" t="inlineStr">
        <is>
          <t>Abierto simplificado</t>
        </is>
      </c>
      <c r="L335" s="6" t="n">
        <v>9</v>
      </c>
      <c r="M335" s="2" t="inlineStr">
        <is>
          <t>K7-4</t>
        </is>
      </c>
      <c r="N335" s="7" t="n">
        <v>0.25</v>
      </c>
      <c r="O335" s="4" t="n"/>
      <c r="P335" s="2" t="inlineStr">
        <is>
          <t>45454100</t>
        </is>
      </c>
      <c r="Q335" s="8" t="inlineStr">
        <is>
          <t>Ver</t>
        </is>
      </c>
      <c r="R335" s="8" t="inlineStr">
        <is>
          <t>PCAP</t>
        </is>
      </c>
      <c r="S335" s="9" t="n">
        <v>46310</v>
      </c>
      <c r="T335" s="3" t="n">
        <v>46317.4258912037</v>
      </c>
      <c r="U335" s="2" t="n"/>
    </row>
    <row r="336">
      <c r="A336" s="2" t="inlineStr">
        <is>
          <t>En plazo</t>
        </is>
      </c>
      <c r="B336" s="3" t="n">
        <v>46329.99930555555</v>
      </c>
      <c r="C336" s="5" t="n">
        <v>2153684.34</v>
      </c>
      <c r="D336" s="5" t="n">
        <v>2153684.34</v>
      </c>
      <c r="E336" s="2" t="inlineStr">
        <is>
          <t>Comunitat Valenciana</t>
        </is>
      </c>
      <c r="F336" s="2" t="inlineStr">
        <is>
          <t>Valencia</t>
        </is>
      </c>
      <c r="G336" s="2" t="inlineStr">
        <is>
          <t>Torrent</t>
        </is>
      </c>
      <c r="H336" s="2" t="inlineStr">
        <is>
          <t>Junta de Gobierno del Ayuntamiento de Torrent</t>
        </is>
      </c>
      <c r="I336" s="2" t="inlineStr">
        <is>
          <t>Obras de mejora de baños, eficiencia energética, accesibilidad, patios, adaptación al CTE del CEIP Virgen del Rosario de Torrent, en el marco del Pla Edificant</t>
        </is>
      </c>
      <c r="J336" s="2" t="inlineStr">
        <is>
          <t>32643/2026</t>
        </is>
      </c>
      <c r="K336" s="2" t="inlineStr">
        <is>
          <t>Abierto</t>
        </is>
      </c>
      <c r="L336" s="6" t="n">
        <v>12</v>
      </c>
      <c r="M336" s="2" t="n"/>
      <c r="N336" s="7" t="n">
        <v>0</v>
      </c>
      <c r="O336" s="4" t="n"/>
      <c r="P336" s="2" t="inlineStr">
        <is>
          <t>45214210</t>
        </is>
      </c>
      <c r="Q336" s="8" t="inlineStr">
        <is>
          <t>Ver</t>
        </is>
      </c>
      <c r="R336" s="8" t="inlineStr">
        <is>
          <t>PCAP</t>
        </is>
      </c>
      <c r="S336" s="9" t="n">
        <v>46317</v>
      </c>
      <c r="T336" s="3" t="n">
        <v>46317.42387731482</v>
      </c>
      <c r="U336" s="2" t="n"/>
    </row>
    <row r="337">
      <c r="A337" s="2" t="inlineStr">
        <is>
          <t>En plazo</t>
        </is>
      </c>
      <c r="B337" s="3" t="n">
        <v>46337.99930555555</v>
      </c>
      <c r="C337" s="5" t="n">
        <v>115701.25</v>
      </c>
      <c r="D337" s="5" t="n">
        <v>115701.25</v>
      </c>
      <c r="E337" s="2" t="inlineStr">
        <is>
          <t>Andalucía</t>
        </is>
      </c>
      <c r="F337" s="2" t="inlineStr">
        <is>
          <t>Málaga</t>
        </is>
      </c>
      <c r="G337" s="2" t="inlineStr">
        <is>
          <t>Alhaurín el Grande</t>
        </is>
      </c>
      <c r="H337" s="2" t="inlineStr">
        <is>
          <t>Alcaldía del Ayuntamiento de Alhaurín el Grande</t>
        </is>
      </c>
      <c r="I337" s="2" t="inlineStr">
        <is>
          <t>Proyecto de rehabilitación energética de 10 viviendas de propiedad municipal</t>
        </is>
      </c>
      <c r="J337" s="2" t="inlineStr">
        <is>
          <t>26168/2026 REHABILITACION 10 VDAS.</t>
        </is>
      </c>
      <c r="K337" s="2" t="inlineStr">
        <is>
          <t>Abierto simplificado</t>
        </is>
      </c>
      <c r="L337" s="6" t="n">
        <v>3</v>
      </c>
      <c r="M337" s="2" t="n"/>
      <c r="N337" s="7" t="n">
        <v>0.05</v>
      </c>
      <c r="O337" s="4" t="n"/>
      <c r="P337" s="2" t="inlineStr">
        <is>
          <t>45261000; 09331100; 45421132; 39715000; 09321000; 09331000</t>
        </is>
      </c>
      <c r="Q337" s="8" t="inlineStr">
        <is>
          <t>Ver</t>
        </is>
      </c>
      <c r="R337" s="8" t="inlineStr">
        <is>
          <t>PCAP</t>
        </is>
      </c>
      <c r="S337" s="9" t="n">
        <v>46318</v>
      </c>
      <c r="T337" s="3" t="n">
        <v>46317.42296296296</v>
      </c>
      <c r="U337" s="2" t="n"/>
    </row>
    <row r="338">
      <c r="A338" s="2" t="inlineStr">
        <is>
          <t>Resuelta</t>
        </is>
      </c>
      <c r="B338" s="3" t="n">
        <v>44354.58333333334</v>
      </c>
      <c r="C338" s="5" t="n">
        <v>76859504.13</v>
      </c>
      <c r="D338" s="5" t="n">
        <v>92231404.95</v>
      </c>
      <c r="E338" s="2" t="inlineStr">
        <is>
          <t>Comunitat Valenciana</t>
        </is>
      </c>
      <c r="F338" s="2" t="inlineStr">
        <is>
          <t>Alicante</t>
        </is>
      </c>
      <c r="G338" s="2" t="n"/>
      <c r="H338" s="2" t="inlineStr">
        <is>
          <t>Conselleria de Política Territorial, Obras Públicas y Movilidad</t>
        </is>
      </c>
      <c r="I338" s="2" t="inlineStr">
        <is>
          <t>Conservación, adecuación y mantenimiento de las infraestructuras de transporte de la Generalitat Valenciana en la provincia de Alicante en el periodo 2021-2025</t>
        </is>
      </c>
      <c r="J338" s="2" t="inlineStr">
        <is>
          <t>CMAYOR/2021/03Y05/6</t>
        </is>
      </c>
      <c r="K338" s="2" t="inlineStr">
        <is>
          <t>Abierto</t>
        </is>
      </c>
      <c r="L338" s="6" t="n">
        <v>48</v>
      </c>
      <c r="M338" s="2" t="inlineStr">
        <is>
          <t>G5-4; G6-5; G4-4</t>
        </is>
      </c>
      <c r="N338" s="7" t="n">
        <v>0.4</v>
      </c>
      <c r="O338" s="4" t="n">
        <v>3</v>
      </c>
      <c r="P338" s="2" t="inlineStr">
        <is>
          <t>45233141</t>
        </is>
      </c>
      <c r="Q338" s="8" t="inlineStr">
        <is>
          <t>Ver</t>
        </is>
      </c>
      <c r="R338" s="8" t="inlineStr">
        <is>
          <t>PCAP</t>
        </is>
      </c>
      <c r="S338" s="9" t="n">
        <v>46318</v>
      </c>
      <c r="T338" s="3" t="n">
        <v>46317.42148148148</v>
      </c>
      <c r="U338" s="2" t="n"/>
    </row>
    <row r="339">
      <c r="A339" s="2" t="inlineStr">
        <is>
          <t>Pendiente de adjudicación</t>
        </is>
      </c>
      <c r="B339" s="3" t="n">
        <v>46308.79166666666</v>
      </c>
      <c r="C339" s="5" t="n">
        <v>344018.13</v>
      </c>
      <c r="D339" s="5" t="n">
        <v>412821.76</v>
      </c>
      <c r="E339" s="2" t="inlineStr">
        <is>
          <t>Andalucía</t>
        </is>
      </c>
      <c r="F339" s="2" t="inlineStr">
        <is>
          <t>Sevilla</t>
        </is>
      </c>
      <c r="G339" s="2" t="inlineStr">
        <is>
          <t>Guillena</t>
        </is>
      </c>
      <c r="H339" s="2" t="inlineStr">
        <is>
          <t>Gerencia de la Empresa Mancomunada del Aljarafe, S.A. (ALJARAFESA)</t>
        </is>
      </c>
      <c r="I339" s="2" t="inlineStr">
        <is>
          <t>Proyecto Constructivo: Sistema de Recloración del Agua de Abastecimiento al Polígono Industrial de El Esparragal, en el municipio de Guillena (Sevilla)</t>
        </is>
      </c>
      <c r="J339" s="2" t="inlineStr">
        <is>
          <t>PAA/175/2026</t>
        </is>
      </c>
      <c r="K339" s="2" t="inlineStr">
        <is>
          <t>Abierto</t>
        </is>
      </c>
      <c r="L339" s="6" t="n">
        <v>6</v>
      </c>
      <c r="M339" s="2" t="inlineStr">
        <is>
          <t>I5-3</t>
        </is>
      </c>
      <c r="N339" s="7" t="n">
        <v>0</v>
      </c>
      <c r="O339" s="4" t="n"/>
      <c r="P339" s="2" t="inlineStr">
        <is>
          <t>45231300; 51220000; 45232100; 45310000</t>
        </is>
      </c>
      <c r="Q339" s="8" t="inlineStr">
        <is>
          <t>Ver</t>
        </is>
      </c>
      <c r="R339" s="8" t="inlineStr">
        <is>
          <t>PCAP</t>
        </is>
      </c>
      <c r="S339" s="9" t="n">
        <v>46315</v>
      </c>
      <c r="T339" s="3" t="n">
        <v>46317.41976851852</v>
      </c>
      <c r="U339" s="2" t="n"/>
    </row>
    <row r="340">
      <c r="A340" s="2" t="inlineStr">
        <is>
          <t>Resuelta</t>
        </is>
      </c>
      <c r="B340" s="3" t="n">
        <v>44998.58333333334</v>
      </c>
      <c r="C340" s="5" t="n">
        <v>257745.3</v>
      </c>
      <c r="D340" s="5" t="n">
        <v>257745.3</v>
      </c>
      <c r="E340" s="2" t="inlineStr">
        <is>
          <t>Comunitat Valenciana</t>
        </is>
      </c>
      <c r="F340" s="2" t="inlineStr">
        <is>
          <t>Valencia</t>
        </is>
      </c>
      <c r="G340" s="2" t="n"/>
      <c r="H340" s="2" t="inlineStr">
        <is>
          <t>Empresa de Transformación Agraria S.A.,S.M.E., M.P., (TRAGSA)</t>
        </is>
      </c>
      <c r="I340" s="2" t="inlineStr">
        <is>
          <t>Trabajos de instalaciones eléctricas en media tensión en el marco del proyecto modificado nº1 de las obras de reordenación de la infraestructura hidráulica de la huerta y red de saneamiento del área metropolitana de Valencia.</t>
        </is>
      </c>
      <c r="J340" s="2" t="inlineStr">
        <is>
          <t>TSA0074956</t>
        </is>
      </c>
      <c r="K340" s="2" t="inlineStr">
        <is>
          <t>Abierto simplificado</t>
        </is>
      </c>
      <c r="L340" s="6" t="n">
        <v>6</v>
      </c>
      <c r="M340" s="2" t="inlineStr">
        <is>
          <t>I5-2</t>
        </is>
      </c>
      <c r="N340" s="7" t="n">
        <v>0</v>
      </c>
      <c r="O340" s="4" t="n"/>
      <c r="P340" s="2" t="inlineStr">
        <is>
          <t>45315500</t>
        </is>
      </c>
      <c r="Q340" s="8" t="inlineStr">
        <is>
          <t>Ver</t>
        </is>
      </c>
      <c r="R340" s="8" t="inlineStr">
        <is>
          <t>PCAP</t>
        </is>
      </c>
      <c r="S340" s="9" t="n">
        <v>46318</v>
      </c>
      <c r="T340" s="3" t="n">
        <v>46317.41775462963</v>
      </c>
      <c r="U340" s="2" t="n"/>
    </row>
    <row r="341">
      <c r="A341" s="2" t="inlineStr">
        <is>
          <t>En plazo</t>
        </is>
      </c>
      <c r="B341" s="3" t="n">
        <v>46337.99930555555</v>
      </c>
      <c r="C341" s="5" t="n">
        <v>114357.1</v>
      </c>
      <c r="D341" s="5" t="n">
        <v>114357.1</v>
      </c>
      <c r="E341" s="2" t="inlineStr">
        <is>
          <t>Andalucía</t>
        </is>
      </c>
      <c r="F341" s="2" t="inlineStr">
        <is>
          <t>Cádiz</t>
        </is>
      </c>
      <c r="G341" s="2" t="n"/>
      <c r="H341" s="2" t="inlineStr">
        <is>
          <t>Alcaldía del Ayuntamiento de Bornos</t>
        </is>
      </c>
      <c r="I341" s="2" t="inlineStr">
        <is>
          <t>Instalación de parque Multiaventuras en zona verde El Bosquete en Coto de Bornos</t>
        </is>
      </c>
      <c r="J341" s="2" t="inlineStr">
        <is>
          <t>2026_11010_COAS_00007</t>
        </is>
      </c>
      <c r="K341" s="2" t="inlineStr">
        <is>
          <t>Abierto simplificado</t>
        </is>
      </c>
      <c r="L341" s="6" t="n">
        <v>3</v>
      </c>
      <c r="M341" s="2" t="n"/>
      <c r="N341" s="7" t="n">
        <v>0</v>
      </c>
      <c r="O341" s="4" t="n"/>
      <c r="P341" s="2" t="inlineStr">
        <is>
          <t>45212100; 45112711</t>
        </is>
      </c>
      <c r="Q341" s="8" t="inlineStr">
        <is>
          <t>Ver</t>
        </is>
      </c>
      <c r="R341" s="8" t="inlineStr">
        <is>
          <t>PCAP</t>
        </is>
      </c>
      <c r="S341" s="9" t="n">
        <v>46318</v>
      </c>
      <c r="T341" s="3" t="n">
        <v>46317.41740740741</v>
      </c>
      <c r="U341" s="2" t="n"/>
    </row>
    <row r="342">
      <c r="A342" s="2" t="inlineStr">
        <is>
          <t>Adjudicada</t>
        </is>
      </c>
      <c r="B342" s="3" t="n">
        <v>46309.58333333334</v>
      </c>
      <c r="C342" s="5" t="n">
        <v>35453.56</v>
      </c>
      <c r="D342" s="5" t="n">
        <v>35453.56</v>
      </c>
      <c r="E342" s="2" t="inlineStr">
        <is>
          <t>Comunitat Valenciana</t>
        </is>
      </c>
      <c r="F342" s="2" t="inlineStr">
        <is>
          <t>Valencia</t>
        </is>
      </c>
      <c r="G342" s="2" t="n"/>
      <c r="H342" s="2" t="inlineStr">
        <is>
          <t>Concejalía Delegada de Contratación del Ayuntamiento de Gandía</t>
        </is>
      </c>
      <c r="I342" s="2" t="inlineStr">
        <is>
          <t>Contrato de obras para la preparación de campo de fútbol anexo al Fort Llopis con instalación de césped artificial. Lote 1: obra civil necesaria para la preparación de la parcela y las actuaciones de recogida de pluviales. Lote 2: instalación del césped.</t>
        </is>
      </c>
      <c r="J342" s="2" t="inlineStr">
        <is>
          <t>CONT-043/2026 (33774/2026)</t>
        </is>
      </c>
      <c r="K342" s="2" t="inlineStr">
        <is>
          <t>Abierto simplificado</t>
        </is>
      </c>
      <c r="L342" s="6" t="n">
        <v>2</v>
      </c>
      <c r="M342" s="2" t="n"/>
      <c r="N342" s="7" t="n">
        <v>0</v>
      </c>
      <c r="O342" s="4" t="n">
        <v>2</v>
      </c>
      <c r="P342" s="2" t="inlineStr">
        <is>
          <t>45212290; 45100000; 39293400</t>
        </is>
      </c>
      <c r="Q342" s="8" t="inlineStr">
        <is>
          <t>Ver</t>
        </is>
      </c>
      <c r="R342" s="8" t="inlineStr">
        <is>
          <t>PCAP</t>
        </is>
      </c>
      <c r="S342" s="9" t="n">
        <v>46318</v>
      </c>
      <c r="T342" s="3" t="n">
        <v>46317.41703703703</v>
      </c>
      <c r="U342" s="2" t="n"/>
    </row>
    <row r="343">
      <c r="A343" s="2" t="inlineStr">
        <is>
          <t>Resuelta</t>
        </is>
      </c>
      <c r="B343" s="3" t="n">
        <v>46293.41666666666</v>
      </c>
      <c r="C343" s="5" t="n">
        <v>1161697.83</v>
      </c>
      <c r="D343" s="5" t="n">
        <v>1161697.83</v>
      </c>
      <c r="E343" s="2" t="inlineStr">
        <is>
          <t>Comunitat Valenciana</t>
        </is>
      </c>
      <c r="F343" s="2" t="inlineStr">
        <is>
          <t>Valencia</t>
        </is>
      </c>
      <c r="G343" s="2" t="inlineStr">
        <is>
          <t>Término municipal de Sedaví</t>
        </is>
      </c>
      <c r="H343" s="2" t="inlineStr">
        <is>
          <t>Empresa de Transformación Agraria S.A.,S.M.E., M.P., (TRAGSA)</t>
        </is>
      </c>
      <c r="I343" s="2" t="inlineStr">
        <is>
          <t>Contrato derivado de acuerdo marco para la contratación de los trabajos de reparación de daños en infraestructuras, instalaciones y servicios de los municipios afectados por la DANA, entre el 28 de octubre y el 4 de noviembre de 2024, Nº 0786483 RECONSTRUCCIÓN DE LA ESCUELA PÚBLICA DE ADULTOS DE SEDAVÍ</t>
        </is>
      </c>
      <c r="J343" s="2" t="inlineStr">
        <is>
          <t>TSA0080551-035</t>
        </is>
      </c>
      <c r="K343" s="2" t="inlineStr">
        <is>
          <t>Abierto</t>
        </is>
      </c>
      <c r="L343" s="6" t="n">
        <v>12</v>
      </c>
      <c r="M343" s="2" t="n"/>
      <c r="N343" s="7" t="n">
        <v>0</v>
      </c>
      <c r="O343" s="4" t="n"/>
      <c r="P343" s="2" t="inlineStr">
        <is>
          <t>45214000</t>
        </is>
      </c>
      <c r="Q343" s="8" t="inlineStr">
        <is>
          <t>Ver</t>
        </is>
      </c>
      <c r="R343" s="8" t="inlineStr">
        <is>
          <t>PCAP</t>
        </is>
      </c>
      <c r="S343" s="9" t="n">
        <v>46318</v>
      </c>
      <c r="T343" s="3" t="n">
        <v>46317.41638888889</v>
      </c>
      <c r="U343" s="2" t="n"/>
    </row>
    <row r="344">
      <c r="A344" s="2" t="inlineStr">
        <is>
          <t>En plazo</t>
        </is>
      </c>
      <c r="B344" s="3" t="n">
        <v>46335.99930555555</v>
      </c>
      <c r="C344" s="5" t="n">
        <v>829996.61</v>
      </c>
      <c r="D344" s="5" t="n">
        <v>829996.61</v>
      </c>
      <c r="E344" s="2" t="inlineStr">
        <is>
          <t>Andalucía</t>
        </is>
      </c>
      <c r="F344" s="2" t="inlineStr">
        <is>
          <t>Huelva</t>
        </is>
      </c>
      <c r="G344" s="2" t="n"/>
      <c r="H344" s="2" t="inlineStr">
        <is>
          <t>Junta de Gobierno del Ayuntamiento de Huelva</t>
        </is>
      </c>
      <c r="I344" s="2" t="inlineStr">
        <is>
          <t>Obras de renaturalización y ordenación de espacio público entorno calle Los Emires de Huelva.</t>
        </is>
      </c>
      <c r="J344" s="2" t="inlineStr">
        <is>
          <t>906/2026/12</t>
        </is>
      </c>
      <c r="K344" s="2" t="inlineStr">
        <is>
          <t>Abierto simplificado</t>
        </is>
      </c>
      <c r="L344" s="6" t="n">
        <v>6</v>
      </c>
      <c r="M344" s="2" t="inlineStr">
        <is>
          <t>G6-3</t>
        </is>
      </c>
      <c r="N344" s="7" t="n">
        <v>0</v>
      </c>
      <c r="O344" s="4" t="n"/>
      <c r="P344" s="2" t="inlineStr">
        <is>
          <t>45111100; 45316000; 45233293; 45233252; 45262520; 45451300</t>
        </is>
      </c>
      <c r="Q344" s="8" t="inlineStr">
        <is>
          <t>Ver</t>
        </is>
      </c>
      <c r="R344" s="8" t="inlineStr">
        <is>
          <t>PCAP</t>
        </is>
      </c>
      <c r="S344" s="9" t="n">
        <v>46317</v>
      </c>
      <c r="T344" s="3" t="n">
        <v>46317.41473379629</v>
      </c>
      <c r="U344" s="2" t="n"/>
    </row>
    <row r="345">
      <c r="A345" s="2" t="inlineStr">
        <is>
          <t>Pendiente de adjudicación</t>
        </is>
      </c>
      <c r="B345" s="3" t="n">
        <v>46310.99930555555</v>
      </c>
      <c r="C345" s="5" t="n">
        <v>104998.26</v>
      </c>
      <c r="D345" s="5" t="n">
        <v>104998.26</v>
      </c>
      <c r="E345" s="2" t="inlineStr">
        <is>
          <t>Andalucía</t>
        </is>
      </c>
      <c r="F345" s="2" t="inlineStr">
        <is>
          <t>Sevilla</t>
        </is>
      </c>
      <c r="G345" s="2" t="n"/>
      <c r="H345" s="2" t="inlineStr">
        <is>
          <t>Alcaldía del Ayuntamiento de Espartinas</t>
        </is>
      </c>
      <c r="I345" s="2" t="inlineStr">
        <is>
          <t>El objeto del contrato la ejecución de las obras de pavimentación, construcción de nichos, pintura y limpieza en el Cementerio Municipal San Fernando, de acuerdo con lo previsto en las correspondientes memorias que establecen las características de las actuaciones relativas a cada lote.</t>
        </is>
      </c>
      <c r="J345" s="2" t="inlineStr">
        <is>
          <t>731/2026</t>
        </is>
      </c>
      <c r="K345" s="2" t="inlineStr">
        <is>
          <t>Abierto simplificado</t>
        </is>
      </c>
      <c r="L345" s="6" t="n">
        <v>3</v>
      </c>
      <c r="M345" s="2" t="n"/>
      <c r="N345" s="7" t="n">
        <v>0</v>
      </c>
      <c r="O345" s="4" t="n">
        <v>4</v>
      </c>
      <c r="P345" s="2" t="inlineStr">
        <is>
          <t>45215400; 45111200; 45233252; 45442100; 45233222; 45111000</t>
        </is>
      </c>
      <c r="Q345" s="8" t="inlineStr">
        <is>
          <t>Ver</t>
        </is>
      </c>
      <c r="R345" s="8" t="inlineStr">
        <is>
          <t>PCAP</t>
        </is>
      </c>
      <c r="S345" s="9" t="n">
        <v>46314</v>
      </c>
      <c r="T345" s="3" t="n">
        <v>46317.41371527778</v>
      </c>
      <c r="U345" s="2" t="n"/>
    </row>
    <row r="346">
      <c r="A346" s="2" t="inlineStr">
        <is>
          <t>Pendiente de adjudicación</t>
        </is>
      </c>
      <c r="B346" s="3" t="n">
        <v>46310.99930555555</v>
      </c>
      <c r="C346" s="5" t="n">
        <v>574770</v>
      </c>
      <c r="D346" s="5" t="n">
        <v>574770</v>
      </c>
      <c r="E346" s="2" t="inlineStr">
        <is>
          <t>Comunitat Valenciana</t>
        </is>
      </c>
      <c r="F346" s="2" t="inlineStr">
        <is>
          <t>Valencia</t>
        </is>
      </c>
      <c r="G346" s="2" t="inlineStr">
        <is>
          <t>GUADASSUAR</t>
        </is>
      </c>
      <c r="H346" s="2" t="inlineStr">
        <is>
          <t>Junta de Gobierno del Ayuntamiento de Guadassuar</t>
        </is>
      </c>
      <c r="I346" s="2" t="inlineStr">
        <is>
          <t>Contrato de obra para la realización del proyecto de la obra: "Rehabilitación del edificio municipal para Centro Cultural de Guadassuar".</t>
        </is>
      </c>
      <c r="J346" s="2" t="inlineStr">
        <is>
          <t>2948860P</t>
        </is>
      </c>
      <c r="K346" s="2" t="inlineStr">
        <is>
          <t>Abierto simplificado</t>
        </is>
      </c>
      <c r="L346" s="6" t="n">
        <v>8</v>
      </c>
      <c r="M346" s="2" t="inlineStr">
        <is>
          <t>C4-3</t>
        </is>
      </c>
      <c r="N346" s="7" t="n">
        <v>0</v>
      </c>
      <c r="O346" s="4" t="n"/>
      <c r="P346" s="2" t="inlineStr">
        <is>
          <t>45212300; 45453000; 45331000; 45343000</t>
        </is>
      </c>
      <c r="Q346" s="8" t="inlineStr">
        <is>
          <t>Ver</t>
        </is>
      </c>
      <c r="R346" s="8" t="inlineStr">
        <is>
          <t>PCAP</t>
        </is>
      </c>
      <c r="S346" s="9" t="n">
        <v>46318</v>
      </c>
      <c r="T346" s="3" t="n">
        <v>46317.41149305556</v>
      </c>
      <c r="U346" s="2" t="n"/>
    </row>
    <row r="347">
      <c r="A347" s="2" t="inlineStr">
        <is>
          <t>Pendiente de adjudicación</t>
        </is>
      </c>
      <c r="B347" s="3" t="n">
        <v>46286.54166666666</v>
      </c>
      <c r="C347" s="5" t="n">
        <v>282655.82</v>
      </c>
      <c r="D347" s="5" t="n">
        <v>367452.56</v>
      </c>
      <c r="E347" s="2" t="inlineStr">
        <is>
          <t>Comunitat Valenciana</t>
        </is>
      </c>
      <c r="F347" s="2" t="inlineStr">
        <is>
          <t>Valencia</t>
        </is>
      </c>
      <c r="G347" s="2" t="inlineStr">
        <is>
          <t>Valencia</t>
        </is>
      </c>
      <c r="H347" s="2" t="inlineStr">
        <is>
          <t>Presidencia de la Autoridad Portuaria de Valencia</t>
        </is>
      </c>
      <c r="I347" s="2" t="inlineStr">
        <is>
          <t>Obras de climatización en diversos edificios de APV en los Puertos de Valencia y Sagunto</t>
        </is>
      </c>
      <c r="J347" s="2" t="inlineStr">
        <is>
          <t>EC26-C02-00330</t>
        </is>
      </c>
      <c r="K347" s="2" t="inlineStr">
        <is>
          <t>Abierto simplificado</t>
        </is>
      </c>
      <c r="L347" s="6" t="n">
        <v>6</v>
      </c>
      <c r="M347" s="2" t="inlineStr">
        <is>
          <t>I9-2</t>
        </is>
      </c>
      <c r="N347" s="7" t="n">
        <v>0.25</v>
      </c>
      <c r="O347" s="4" t="n"/>
      <c r="P347" s="2" t="inlineStr">
        <is>
          <t>45331220</t>
        </is>
      </c>
      <c r="Q347" s="8" t="inlineStr">
        <is>
          <t>Ver</t>
        </is>
      </c>
      <c r="R347" s="8" t="inlineStr">
        <is>
          <t>PCAP</t>
        </is>
      </c>
      <c r="S347" s="9" t="n">
        <v>46318</v>
      </c>
      <c r="T347" s="3" t="n">
        <v>46317.40524305555</v>
      </c>
      <c r="U347" s="2" t="n"/>
    </row>
    <row r="348">
      <c r="A348" s="2" t="inlineStr">
        <is>
          <t>Resuelta</t>
        </is>
      </c>
      <c r="B348" s="3" t="n">
        <v>46125.99930555555</v>
      </c>
      <c r="C348" s="5" t="n">
        <v>164881.4</v>
      </c>
      <c r="D348" s="5" t="n">
        <v>164881.4</v>
      </c>
      <c r="E348" s="2" t="inlineStr">
        <is>
          <t>Comunitat Valenciana</t>
        </is>
      </c>
      <c r="F348" s="2" t="inlineStr">
        <is>
          <t>Alicante</t>
        </is>
      </c>
      <c r="G348" s="2" t="inlineStr">
        <is>
          <t>ELCHE</t>
        </is>
      </c>
      <c r="H348" s="2" t="inlineStr">
        <is>
          <t>Consejo de Administración de la Societat Valenciana Fira Alacant, S.A.</t>
        </is>
      </c>
      <c r="I348" s="2" t="inlineStr">
        <is>
          <t>Obras de asfaltado parking Pabellón I y accesos SVFA</t>
        </is>
      </c>
      <c r="J348" s="2" t="inlineStr">
        <is>
          <t>CMAYOR/2026/FIRAA/49</t>
        </is>
      </c>
      <c r="K348" s="2" t="inlineStr">
        <is>
          <t>Abierto simplificado</t>
        </is>
      </c>
      <c r="L348" s="6" t="n">
        <v>1</v>
      </c>
      <c r="M348" s="2" t="n"/>
      <c r="N348" s="7" t="n">
        <v>0</v>
      </c>
      <c r="O348" s="4" t="n"/>
      <c r="P348" s="2" t="inlineStr">
        <is>
          <t>45233222</t>
        </is>
      </c>
      <c r="Q348" s="8" t="inlineStr">
        <is>
          <t>Ver</t>
        </is>
      </c>
      <c r="R348" s="8" t="inlineStr">
        <is>
          <t>PCAP</t>
        </is>
      </c>
      <c r="S348" s="9" t="n">
        <v>46318</v>
      </c>
      <c r="T348" s="3" t="n">
        <v>46317.40475694444</v>
      </c>
      <c r="U348" s="2" t="n"/>
    </row>
    <row r="349">
      <c r="A349" s="2" t="inlineStr">
        <is>
          <t>En plazo</t>
        </is>
      </c>
      <c r="B349" s="3" t="n">
        <v>46345.99930555555</v>
      </c>
      <c r="C349" s="5" t="n">
        <v>45454.55</v>
      </c>
      <c r="D349" s="5" t="n">
        <v>45454.55</v>
      </c>
      <c r="E349" s="2" t="inlineStr">
        <is>
          <t>Andalucía</t>
        </is>
      </c>
      <c r="F349" s="2" t="inlineStr">
        <is>
          <t>Sevilla</t>
        </is>
      </c>
      <c r="G349" s="2" t="n"/>
      <c r="H349" s="2" t="inlineStr">
        <is>
          <t>Alcaldía del Ayuntamiento de Castilleja de Guzmán</t>
        </is>
      </c>
      <c r="I349" s="2" t="inlineStr">
        <is>
          <t>Cambio a Led iluminación interior edificios municipales de Castilleja de Guzmán. Plan Provincial MAS Sevilla.</t>
        </is>
      </c>
      <c r="J349" s="2" t="inlineStr">
        <is>
          <t>P4102800B-2026/000102-PAAS</t>
        </is>
      </c>
      <c r="K349" s="2" t="inlineStr">
        <is>
          <t>Abierto simplificado</t>
        </is>
      </c>
      <c r="L349" s="6" t="n">
        <v>1.5</v>
      </c>
      <c r="M349" s="2" t="n"/>
      <c r="N349" s="7" t="n">
        <v>0</v>
      </c>
      <c r="O349" s="4" t="n"/>
      <c r="P349" s="2" t="inlineStr">
        <is>
          <t>45316000</t>
        </is>
      </c>
      <c r="Q349" s="8" t="inlineStr">
        <is>
          <t>Ver</t>
        </is>
      </c>
      <c r="R349" s="8" t="inlineStr">
        <is>
          <t>PCAP</t>
        </is>
      </c>
      <c r="S349" s="9" t="n">
        <v>46318</v>
      </c>
      <c r="T349" s="3" t="n">
        <v>46317.40186342593</v>
      </c>
      <c r="U349" s="2" t="n"/>
    </row>
    <row r="350">
      <c r="A350" s="2" t="inlineStr">
        <is>
          <t>En plazo</t>
        </is>
      </c>
      <c r="B350" s="3" t="n">
        <v>46336.99930555555</v>
      </c>
      <c r="C350" s="5" t="n">
        <v>76033.06</v>
      </c>
      <c r="D350" s="5" t="n">
        <v>76033.06</v>
      </c>
      <c r="E350" s="2" t="inlineStr">
        <is>
          <t>Andalucía</t>
        </is>
      </c>
      <c r="F350" s="2" t="inlineStr">
        <is>
          <t>Almería</t>
        </is>
      </c>
      <c r="G350" s="2" t="inlineStr">
        <is>
          <t>Viator</t>
        </is>
      </c>
      <c r="H350" s="2" t="inlineStr">
        <is>
          <t>Junta De Gobierno Local del Ayuntamiento de Viator</t>
        </is>
      </c>
      <c r="I350" s="2" t="inlineStr">
        <is>
          <t>Obras de reposición de saneamiento, abastecimiento y pavimentación en calle León Felipe de Viator</t>
        </is>
      </c>
      <c r="J350" s="2" t="inlineStr">
        <is>
          <t>877/2026</t>
        </is>
      </c>
      <c r="K350" s="2" t="inlineStr">
        <is>
          <t>Abierto simplificado</t>
        </is>
      </c>
      <c r="L350" s="6" t="n">
        <v>2</v>
      </c>
      <c r="M350" s="2" t="n"/>
      <c r="N350" s="7" t="n">
        <v>0</v>
      </c>
      <c r="O350" s="4" t="n"/>
      <c r="P350" s="2" t="inlineStr">
        <is>
          <t>45231300</t>
        </is>
      </c>
      <c r="Q350" s="8" t="inlineStr">
        <is>
          <t>Ver</t>
        </is>
      </c>
      <c r="R350" s="2" t="n"/>
      <c r="S350" s="9" t="n">
        <v>46318</v>
      </c>
      <c r="T350" s="3" t="n">
        <v>46317.3972337963</v>
      </c>
      <c r="U350" s="2" t="n"/>
    </row>
    <row r="351">
      <c r="A351" s="2" t="inlineStr">
        <is>
          <t>En plazo</t>
        </is>
      </c>
      <c r="B351" s="3" t="n">
        <v>46337.99930555555</v>
      </c>
      <c r="C351" s="5" t="n">
        <v>168115.62</v>
      </c>
      <c r="D351" s="5" t="n">
        <v>168115.62</v>
      </c>
      <c r="E351" s="2" t="inlineStr">
        <is>
          <t>Andalucía</t>
        </is>
      </c>
      <c r="F351" s="2" t="inlineStr">
        <is>
          <t>Cádiz</t>
        </is>
      </c>
      <c r="G351" s="2" t="n"/>
      <c r="H351" s="2" t="inlineStr">
        <is>
          <t>Alcaldía del Ayuntamiento de Bornos</t>
        </is>
      </c>
      <c r="I351" s="2" t="inlineStr">
        <is>
          <t>Rehabilitación del edificio municipal Centro para Educación de Adultos, en Calle Granada S/N</t>
        </is>
      </c>
      <c r="J351" s="2" t="inlineStr">
        <is>
          <t>2026_11010_COAS_00010</t>
        </is>
      </c>
      <c r="K351" s="2" t="inlineStr">
        <is>
          <t>Abierto simplificado</t>
        </is>
      </c>
      <c r="L351" s="6" t="n">
        <v>4</v>
      </c>
      <c r="M351" s="2" t="n"/>
      <c r="N351" s="7" t="n">
        <v>0</v>
      </c>
      <c r="O351" s="4" t="n"/>
      <c r="P351" s="2" t="inlineStr">
        <is>
          <t>45454100; 45210000; 45310000</t>
        </is>
      </c>
      <c r="Q351" s="8" t="inlineStr">
        <is>
          <t>Ver</t>
        </is>
      </c>
      <c r="R351" s="8" t="inlineStr">
        <is>
          <t>PCAP</t>
        </is>
      </c>
      <c r="S351" s="9" t="n">
        <v>46318</v>
      </c>
      <c r="T351" s="3" t="n">
        <v>46317.39716435185</v>
      </c>
      <c r="U351" s="2" t="n"/>
    </row>
    <row r="352">
      <c r="A352" s="2" t="inlineStr">
        <is>
          <t>Adjudicada</t>
        </is>
      </c>
      <c r="B352" s="3" t="n">
        <v>46281.58333333334</v>
      </c>
      <c r="C352" s="5" t="n">
        <v>63816.96</v>
      </c>
      <c r="D352" s="5" t="n">
        <v>63816.96</v>
      </c>
      <c r="E352" s="2" t="inlineStr">
        <is>
          <t>Andalucía</t>
        </is>
      </c>
      <c r="F352" s="2" t="inlineStr">
        <is>
          <t>Jaén</t>
        </is>
      </c>
      <c r="G352" s="2" t="n"/>
      <c r="H352" s="2" t="inlineStr">
        <is>
          <t>Rectorado de la Universidad de Jaén</t>
        </is>
      </c>
      <c r="I352" s="2" t="inlineStr">
        <is>
          <t>Contrato para la redacción de proyecto y la ejecución de las obras de instalación correspondientes a una red de distribución en baja tensión en la zona residencial y deportiva Domingo Savio.</t>
        </is>
      </c>
      <c r="J352" s="2" t="inlineStr">
        <is>
          <t>EXO-2026/04</t>
        </is>
      </c>
      <c r="K352" s="2" t="inlineStr">
        <is>
          <t>Abierto simplificado</t>
        </is>
      </c>
      <c r="L352" s="6" t="n">
        <v>3</v>
      </c>
      <c r="M352" s="2" t="n"/>
      <c r="N352" s="7" t="n">
        <v>0.25</v>
      </c>
      <c r="O352" s="4" t="n"/>
      <c r="P352" s="2" t="inlineStr">
        <is>
          <t>45310000; 45231400; 71320000</t>
        </is>
      </c>
      <c r="Q352" s="8" t="inlineStr">
        <is>
          <t>Ver</t>
        </is>
      </c>
      <c r="R352" s="8" t="inlineStr">
        <is>
          <t>PCAP</t>
        </is>
      </c>
      <c r="S352" s="9" t="n">
        <v>46318</v>
      </c>
      <c r="T352" s="3" t="n">
        <v>46317.39650462963</v>
      </c>
      <c r="U352" s="2" t="n"/>
    </row>
    <row r="353">
      <c r="A353" s="2" t="inlineStr">
        <is>
          <t>Resuelta</t>
        </is>
      </c>
      <c r="B353" s="3" t="n">
        <v>46280.41666666666</v>
      </c>
      <c r="C353" s="5" t="n">
        <v>980507.24</v>
      </c>
      <c r="D353" s="5" t="n">
        <v>980507.24</v>
      </c>
      <c r="E353" s="2" t="inlineStr">
        <is>
          <t>Comunitat Valenciana</t>
        </is>
      </c>
      <c r="F353" s="2" t="inlineStr">
        <is>
          <t>Valencia</t>
        </is>
      </c>
      <c r="G353" s="2" t="inlineStr">
        <is>
          <t>Paiporta (Valencia)</t>
        </is>
      </c>
      <c r="H353" s="2" t="inlineStr">
        <is>
          <t>Empresa de Transformación Agraria S.A.,S.M.E., M.P., (TRAGSA)</t>
        </is>
      </c>
      <c r="I353" s="2" t="inlineStr">
        <is>
          <t>Contrato derivado de acuerdo marco para la contratación de los trabajos de reparación de daños en infraestructuras, instalaciones y servicios de los municipios afectados por la DANA, entre el 28 de octubre y el 4 de noviembre de 2024, Nº 0786293 DANA24M CASA CONSI.PAIPORTA</t>
        </is>
      </c>
      <c r="J353" s="2" t="inlineStr">
        <is>
          <t>TSA0080551-032</t>
        </is>
      </c>
      <c r="K353" s="2" t="inlineStr">
        <is>
          <t>Abierto</t>
        </is>
      </c>
      <c r="L353" s="6" t="n">
        <v>6</v>
      </c>
      <c r="M353" s="2" t="n"/>
      <c r="N353" s="7" t="n">
        <v>0</v>
      </c>
      <c r="O353" s="4" t="n"/>
      <c r="P353" s="2" t="inlineStr">
        <is>
          <t>45454100</t>
        </is>
      </c>
      <c r="Q353" s="8" t="inlineStr">
        <is>
          <t>Ver</t>
        </is>
      </c>
      <c r="R353" s="8" t="inlineStr">
        <is>
          <t>PCAP</t>
        </is>
      </c>
      <c r="S353" s="9" t="n">
        <v>46318</v>
      </c>
      <c r="T353" s="3" t="n">
        <v>46317.39637731481</v>
      </c>
      <c r="U353" s="2" t="n"/>
    </row>
    <row r="354">
      <c r="A354" s="2" t="inlineStr">
        <is>
          <t>En plazo</t>
        </is>
      </c>
      <c r="B354" s="3" t="n">
        <v>46330.99930555555</v>
      </c>
      <c r="C354" s="5" t="n">
        <v>44332.73</v>
      </c>
      <c r="D354" s="5" t="n">
        <v>44332.73</v>
      </c>
      <c r="E354" s="2" t="inlineStr">
        <is>
          <t>Comunitat Valenciana</t>
        </is>
      </c>
      <c r="F354" s="2" t="inlineStr">
        <is>
          <t>Castellón</t>
        </is>
      </c>
      <c r="G354" s="2" t="n"/>
      <c r="H354" s="2" t="inlineStr">
        <is>
          <t>Dirección General del Aeropuerto de Castellón</t>
        </is>
      </c>
      <c r="I354" s="2" t="inlineStr">
        <is>
          <t>Contratación de la obra de adecuación del nuevo tramo de vial de servicios en el Aeropuerto de Castellón S.L.</t>
        </is>
      </c>
      <c r="J354" s="2" t="inlineStr">
        <is>
          <t>CMAYOR/2026/AEROC/511</t>
        </is>
      </c>
      <c r="K354" s="2" t="inlineStr">
        <is>
          <t>Abierto simplificado</t>
        </is>
      </c>
      <c r="L354" s="6" t="n">
        <v>1.4</v>
      </c>
      <c r="M354" s="2" t="n"/>
      <c r="N354" s="7" t="n">
        <v>0</v>
      </c>
      <c r="O354" s="4" t="n"/>
      <c r="P354" s="2" t="inlineStr">
        <is>
          <t>45233226; 45233142; 45233222</t>
        </is>
      </c>
      <c r="Q354" s="8" t="inlineStr">
        <is>
          <t>Ver</t>
        </is>
      </c>
      <c r="R354" s="8" t="inlineStr">
        <is>
          <t>PCAP</t>
        </is>
      </c>
      <c r="S354" s="9" t="n">
        <v>46317</v>
      </c>
      <c r="T354" s="3" t="n">
        <v>46317.39271990741</v>
      </c>
      <c r="U354" s="2" t="n"/>
    </row>
    <row r="355">
      <c r="A355" s="2" t="inlineStr">
        <is>
          <t>Pendiente de adjudicación</t>
        </is>
      </c>
      <c r="B355" s="3" t="n">
        <v>46301.99930555555</v>
      </c>
      <c r="C355" s="5" t="n">
        <v>56231.72</v>
      </c>
      <c r="D355" s="5" t="n">
        <v>56231.72</v>
      </c>
      <c r="E355" s="2" t="inlineStr">
        <is>
          <t>Comunitat Valenciana</t>
        </is>
      </c>
      <c r="F355" s="2" t="inlineStr">
        <is>
          <t>Valencia</t>
        </is>
      </c>
      <c r="G355" s="2" t="inlineStr">
        <is>
          <t>Náquera</t>
        </is>
      </c>
      <c r="H355" s="2" t="inlineStr">
        <is>
          <t>Alcaldía del Ayuntamiento de Náquera</t>
        </is>
      </c>
      <c r="I355" s="2" t="inlineStr">
        <is>
          <t>Contrato de obras de ampliación instalación de cámaras de control de tráfico área industrial Los Vientos</t>
        </is>
      </c>
      <c r="J355" s="2" t="inlineStr">
        <is>
          <t>3890/2026</t>
        </is>
      </c>
      <c r="K355" s="2" t="inlineStr">
        <is>
          <t>Abierto simplificado</t>
        </is>
      </c>
      <c r="L355" s="6" t="n">
        <v>3</v>
      </c>
      <c r="M355" s="2" t="n"/>
      <c r="N355" s="7" t="n">
        <v>0.2</v>
      </c>
      <c r="O355" s="4" t="n"/>
      <c r="P355" s="2" t="inlineStr">
        <is>
          <t>45310000; 45311000; 45314000</t>
        </is>
      </c>
      <c r="Q355" s="8" t="inlineStr">
        <is>
          <t>Ver</t>
        </is>
      </c>
      <c r="R355" s="8" t="inlineStr">
        <is>
          <t>PCAP</t>
        </is>
      </c>
      <c r="S355" s="9" t="n">
        <v>46318</v>
      </c>
      <c r="T355" s="3" t="n">
        <v>46317.39180555556</v>
      </c>
      <c r="U355" s="2" t="n"/>
    </row>
    <row r="356">
      <c r="A356" s="2" t="inlineStr">
        <is>
          <t>Adjudicada</t>
        </is>
      </c>
      <c r="B356" s="3" t="n">
        <v>46162.99930555555</v>
      </c>
      <c r="C356" s="5" t="n">
        <v>107438.02</v>
      </c>
      <c r="D356" s="5" t="n">
        <v>107438.02</v>
      </c>
      <c r="E356" s="2" t="inlineStr">
        <is>
          <t>Comunitat Valenciana</t>
        </is>
      </c>
      <c r="F356" s="2" t="inlineStr">
        <is>
          <t>Valencia</t>
        </is>
      </c>
      <c r="G356" s="2" t="n"/>
      <c r="H356" s="2" t="inlineStr">
        <is>
          <t>Concejalía Delegada de Contratación del Ajuntament de València</t>
        </is>
      </c>
      <c r="I356" s="2" t="inlineStr">
        <is>
          <t>Obras correspondientes al proyecto de instalación fotovoltaica y adaptación de la instalación eléctrica en el Polideportivo Doctor Lluch, actuación seleccionada en la consulta ciudadana sobre inversiones en barrios de los presupuestos participativos DECIDIM VLC (VLC 2022_6500)</t>
        </is>
      </c>
      <c r="J356" s="2" t="inlineStr">
        <is>
          <t>04101/2026/62-O</t>
        </is>
      </c>
      <c r="K356" s="2" t="inlineStr">
        <is>
          <t>Abierto simplificado</t>
        </is>
      </c>
      <c r="L356" s="6" t="n">
        <v>4</v>
      </c>
      <c r="M356" s="2" t="n"/>
      <c r="N356" s="7" t="n">
        <v>0.25</v>
      </c>
      <c r="O356" s="4" t="n"/>
      <c r="P356" s="2" t="inlineStr">
        <is>
          <t>45212200; 45315600; 45300000</t>
        </is>
      </c>
      <c r="Q356" s="8" t="inlineStr">
        <is>
          <t>Ver</t>
        </is>
      </c>
      <c r="R356" s="8" t="inlineStr">
        <is>
          <t>PCAP</t>
        </is>
      </c>
      <c r="S356" s="9" t="n">
        <v>46318</v>
      </c>
      <c r="T356" s="3" t="n">
        <v>46317.3878125</v>
      </c>
      <c r="U356" s="2" t="n"/>
    </row>
    <row r="357">
      <c r="A357" s="2" t="inlineStr">
        <is>
          <t>Pendiente de adjudicación</t>
        </is>
      </c>
      <c r="B357" s="3" t="n">
        <v>46303.99930555555</v>
      </c>
      <c r="C357" s="5" t="n">
        <v>194367.82</v>
      </c>
      <c r="D357" s="5" t="n">
        <v>194367.82</v>
      </c>
      <c r="E357" s="2" t="inlineStr">
        <is>
          <t>Comunitat Valenciana</t>
        </is>
      </c>
      <c r="F357" s="2" t="inlineStr">
        <is>
          <t>Valencia</t>
        </is>
      </c>
      <c r="G357" s="2" t="inlineStr">
        <is>
          <t>CULLERA</t>
        </is>
      </c>
      <c r="H357" s="2" t="inlineStr">
        <is>
          <t>Alcaldía del Ayuntamiento de Cullera</t>
        </is>
      </c>
      <c r="I357" s="2" t="inlineStr">
        <is>
          <t>Obras de reurbanización de la Plaza Dr Fleming de Cullera.</t>
        </is>
      </c>
      <c r="J357" s="2" t="inlineStr">
        <is>
          <t>2961336R</t>
        </is>
      </c>
      <c r="K357" s="2" t="inlineStr">
        <is>
          <t>Abierto simplificado</t>
        </is>
      </c>
      <c r="L357" s="6" t="n">
        <v>3</v>
      </c>
      <c r="M357" s="2" t="n"/>
      <c r="N357" s="7" t="n">
        <v>0</v>
      </c>
      <c r="O357" s="4" t="n"/>
      <c r="P357" s="2" t="inlineStr">
        <is>
          <t>45000000; 45316100; 45233252; 45233294; 45233262; 45233293</t>
        </is>
      </c>
      <c r="Q357" s="8" t="inlineStr">
        <is>
          <t>Ver</t>
        </is>
      </c>
      <c r="R357" s="8" t="inlineStr">
        <is>
          <t>PCAP</t>
        </is>
      </c>
      <c r="S357" s="9" t="n">
        <v>46314</v>
      </c>
      <c r="T357" s="3" t="n">
        <v>46317.38734953704</v>
      </c>
      <c r="U357" s="2" t="n"/>
    </row>
    <row r="358">
      <c r="A358" s="2" t="inlineStr">
        <is>
          <t>Adjudicada</t>
        </is>
      </c>
      <c r="B358" s="3" t="n">
        <v>46281.99930555555</v>
      </c>
      <c r="C358" s="5" t="n">
        <v>10598.74</v>
      </c>
      <c r="D358" s="5" t="n">
        <v>10598.74</v>
      </c>
      <c r="E358" s="2" t="inlineStr">
        <is>
          <t>Andalucía</t>
        </is>
      </c>
      <c r="F358" s="2" t="inlineStr">
        <is>
          <t>Córdoba</t>
        </is>
      </c>
      <c r="G358" s="2" t="inlineStr">
        <is>
          <t>Peñarroya-Pueblonuevo</t>
        </is>
      </c>
      <c r="H358" s="2" t="inlineStr">
        <is>
          <t>Diputada delegada de Presidencia, Gobierno Interior y Vivienda</t>
        </is>
      </c>
      <c r="I358" s="2" t="inlineStr">
        <is>
          <t>Contratación de las obras de Acondicinamiento de la oficina SAU Guadiato en Peñarroya-Pueblonuevo (Córdoba)</t>
        </is>
      </c>
      <c r="J358" s="2" t="inlineStr">
        <is>
          <t>297/26</t>
        </is>
      </c>
      <c r="K358" s="2" t="inlineStr">
        <is>
          <t>Abierto simplificado</t>
        </is>
      </c>
      <c r="L358" s="6" t="n">
        <v>1</v>
      </c>
      <c r="M358" s="2" t="n"/>
      <c r="N358" s="7" t="n">
        <v>0</v>
      </c>
      <c r="O358" s="4" t="n"/>
      <c r="P358" s="2" t="inlineStr">
        <is>
          <t>45300000; 45400000</t>
        </is>
      </c>
      <c r="Q358" s="8" t="inlineStr">
        <is>
          <t>Ver</t>
        </is>
      </c>
      <c r="R358" s="8" t="inlineStr">
        <is>
          <t>PCAP</t>
        </is>
      </c>
      <c r="S358" s="9" t="n">
        <v>46318</v>
      </c>
      <c r="T358" s="3" t="n">
        <v>46317.38631944444</v>
      </c>
      <c r="U358" s="2" t="n"/>
    </row>
    <row r="359">
      <c r="A359" s="2" t="inlineStr">
        <is>
          <t>Resuelta</t>
        </is>
      </c>
      <c r="B359" s="3" t="n">
        <v>46076.99930555555</v>
      </c>
      <c r="C359" s="5" t="n">
        <v>109090.91</v>
      </c>
      <c r="D359" s="5" t="n">
        <v>109090.91</v>
      </c>
      <c r="E359" s="2" t="inlineStr">
        <is>
          <t>Comunitat Valenciana</t>
        </is>
      </c>
      <c r="F359" s="2" t="inlineStr">
        <is>
          <t>Valencia</t>
        </is>
      </c>
      <c r="G359" s="2" t="n"/>
      <c r="H359" s="2" t="inlineStr">
        <is>
          <t>Junta de Gobierno del Ayuntamiento de Paiporta</t>
        </is>
      </c>
      <c r="I359" s="2" t="inlineStr">
        <is>
          <t>Obras de mejora y modernización del POLÍGONO LA ESTACIÓN, obra financiada por el Instituto Valenciano de Competitividad Empresarial (IVACE) para ayudas para proyectos de inversión para la mejora, modernización y dotación de infraestructuras y servicios en polígonos, áreas industriales y enclaves tecnológicos con cargo al presupuesto del ejercicio 2025, para el polígono de la ESTACIÓN.</t>
        </is>
      </c>
      <c r="J359" s="2" t="inlineStr">
        <is>
          <t>2582873Z</t>
        </is>
      </c>
      <c r="K359" s="2" t="inlineStr">
        <is>
          <t>Abierto simplificado</t>
        </is>
      </c>
      <c r="L359" s="6" t="n">
        <v>3</v>
      </c>
      <c r="M359" s="2" t="n"/>
      <c r="N359" s="7" t="n">
        <v>0</v>
      </c>
      <c r="O359" s="4" t="n"/>
      <c r="P359" s="2" t="inlineStr">
        <is>
          <t>45233161; 45233222; 45233270; 45233221; 45233251; 45233294; 45111000; 45233293</t>
        </is>
      </c>
      <c r="Q359" s="8" t="inlineStr">
        <is>
          <t>Ver</t>
        </is>
      </c>
      <c r="R359" s="8" t="inlineStr">
        <is>
          <t>PCAP</t>
        </is>
      </c>
      <c r="S359" s="9" t="n">
        <v>46318</v>
      </c>
      <c r="T359" s="3" t="n">
        <v>46317.3846875</v>
      </c>
      <c r="U359" s="2" t="n"/>
    </row>
    <row r="360">
      <c r="A360" s="2" t="inlineStr">
        <is>
          <t>Pendiente de adjudicación</t>
        </is>
      </c>
      <c r="B360" s="3" t="n">
        <v>46301.99930555555</v>
      </c>
      <c r="C360" s="5" t="n">
        <v>250000</v>
      </c>
      <c r="D360" s="5" t="n">
        <v>250000</v>
      </c>
      <c r="E360" s="2" t="inlineStr">
        <is>
          <t>Andalucía</t>
        </is>
      </c>
      <c r="F360" s="2" t="inlineStr">
        <is>
          <t>Córdoba</t>
        </is>
      </c>
      <c r="G360" s="2" t="n"/>
      <c r="H360" s="2" t="inlineStr">
        <is>
          <t>Diputado delegado de Infraestructuras, Sostenibilidad y Agricultura</t>
        </is>
      </c>
      <c r="I360" s="2" t="inlineStr">
        <is>
          <t>Contratación de las obras de Reparación del camino provincial CP-71, Del Galván, en Córdoba.</t>
        </is>
      </c>
      <c r="J360" s="2" t="inlineStr">
        <is>
          <t>752/26</t>
        </is>
      </c>
      <c r="K360" s="2" t="inlineStr">
        <is>
          <t>Abierto</t>
        </is>
      </c>
      <c r="L360" s="6" t="n">
        <v>4</v>
      </c>
      <c r="M360" s="2" t="n"/>
      <c r="N360" s="7" t="n">
        <v>0.4</v>
      </c>
      <c r="O360" s="4" t="n"/>
      <c r="P360" s="2" t="inlineStr">
        <is>
          <t>45233160</t>
        </is>
      </c>
      <c r="Q360" s="8" t="inlineStr">
        <is>
          <t>Ver</t>
        </is>
      </c>
      <c r="R360" s="8" t="inlineStr">
        <is>
          <t>PCAP</t>
        </is>
      </c>
      <c r="S360" s="9" t="n">
        <v>46310</v>
      </c>
      <c r="T360" s="3" t="n">
        <v>46317.38195601852</v>
      </c>
      <c r="U360" s="2" t="n"/>
    </row>
    <row r="361">
      <c r="A361" s="2" t="inlineStr">
        <is>
          <t>Adjudicada</t>
        </is>
      </c>
      <c r="B361" s="3" t="n">
        <v>46288.99930555555</v>
      </c>
      <c r="C361" s="5" t="n">
        <v>60000</v>
      </c>
      <c r="D361" s="5" t="n">
        <v>60000</v>
      </c>
      <c r="E361" s="2" t="inlineStr">
        <is>
          <t>Comunitat Valenciana</t>
        </is>
      </c>
      <c r="F361" s="2" t="inlineStr">
        <is>
          <t>Alicante</t>
        </is>
      </c>
      <c r="G361" s="2" t="n"/>
      <c r="H361" s="2" t="inlineStr">
        <is>
          <t>Junta de Gobierno del Ayuntamiento de Benidorm</t>
        </is>
      </c>
      <c r="I361" s="2" t="inlineStr">
        <is>
          <t>Contrato de servicio de aplicación de trabajos de pintura en mobiliario urbano</t>
        </is>
      </c>
      <c r="J361" s="2" t="inlineStr">
        <is>
          <t>7412/2026</t>
        </is>
      </c>
      <c r="K361" s="2" t="inlineStr">
        <is>
          <t>Abierto</t>
        </is>
      </c>
      <c r="L361" s="6" t="n">
        <v>4</v>
      </c>
      <c r="M361" s="2" t="n"/>
      <c r="N361" s="7" t="n">
        <v>0</v>
      </c>
      <c r="O361" s="4" t="n"/>
      <c r="P361" s="2" t="inlineStr">
        <is>
          <t>45442100</t>
        </is>
      </c>
      <c r="Q361" s="8" t="inlineStr">
        <is>
          <t>Ver</t>
        </is>
      </c>
      <c r="R361" s="2" t="n"/>
      <c r="S361" s="9" t="n">
        <v>46318</v>
      </c>
      <c r="T361" s="3" t="n">
        <v>46317.38194444445</v>
      </c>
      <c r="U361" s="2" t="n"/>
    </row>
    <row r="362">
      <c r="A362" s="2" t="inlineStr">
        <is>
          <t>Resuelta</t>
        </is>
      </c>
      <c r="B362" s="3" t="n"/>
      <c r="C362" s="5" t="n">
        <v>0</v>
      </c>
      <c r="D362" s="5" t="n">
        <v>367500</v>
      </c>
      <c r="E362" s="2" t="inlineStr">
        <is>
          <t>Andalucía</t>
        </is>
      </c>
      <c r="F362" s="2" t="n"/>
      <c r="G362" s="2" t="n"/>
      <c r="H362" s="2" t="inlineStr">
        <is>
          <t>ADIF Alta Velocidad - Presidencia</t>
        </is>
      </c>
      <c r="I362" s="2" t="inlineStr">
        <is>
          <t>Emergencia de las obras y de los servicios de estabilización del talud situado entre los puntos kilométricos 120+849 al 121+389, de la línea de Alta Velocidad 030 Córdoba – Málaga. Asistencia Técnica</t>
        </is>
      </c>
      <c r="J362" s="2" t="inlineStr">
        <is>
          <t>3.26/20810.0035</t>
        </is>
      </c>
      <c r="K362" s="2" t="inlineStr">
        <is>
          <t>Negociado sin publicidad</t>
        </is>
      </c>
      <c r="L362" s="6" t="n">
        <v>4</v>
      </c>
      <c r="M362" s="2" t="n"/>
      <c r="N362" s="7" t="n">
        <v>0</v>
      </c>
      <c r="O362" s="4" t="n"/>
      <c r="P362" s="2" t="inlineStr">
        <is>
          <t>45450000</t>
        </is>
      </c>
      <c r="Q362" s="8" t="inlineStr">
        <is>
          <t>Ver</t>
        </is>
      </c>
      <c r="R362" s="2" t="n"/>
      <c r="S362" s="9" t="n">
        <v>46310</v>
      </c>
      <c r="T362" s="3" t="n">
        <v>46317.37996527777</v>
      </c>
      <c r="U362" s="2" t="inlineStr">
        <is>
          <t>2026-10-23: estado ADJ → RES</t>
        </is>
      </c>
    </row>
    <row r="363">
      <c r="A363" s="2" t="inlineStr">
        <is>
          <t>En plazo</t>
        </is>
      </c>
      <c r="B363" s="3" t="n">
        <v>46338.79166666666</v>
      </c>
      <c r="C363" s="5" t="n">
        <v>42644.63</v>
      </c>
      <c r="D363" s="5" t="n">
        <v>42644.63</v>
      </c>
      <c r="E363" s="2" t="inlineStr">
        <is>
          <t>Comunitat Valenciana</t>
        </is>
      </c>
      <c r="F363" s="2" t="inlineStr">
        <is>
          <t>Valencia</t>
        </is>
      </c>
      <c r="G363" s="2" t="inlineStr">
        <is>
          <t>Xàtiva</t>
        </is>
      </c>
      <c r="H363" s="2" t="inlineStr">
        <is>
          <t>Departamento de Salud de Xàtiva-Ontinyent. Dirección Económica-Gerencia</t>
        </is>
      </c>
      <c r="I363" s="2" t="inlineStr">
        <is>
          <t>Obra de renovación de la instalación de agua, por cambio de tuberías del Hospital Universitari Lluís Alcanyís de Xàtiva, adscrito al Departamento de Salud Xàtiva- Ontinyent, así como la Dirección de obra y coordinación de seguridad y salud.</t>
        </is>
      </c>
      <c r="J363" s="2" t="inlineStr">
        <is>
          <t>PAS 1420 2026</t>
        </is>
      </c>
      <c r="K363" s="2" t="inlineStr">
        <is>
          <t>Abierto simplificado</t>
        </is>
      </c>
      <c r="L363" s="6" t="n">
        <v>2</v>
      </c>
      <c r="M363" s="2" t="n"/>
      <c r="N363" s="7" t="n">
        <v>0.45</v>
      </c>
      <c r="O363" s="4" t="n">
        <v>2</v>
      </c>
      <c r="P363" s="2" t="inlineStr">
        <is>
          <t>45000000; 71540000; 71520000; 71317200; 45231113; 45232100; 71317210; 45259900; 45215100</t>
        </is>
      </c>
      <c r="Q363" s="8" t="inlineStr">
        <is>
          <t>Ver</t>
        </is>
      </c>
      <c r="R363" s="8" t="inlineStr">
        <is>
          <t>PCAP</t>
        </is>
      </c>
      <c r="S363" s="9" t="n">
        <v>46318</v>
      </c>
      <c r="T363" s="3" t="n">
        <v>46317.37971064815</v>
      </c>
      <c r="U363" s="2" t="n"/>
    </row>
    <row r="364">
      <c r="A364" s="2" t="inlineStr">
        <is>
          <t>Resuelta</t>
        </is>
      </c>
      <c r="B364" s="3" t="n"/>
      <c r="C364" s="5" t="n">
        <v>0</v>
      </c>
      <c r="D364" s="5" t="n">
        <v>5953500</v>
      </c>
      <c r="E364" s="2" t="inlineStr">
        <is>
          <t>Andalucía</t>
        </is>
      </c>
      <c r="F364" s="2" t="n"/>
      <c r="G364" s="2" t="n"/>
      <c r="H364" s="2" t="inlineStr">
        <is>
          <t>ADIF Alta Velocidad - Presidencia</t>
        </is>
      </c>
      <c r="I364" s="2" t="inlineStr">
        <is>
          <t>Emergencia de las obras y de los servicios de estabilización del talud situado entre los puntos kilométricos 120+849 al 121+389, de la línea de Alta Velocidad 030 Córdoba – Málaga.Obra</t>
        </is>
      </c>
      <c r="J364" s="2" t="inlineStr">
        <is>
          <t>3.26/20810.0034</t>
        </is>
      </c>
      <c r="K364" s="2" t="inlineStr">
        <is>
          <t>Negociado sin publicidad</t>
        </is>
      </c>
      <c r="L364" s="6" t="n">
        <v>4</v>
      </c>
      <c r="M364" s="2" t="n"/>
      <c r="N364" s="7" t="n">
        <v>0</v>
      </c>
      <c r="O364" s="4" t="n"/>
      <c r="P364" s="2" t="inlineStr">
        <is>
          <t>45450000</t>
        </is>
      </c>
      <c r="Q364" s="8" t="inlineStr">
        <is>
          <t>Ver</t>
        </is>
      </c>
      <c r="R364" s="2" t="n"/>
      <c r="S364" s="9" t="n">
        <v>46310</v>
      </c>
      <c r="T364" s="3" t="n">
        <v>46317.37876157407</v>
      </c>
      <c r="U364" s="2" t="inlineStr">
        <is>
          <t>2026-10-23: estado ADJ → RES</t>
        </is>
      </c>
    </row>
    <row r="365">
      <c r="A365" s="2" t="inlineStr">
        <is>
          <t>En plazo</t>
        </is>
      </c>
      <c r="B365" s="3" t="n">
        <v>46337.99930555555</v>
      </c>
      <c r="C365" s="5" t="n">
        <v>364829.96</v>
      </c>
      <c r="D365" s="5" t="n">
        <v>364829.96</v>
      </c>
      <c r="E365" s="2" t="inlineStr">
        <is>
          <t>Comunitat Valenciana</t>
        </is>
      </c>
      <c r="F365" s="2" t="inlineStr">
        <is>
          <t>Alicante</t>
        </is>
      </c>
      <c r="G365" s="2" t="n"/>
      <c r="H365" s="2" t="inlineStr">
        <is>
          <t>Alcaldía del Ayuntamiento de Crevillent</t>
        </is>
      </c>
      <c r="I365" s="2" t="inlineStr">
        <is>
          <t>Contrato de las obras de construcción de 544 nichos en el Cementerio Municipal</t>
        </is>
      </c>
      <c r="J365" s="2" t="inlineStr">
        <is>
          <t>1849005N/2026</t>
        </is>
      </c>
      <c r="K365" s="2" t="inlineStr">
        <is>
          <t>Abierto simplificado</t>
        </is>
      </c>
      <c r="L365" s="6" t="n">
        <v>3</v>
      </c>
      <c r="M365" s="2" t="n"/>
      <c r="N365" s="7" t="n">
        <v>0</v>
      </c>
      <c r="O365" s="4" t="n"/>
      <c r="P365" s="2" t="inlineStr">
        <is>
          <t>45215400; 45223800</t>
        </is>
      </c>
      <c r="Q365" s="8" t="inlineStr">
        <is>
          <t>Ver</t>
        </is>
      </c>
      <c r="R365" s="8" t="inlineStr">
        <is>
          <t>PCAP</t>
        </is>
      </c>
      <c r="S365" s="9" t="n">
        <v>46318</v>
      </c>
      <c r="T365" s="3" t="n">
        <v>46317.37846064815</v>
      </c>
      <c r="U365" s="2" t="n"/>
    </row>
    <row r="366">
      <c r="A366" s="2" t="inlineStr">
        <is>
          <t>Resuelta</t>
        </is>
      </c>
      <c r="B366" s="3" t="n">
        <v>45777.58333333334</v>
      </c>
      <c r="C366" s="5" t="n">
        <v>852834.4399999999</v>
      </c>
      <c r="D366" s="5" t="n">
        <v>1023401.33</v>
      </c>
      <c r="E366" s="2" t="inlineStr">
        <is>
          <t>Comunitat Valenciana</t>
        </is>
      </c>
      <c r="F366" s="2" t="n"/>
      <c r="G366" s="2" t="n"/>
      <c r="H366" s="2" t="inlineStr">
        <is>
          <t>Subsecretaría - Conselleria de Justicia y Administración Pública de la Generalitat Valenciana</t>
        </is>
      </c>
      <c r="I366" s="2" t="inlineStr">
        <is>
          <t>Obras de reforma, sustitución y modernización de los sistemas de detección de incendios Ciudad de la Justicia de Castellón, Palacio de Justicia de Elche y Sede Judicial de Pardo Gimeno 43 de Alicante, adscritas a la Conselleria de Justicia.</t>
        </is>
      </c>
      <c r="J366" s="2" t="inlineStr">
        <is>
          <t>CMAYOR/2024/15Y04/0050</t>
        </is>
      </c>
      <c r="K366" s="2" t="inlineStr">
        <is>
          <t>Abierto simplificado</t>
        </is>
      </c>
      <c r="L366" s="6" t="n">
        <v>15</v>
      </c>
      <c r="M366" s="2" t="n"/>
      <c r="N366" s="7" t="n">
        <v>0</v>
      </c>
      <c r="O366" s="4" t="n">
        <v>3</v>
      </c>
      <c r="P366" s="2" t="inlineStr">
        <is>
          <t>45343000</t>
        </is>
      </c>
      <c r="Q366" s="8" t="inlineStr">
        <is>
          <t>Ver</t>
        </is>
      </c>
      <c r="R366" s="8" t="inlineStr">
        <is>
          <t>PCAP</t>
        </is>
      </c>
      <c r="S366" s="9" t="n">
        <v>46318</v>
      </c>
      <c r="T366" s="3" t="n">
        <v>46317.37545138889</v>
      </c>
      <c r="U366" s="2" t="n"/>
    </row>
    <row r="367">
      <c r="A367" s="2" t="inlineStr">
        <is>
          <t>Resuelta</t>
        </is>
      </c>
      <c r="B367" s="3" t="n">
        <v>45184.5</v>
      </c>
      <c r="C367" s="5" t="n">
        <v>12556641.66</v>
      </c>
      <c r="D367" s="5" t="n">
        <v>12556641.66</v>
      </c>
      <c r="E367" s="2" t="inlineStr">
        <is>
          <t>Andalucía</t>
        </is>
      </c>
      <c r="F367" s="2" t="inlineStr">
        <is>
          <t>Cádiz</t>
        </is>
      </c>
      <c r="G367" s="2" t="n"/>
      <c r="H367" s="2" t="inlineStr">
        <is>
          <t>Consejo de Administración de la Sociedad de Infraestructuras y Equipamientos Penitenciarios y de la Seguridad del Estado, S.M.E., S.A</t>
        </is>
      </c>
      <c r="I367" s="2" t="inlineStr">
        <is>
          <t>Obra de la Comisaría Local de la Policía Nacional en El Puerto de Santa María (Cádiz) (23.031.NPN2007.OB.02)</t>
        </is>
      </c>
      <c r="J367" s="2" t="inlineStr">
        <is>
          <t>23.031.NPN2007.OB.02</t>
        </is>
      </c>
      <c r="K367" s="2" t="inlineStr">
        <is>
          <t>Abierto</t>
        </is>
      </c>
      <c r="L367" s="6" t="n">
        <v>18</v>
      </c>
      <c r="M367" s="2" t="inlineStr">
        <is>
          <t>C*-6</t>
        </is>
      </c>
      <c r="N367" s="7" t="n">
        <v>0.3</v>
      </c>
      <c r="O367" s="4" t="n"/>
      <c r="P367" s="2" t="inlineStr">
        <is>
          <t>45216110</t>
        </is>
      </c>
      <c r="Q367" s="8" t="inlineStr">
        <is>
          <t>Ver</t>
        </is>
      </c>
      <c r="R367" s="8" t="inlineStr">
        <is>
          <t>PCAP</t>
        </is>
      </c>
      <c r="S367" s="9" t="n">
        <v>46317</v>
      </c>
      <c r="T367" s="3" t="n">
        <v>46317.375</v>
      </c>
      <c r="U367" s="2" t="n"/>
    </row>
    <row r="368">
      <c r="A368" s="2" t="inlineStr">
        <is>
          <t>Pendiente de adjudicación</t>
        </is>
      </c>
      <c r="B368" s="3" t="n">
        <v>46309.99930555555</v>
      </c>
      <c r="C368" s="5" t="n">
        <v>116066.62</v>
      </c>
      <c r="D368" s="5" t="n">
        <v>116066.62</v>
      </c>
      <c r="E368" s="2" t="inlineStr">
        <is>
          <t>Comunitat Valenciana</t>
        </is>
      </c>
      <c r="F368" s="2" t="inlineStr">
        <is>
          <t>Valencia</t>
        </is>
      </c>
      <c r="G368" s="2" t="inlineStr">
        <is>
          <t>Cullera</t>
        </is>
      </c>
      <c r="H368" s="2" t="inlineStr">
        <is>
          <t>Alcaldía del Ayuntamiento de Cullera</t>
        </is>
      </c>
      <c r="I368" s="2" t="inlineStr">
        <is>
          <t>Contrato de obras de ejecución del plan de mejora y acondicionamiento de firmes 2026</t>
        </is>
      </c>
      <c r="J368" s="2" t="inlineStr">
        <is>
          <t>2961261N</t>
        </is>
      </c>
      <c r="K368" s="2" t="inlineStr">
        <is>
          <t>Abierto simplificado</t>
        </is>
      </c>
      <c r="L368" s="6" t="n">
        <v>1</v>
      </c>
      <c r="M368" s="2" t="n"/>
      <c r="N368" s="7" t="n">
        <v>0</v>
      </c>
      <c r="O368" s="4" t="n"/>
      <c r="P368" s="2" t="inlineStr">
        <is>
          <t>45233222; 45233223; 45233252</t>
        </is>
      </c>
      <c r="Q368" s="8" t="inlineStr">
        <is>
          <t>Ver</t>
        </is>
      </c>
      <c r="R368" s="8" t="inlineStr">
        <is>
          <t>PCAP</t>
        </is>
      </c>
      <c r="S368" s="9" t="n">
        <v>46318</v>
      </c>
      <c r="T368" s="3" t="n">
        <v>46317.37431712963</v>
      </c>
      <c r="U368" s="2" t="n"/>
    </row>
    <row r="369">
      <c r="A369" s="2" t="inlineStr">
        <is>
          <t>Adjudicada</t>
        </is>
      </c>
      <c r="B369" s="3" t="n"/>
      <c r="C369" s="5" t="n">
        <v>8649623.119999999</v>
      </c>
      <c r="D369" s="5" t="n">
        <v>8649623.119999999</v>
      </c>
      <c r="E369" s="2" t="inlineStr">
        <is>
          <t>Andalucía</t>
        </is>
      </c>
      <c r="F369" s="2" t="inlineStr">
        <is>
          <t>Sevilla</t>
        </is>
      </c>
      <c r="G369" s="2" t="n"/>
      <c r="H369" s="2" t="inlineStr">
        <is>
          <t>Secretaría de Estado de Planificación e Infraestructuras - Demarcación de Carreteras del Estado en Andalucía Occidental</t>
        </is>
      </c>
      <c r="I369" s="2" t="inlineStr">
        <is>
          <t>Obra de emergencia. Reparación del firme de la autovía del V Centenario A-49 P. K. 31+550 - 132+860, H-30, del P.K. 8+490 - 19+100, H-31 P.K. 77+830 -84+664, H-30, del P.K. 0+000 - 8+490, N-431 P.K. 79+525 -134+100, N-433 P.K. 61+310 -155+300, N-435 y N-435 A P.K. 104+282 - 222+100, N-442 P.K. 4+780 - 17+870, N-444 P.K. 0+000 - 3+400, N-445 P.K. 0+000 2+900. Provincia de Huelva.</t>
        </is>
      </c>
      <c r="J369" s="2" t="inlineStr">
        <is>
          <t>EM72H26003-C4126H21001</t>
        </is>
      </c>
      <c r="K369" s="2" t="inlineStr">
        <is>
          <t>Negociado sin publicidad</t>
        </is>
      </c>
      <c r="L369" s="6" t="n">
        <v>4</v>
      </c>
      <c r="M369" s="2" t="n"/>
      <c r="N369" s="7" t="n"/>
      <c r="O369" s="4" t="n">
        <v>4</v>
      </c>
      <c r="P369" s="2" t="inlineStr">
        <is>
          <t>45233142; 45233000; 45233100; 45233140; 45200000; 45230000</t>
        </is>
      </c>
      <c r="Q369" s="8" t="inlineStr">
        <is>
          <t>Ver</t>
        </is>
      </c>
      <c r="R369" s="2" t="n"/>
      <c r="S369" s="9" t="n">
        <v>46318</v>
      </c>
      <c r="T369" s="3" t="n">
        <v>46317.37238425926</v>
      </c>
      <c r="U369" s="2" t="n"/>
    </row>
    <row r="370">
      <c r="A370" s="2" t="inlineStr">
        <is>
          <t>Resuelta</t>
        </is>
      </c>
      <c r="B370" s="3" t="n">
        <v>46266.58333333334</v>
      </c>
      <c r="C370" s="5" t="n">
        <v>223026.23</v>
      </c>
      <c r="D370" s="5" t="n">
        <v>269861.74</v>
      </c>
      <c r="E370" s="2" t="inlineStr">
        <is>
          <t>Andalucía</t>
        </is>
      </c>
      <c r="F370" s="2" t="inlineStr">
        <is>
          <t>Sevilla</t>
        </is>
      </c>
      <c r="G370" s="2" t="n"/>
      <c r="H370" s="2" t="inlineStr">
        <is>
          <t>Alcaldía del Ayuntamiento de Gilena</t>
        </is>
      </c>
      <c r="I370" s="2" t="inlineStr">
        <is>
          <t>obra campo de futbol</t>
        </is>
      </c>
      <c r="J370" s="2" t="inlineStr">
        <is>
          <t>245-2024</t>
        </is>
      </c>
      <c r="K370" s="2" t="inlineStr">
        <is>
          <t>Abierto simplificado</t>
        </is>
      </c>
      <c r="L370" s="6" t="n">
        <v>2</v>
      </c>
      <c r="M370" s="2" t="n"/>
      <c r="N370" s="7" t="n">
        <v>0</v>
      </c>
      <c r="O370" s="4" t="n"/>
      <c r="P370" s="2" t="inlineStr">
        <is>
          <t>45212200</t>
        </is>
      </c>
      <c r="Q370" s="8" t="inlineStr">
        <is>
          <t>Ver</t>
        </is>
      </c>
      <c r="R370" s="8" t="inlineStr">
        <is>
          <t>PCAP</t>
        </is>
      </c>
      <c r="S370" s="9" t="n">
        <v>46318</v>
      </c>
      <c r="T370" s="3" t="n">
        <v>46317.36861111111</v>
      </c>
      <c r="U370" s="2" t="n"/>
    </row>
    <row r="371">
      <c r="A371" s="2" t="inlineStr">
        <is>
          <t>En plazo</t>
        </is>
      </c>
      <c r="B371" s="3" t="n">
        <v>46337.99930555555</v>
      </c>
      <c r="C371" s="5" t="n">
        <v>119000</v>
      </c>
      <c r="D371" s="5" t="n">
        <v>119000</v>
      </c>
      <c r="E371" s="2" t="inlineStr">
        <is>
          <t>Andalucía</t>
        </is>
      </c>
      <c r="F371" s="2" t="inlineStr">
        <is>
          <t>Jaén</t>
        </is>
      </c>
      <c r="G371" s="2" t="inlineStr">
        <is>
          <t>Vilches</t>
        </is>
      </c>
      <c r="H371" s="2" t="inlineStr">
        <is>
          <t>Alcaldía del Ayuntamiento de Vilches</t>
        </is>
      </c>
      <c r="I371" s="2" t="inlineStr">
        <is>
          <t>Obras de reparación, restitución, reconstrucción, mejora y ampliación de la Calle Primero de Mayo</t>
        </is>
      </c>
      <c r="J371" s="2" t="inlineStr">
        <is>
          <t>2520/2026</t>
        </is>
      </c>
      <c r="K371" s="2" t="inlineStr">
        <is>
          <t>Abierto simplificado</t>
        </is>
      </c>
      <c r="L371" s="6" t="n">
        <v>2</v>
      </c>
      <c r="M371" s="2" t="n"/>
      <c r="N371" s="7" t="n">
        <v>0</v>
      </c>
      <c r="O371" s="4" t="n"/>
      <c r="P371" s="2" t="inlineStr">
        <is>
          <t>45233252; 45233140</t>
        </is>
      </c>
      <c r="Q371" s="8" t="inlineStr">
        <is>
          <t>Ver</t>
        </is>
      </c>
      <c r="R371" s="8" t="inlineStr">
        <is>
          <t>PCAP</t>
        </is>
      </c>
      <c r="S371" s="9" t="n">
        <v>46318</v>
      </c>
      <c r="T371" s="3" t="n">
        <v>46317.36817129629</v>
      </c>
      <c r="U371" s="2" t="n"/>
    </row>
    <row r="372">
      <c r="A372" s="2" t="inlineStr">
        <is>
          <t>Pendiente de adjudicación</t>
        </is>
      </c>
      <c r="B372" s="3" t="n">
        <v>46293.99930555555</v>
      </c>
      <c r="C372" s="5" t="n">
        <v>72985.21000000001</v>
      </c>
      <c r="D372" s="5" t="n">
        <v>72985.21000000001</v>
      </c>
      <c r="E372" s="2" t="inlineStr">
        <is>
          <t>Andalucía</t>
        </is>
      </c>
      <c r="F372" s="2" t="inlineStr">
        <is>
          <t>Granada</t>
        </is>
      </c>
      <c r="G372" s="2" t="n"/>
      <c r="H372" s="2" t="inlineStr">
        <is>
          <t>Alcaldía del Ayuntamiento de Vegas del Genil</t>
        </is>
      </c>
      <c r="I372" s="2" t="inlineStr">
        <is>
          <t>Acondicionamiento de la calzada de la C/ Escuelas y Camino Ricardo Dolz del Castellar</t>
        </is>
      </c>
      <c r="J372" s="2" t="inlineStr">
        <is>
          <t>3614/2026</t>
        </is>
      </c>
      <c r="K372" s="2" t="inlineStr">
        <is>
          <t>Abierto simplificado</t>
        </is>
      </c>
      <c r="L372" s="6" t="n">
        <v>3</v>
      </c>
      <c r="M372" s="2" t="n"/>
      <c r="N372" s="7" t="n">
        <v>0</v>
      </c>
      <c r="O372" s="4" t="n"/>
      <c r="P372" s="2" t="inlineStr">
        <is>
          <t>45233222; 45233223</t>
        </is>
      </c>
      <c r="Q372" s="8" t="inlineStr">
        <is>
          <t>Ver</t>
        </is>
      </c>
      <c r="R372" s="8" t="inlineStr">
        <is>
          <t>PCAP</t>
        </is>
      </c>
      <c r="S372" s="9" t="n">
        <v>46318</v>
      </c>
      <c r="T372" s="3" t="n">
        <v>46317.36287037037</v>
      </c>
      <c r="U372" s="2" t="n"/>
    </row>
    <row r="373">
      <c r="A373" s="2" t="inlineStr">
        <is>
          <t>Adjudicada</t>
        </is>
      </c>
      <c r="B373" s="3" t="n">
        <v>46294.41666666666</v>
      </c>
      <c r="C373" s="5" t="n">
        <v>76859.5</v>
      </c>
      <c r="D373" s="5" t="n">
        <v>76859.5</v>
      </c>
      <c r="E373" s="2" t="inlineStr">
        <is>
          <t>Andalucía</t>
        </is>
      </c>
      <c r="F373" s="2" t="inlineStr">
        <is>
          <t>Sevilla</t>
        </is>
      </c>
      <c r="G373" s="2" t="n"/>
      <c r="H373" s="2" t="inlineStr">
        <is>
          <t>Jefatura de la Sección Económico Administrativa 24 de la Base Aérea de Morón</t>
        </is>
      </c>
      <c r="I373" s="2" t="inlineStr">
        <is>
          <t>SEVILLA/MORÓN DE LA FRONTERA/Reparación de cubierta pabellón de oficiales y pabellón de suboficiales de la Base Aérea de Morón y Ala 11.</t>
        </is>
      </c>
      <c r="J373" s="2" t="inlineStr">
        <is>
          <t>2026/EA24/00002122E</t>
        </is>
      </c>
      <c r="K373" s="2" t="inlineStr">
        <is>
          <t>Abierto simplificado</t>
        </is>
      </c>
      <c r="L373" s="6" t="n">
        <v>2.3</v>
      </c>
      <c r="M373" s="2" t="n"/>
      <c r="N373" s="7" t="n">
        <v>0</v>
      </c>
      <c r="O373" s="4" t="n"/>
      <c r="P373" s="2" t="inlineStr">
        <is>
          <t>45261910</t>
        </is>
      </c>
      <c r="Q373" s="8" t="inlineStr">
        <is>
          <t>Ver</t>
        </is>
      </c>
      <c r="R373" s="8" t="inlineStr">
        <is>
          <t>PCAP</t>
        </is>
      </c>
      <c r="S373" s="9" t="n">
        <v>46318</v>
      </c>
      <c r="T373" s="3" t="n">
        <v>46317.35739583334</v>
      </c>
      <c r="U373" s="2" t="n"/>
    </row>
    <row r="374">
      <c r="A374" s="2" t="inlineStr">
        <is>
          <t>Adjudicada</t>
        </is>
      </c>
      <c r="B374" s="3" t="n">
        <v>46225.99930555555</v>
      </c>
      <c r="C374" s="5" t="n">
        <v>78570.46000000001</v>
      </c>
      <c r="D374" s="5" t="n">
        <v>78570.46000000001</v>
      </c>
      <c r="E374" s="2" t="inlineStr">
        <is>
          <t>Andalucía</t>
        </is>
      </c>
      <c r="F374" s="2" t="inlineStr">
        <is>
          <t>Málaga</t>
        </is>
      </c>
      <c r="G374" s="2" t="n"/>
      <c r="H374" s="2" t="inlineStr">
        <is>
          <t>Gerente de la Gerencia Municipal de Urbanismo del Ayuntamiento de Málaga</t>
        </is>
      </c>
      <c r="I374" s="2" t="inlineStr">
        <is>
          <t>Obras del Proyecto de reparación de patologías en la sala de tambores y cornetas del Ayuntamiento de Málaga.</t>
        </is>
      </c>
      <c r="J374" s="2" t="inlineStr">
        <is>
          <t>OB-005/26</t>
        </is>
      </c>
      <c r="K374" s="2" t="inlineStr">
        <is>
          <t>Abierto simplificado</t>
        </is>
      </c>
      <c r="L374" s="6" t="n">
        <v>3</v>
      </c>
      <c r="M374" s="2" t="n"/>
      <c r="N374" s="7" t="n">
        <v>0</v>
      </c>
      <c r="O374" s="4" t="n"/>
      <c r="P374" s="2" t="inlineStr">
        <is>
          <t>45111100; 45430000; 45261213; 45262520; 45261300; 45442121; 45261910; 45261200</t>
        </is>
      </c>
      <c r="Q374" s="8" t="inlineStr">
        <is>
          <t>Ver</t>
        </is>
      </c>
      <c r="R374" s="8" t="inlineStr">
        <is>
          <t>PCAP</t>
        </is>
      </c>
      <c r="S374" s="9" t="n">
        <v>46318</v>
      </c>
      <c r="T374" s="3" t="n">
        <v>46317.35248842592</v>
      </c>
      <c r="U374" s="2" t="n"/>
    </row>
    <row r="375">
      <c r="A375" s="2" t="inlineStr">
        <is>
          <t>Pendiente de adjudicación</t>
        </is>
      </c>
      <c r="B375" s="3" t="n">
        <v>46300.99930555555</v>
      </c>
      <c r="C375" s="5" t="n">
        <v>141586.5</v>
      </c>
      <c r="D375" s="5" t="n">
        <v>141586.5</v>
      </c>
      <c r="E375" s="2" t="inlineStr">
        <is>
          <t>Andalucía</t>
        </is>
      </c>
      <c r="F375" s="2" t="inlineStr">
        <is>
          <t>Sevilla</t>
        </is>
      </c>
      <c r="G375" s="2" t="n"/>
      <c r="H375" s="2" t="inlineStr">
        <is>
          <t>Alcaldía del Ayuntamiento de Espartinas</t>
        </is>
      </c>
      <c r="I375" s="2" t="inlineStr">
        <is>
          <t>Suministro e instalación de pérgolas bioclimáticas en Parque Nuestra Señora del Rocío - Plaza del Avión en Espartinas, conforme a lo previsto en el Proyecto Técnico que establece las características de la actuación.</t>
        </is>
      </c>
      <c r="J375" s="2" t="inlineStr">
        <is>
          <t>1969/2026</t>
        </is>
      </c>
      <c r="K375" s="2" t="inlineStr">
        <is>
          <t>Abierto simplificado</t>
        </is>
      </c>
      <c r="L375" s="6" t="n">
        <v>1</v>
      </c>
      <c r="M375" s="2" t="n"/>
      <c r="N375" s="7" t="n">
        <v>0</v>
      </c>
      <c r="O375" s="4" t="n"/>
      <c r="P375" s="2" t="inlineStr">
        <is>
          <t>45223000; 45223110</t>
        </is>
      </c>
      <c r="Q375" s="8" t="inlineStr">
        <is>
          <t>Ver</t>
        </is>
      </c>
      <c r="R375" s="8" t="inlineStr">
        <is>
          <t>PCAP</t>
        </is>
      </c>
      <c r="S375" s="9" t="n">
        <v>46310</v>
      </c>
      <c r="T375" s="3" t="n">
        <v>46317.35041666667</v>
      </c>
      <c r="U375" s="2" t="n"/>
    </row>
    <row r="376">
      <c r="A376" s="2" t="inlineStr">
        <is>
          <t>Pendiente de adjudicación</t>
        </is>
      </c>
      <c r="B376" s="3" t="n">
        <v>46255.99930555555</v>
      </c>
      <c r="C376" s="5" t="n">
        <v>1354509.35</v>
      </c>
      <c r="D376" s="5" t="n">
        <v>1354509.35</v>
      </c>
      <c r="E376" s="2" t="inlineStr">
        <is>
          <t>Andalucía</t>
        </is>
      </c>
      <c r="F376" s="2" t="inlineStr">
        <is>
          <t>Sevilla</t>
        </is>
      </c>
      <c r="G376" s="2" t="n"/>
      <c r="H376" s="2" t="inlineStr">
        <is>
          <t>Presidencia de la Diputación Provincial de Sevilla</t>
        </is>
      </c>
      <c r="I376" s="2" t="inlineStr">
        <is>
          <t>Obras para la mejora de la red de abastecimiento de agua potable en alta, desde la captación al depósito general, Estepa (Sevilla)</t>
        </is>
      </c>
      <c r="J376" s="2" t="inlineStr">
        <is>
          <t>2026/000329-PAAS</t>
        </is>
      </c>
      <c r="K376" s="2" t="inlineStr">
        <is>
          <t>Abierto simplificado</t>
        </is>
      </c>
      <c r="L376" s="6" t="n">
        <v>6</v>
      </c>
      <c r="M376" s="2" t="inlineStr">
        <is>
          <t>E1-4</t>
        </is>
      </c>
      <c r="N376" s="7" t="n">
        <v>0.25</v>
      </c>
      <c r="O376" s="4" t="n"/>
      <c r="P376" s="2" t="inlineStr">
        <is>
          <t>45240000; 45232150</t>
        </is>
      </c>
      <c r="Q376" s="8" t="inlineStr">
        <is>
          <t>Ver</t>
        </is>
      </c>
      <c r="R376" s="8" t="inlineStr">
        <is>
          <t>PCAP</t>
        </is>
      </c>
      <c r="S376" s="9" t="n">
        <v>46310</v>
      </c>
      <c r="T376" s="3" t="n">
        <v>46317.34703703703</v>
      </c>
      <c r="U376" s="2" t="n"/>
    </row>
    <row r="377">
      <c r="A377" s="2" t="inlineStr">
        <is>
          <t>Pendiente de adjudicación</t>
        </is>
      </c>
      <c r="B377" s="3" t="n">
        <v>46027.99930555555</v>
      </c>
      <c r="C377" s="5" t="n">
        <v>2262267.92</v>
      </c>
      <c r="D377" s="5" t="n">
        <v>2262267.92</v>
      </c>
      <c r="E377" s="2" t="inlineStr">
        <is>
          <t>Comunitat Valenciana</t>
        </is>
      </c>
      <c r="F377" s="2" t="inlineStr">
        <is>
          <t>Valencia</t>
        </is>
      </c>
      <c r="G377" s="2" t="inlineStr">
        <is>
          <t>Chiva</t>
        </is>
      </c>
      <c r="H377" s="2" t="inlineStr">
        <is>
          <t>Junta de Gobierno del Ayuntamiento de Chiva</t>
        </is>
      </c>
      <c r="I377" s="2" t="inlineStr">
        <is>
          <t>Obras incluidas en el Proyecto "Renovación de las instalaciones de alumbrado público exterior del municipio de Chiva"</t>
        </is>
      </c>
      <c r="J377" s="2" t="inlineStr">
        <is>
          <t>9284/2025</t>
        </is>
      </c>
      <c r="K377" s="2" t="inlineStr">
        <is>
          <t>Abierto</t>
        </is>
      </c>
      <c r="L377" s="6" t="n">
        <v>9</v>
      </c>
      <c r="M377" s="2" t="inlineStr">
        <is>
          <t>I*-4</t>
        </is>
      </c>
      <c r="N377" s="7" t="n">
        <v>0.25</v>
      </c>
      <c r="O377" s="4" t="n"/>
      <c r="P377" s="2" t="inlineStr">
        <is>
          <t>45316100; 50232100; 71314200</t>
        </is>
      </c>
      <c r="Q377" s="8" t="inlineStr">
        <is>
          <t>Ver</t>
        </is>
      </c>
      <c r="R377" s="8" t="inlineStr">
        <is>
          <t>PCAP</t>
        </is>
      </c>
      <c r="S377" s="9" t="n">
        <v>46318</v>
      </c>
      <c r="T377" s="3" t="n">
        <v>46317.34699074074</v>
      </c>
      <c r="U377" s="2" t="n"/>
    </row>
    <row r="378">
      <c r="A378" s="2" t="inlineStr">
        <is>
          <t>Pendiente de adjudicación</t>
        </is>
      </c>
      <c r="B378" s="3" t="n">
        <v>46315.54166666666</v>
      </c>
      <c r="C378" s="5" t="n">
        <v>387132.54</v>
      </c>
      <c r="D378" s="5" t="n">
        <v>387132.54</v>
      </c>
      <c r="E378" s="2" t="inlineStr">
        <is>
          <t>Comunitat Valenciana</t>
        </is>
      </c>
      <c r="F378" s="2" t="inlineStr">
        <is>
          <t>Alicante</t>
        </is>
      </c>
      <c r="G378" s="2" t="n"/>
      <c r="H378" s="2" t="inlineStr">
        <is>
          <t>Junta de Gobierno Local del Ayuntamiento de Alicante</t>
        </is>
      </c>
      <c r="I378" s="2" t="inlineStr">
        <is>
          <t>Ejecución de las obras comprendidas en el proyecto de Intervención, reparación y consolidación de las Torres de la Casa Consistorial.</t>
        </is>
      </c>
      <c r="J378" s="2" t="inlineStr">
        <is>
          <t>91/26</t>
        </is>
      </c>
      <c r="K378" s="2" t="inlineStr">
        <is>
          <t>Abierto simplificado</t>
        </is>
      </c>
      <c r="L378" s="6" t="n">
        <v>8</v>
      </c>
      <c r="M378" s="2" t="n"/>
      <c r="N378" s="7" t="n">
        <v>0.25</v>
      </c>
      <c r="O378" s="4" t="n"/>
      <c r="P378" s="2" t="inlineStr">
        <is>
          <t>45212350</t>
        </is>
      </c>
      <c r="Q378" s="8" t="inlineStr">
        <is>
          <t>Ver</t>
        </is>
      </c>
      <c r="R378" s="8" t="inlineStr">
        <is>
          <t>PCAP</t>
        </is>
      </c>
      <c r="S378" s="9" t="n">
        <v>46310</v>
      </c>
      <c r="T378" s="3" t="n">
        <v>46317.34622685185</v>
      </c>
      <c r="U378" s="2" t="inlineStr">
        <is>
          <t>2026-10-23: estado PUB → EV</t>
        </is>
      </c>
    </row>
    <row r="379">
      <c r="A379" s="2" t="inlineStr">
        <is>
          <t>Pendiente de adjudicación</t>
        </is>
      </c>
      <c r="B379" s="3" t="n">
        <v>46316.99930555555</v>
      </c>
      <c r="C379" s="5" t="n">
        <v>45409.09</v>
      </c>
      <c r="D379" s="5" t="n">
        <v>45409.09</v>
      </c>
      <c r="E379" s="2" t="inlineStr">
        <is>
          <t>Andalucía</t>
        </is>
      </c>
      <c r="F379" s="2" t="inlineStr">
        <is>
          <t>Sevilla</t>
        </is>
      </c>
      <c r="G379" s="2" t="n"/>
      <c r="H379" s="2" t="inlineStr">
        <is>
          <t>Alcaldía del Ayuntamiento de Espartinas</t>
        </is>
      </c>
      <c r="I379" s="2" t="inlineStr">
        <is>
          <t>Constituye el objeto del contrato la ejecución de las obras de Reparación, rehabilitación y conservación de caminos rurales, Espartinas, conforme a lo previsto en la Memoria Valorada que establece las características de la actuación</t>
        </is>
      </c>
      <c r="J379" s="2" t="inlineStr">
        <is>
          <t>2382/2026</t>
        </is>
      </c>
      <c r="K379" s="2" t="inlineStr">
        <is>
          <t>Abierto simplificado</t>
        </is>
      </c>
      <c r="L379" s="6" t="n">
        <v>1</v>
      </c>
      <c r="M379" s="2" t="n"/>
      <c r="N379" s="7" t="n">
        <v>0</v>
      </c>
      <c r="O379" s="4" t="n"/>
      <c r="P379" s="2" t="inlineStr">
        <is>
          <t>45233141; 45111200</t>
        </is>
      </c>
      <c r="Q379" s="8" t="inlineStr">
        <is>
          <t>Ver</t>
        </is>
      </c>
      <c r="R379" s="8" t="inlineStr">
        <is>
          <t>PCAP</t>
        </is>
      </c>
      <c r="S379" s="9" t="n">
        <v>46318</v>
      </c>
      <c r="T379" s="3" t="n">
        <v>46317.34576388889</v>
      </c>
      <c r="U379" s="2" t="n"/>
    </row>
    <row r="380">
      <c r="A380" s="2" t="inlineStr">
        <is>
          <t>Resuelta</t>
        </is>
      </c>
      <c r="B380" s="3" t="n">
        <v>46262.5</v>
      </c>
      <c r="C380" s="5" t="n">
        <v>133502.36</v>
      </c>
      <c r="D380" s="5" t="n">
        <v>160202.83</v>
      </c>
      <c r="E380" s="2" t="inlineStr">
        <is>
          <t>Comunitat Valenciana</t>
        </is>
      </c>
      <c r="F380" s="2" t="inlineStr">
        <is>
          <t>Valencia</t>
        </is>
      </c>
      <c r="G380" s="2" t="inlineStr">
        <is>
          <t>València</t>
        </is>
      </c>
      <c r="H380" s="2" t="inlineStr">
        <is>
          <t>Rectorado de la Universitat de València</t>
        </is>
      </c>
      <c r="I380" s="2" t="inlineStr">
        <is>
          <t>Renovación de ascensores gemelares de la Facultat de Fisioteràpia i Ciències de l´Activitat Física i l´Esport</t>
        </is>
      </c>
      <c r="J380" s="2" t="inlineStr">
        <is>
          <t>2026OB00010</t>
        </is>
      </c>
      <c r="K380" s="2" t="inlineStr">
        <is>
          <t>Abierto simplificado</t>
        </is>
      </c>
      <c r="L380" s="6" t="n">
        <v>2</v>
      </c>
      <c r="M380" s="2" t="inlineStr">
        <is>
          <t>I9-1</t>
        </is>
      </c>
      <c r="N380" s="7" t="n">
        <v>0</v>
      </c>
      <c r="O380" s="4" t="n"/>
      <c r="P380" s="2" t="inlineStr">
        <is>
          <t>45313100</t>
        </is>
      </c>
      <c r="Q380" s="8" t="inlineStr">
        <is>
          <t>Ver</t>
        </is>
      </c>
      <c r="R380" s="8" t="inlineStr">
        <is>
          <t>PCAP</t>
        </is>
      </c>
      <c r="S380" s="9" t="n">
        <v>46318</v>
      </c>
      <c r="T380" s="3" t="n">
        <v>46317.34517361111</v>
      </c>
      <c r="U380" s="2" t="n"/>
    </row>
    <row r="381">
      <c r="A381" s="2" t="inlineStr">
        <is>
          <t>Pendiente de adjudicación</t>
        </is>
      </c>
      <c r="B381" s="3" t="n">
        <v>46289.99930555555</v>
      </c>
      <c r="C381" s="5" t="n">
        <v>48781.49</v>
      </c>
      <c r="D381" s="5" t="n">
        <v>48781.49</v>
      </c>
      <c r="E381" s="2" t="inlineStr">
        <is>
          <t>Andalucía</t>
        </is>
      </c>
      <c r="F381" s="2" t="inlineStr">
        <is>
          <t>Cádiz</t>
        </is>
      </c>
      <c r="G381" s="2" t="inlineStr">
        <is>
          <t>Puerto Real</t>
        </is>
      </c>
      <c r="H381" s="2" t="inlineStr">
        <is>
          <t>Alcaldía del Ayuntamiento de Puerto Real</t>
        </is>
      </c>
      <c r="I381" s="2" t="inlineStr">
        <is>
          <t>B/002/2026: Obras de restitución y refuerzo de infraestructuras de contención y pavimentación en los patios de infantil y primaria del Ceip Trocadero de Puerto Real.</t>
        </is>
      </c>
      <c r="J381" s="2" t="inlineStr">
        <is>
          <t>9980/2026</t>
        </is>
      </c>
      <c r="K381" s="2" t="inlineStr">
        <is>
          <t>Abierto simplificado</t>
        </is>
      </c>
      <c r="L381" s="6" t="n">
        <v>1.5</v>
      </c>
      <c r="M381" s="2" t="n"/>
      <c r="N381" s="7" t="n">
        <v>0.2</v>
      </c>
      <c r="O381" s="4" t="n"/>
      <c r="P381" s="2" t="inlineStr">
        <is>
          <t>45233222; 45112500; 45214200; 45262620; 45261420</t>
        </is>
      </c>
      <c r="Q381" s="8" t="inlineStr">
        <is>
          <t>Ver</t>
        </is>
      </c>
      <c r="R381" s="8" t="inlineStr">
        <is>
          <t>PCAP</t>
        </is>
      </c>
      <c r="S381" s="9" t="n">
        <v>46310</v>
      </c>
      <c r="T381" s="3" t="n">
        <v>46317.3391087963</v>
      </c>
      <c r="U381" s="2" t="n"/>
    </row>
    <row r="382">
      <c r="A382" s="2" t="inlineStr">
        <is>
          <t>Resuelta</t>
        </is>
      </c>
      <c r="B382" s="3" t="n">
        <v>46274.58333333334</v>
      </c>
      <c r="C382" s="5" t="n">
        <v>70249.32000000001</v>
      </c>
      <c r="D382" s="5" t="n">
        <v>70249.32000000001</v>
      </c>
      <c r="E382" s="2" t="inlineStr">
        <is>
          <t>Andalucía</t>
        </is>
      </c>
      <c r="F382" s="2" t="inlineStr">
        <is>
          <t>Sevilla</t>
        </is>
      </c>
      <c r="G382" s="2" t="inlineStr">
        <is>
          <t>Isla de la Cartuja Sevilla (Sevilla)</t>
        </is>
      </c>
      <c r="H382" s="2" t="inlineStr">
        <is>
          <t>Secretaría General de la Agencia Estatal Consejo Superior de Investigaciones Científicas</t>
        </is>
      </c>
      <c r="I382" s="2" t="inlineStr">
        <is>
          <t>Obras de sustitución de abastecimiento para BIEs de protección contra incendios en edificio principal de la Estación Biológica de Doñana e Instituto de Microelectrónica de Sevilla</t>
        </is>
      </c>
      <c r="J382" s="2" t="inlineStr">
        <is>
          <t>34447/26</t>
        </is>
      </c>
      <c r="K382" s="2" t="inlineStr">
        <is>
          <t>Abierto simplificado</t>
        </is>
      </c>
      <c r="L382" s="6" t="n">
        <v>2</v>
      </c>
      <c r="M382" s="2" t="n"/>
      <c r="N382" s="7" t="n">
        <v>0</v>
      </c>
      <c r="O382" s="4" t="n"/>
      <c r="P382" s="2" t="inlineStr">
        <is>
          <t>45343200</t>
        </is>
      </c>
      <c r="Q382" s="8" t="inlineStr">
        <is>
          <t>Ver</t>
        </is>
      </c>
      <c r="R382" s="8" t="inlineStr">
        <is>
          <t>PCAP</t>
        </is>
      </c>
      <c r="S382" s="9" t="n">
        <v>46315</v>
      </c>
      <c r="T382" s="3" t="n">
        <v>46317.33690972222</v>
      </c>
      <c r="U382" s="2" t="n"/>
    </row>
    <row r="383">
      <c r="A383" s="2" t="inlineStr">
        <is>
          <t>Pendiente de adjudicación</t>
        </is>
      </c>
      <c r="B383" s="3" t="n">
        <v>46258.58333333334</v>
      </c>
      <c r="C383" s="5" t="n">
        <v>363288.3</v>
      </c>
      <c r="D383" s="5" t="n">
        <v>363288.3</v>
      </c>
      <c r="E383" s="2" t="inlineStr">
        <is>
          <t>Comunitat Valenciana</t>
        </is>
      </c>
      <c r="F383" s="2" t="inlineStr">
        <is>
          <t>Valencia</t>
        </is>
      </c>
      <c r="G383" s="2" t="inlineStr">
        <is>
          <t>Requena</t>
        </is>
      </c>
      <c r="H383" s="2" t="inlineStr">
        <is>
          <t>Junta de Gobierno Local del Ayuntamiento de Requena</t>
        </is>
      </c>
      <c r="I383" s="2" t="inlineStr">
        <is>
          <t>Obras de demolición de edificios en las calles Villajoyosa, Rafael Bernabeu López, Conde Vallellano y Luis Verdú López</t>
        </is>
      </c>
      <c r="J383" s="2" t="inlineStr">
        <is>
          <t>2814402R</t>
        </is>
      </c>
      <c r="K383" s="2" t="inlineStr">
        <is>
          <t>Abierto simplificado</t>
        </is>
      </c>
      <c r="L383" s="6" t="n">
        <v>6</v>
      </c>
      <c r="M383" s="2" t="n"/>
      <c r="N383" s="7" t="n">
        <v>0</v>
      </c>
      <c r="O383" s="4" t="n"/>
      <c r="P383" s="2" t="inlineStr">
        <is>
          <t>45110000</t>
        </is>
      </c>
      <c r="Q383" s="8" t="inlineStr">
        <is>
          <t>Ver</t>
        </is>
      </c>
      <c r="R383" s="8" t="inlineStr">
        <is>
          <t>PCAP</t>
        </is>
      </c>
      <c r="S383" s="9" t="n">
        <v>46318</v>
      </c>
      <c r="T383" s="3" t="n">
        <v>46317.33508101852</v>
      </c>
      <c r="U383" s="2" t="n"/>
    </row>
    <row r="384">
      <c r="A384" s="2" t="inlineStr">
        <is>
          <t>Pendiente de adjudicación</t>
        </is>
      </c>
      <c r="B384" s="3" t="n">
        <v>46316.99930555555</v>
      </c>
      <c r="C384" s="5" t="n">
        <v>56619.5</v>
      </c>
      <c r="D384" s="5" t="n">
        <v>56619.5</v>
      </c>
      <c r="E384" s="2" t="inlineStr">
        <is>
          <t>Comunitat Valenciana</t>
        </is>
      </c>
      <c r="F384" s="2" t="inlineStr">
        <is>
          <t>Castellón</t>
        </is>
      </c>
      <c r="G384" s="2" t="n"/>
      <c r="H384" s="2" t="inlineStr">
        <is>
          <t>Dirección General del Aeropuerto de Castellón</t>
        </is>
      </c>
      <c r="I384" s="2" t="inlineStr">
        <is>
          <t>Contratación de la obra de adecuación de la acometida de agua potable en torre de control y zona industrial del Aeropuerto de Castellón S.L.</t>
        </is>
      </c>
      <c r="J384" s="2" t="inlineStr">
        <is>
          <t>CMAYOR/2026/AEROC/464</t>
        </is>
      </c>
      <c r="K384" s="2" t="inlineStr">
        <is>
          <t>Abierto simplificado</t>
        </is>
      </c>
      <c r="L384" s="6" t="n">
        <v>3</v>
      </c>
      <c r="M384" s="2" t="n"/>
      <c r="N384" s="7" t="n">
        <v>0</v>
      </c>
      <c r="O384" s="4" t="n">
        <v>3</v>
      </c>
      <c r="P384" s="2" t="inlineStr">
        <is>
          <t>45232150; 42912310; 90920000; 65111000</t>
        </is>
      </c>
      <c r="Q384" s="8" t="inlineStr">
        <is>
          <t>Ver</t>
        </is>
      </c>
      <c r="R384" s="8" t="inlineStr">
        <is>
          <t>PCAP</t>
        </is>
      </c>
      <c r="S384" s="9" t="n">
        <v>46318</v>
      </c>
      <c r="T384" s="3" t="n">
        <v>46317.3341087963</v>
      </c>
      <c r="U384" s="2" t="n"/>
    </row>
    <row r="385">
      <c r="A385" s="2" t="inlineStr">
        <is>
          <t>Pendiente de adjudicación</t>
        </is>
      </c>
      <c r="B385" s="3" t="n">
        <v>46287.99930555555</v>
      </c>
      <c r="C385" s="5" t="n">
        <v>479338.84</v>
      </c>
      <c r="D385" s="5" t="n">
        <v>479338.84</v>
      </c>
      <c r="E385" s="2" t="inlineStr">
        <is>
          <t>Andalucía</t>
        </is>
      </c>
      <c r="F385" s="2" t="inlineStr">
        <is>
          <t>Córdoba</t>
        </is>
      </c>
      <c r="G385" s="2" t="n"/>
      <c r="H385" s="2" t="inlineStr">
        <is>
          <t>Junta de Gobierno de la Diputación Provincial de Córdoba</t>
        </is>
      </c>
      <c r="I385" s="2" t="inlineStr">
        <is>
          <t>Refuerzo del firme de la CO-6413 "de la CO-6411 a el Puerto del Caballón" entre los pp.kk 24+000 y 32+160 (Córdoba)</t>
        </is>
      </c>
      <c r="J385" s="2" t="inlineStr">
        <is>
          <t>701/26</t>
        </is>
      </c>
      <c r="K385" s="2" t="inlineStr">
        <is>
          <t>Abierto</t>
        </is>
      </c>
      <c r="L385" s="6" t="n">
        <v>1</v>
      </c>
      <c r="M385" s="2" t="n"/>
      <c r="N385" s="7" t="n">
        <v>0.4</v>
      </c>
      <c r="O385" s="4" t="n"/>
      <c r="P385" s="2" t="inlineStr">
        <is>
          <t>45233000; 45233140</t>
        </is>
      </c>
      <c r="Q385" s="8" t="inlineStr">
        <is>
          <t>Ver</t>
        </is>
      </c>
      <c r="R385" s="8" t="inlineStr">
        <is>
          <t>PCAP</t>
        </is>
      </c>
      <c r="S385" s="9" t="n">
        <v>46310</v>
      </c>
      <c r="T385" s="3" t="n">
        <v>46317.33049768519</v>
      </c>
      <c r="U385" s="2" t="n"/>
    </row>
    <row r="386">
      <c r="A386" s="2" t="inlineStr">
        <is>
          <t>Resuelta</t>
        </is>
      </c>
      <c r="B386" s="3" t="n"/>
      <c r="C386" s="5" t="n">
        <v>83000.33</v>
      </c>
      <c r="D386" s="5" t="n">
        <v>83000.33</v>
      </c>
      <c r="E386" s="2" t="inlineStr">
        <is>
          <t>Andalucía</t>
        </is>
      </c>
      <c r="F386" s="2" t="inlineStr">
        <is>
          <t>Málaga</t>
        </is>
      </c>
      <c r="G386" s="2" t="n"/>
      <c r="H386" s="2" t="inlineStr">
        <is>
          <t>Concejalía Delegada de la Presidencia de la Junta Municipal del Distrito nº 5, Palma Palmilla del Ayuntamiento de Málaga</t>
        </is>
      </c>
      <c r="I386" s="2" t="inlineStr">
        <is>
          <t>Remodelación Plaza Mark Twain</t>
        </is>
      </c>
      <c r="J386" s="2" t="inlineStr">
        <is>
          <t>108/23/BASADO/77</t>
        </is>
      </c>
      <c r="K386" s="2" t="inlineStr">
        <is>
          <t>Abierto</t>
        </is>
      </c>
      <c r="L386" s="6" t="n">
        <v>3</v>
      </c>
      <c r="M386" s="2" t="n"/>
      <c r="N386" s="7" t="n">
        <v>0</v>
      </c>
      <c r="O386" s="4" t="n"/>
      <c r="P386" s="2" t="inlineStr">
        <is>
          <t>45000000</t>
        </is>
      </c>
      <c r="Q386" s="8" t="inlineStr">
        <is>
          <t>Ver</t>
        </is>
      </c>
      <c r="R386" s="2" t="n"/>
      <c r="S386" s="9" t="n">
        <v>46318</v>
      </c>
      <c r="T386" s="3" t="n">
        <v>46317.32913194445</v>
      </c>
      <c r="U386" s="2" t="n"/>
    </row>
    <row r="387">
      <c r="A387" s="2" t="inlineStr">
        <is>
          <t>Pendiente de adjudicación</t>
        </is>
      </c>
      <c r="B387" s="3" t="n">
        <v>46283.45833333334</v>
      </c>
      <c r="C387" s="5" t="n">
        <v>1797069.65</v>
      </c>
      <c r="D387" s="5" t="n">
        <v>1908724.51</v>
      </c>
      <c r="E387" s="2" t="inlineStr">
        <is>
          <t>Andalucía</t>
        </is>
      </c>
      <c r="F387" s="2" t="inlineStr">
        <is>
          <t>Sevilla</t>
        </is>
      </c>
      <c r="G387" s="2" t="n"/>
      <c r="H387" s="2" t="inlineStr">
        <is>
          <t>ADIF Alta Velocidad - Presidencia</t>
        </is>
      </c>
      <c r="I387" s="2" t="inlineStr">
        <is>
          <t>Obras de ejecución del proyecto constructivo para la adecuación de vías de estacionamiento y maniobras en la e stación de Sevilla Santa Justa</t>
        </is>
      </c>
      <c r="J387" s="2" t="inlineStr">
        <is>
          <t>3.26/20810.0031</t>
        </is>
      </c>
      <c r="K387" s="2" t="inlineStr">
        <is>
          <t>Abierto</t>
        </is>
      </c>
      <c r="L387" s="6" t="n">
        <v>8</v>
      </c>
      <c r="M387" s="2" t="inlineStr">
        <is>
          <t>D5-4; D1-3; D4-3</t>
        </is>
      </c>
      <c r="N387" s="7" t="n">
        <v>0.49</v>
      </c>
      <c r="O387" s="4" t="n"/>
      <c r="P387" s="2" t="inlineStr">
        <is>
          <t>45234100</t>
        </is>
      </c>
      <c r="Q387" s="8" t="inlineStr">
        <is>
          <t>Ver</t>
        </is>
      </c>
      <c r="R387" s="8" t="inlineStr">
        <is>
          <t>PCAP</t>
        </is>
      </c>
      <c r="S387" s="9" t="n">
        <v>46317</v>
      </c>
      <c r="T387" s="3" t="n">
        <v>46317.31809027777</v>
      </c>
      <c r="U387" s="2" t="n"/>
    </row>
    <row r="388">
      <c r="A388" s="2" t="inlineStr">
        <is>
          <t>Pendiente de adjudicación</t>
        </is>
      </c>
      <c r="B388" s="3" t="n">
        <v>46288.99930555555</v>
      </c>
      <c r="C388" s="5" t="n">
        <v>2067776.6</v>
      </c>
      <c r="D388" s="5" t="n">
        <v>2067776.6</v>
      </c>
      <c r="E388" s="2" t="inlineStr">
        <is>
          <t>Andalucía</t>
        </is>
      </c>
      <c r="F388" s="2" t="inlineStr">
        <is>
          <t>Almería</t>
        </is>
      </c>
      <c r="G388" s="2" t="inlineStr">
        <is>
          <t>Huércal de Almería</t>
        </is>
      </c>
      <c r="H388" s="2" t="inlineStr">
        <is>
          <t>Junta de Gobierno Local del Ayuntamiento de Huércal de Almería</t>
        </is>
      </c>
      <c r="I388" s="2" t="inlineStr">
        <is>
          <t>Ejecución de Parque de Bomberos</t>
        </is>
      </c>
      <c r="J388" s="2" t="inlineStr">
        <is>
          <t>3447/2026</t>
        </is>
      </c>
      <c r="K388" s="2" t="inlineStr">
        <is>
          <t>Abierto</t>
        </is>
      </c>
      <c r="L388" s="6" t="n">
        <v>18</v>
      </c>
      <c r="M388" s="2" t="inlineStr">
        <is>
          <t>C2-5</t>
        </is>
      </c>
      <c r="N388" s="7" t="n">
        <v>0.25</v>
      </c>
      <c r="O388" s="4" t="n"/>
      <c r="P388" s="2" t="inlineStr">
        <is>
          <t>45216121</t>
        </is>
      </c>
      <c r="Q388" s="8" t="inlineStr">
        <is>
          <t>Ver</t>
        </is>
      </c>
      <c r="R388" s="8" t="inlineStr">
        <is>
          <t>PCAP</t>
        </is>
      </c>
      <c r="S388" s="9" t="n">
        <v>46310</v>
      </c>
      <c r="T388" s="3" t="n">
        <v>46317.31037037037</v>
      </c>
      <c r="U388" s="2" t="n"/>
    </row>
    <row r="389">
      <c r="A389" s="2" t="inlineStr">
        <is>
          <t>Pendiente de adjudicación</t>
        </is>
      </c>
      <c r="B389" s="3" t="n">
        <v>46254.99930555555</v>
      </c>
      <c r="C389" s="5" t="n">
        <v>164380.56</v>
      </c>
      <c r="D389" s="5" t="n">
        <v>164380.56</v>
      </c>
      <c r="E389" s="2" t="inlineStr">
        <is>
          <t>Andalucía</t>
        </is>
      </c>
      <c r="F389" s="2" t="inlineStr">
        <is>
          <t>Málaga</t>
        </is>
      </c>
      <c r="G389" s="2" t="n"/>
      <c r="H389" s="2" t="inlineStr">
        <is>
          <t>Gerente de la Gerencia Municipal de Urbanismo del Ayuntamiento de Málaga</t>
        </is>
      </c>
      <c r="I389" s="2" t="inlineStr">
        <is>
          <t>Obras del Proyecto de renovación de Plaza Avicena. Distrito nº 7: Carretera de Cádiz</t>
        </is>
      </c>
      <c r="J389" s="2" t="inlineStr">
        <is>
          <t>OB-004/26</t>
        </is>
      </c>
      <c r="K389" s="2" t="inlineStr">
        <is>
          <t>Abierto simplificado</t>
        </is>
      </c>
      <c r="L389" s="6" t="n">
        <v>4</v>
      </c>
      <c r="M389" s="2" t="n"/>
      <c r="N389" s="7" t="n">
        <v>0</v>
      </c>
      <c r="O389" s="4" t="n"/>
      <c r="P389" s="2" t="inlineStr">
        <is>
          <t>45220000; 45233252; 45233293; 45212140</t>
        </is>
      </c>
      <c r="Q389" s="8" t="inlineStr">
        <is>
          <t>Ver</t>
        </is>
      </c>
      <c r="R389" s="8" t="inlineStr">
        <is>
          <t>PCAP</t>
        </is>
      </c>
      <c r="S389" s="9" t="n">
        <v>46318</v>
      </c>
      <c r="T389" s="3" t="n">
        <v>46316.92512731482</v>
      </c>
      <c r="U389" s="2" t="n"/>
    </row>
    <row r="390">
      <c r="A390" s="2" t="inlineStr">
        <is>
          <t>Pendiente de adjudicación</t>
        </is>
      </c>
      <c r="B390" s="3" t="n">
        <v>46244.99930555555</v>
      </c>
      <c r="C390" s="5" t="n">
        <v>116406.1</v>
      </c>
      <c r="D390" s="5" t="n">
        <v>116406.1</v>
      </c>
      <c r="E390" s="2" t="inlineStr">
        <is>
          <t>Andalucía</t>
        </is>
      </c>
      <c r="F390" s="2" t="inlineStr">
        <is>
          <t>Málaga</t>
        </is>
      </c>
      <c r="G390" s="2" t="n"/>
      <c r="H390" s="2" t="inlineStr">
        <is>
          <t>Gerente de la Gerencia Municipal de Urbanismo del Ayuntamiento de Málaga</t>
        </is>
      </c>
      <c r="I390" s="2" t="inlineStr">
        <is>
          <t>Obras del proyecto de demolición de varios edificios en avenida Pintor Sorolla nº58 a 68</t>
        </is>
      </c>
      <c r="J390" s="2" t="inlineStr">
        <is>
          <t>OB-002/26</t>
        </is>
      </c>
      <c r="K390" s="2" t="inlineStr">
        <is>
          <t>Abierto simplificado</t>
        </is>
      </c>
      <c r="L390" s="6" t="n">
        <v>1</v>
      </c>
      <c r="M390" s="2" t="n"/>
      <c r="N390" s="7" t="n">
        <v>0</v>
      </c>
      <c r="O390" s="4" t="n"/>
      <c r="P390" s="2" t="inlineStr">
        <is>
          <t>45111000</t>
        </is>
      </c>
      <c r="Q390" s="8" t="inlineStr">
        <is>
          <t>Ver</t>
        </is>
      </c>
      <c r="R390" s="8" t="inlineStr">
        <is>
          <t>PCAP</t>
        </is>
      </c>
      <c r="S390" s="9" t="n">
        <v>46318</v>
      </c>
      <c r="T390" s="3" t="n">
        <v>46316.92391203704</v>
      </c>
      <c r="U390" s="2" t="n"/>
    </row>
    <row r="391">
      <c r="A391" s="2" t="inlineStr">
        <is>
          <t>Pendiente de adjudicación</t>
        </is>
      </c>
      <c r="B391" s="3" t="n">
        <v>46267.99930555555</v>
      </c>
      <c r="C391" s="5" t="n">
        <v>129166.23</v>
      </c>
      <c r="D391" s="5" t="n">
        <v>129166.23</v>
      </c>
      <c r="E391" s="2" t="inlineStr">
        <is>
          <t>Andalucía</t>
        </is>
      </c>
      <c r="F391" s="2" t="inlineStr">
        <is>
          <t>Málaga</t>
        </is>
      </c>
      <c r="G391" s="2" t="n"/>
      <c r="H391" s="2" t="inlineStr">
        <is>
          <t>Gerente de la Gerencia Municipal de Urbanismo del Ayuntamiento de Málaga</t>
        </is>
      </c>
      <c r="I391" s="2" t="inlineStr">
        <is>
          <t>Obras de ejecución de instalaciones de recarga de vehículos eléctricos, coches y motocicletas oficiales de la Gerencia Municipal de Urbanismo, Obras e Infraestructuras del Ayuntamiento de Málaga, sita en Paseo Antonio Machado nº 12, Málaga - Proyecto acogido al Programa de Movilidad Eficiente y Sostenible MOVES III 2025.</t>
        </is>
      </c>
      <c r="J391" s="2" t="inlineStr">
        <is>
          <t>OB-021/26</t>
        </is>
      </c>
      <c r="K391" s="2" t="inlineStr">
        <is>
          <t>Abierto simplificado</t>
        </is>
      </c>
      <c r="L391" s="6" t="n">
        <v>3</v>
      </c>
      <c r="M391" s="2" t="n"/>
      <c r="N391" s="7" t="n">
        <v>0.2</v>
      </c>
      <c r="O391" s="4" t="n"/>
      <c r="P391" s="2" t="inlineStr">
        <is>
          <t>45311000; 45317000</t>
        </is>
      </c>
      <c r="Q391" s="8" t="inlineStr">
        <is>
          <t>Ver</t>
        </is>
      </c>
      <c r="R391" s="8" t="inlineStr">
        <is>
          <t>PCAP</t>
        </is>
      </c>
      <c r="S391" s="9" t="n">
        <v>46314</v>
      </c>
      <c r="T391" s="3" t="n">
        <v>46316.92226851852</v>
      </c>
      <c r="U391" s="2" t="n"/>
    </row>
    <row r="392">
      <c r="A392" s="2" t="inlineStr">
        <is>
          <t>Resuelta</t>
        </is>
      </c>
      <c r="B392" s="3" t="n">
        <v>46224.99930555555</v>
      </c>
      <c r="C392" s="5" t="n">
        <v>45454.55</v>
      </c>
      <c r="D392" s="5" t="n">
        <v>45454.55</v>
      </c>
      <c r="E392" s="2" t="inlineStr">
        <is>
          <t>Andalucía</t>
        </is>
      </c>
      <c r="F392" s="2" t="inlineStr">
        <is>
          <t>Sevilla</t>
        </is>
      </c>
      <c r="G392" s="2" t="n"/>
      <c r="H392" s="2" t="inlineStr">
        <is>
          <t>Alcaldia del Ayuntamiento de Marinaleda</t>
        </is>
      </c>
      <c r="I392" s="2" t="inlineStr">
        <is>
          <t>Asfaltado de varias calles de Marinaleda y Matarredonda (Sevilla)</t>
        </is>
      </c>
      <c r="J392" s="2" t="inlineStr">
        <is>
          <t>P4106100C-2026/000073-PAAS</t>
        </is>
      </c>
      <c r="K392" s="2" t="inlineStr">
        <is>
          <t>Abierto simplificado</t>
        </is>
      </c>
      <c r="L392" s="6" t="n">
        <v>3</v>
      </c>
      <c r="M392" s="2" t="n"/>
      <c r="N392" s="7" t="n">
        <v>0</v>
      </c>
      <c r="O392" s="4" t="n"/>
      <c r="P392" s="2" t="inlineStr">
        <is>
          <t>45233252</t>
        </is>
      </c>
      <c r="Q392" s="8" t="inlineStr">
        <is>
          <t>Ver</t>
        </is>
      </c>
      <c r="R392" s="8" t="inlineStr">
        <is>
          <t>PCAP</t>
        </is>
      </c>
      <c r="S392" s="9" t="n">
        <v>46318</v>
      </c>
      <c r="T392" s="3" t="n">
        <v>46316.86159722223</v>
      </c>
      <c r="U392" s="2" t="n"/>
    </row>
    <row r="393">
      <c r="A393" s="2" t="inlineStr">
        <is>
          <t>Resuelta</t>
        </is>
      </c>
      <c r="B393" s="3" t="n">
        <v>46223.99930555555</v>
      </c>
      <c r="C393" s="5" t="n">
        <v>94072.75999999999</v>
      </c>
      <c r="D393" s="5" t="n">
        <v>94072.75999999999</v>
      </c>
      <c r="E393" s="2" t="inlineStr">
        <is>
          <t>Andalucía</t>
        </is>
      </c>
      <c r="F393" s="2" t="inlineStr">
        <is>
          <t>Sevilla</t>
        </is>
      </c>
      <c r="G393" s="2" t="n"/>
      <c r="H393" s="2" t="inlineStr">
        <is>
          <t>Alcaldia del Ayuntamiento de Marinaleda</t>
        </is>
      </c>
      <c r="I393" s="2" t="inlineStr">
        <is>
          <t>Renovación, mediante la instalación de sistemas de eficiencia y ahorro de energía LED, en el sistema de alumbrado público existente en Marinaleda-Matarredonda. Fase 1"</t>
        </is>
      </c>
      <c r="J393" s="2" t="inlineStr">
        <is>
          <t>P4106100C-2026/000072-PAAS</t>
        </is>
      </c>
      <c r="K393" s="2" t="inlineStr">
        <is>
          <t>Abierto simplificado</t>
        </is>
      </c>
      <c r="L393" s="6" t="n">
        <v>5</v>
      </c>
      <c r="M393" s="2" t="n"/>
      <c r="N393" s="7" t="n">
        <v>0</v>
      </c>
      <c r="O393" s="4" t="n"/>
      <c r="P393" s="2" t="inlineStr">
        <is>
          <t>45316100; 45315300; 45315600</t>
        </is>
      </c>
      <c r="Q393" s="8" t="inlineStr">
        <is>
          <t>Ver</t>
        </is>
      </c>
      <c r="R393" s="8" t="inlineStr">
        <is>
          <t>PCAP</t>
        </is>
      </c>
      <c r="S393" s="9" t="n">
        <v>46315</v>
      </c>
      <c r="T393" s="3" t="n">
        <v>46316.85508101852</v>
      </c>
      <c r="U393" s="2" t="inlineStr">
        <is>
          <t>2026-10-23: estado ADJ → RES</t>
        </is>
      </c>
    </row>
    <row r="394">
      <c r="A394" s="2" t="inlineStr">
        <is>
          <t>Pendiente de adjudicación</t>
        </is>
      </c>
      <c r="B394" s="3" t="n">
        <v>46308.99930555555</v>
      </c>
      <c r="C394" s="5" t="n">
        <v>544689.05</v>
      </c>
      <c r="D394" s="5" t="n">
        <v>544689.05</v>
      </c>
      <c r="E394" s="2" t="inlineStr">
        <is>
          <t>Andalucía</t>
        </is>
      </c>
      <c r="F394" s="2" t="inlineStr">
        <is>
          <t>Almería</t>
        </is>
      </c>
      <c r="G394" s="2" t="inlineStr">
        <is>
          <t>Según Pliegos</t>
        </is>
      </c>
      <c r="H394" s="2" t="inlineStr">
        <is>
          <t>Pleno del Ayuntamiento de Purchena</t>
        </is>
      </c>
      <c r="I394" s="2" t="inlineStr">
        <is>
          <t>Construcción de Casa de la Cultura-Biblioteca</t>
        </is>
      </c>
      <c r="J394" s="2" t="inlineStr">
        <is>
          <t>2026/407640/006-002/00002</t>
        </is>
      </c>
      <c r="K394" s="2" t="inlineStr">
        <is>
          <t>Abierto simplificado</t>
        </is>
      </c>
      <c r="L394" s="6" t="n">
        <v>12</v>
      </c>
      <c r="M394" s="2" t="inlineStr">
        <is>
          <t>C3-3</t>
        </is>
      </c>
      <c r="N394" s="7" t="n">
        <v>0</v>
      </c>
      <c r="O394" s="4" t="n"/>
      <c r="P394" s="2" t="inlineStr">
        <is>
          <t>45212330</t>
        </is>
      </c>
      <c r="Q394" s="8" t="inlineStr">
        <is>
          <t>Ver</t>
        </is>
      </c>
      <c r="R394" s="8" t="inlineStr">
        <is>
          <t>PCAP</t>
        </is>
      </c>
      <c r="S394" s="9" t="n">
        <v>46310</v>
      </c>
      <c r="T394" s="3" t="n">
        <v>46316.80363425926</v>
      </c>
      <c r="U394" s="2" t="n"/>
    </row>
    <row r="395">
      <c r="A395" s="2" t="inlineStr">
        <is>
          <t>Adjudicada</t>
        </is>
      </c>
      <c r="B395" s="3" t="n">
        <v>46195.79166666666</v>
      </c>
      <c r="C395" s="5" t="n">
        <v>16316814.29</v>
      </c>
      <c r="D395" s="5" t="n">
        <v>16316814.29</v>
      </c>
      <c r="E395" s="2" t="inlineStr">
        <is>
          <t>Andalucía</t>
        </is>
      </c>
      <c r="F395" s="2" t="inlineStr">
        <is>
          <t>Cádiz</t>
        </is>
      </c>
      <c r="G395" s="2" t="n"/>
      <c r="H395" s="2" t="inlineStr">
        <is>
          <t>Consejo de Administración de Hub Empresa Municipal de San Fernando, M.P. S.A. (HEMSA)</t>
        </is>
      </c>
      <c r="I395" s="2" t="inlineStr">
        <is>
          <t>Obras de construcción con suministro de materiales de 132 viviendas protegidas en régimen de venta, 94 plazas de garaje y 47 trasteros en la parcela UB-4807-B1 situada en la UE-56 "San Cayetano" del PGOU de San Fernando, Cádiz.</t>
        </is>
      </c>
      <c r="J395" s="2" t="inlineStr">
        <is>
          <t>CA/001/26</t>
        </is>
      </c>
      <c r="K395" s="2" t="inlineStr">
        <is>
          <t>Abierto</t>
        </is>
      </c>
      <c r="L395" s="6" t="n">
        <v>24</v>
      </c>
      <c r="M395" s="2" t="inlineStr">
        <is>
          <t>C*-6</t>
        </is>
      </c>
      <c r="N395" s="7" t="n">
        <v>0</v>
      </c>
      <c r="O395" s="4" t="n"/>
      <c r="P395" s="2" t="inlineStr">
        <is>
          <t>45210000</t>
        </is>
      </c>
      <c r="Q395" s="8" t="inlineStr">
        <is>
          <t>Ver</t>
        </is>
      </c>
      <c r="R395" s="8" t="inlineStr">
        <is>
          <t>PCAP</t>
        </is>
      </c>
      <c r="S395" s="9" t="n">
        <v>46317</v>
      </c>
      <c r="T395" s="3" t="n">
        <v>46316.78625</v>
      </c>
      <c r="U395" s="2" t="n"/>
    </row>
    <row r="396">
      <c r="A396" s="2" t="inlineStr">
        <is>
          <t>Pendiente de adjudicación</t>
        </is>
      </c>
      <c r="B396" s="3" t="n">
        <v>46310.79166666666</v>
      </c>
      <c r="C396" s="5" t="n">
        <v>831539.76</v>
      </c>
      <c r="D396" s="5" t="n">
        <v>997847.71</v>
      </c>
      <c r="E396" s="2" t="inlineStr">
        <is>
          <t>Comunitat Valenciana</t>
        </is>
      </c>
      <c r="F396" s="2" t="inlineStr">
        <is>
          <t>Valencia</t>
        </is>
      </c>
      <c r="G396" s="2" t="inlineStr">
        <is>
          <t>Aldaia</t>
        </is>
      </c>
      <c r="H396" s="2" t="inlineStr">
        <is>
          <t>Alcaldía del Ayuntamiento de Aldaia</t>
        </is>
      </c>
      <c r="I396" s="2" t="inlineStr">
        <is>
          <t>DANA2024 Reparación de la Casa de la Música</t>
        </is>
      </c>
      <c r="J396" s="2" t="inlineStr">
        <is>
          <t>2026/C-OBRASA/4</t>
        </is>
      </c>
      <c r="K396" s="2" t="inlineStr">
        <is>
          <t>Abierto simplificado</t>
        </is>
      </c>
      <c r="L396" s="6" t="n">
        <v>6</v>
      </c>
      <c r="M396" s="2" t="inlineStr">
        <is>
          <t>C4-3</t>
        </is>
      </c>
      <c r="N396" s="7" t="n">
        <v>0</v>
      </c>
      <c r="O396" s="4" t="n"/>
      <c r="P396" s="2" t="inlineStr">
        <is>
          <t>45453100; 45262700</t>
        </is>
      </c>
      <c r="Q396" s="8" t="inlineStr">
        <is>
          <t>Ver</t>
        </is>
      </c>
      <c r="R396" s="8" t="inlineStr">
        <is>
          <t>PCAP</t>
        </is>
      </c>
      <c r="S396" s="9" t="n">
        <v>46310</v>
      </c>
      <c r="T396" s="3" t="n">
        <v>46316.75053240741</v>
      </c>
      <c r="U396" s="2" t="inlineStr">
        <is>
          <t>2026-10-22: estado PUB → EV</t>
        </is>
      </c>
    </row>
    <row r="397">
      <c r="A397" s="2" t="inlineStr">
        <is>
          <t>En plazo</t>
        </is>
      </c>
      <c r="B397" s="3" t="n">
        <v>46331.99930555555</v>
      </c>
      <c r="C397" s="5" t="n">
        <v>48886.83</v>
      </c>
      <c r="D397" s="5" t="n">
        <v>48886.83</v>
      </c>
      <c r="E397" s="2" t="inlineStr">
        <is>
          <t>Andalucía</t>
        </is>
      </c>
      <c r="F397" s="2" t="inlineStr">
        <is>
          <t>Jaén</t>
        </is>
      </c>
      <c r="G397" s="2" t="inlineStr">
        <is>
          <t>Torreblascopedro, Jaén</t>
        </is>
      </c>
      <c r="H397" s="2" t="inlineStr">
        <is>
          <t>Alcaldía del Ayuntamiento de Torreblascopedro</t>
        </is>
      </c>
      <c r="I397" s="2" t="inlineStr">
        <is>
          <t>Reparación de daños en cubierta y dependencias interiores del Centro Cívico Municipal (Centro Guadalinfo) en Campillo del Río, en el marco del Real Decreto-ley 5/2026, de 17 de febrero, por el que se adoptan medidas urgentes en respuesta a los daños causados por diversos fenómenos meteorológicos adversos, de especial afectación en las comunidades de Andalucía y Extremadura</t>
        </is>
      </c>
      <c r="J397" s="2" t="inlineStr">
        <is>
          <t>309/2026</t>
        </is>
      </c>
      <c r="K397" s="2" t="inlineStr">
        <is>
          <t>Abierto simplificado</t>
        </is>
      </c>
      <c r="L397" s="6" t="n">
        <v>2</v>
      </c>
      <c r="M397" s="2" t="n"/>
      <c r="N397" s="7" t="n">
        <v>0</v>
      </c>
      <c r="O397" s="4" t="n"/>
      <c r="P397" s="2" t="inlineStr">
        <is>
          <t>45261900; 45261410; 45261420; 45442110</t>
        </is>
      </c>
      <c r="Q397" s="8" t="inlineStr">
        <is>
          <t>Ver</t>
        </is>
      </c>
      <c r="R397" s="8" t="inlineStr">
        <is>
          <t>PCAP</t>
        </is>
      </c>
      <c r="S397" s="9" t="n">
        <v>46317</v>
      </c>
      <c r="T397" s="3" t="n">
        <v>46316.74784722222</v>
      </c>
      <c r="U397" s="2" t="n"/>
    </row>
    <row r="398">
      <c r="A398" s="2" t="inlineStr">
        <is>
          <t>Pendiente de adjudicación</t>
        </is>
      </c>
      <c r="B398" s="3" t="n">
        <v>46293.99930555555</v>
      </c>
      <c r="C398" s="5" t="n">
        <v>250321.94</v>
      </c>
      <c r="D398" s="5" t="n">
        <v>250321.94</v>
      </c>
      <c r="E398" s="2" t="inlineStr">
        <is>
          <t>Andalucía</t>
        </is>
      </c>
      <c r="F398" s="2" t="inlineStr">
        <is>
          <t>Jaén</t>
        </is>
      </c>
      <c r="G398" s="2" t="inlineStr">
        <is>
          <t>Arjonilla</t>
        </is>
      </c>
      <c r="H398" s="2" t="inlineStr">
        <is>
          <t>Alcaldia del Ayuntamiento de Arjonilla</t>
        </is>
      </c>
      <c r="I398" s="2" t="inlineStr">
        <is>
          <t>El objeto es regir la ejecución del contrato de obra denominado -Construcción de vado inundable sobre arroyo Ballesteros- en camino Lopera, T.M. Arjonilla (Jaén)</t>
        </is>
      </c>
      <c r="J398" s="2" t="inlineStr">
        <is>
          <t>1083/2026</t>
        </is>
      </c>
      <c r="K398" s="2" t="inlineStr">
        <is>
          <t>Abierto simplificado</t>
        </is>
      </c>
      <c r="L398" s="6" t="n">
        <v>6</v>
      </c>
      <c r="M398" s="2" t="inlineStr">
        <is>
          <t>C2-2</t>
        </is>
      </c>
      <c r="N398" s="7" t="n">
        <v>0</v>
      </c>
      <c r="O398" s="4" t="n"/>
      <c r="P398" s="2" t="inlineStr">
        <is>
          <t>45246100</t>
        </is>
      </c>
      <c r="Q398" s="8" t="inlineStr">
        <is>
          <t>Ver</t>
        </is>
      </c>
      <c r="R398" s="8" t="inlineStr">
        <is>
          <t>PCAP</t>
        </is>
      </c>
      <c r="S398" s="9" t="n">
        <v>46311</v>
      </c>
      <c r="T398" s="3" t="n">
        <v>46316.73486111111</v>
      </c>
      <c r="U398" s="2" t="n"/>
    </row>
    <row r="399">
      <c r="A399" s="2" t="inlineStr">
        <is>
          <t>En plazo</t>
        </is>
      </c>
      <c r="B399" s="3" t="n">
        <v>46336.99930555555</v>
      </c>
      <c r="C399" s="5" t="n">
        <v>353487.49</v>
      </c>
      <c r="D399" s="5" t="n">
        <v>353487.49</v>
      </c>
      <c r="E399" s="2" t="inlineStr">
        <is>
          <t>Comunitat Valenciana</t>
        </is>
      </c>
      <c r="F399" s="2" t="inlineStr">
        <is>
          <t>Alicante</t>
        </is>
      </c>
      <c r="G399" s="2" t="n"/>
      <c r="H399" s="2" t="inlineStr">
        <is>
          <t>Junta de Gobierno del Ayuntamiento de L'Alfàs del Pi</t>
        </is>
      </c>
      <c r="I399" s="2" t="inlineStr">
        <is>
          <t>Obra ensanche y mejora del acceso a la urbanización Foia Blanca desde el Camí d'Europa, en l'Alfàs del Pi</t>
        </is>
      </c>
      <c r="J399" s="2" t="inlineStr">
        <is>
          <t>CAO/4/2025</t>
        </is>
      </c>
      <c r="K399" s="2" t="inlineStr">
        <is>
          <t>Abierto simplificado</t>
        </is>
      </c>
      <c r="L399" s="6" t="n">
        <v>3</v>
      </c>
      <c r="M399" s="2" t="n"/>
      <c r="N399" s="7" t="n">
        <v>0</v>
      </c>
      <c r="O399" s="4" t="n"/>
      <c r="P399" s="2" t="inlineStr">
        <is>
          <t>45112000; 45316100; 45233222</t>
        </is>
      </c>
      <c r="Q399" s="8" t="inlineStr">
        <is>
          <t>Ver</t>
        </is>
      </c>
      <c r="R399" s="8" t="inlineStr">
        <is>
          <t>PCAP</t>
        </is>
      </c>
      <c r="S399" s="9" t="n">
        <v>46317</v>
      </c>
      <c r="T399" s="3" t="n">
        <v>46316.72387731481</v>
      </c>
      <c r="U399" s="2" t="n"/>
    </row>
    <row r="400">
      <c r="A400" s="2" t="inlineStr">
        <is>
          <t>Pendiente de adjudicación</t>
        </is>
      </c>
      <c r="B400" s="3" t="n">
        <v>46269.5</v>
      </c>
      <c r="C400" s="5" t="n">
        <v>1442838.13</v>
      </c>
      <c r="D400" s="5" t="n">
        <v>1442838.13</v>
      </c>
      <c r="E400" s="2" t="inlineStr">
        <is>
          <t>Andalucía</t>
        </is>
      </c>
      <c r="F400" s="2" t="inlineStr">
        <is>
          <t>Sevilla</t>
        </is>
      </c>
      <c r="G400" s="2" t="inlineStr">
        <is>
          <t>Sevilla</t>
        </is>
      </c>
      <c r="H400" s="2" t="inlineStr">
        <is>
          <t>Consejería Delegada de la Empresa Metropolitana de Abastecimiento y Saneamiento de Aguas de Sevilla S.A. (EMASESA)</t>
        </is>
      </c>
      <c r="I400" s="2" t="inlineStr">
        <is>
          <t>Proyecto de sustitución de las redes de abastecimiento y saneamiento en calle Albaida. Distrito Macarena, Sevilla.</t>
        </is>
      </c>
      <c r="J400" s="2" t="inlineStr">
        <is>
          <t>0591/2026</t>
        </is>
      </c>
      <c r="K400" s="2" t="inlineStr">
        <is>
          <t>Abierto</t>
        </is>
      </c>
      <c r="L400" s="6" t="n">
        <v>8.4</v>
      </c>
      <c r="M400" s="2" t="inlineStr">
        <is>
          <t>G6-4; E1-3</t>
        </is>
      </c>
      <c r="N400" s="7" t="n">
        <v>0.5</v>
      </c>
      <c r="O400" s="4" t="n"/>
      <c r="P400" s="2" t="inlineStr">
        <is>
          <t>45231300</t>
        </is>
      </c>
      <c r="Q400" s="8" t="inlineStr">
        <is>
          <t>Ver</t>
        </is>
      </c>
      <c r="R400" s="8" t="inlineStr">
        <is>
          <t>PCAP</t>
        </is>
      </c>
      <c r="S400" s="9" t="n">
        <v>46317</v>
      </c>
      <c r="T400" s="3" t="n">
        <v>46316.72328703704</v>
      </c>
      <c r="U400" s="2" t="n"/>
    </row>
    <row r="401">
      <c r="A401" s="2" t="inlineStr">
        <is>
          <t>En plazo</t>
        </is>
      </c>
      <c r="B401" s="3" t="n">
        <v>46332.54166666666</v>
      </c>
      <c r="C401" s="5" t="n">
        <v>30728972.25</v>
      </c>
      <c r="D401" s="5" t="n">
        <v>30728972.25</v>
      </c>
      <c r="E401" s="2" t="inlineStr">
        <is>
          <t>Andalucía</t>
        </is>
      </c>
      <c r="F401" s="2" t="inlineStr">
        <is>
          <t>Jaén</t>
        </is>
      </c>
      <c r="G401" s="2" t="inlineStr">
        <is>
          <t>JAEN</t>
        </is>
      </c>
      <c r="H401" s="2" t="inlineStr">
        <is>
          <t>Consejo de Administración de Sociedad Mercantil Estatal Aguas de las Cuencas de España, S.A. (ACUAES)</t>
        </is>
      </c>
      <c r="I401" s="2" t="inlineStr">
        <is>
          <t>Ejecución de las obras del Proyecto de construcción de la Nueva Planta de tratamiento de agua potable del Rumblar (Jaén)</t>
        </is>
      </c>
      <c r="J401" s="2" t="inlineStr">
        <is>
          <t>ACE/318.50/26/OBRA/01</t>
        </is>
      </c>
      <c r="K401" s="2" t="inlineStr">
        <is>
          <t>Abierto</t>
        </is>
      </c>
      <c r="L401" s="6" t="n">
        <v>26</v>
      </c>
      <c r="M401" s="2" t="inlineStr">
        <is>
          <t>K8-4</t>
        </is>
      </c>
      <c r="N401" s="7" t="n">
        <v>0.45</v>
      </c>
      <c r="O401" s="4" t="n"/>
      <c r="P401" s="2" t="inlineStr">
        <is>
          <t>45252120</t>
        </is>
      </c>
      <c r="Q401" s="8" t="inlineStr">
        <is>
          <t>Ver</t>
        </is>
      </c>
      <c r="R401" s="8" t="inlineStr">
        <is>
          <t>PCAP</t>
        </is>
      </c>
      <c r="S401" s="9" t="n">
        <v>46311</v>
      </c>
      <c r="T401" s="3" t="n">
        <v>46316.71721064814</v>
      </c>
      <c r="U401" s="2" t="n"/>
    </row>
    <row r="402">
      <c r="A402" s="2" t="inlineStr">
        <is>
          <t>Resuelta</t>
        </is>
      </c>
      <c r="B402" s="3" t="n">
        <v>46287.41666666666</v>
      </c>
      <c r="C402" s="5" t="n">
        <v>4405</v>
      </c>
      <c r="D402" s="5" t="n">
        <v>4405</v>
      </c>
      <c r="E402" s="2" t="inlineStr">
        <is>
          <t>Andalucía</t>
        </is>
      </c>
      <c r="F402" s="2" t="inlineStr">
        <is>
          <t>Granada</t>
        </is>
      </c>
      <c r="G402" s="2" t="n"/>
      <c r="H402" s="2" t="inlineStr">
        <is>
          <t>Empresa de Transformación Agraria S.A.,S.M.E., M.P., (TRAGSA)</t>
        </is>
      </c>
      <c r="I402" s="2" t="inlineStr">
        <is>
          <t>Contrato derivado del "Acuerdo Marco para el Alquiler de Maquinaria de Obra Civil, Agrícola y Forestal, y Camiones para obras de construcción y demolición, dotada de operario, para las actuaciones de la Gerencia Provincial de Tragsa en Granada, incluidas las obras con Fondos en el Marco del Plan de Recuperación, Transformación y Resiliencia financiado por Unión Europea Next Generation EU"</t>
        </is>
      </c>
      <c r="J402" s="2" t="inlineStr">
        <is>
          <t>TSA0077561-335</t>
        </is>
      </c>
      <c r="K402" s="2" t="inlineStr">
        <is>
          <t>Abierto</t>
        </is>
      </c>
      <c r="L402" s="6" t="n">
        <v>2</v>
      </c>
      <c r="M402" s="2" t="n"/>
      <c r="N402" s="7" t="n">
        <v>0</v>
      </c>
      <c r="O402" s="4" t="n"/>
      <c r="P402" s="2" t="inlineStr">
        <is>
          <t>45500000</t>
        </is>
      </c>
      <c r="Q402" s="8" t="inlineStr">
        <is>
          <t>Ver</t>
        </is>
      </c>
      <c r="R402" s="8" t="inlineStr">
        <is>
          <t>PCAP</t>
        </is>
      </c>
      <c r="S402" s="9" t="n">
        <v>46310</v>
      </c>
      <c r="T402" s="3" t="n">
        <v>46316.68126157407</v>
      </c>
      <c r="U402" s="2" t="n"/>
    </row>
    <row r="403">
      <c r="A403" s="2" t="inlineStr">
        <is>
          <t>Resuelta</t>
        </is>
      </c>
      <c r="B403" s="3" t="n">
        <v>46245.41666666666</v>
      </c>
      <c r="C403" s="5" t="n">
        <v>45500</v>
      </c>
      <c r="D403" s="5" t="n">
        <v>45500</v>
      </c>
      <c r="E403" s="2" t="inlineStr">
        <is>
          <t>Andalucía</t>
        </is>
      </c>
      <c r="F403" s="2" t="inlineStr">
        <is>
          <t>Almería</t>
        </is>
      </c>
      <c r="G403" s="2" t="n"/>
      <c r="H403" s="2" t="inlineStr">
        <is>
          <t>Empresa de Transformación Agraria S.A.,S.M.E., M.P., (TRAGSA)</t>
        </is>
      </c>
      <c r="I403" s="2" t="inlineStr">
        <is>
          <t>Contrato derivado del "AM para el alquiler de maquinaria de obra civil, agrícola y forestal, y camiones para obras de construcción y demolición, dotada de operario, para las actuaciones del ámbito territorial de la gerencia provincial de Tragsa en Almería, incluidas las obras con fondos en el marco del PRTR, a adjudicar por procedimiento abierto, sujeto a regulación armonizada. TSA0078977"</t>
        </is>
      </c>
      <c r="J403" s="2" t="inlineStr">
        <is>
          <t>TSA0078977-347</t>
        </is>
      </c>
      <c r="K403" s="2" t="inlineStr">
        <is>
          <t>Abierto</t>
        </is>
      </c>
      <c r="L403" s="6" t="n"/>
      <c r="M403" s="2" t="n"/>
      <c r="N403" s="7" t="n">
        <v>0</v>
      </c>
      <c r="O403" s="4" t="n"/>
      <c r="P403" s="2" t="inlineStr">
        <is>
          <t>45500000</t>
        </is>
      </c>
      <c r="Q403" s="8" t="inlineStr">
        <is>
          <t>Ver</t>
        </is>
      </c>
      <c r="R403" s="8" t="inlineStr">
        <is>
          <t>PCAP</t>
        </is>
      </c>
      <c r="S403" s="9" t="n">
        <v>46317</v>
      </c>
      <c r="T403" s="3" t="n">
        <v>46316.67928240741</v>
      </c>
      <c r="U403" s="2" t="n"/>
    </row>
    <row r="404">
      <c r="A404" s="2" t="inlineStr">
        <is>
          <t>Resuelta</t>
        </is>
      </c>
      <c r="B404" s="3" t="n">
        <v>46280.41666666666</v>
      </c>
      <c r="C404" s="5" t="n">
        <v>106398</v>
      </c>
      <c r="D404" s="5" t="n">
        <v>106398</v>
      </c>
      <c r="E404" s="2" t="inlineStr">
        <is>
          <t>Andalucía</t>
        </is>
      </c>
      <c r="F404" s="2" t="inlineStr">
        <is>
          <t>Almería</t>
        </is>
      </c>
      <c r="G404" s="2" t="n"/>
      <c r="H404" s="2" t="inlineStr">
        <is>
          <t>Empresa de Transformación Agraria S.A.,S.M.E., M.P., (TRAGSA)</t>
        </is>
      </c>
      <c r="I404" s="2" t="inlineStr">
        <is>
          <t>Contrato derivado del "AM para el alquiler de maquinaria de obra civil, agrícola y forestal, y camiones para obras de construcción y demolición, dotada de operario, para las actuaciones del ámbito territorial de la gerencia provincial de Tragsa en Almería, incluidas las obras con fondos en el marco del PRTR, a adjudicar por procedimiento abierto, sujeto a regulación armonizada. TSA0078977"</t>
        </is>
      </c>
      <c r="J404" s="2" t="inlineStr">
        <is>
          <t>TSA0078977-357</t>
        </is>
      </c>
      <c r="K404" s="2" t="inlineStr">
        <is>
          <t>Abierto</t>
        </is>
      </c>
      <c r="L404" s="6" t="n">
        <v>6</v>
      </c>
      <c r="M404" s="2" t="n"/>
      <c r="N404" s="7" t="n">
        <v>0</v>
      </c>
      <c r="O404" s="4" t="n"/>
      <c r="P404" s="2" t="inlineStr">
        <is>
          <t>45500000</t>
        </is>
      </c>
      <c r="Q404" s="8" t="inlineStr">
        <is>
          <t>Ver</t>
        </is>
      </c>
      <c r="R404" s="8" t="inlineStr">
        <is>
          <t>PCAP</t>
        </is>
      </c>
      <c r="S404" s="9" t="n">
        <v>46310</v>
      </c>
      <c r="T404" s="3" t="n">
        <v>46316.66503472222</v>
      </c>
      <c r="U404" s="2" t="n"/>
    </row>
    <row r="405">
      <c r="A405" s="2" t="inlineStr">
        <is>
          <t>Resuelta</t>
        </is>
      </c>
      <c r="B405" s="3" t="n">
        <v>46273.41666666666</v>
      </c>
      <c r="C405" s="5" t="n">
        <v>56160</v>
      </c>
      <c r="D405" s="5" t="n">
        <v>56160</v>
      </c>
      <c r="E405" s="2" t="inlineStr">
        <is>
          <t>Andalucía</t>
        </is>
      </c>
      <c r="F405" s="2" t="inlineStr">
        <is>
          <t>Granada</t>
        </is>
      </c>
      <c r="G405" s="2" t="n"/>
      <c r="H405" s="2" t="inlineStr">
        <is>
          <t>Empresa de Transformación Agraria S.A.,S.M.E., M.P., (TRAGSA)</t>
        </is>
      </c>
      <c r="I405" s="2" t="inlineStr">
        <is>
          <t>Contrato derivado del "Acuerdo Marco para el Alquiler de Maquinaria de Obra Civil, Agrícola y Forestal, y Camiones para obras de construcción y demolición, dotada de operario, para las actuaciones de la Gerencia Provincial de Tragsa en Granada, incluidas las obras con Fondos en el Marco del Plan de Recuperación, Transformación y Resiliencia financiado por Unión Europea-Next Generation EU"</t>
        </is>
      </c>
      <c r="J405" s="2" t="inlineStr">
        <is>
          <t>TSA0077561-332</t>
        </is>
      </c>
      <c r="K405" s="2" t="inlineStr">
        <is>
          <t>Abierto</t>
        </is>
      </c>
      <c r="L405" s="6" t="n">
        <v>2</v>
      </c>
      <c r="M405" s="2" t="n"/>
      <c r="N405" s="7" t="n">
        <v>0</v>
      </c>
      <c r="O405" s="4" t="n"/>
      <c r="P405" s="2" t="inlineStr">
        <is>
          <t>45500000</t>
        </is>
      </c>
      <c r="Q405" s="8" t="inlineStr">
        <is>
          <t>Ver</t>
        </is>
      </c>
      <c r="R405" s="8" t="inlineStr">
        <is>
          <t>PCAP</t>
        </is>
      </c>
      <c r="S405" s="9" t="n">
        <v>46310</v>
      </c>
      <c r="T405" s="3" t="n">
        <v>46316.66010416667</v>
      </c>
      <c r="U405" s="2" t="n"/>
    </row>
    <row r="406">
      <c r="A406" s="2" t="inlineStr">
        <is>
          <t>Resuelta</t>
        </is>
      </c>
      <c r="B406" s="3" t="n">
        <v>46105.41666666666</v>
      </c>
      <c r="C406" s="5" t="n">
        <v>181000</v>
      </c>
      <c r="D406" s="5" t="n">
        <v>181000</v>
      </c>
      <c r="E406" s="2" t="inlineStr">
        <is>
          <t>Andalucía</t>
        </is>
      </c>
      <c r="F406" s="2" t="inlineStr">
        <is>
          <t>Sevilla</t>
        </is>
      </c>
      <c r="G406" s="2" t="n"/>
      <c r="H406" s="2" t="inlineStr">
        <is>
          <t>Empresa de Transformación Agraria S.A.,S.M.E., M.P., (TRAGSA)</t>
        </is>
      </c>
      <c r="I406" s="2" t="inlineStr">
        <is>
          <t>Contrato derivado del "Acuerdo Marco para alquiler de maquinaria de obra civil, agrícola y forestal, y camiones para obras de construcción y demolición, dotada de operario, para las actuaciones del ámbito territorial de la Gerencia provincial de Tragsa en Sevilla, en el marco del Plan de Recuperación, Transformación y Resiliencia, financiado por la Unión Europea - NEXTGENERATION EU.</t>
        </is>
      </c>
      <c r="J406" s="2" t="inlineStr">
        <is>
          <t>TSA0076787-164</t>
        </is>
      </c>
      <c r="K406" s="2" t="inlineStr">
        <is>
          <t>Abierto</t>
        </is>
      </c>
      <c r="L406" s="6" t="n">
        <v>9</v>
      </c>
      <c r="M406" s="2" t="n"/>
      <c r="N406" s="7" t="n">
        <v>0</v>
      </c>
      <c r="O406" s="4" t="n"/>
      <c r="P406" s="2" t="inlineStr">
        <is>
          <t>45500000</t>
        </is>
      </c>
      <c r="Q406" s="8" t="inlineStr">
        <is>
          <t>Ver</t>
        </is>
      </c>
      <c r="R406" s="8" t="inlineStr">
        <is>
          <t>PCAP</t>
        </is>
      </c>
      <c r="S406" s="9" t="n">
        <v>46315</v>
      </c>
      <c r="T406" s="3" t="n">
        <v>46316.658125</v>
      </c>
      <c r="U406" s="2" t="n"/>
    </row>
    <row r="407">
      <c r="A407" s="2" t="inlineStr">
        <is>
          <t>Plazo vencido</t>
        </is>
      </c>
      <c r="B407" s="3" t="n">
        <v>46317.99930555555</v>
      </c>
      <c r="C407" s="5" t="n">
        <v>1090919.91</v>
      </c>
      <c r="D407" s="5" t="n">
        <v>1309103.09</v>
      </c>
      <c r="E407" s="2" t="inlineStr">
        <is>
          <t>Andalucía</t>
        </is>
      </c>
      <c r="F407" s="2" t="inlineStr">
        <is>
          <t>Almería</t>
        </is>
      </c>
      <c r="G407" s="2" t="n"/>
      <c r="H407" s="2" t="inlineStr">
        <is>
          <t>Junta de Gobierno Local del Ayuntamiento de El Ejido</t>
        </is>
      </c>
      <c r="I407" s="2" t="inlineStr">
        <is>
          <t>Es objeto de la presente licitación es la contratación de la ejecución del proyecto de obras denominado: Proyecto de construcción de adecuación del complejo deportivo en el núcleo de Almerimar. Fase III, conforme a las especificaciones y características expuestas en el presente pliego y en el proyecto técnico.</t>
        </is>
      </c>
      <c r="J407" s="2" t="inlineStr">
        <is>
          <t>2026 1160</t>
        </is>
      </c>
      <c r="K407" s="2" t="inlineStr">
        <is>
          <t>Abierto simplificado</t>
        </is>
      </c>
      <c r="L407" s="6" t="n">
        <v>6</v>
      </c>
      <c r="M407" s="2" t="n"/>
      <c r="N407" s="7" t="n">
        <v>0.25</v>
      </c>
      <c r="O407" s="4" t="n"/>
      <c r="P407" s="2" t="inlineStr">
        <is>
          <t>45200000</t>
        </is>
      </c>
      <c r="Q407" s="8" t="inlineStr">
        <is>
          <t>Ver</t>
        </is>
      </c>
      <c r="R407" s="8" t="inlineStr">
        <is>
          <t>PCAP</t>
        </is>
      </c>
      <c r="S407" s="9" t="n">
        <v>46310</v>
      </c>
      <c r="T407" s="3" t="n">
        <v>46316.65425925926</v>
      </c>
      <c r="U407" s="2" t="n"/>
    </row>
    <row r="408">
      <c r="A408" s="2" t="inlineStr">
        <is>
          <t>En plazo</t>
        </is>
      </c>
      <c r="B408" s="3" t="n">
        <v>46342.99930555555</v>
      </c>
      <c r="C408" s="5" t="n">
        <v>1332042.22</v>
      </c>
      <c r="D408" s="5" t="n">
        <v>1332042.22</v>
      </c>
      <c r="E408" s="2" t="inlineStr">
        <is>
          <t>Comunitat Valenciana</t>
        </is>
      </c>
      <c r="F408" s="2" t="inlineStr">
        <is>
          <t>Valencia</t>
        </is>
      </c>
      <c r="G408" s="2" t="n"/>
      <c r="H408" s="2" t="inlineStr">
        <is>
          <t>Alcaldía del Ayuntamiento de Manises</t>
        </is>
      </c>
      <c r="I408" s="2" t="inlineStr">
        <is>
          <t>Obras para la ejecución de las actuaciones incluidas en el plan edificant correspondientes a la fase 2 del CEIP Enric Valor ya la adecuación y mejora del CEIP José Garcia Planells</t>
        </is>
      </c>
      <c r="J408" s="2" t="inlineStr">
        <is>
          <t>2754824W</t>
        </is>
      </c>
      <c r="K408" s="2" t="inlineStr">
        <is>
          <t>Abierto</t>
        </is>
      </c>
      <c r="L408" s="6" t="n">
        <v>6</v>
      </c>
      <c r="M408" s="2" t="inlineStr">
        <is>
          <t>J2-3; C4-3; I9-3; C6-3</t>
        </is>
      </c>
      <c r="N408" s="7" t="n">
        <v>0.3</v>
      </c>
      <c r="O408" s="4" t="n">
        <v>2</v>
      </c>
      <c r="P408" s="2" t="inlineStr">
        <is>
          <t>45214200; 45200000; 45300000; 45261410; 45331200</t>
        </is>
      </c>
      <c r="Q408" s="8" t="inlineStr">
        <is>
          <t>Ver</t>
        </is>
      </c>
      <c r="R408" s="8" t="inlineStr">
        <is>
          <t>PCAP</t>
        </is>
      </c>
      <c r="S408" s="9" t="n">
        <v>46317</v>
      </c>
      <c r="T408" s="3" t="n">
        <v>46316.64293981482</v>
      </c>
      <c r="U408" s="2" t="n"/>
    </row>
    <row r="409">
      <c r="A409" s="2" t="inlineStr">
        <is>
          <t>En plazo</t>
        </is>
      </c>
      <c r="B409" s="3" t="n">
        <v>46336.99930555555</v>
      </c>
      <c r="C409" s="5" t="n">
        <v>221636.65</v>
      </c>
      <c r="D409" s="5" t="n">
        <v>221636.65</v>
      </c>
      <c r="E409" s="2" t="inlineStr">
        <is>
          <t>Andalucía</t>
        </is>
      </c>
      <c r="F409" s="2" t="inlineStr">
        <is>
          <t>Málaga</t>
        </is>
      </c>
      <c r="G409" s="2" t="n"/>
      <c r="H409" s="2" t="inlineStr">
        <is>
          <t>Alcaldía del Ayuntamiento de Alhaurín de la Torre</t>
        </is>
      </c>
      <c r="I409" s="2" t="inlineStr">
        <is>
          <t>Reforma interior del centro de usos múltiples sito en parcela de equipamiento del sector ur-ind-01, T.M. ALHAURÍN DE LA TORRE, MÁLAGA</t>
        </is>
      </c>
      <c r="J409" s="2" t="inlineStr">
        <is>
          <t>2026 CONT-00039</t>
        </is>
      </c>
      <c r="K409" s="2" t="inlineStr">
        <is>
          <t>Abierto simplificado</t>
        </is>
      </c>
      <c r="L409" s="6" t="n">
        <v>6</v>
      </c>
      <c r="M409" s="2" t="n"/>
      <c r="N409" s="7" t="n">
        <v>0</v>
      </c>
      <c r="O409" s="4" t="n"/>
      <c r="P409" s="2" t="inlineStr">
        <is>
          <t>45000000; 45320000; 45440000; 45300000; 45310000; 45420000; 45330000; 45261000</t>
        </is>
      </c>
      <c r="Q409" s="8" t="inlineStr">
        <is>
          <t>Ver</t>
        </is>
      </c>
      <c r="R409" s="8" t="inlineStr">
        <is>
          <t>PCAP</t>
        </is>
      </c>
      <c r="S409" s="9" t="n">
        <v>46317</v>
      </c>
      <c r="T409" s="3" t="n">
        <v>46316.6328587963</v>
      </c>
      <c r="U409" s="2" t="n"/>
    </row>
    <row r="410">
      <c r="A410" s="2" t="inlineStr">
        <is>
          <t>En plazo</t>
        </is>
      </c>
      <c r="B410" s="3" t="n">
        <v>46322.625</v>
      </c>
      <c r="C410" s="5" t="n">
        <v>56327.1</v>
      </c>
      <c r="D410" s="5" t="n">
        <v>56327.1</v>
      </c>
      <c r="E410" s="2" t="inlineStr">
        <is>
          <t>Comunitat Valenciana</t>
        </is>
      </c>
      <c r="F410" s="2" t="inlineStr">
        <is>
          <t>Alicante</t>
        </is>
      </c>
      <c r="G410" s="2" t="inlineStr">
        <is>
          <t>Ibi</t>
        </is>
      </c>
      <c r="H410" s="2" t="inlineStr">
        <is>
          <t>Departamento de Salud Alcoy. Dirección Económica-Gerencia</t>
        </is>
      </c>
      <c r="I410" s="2" t="inlineStr">
        <is>
          <t>Obra de instalación de un nuevo ascensor en el Centro de Salud IBI II en el Departamento de Salud de Alcoi</t>
        </is>
      </c>
      <c r="J410" s="2" t="inlineStr">
        <is>
          <t>PAS 643/2026</t>
        </is>
      </c>
      <c r="K410" s="2" t="inlineStr">
        <is>
          <t>Abierto simplificado</t>
        </is>
      </c>
      <c r="L410" s="6" t="n">
        <v>6</v>
      </c>
      <c r="M410" s="2" t="n"/>
      <c r="N410" s="7" t="n">
        <v>0.1</v>
      </c>
      <c r="O410" s="4" t="n"/>
      <c r="P410" s="2" t="inlineStr">
        <is>
          <t>45000000; 45313100</t>
        </is>
      </c>
      <c r="Q410" s="8" t="inlineStr">
        <is>
          <t>Ver</t>
        </is>
      </c>
      <c r="R410" s="8" t="inlineStr">
        <is>
          <t>PCAP</t>
        </is>
      </c>
      <c r="S410" s="9" t="n">
        <v>46317</v>
      </c>
      <c r="T410" s="3" t="n">
        <v>46316.6250462963</v>
      </c>
      <c r="U410" s="2" t="n"/>
    </row>
    <row r="411">
      <c r="A411" s="2" t="inlineStr">
        <is>
          <t>En plazo</t>
        </is>
      </c>
      <c r="B411" s="3" t="n">
        <v>46336.99930555555</v>
      </c>
      <c r="C411" s="5" t="n">
        <v>66115.69</v>
      </c>
      <c r="D411" s="5" t="n">
        <v>72727.25999999999</v>
      </c>
      <c r="E411" s="2" t="inlineStr">
        <is>
          <t>Comunitat Valenciana</t>
        </is>
      </c>
      <c r="F411" s="2" t="inlineStr">
        <is>
          <t>Valencia</t>
        </is>
      </c>
      <c r="G411" s="2" t="n"/>
      <c r="H411" s="2" t="inlineStr">
        <is>
          <t>Alcaldía del Ayuntamiento de Picassent</t>
        </is>
      </c>
      <c r="I411" s="2" t="inlineStr">
        <is>
          <t>Obras de realización de un correcan y zona de agility en la parcela de titularidad municipal sita en la C/ Alfarp nº 4</t>
        </is>
      </c>
      <c r="J411" s="2" t="inlineStr">
        <is>
          <t>3037714Y</t>
        </is>
      </c>
      <c r="K411" s="2" t="inlineStr">
        <is>
          <t>Abierto simplificado</t>
        </is>
      </c>
      <c r="L411" s="6" t="n">
        <v>3</v>
      </c>
      <c r="M411" s="2" t="n"/>
      <c r="N411" s="7" t="n">
        <v>0</v>
      </c>
      <c r="O411" s="4" t="n"/>
      <c r="P411" s="2" t="inlineStr">
        <is>
          <t>45000000; 43325000</t>
        </is>
      </c>
      <c r="Q411" s="8" t="inlineStr">
        <is>
          <t>Ver</t>
        </is>
      </c>
      <c r="R411" s="8" t="inlineStr">
        <is>
          <t>PCAP</t>
        </is>
      </c>
      <c r="S411" s="9" t="n">
        <v>46317</v>
      </c>
      <c r="T411" s="3" t="n">
        <v>46316.62435185185</v>
      </c>
      <c r="U411" s="2" t="n"/>
    </row>
    <row r="412">
      <c r="A412" s="2" t="inlineStr">
        <is>
          <t>En plazo</t>
        </is>
      </c>
      <c r="B412" s="3" t="n">
        <v>46328.625</v>
      </c>
      <c r="C412" s="5" t="n">
        <v>304657.12</v>
      </c>
      <c r="D412" s="5" t="n">
        <v>304657.12</v>
      </c>
      <c r="E412" s="2" t="inlineStr">
        <is>
          <t>Comunitat Valenciana</t>
        </is>
      </c>
      <c r="F412" s="2" t="inlineStr">
        <is>
          <t>Alicante</t>
        </is>
      </c>
      <c r="G412" s="2" t="inlineStr">
        <is>
          <t>Alcoi</t>
        </is>
      </c>
      <c r="H412" s="2" t="inlineStr">
        <is>
          <t>Departamento de Salud Alcoy. Dirección Económica-Gerencia</t>
        </is>
      </c>
      <c r="I412" s="2" t="inlineStr">
        <is>
          <t>Obra de reforma de la instalación de climatización del Centro de Salud Plaça de Dins en el Departamento de Salud de Alcoi.</t>
        </is>
      </c>
      <c r="J412" s="2" t="inlineStr">
        <is>
          <t>PAS 821/2026</t>
        </is>
      </c>
      <c r="K412" s="2" t="inlineStr">
        <is>
          <t>Abierto simplificado</t>
        </is>
      </c>
      <c r="L412" s="6" t="n">
        <v>7</v>
      </c>
      <c r="M412" s="2" t="n"/>
      <c r="N412" s="7" t="n">
        <v>0</v>
      </c>
      <c r="O412" s="4" t="n"/>
      <c r="P412" s="2" t="inlineStr">
        <is>
          <t>45331000; 45331200; 45321000; 42512300; 45331210</t>
        </is>
      </c>
      <c r="Q412" s="8" t="inlineStr">
        <is>
          <t>Ver</t>
        </is>
      </c>
      <c r="R412" s="8" t="inlineStr">
        <is>
          <t>PCAP</t>
        </is>
      </c>
      <c r="S412" s="9" t="n">
        <v>46310</v>
      </c>
      <c r="T412" s="3" t="n">
        <v>46316.623125</v>
      </c>
      <c r="U412" s="2" t="n"/>
    </row>
    <row r="413">
      <c r="A413" s="2" t="inlineStr">
        <is>
          <t>En plazo</t>
        </is>
      </c>
      <c r="B413" s="3" t="n">
        <v>46335.99930555555</v>
      </c>
      <c r="C413" s="5" t="n">
        <v>1170584.07</v>
      </c>
      <c r="D413" s="5" t="n">
        <v>1170584.07</v>
      </c>
      <c r="E413" s="2" t="inlineStr">
        <is>
          <t>Andalucía</t>
        </is>
      </c>
      <c r="F413" s="2" t="inlineStr">
        <is>
          <t>Sevilla</t>
        </is>
      </c>
      <c r="G413" s="2" t="n"/>
      <c r="H413" s="2" t="inlineStr">
        <is>
          <t>Pleno del Ayuntamiento de La Roda de Andalucía</t>
        </is>
      </c>
      <c r="I413" s="2" t="inlineStr">
        <is>
          <t>Contrato de obras para ejecución del "Proyecto básico y de terminación del pabellón polideportivo cubierto municipal"</t>
        </is>
      </c>
      <c r="J413" s="2" t="inlineStr">
        <is>
          <t>P4108200I-2026/000011-PAAS</t>
        </is>
      </c>
      <c r="K413" s="2" t="inlineStr">
        <is>
          <t>Abierto simplificado</t>
        </is>
      </c>
      <c r="L413" s="6" t="n">
        <v>18</v>
      </c>
      <c r="M413" s="2" t="inlineStr">
        <is>
          <t>C4-3</t>
        </is>
      </c>
      <c r="N413" s="7" t="n">
        <v>0</v>
      </c>
      <c r="O413" s="4" t="n"/>
      <c r="P413" s="2" t="inlineStr">
        <is>
          <t>45000000</t>
        </is>
      </c>
      <c r="Q413" s="8" t="inlineStr">
        <is>
          <t>Ver</t>
        </is>
      </c>
      <c r="R413" s="8" t="inlineStr">
        <is>
          <t>PCAP</t>
        </is>
      </c>
      <c r="S413" s="9" t="n">
        <v>46310</v>
      </c>
      <c r="T413" s="3" t="n">
        <v>46316.62289351852</v>
      </c>
      <c r="U413" s="2" t="inlineStr">
        <is>
          <t>2026-10-22: plazo 2026-10-29 23:59 → 2026-11-09 23:59</t>
        </is>
      </c>
    </row>
    <row r="414">
      <c r="A414" s="2" t="inlineStr">
        <is>
          <t>En plazo</t>
        </is>
      </c>
      <c r="B414" s="3" t="n">
        <v>46336.99930555555</v>
      </c>
      <c r="C414" s="5" t="n">
        <v>186936.54</v>
      </c>
      <c r="D414" s="5" t="n">
        <v>186936.54</v>
      </c>
      <c r="E414" s="2" t="inlineStr">
        <is>
          <t>Andalucía</t>
        </is>
      </c>
      <c r="F414" s="2" t="inlineStr">
        <is>
          <t>Málaga</t>
        </is>
      </c>
      <c r="G414" s="2" t="inlineStr">
        <is>
          <t>Alhaurín el Grande</t>
        </is>
      </c>
      <c r="H414" s="2" t="inlineStr">
        <is>
          <t>Alcaldía del Ayuntamiento de Alhaurín el Grande</t>
        </is>
      </c>
      <c r="I414" s="2" t="inlineStr">
        <is>
          <t>Proyecto de asfaltado de calles en el T.M. de Alhaurín el Grande y Villa del Guadalhorce</t>
        </is>
      </c>
      <c r="J414" s="2" t="inlineStr">
        <is>
          <t>27127/2026 ASFALTADO CALLES</t>
        </is>
      </c>
      <c r="K414" s="2" t="inlineStr">
        <is>
          <t>Abierto simplificado</t>
        </is>
      </c>
      <c r="L414" s="6" t="n">
        <v>2</v>
      </c>
      <c r="M414" s="2" t="n"/>
      <c r="N414" s="7" t="n">
        <v>0.25</v>
      </c>
      <c r="O414" s="4" t="n"/>
      <c r="P414" s="2" t="inlineStr">
        <is>
          <t>45233252; 45233220</t>
        </is>
      </c>
      <c r="Q414" s="8" t="inlineStr">
        <is>
          <t>Ver</t>
        </is>
      </c>
      <c r="R414" s="8" t="inlineStr">
        <is>
          <t>PCAP</t>
        </is>
      </c>
      <c r="S414" s="9" t="n">
        <v>46317</v>
      </c>
      <c r="T414" s="3" t="n">
        <v>46316.62109953703</v>
      </c>
      <c r="U414" s="2" t="n"/>
    </row>
    <row r="415">
      <c r="A415" s="2" t="inlineStr">
        <is>
          <t>Resuelta</t>
        </is>
      </c>
      <c r="B415" s="3" t="n">
        <v>45418.5</v>
      </c>
      <c r="C415" s="5" t="n">
        <v>2608353.32</v>
      </c>
      <c r="D415" s="5" t="n">
        <v>3130023.98</v>
      </c>
      <c r="E415" s="2" t="inlineStr">
        <is>
          <t>Andalucía</t>
        </is>
      </c>
      <c r="F415" s="2" t="inlineStr">
        <is>
          <t>Sevilla</t>
        </is>
      </c>
      <c r="G415" s="2" t="inlineStr">
        <is>
          <t>Sevilla</t>
        </is>
      </c>
      <c r="H415" s="2" t="inlineStr">
        <is>
          <t>Consejería Delegada de la Empresa Metropolitana de Abastecimiento y Saneamiento de Aguas de Sevilla S.A. (EMASESA)</t>
        </is>
      </c>
      <c r="I415" s="2" t="inlineStr">
        <is>
          <t>Proyecto para el desvío de servicios de abastecimiento y saneamiento por obras del Ministerio de Fomento en enlace Carreteras SE-20/A-4. Distrito Norte, Sevilla.</t>
        </is>
      </c>
      <c r="J415" s="2" t="inlineStr">
        <is>
          <t>0533/2024</t>
        </is>
      </c>
      <c r="K415" s="2" t="inlineStr">
        <is>
          <t>Abierto</t>
        </is>
      </c>
      <c r="L415" s="6" t="n">
        <v>10.5</v>
      </c>
      <c r="M415" s="2" t="inlineStr">
        <is>
          <t>E1-5</t>
        </is>
      </c>
      <c r="N415" s="7" t="n">
        <v>0</v>
      </c>
      <c r="O415" s="4" t="n"/>
      <c r="P415" s="2" t="inlineStr">
        <is>
          <t>45231300</t>
        </is>
      </c>
      <c r="Q415" s="8" t="inlineStr">
        <is>
          <t>Ver</t>
        </is>
      </c>
      <c r="R415" s="8" t="inlineStr">
        <is>
          <t>PCAP</t>
        </is>
      </c>
      <c r="S415" s="9" t="n">
        <v>46317</v>
      </c>
      <c r="T415" s="3" t="n">
        <v>46316.62061342593</v>
      </c>
      <c r="U415" s="2" t="n"/>
    </row>
    <row r="416">
      <c r="A416" s="2" t="inlineStr">
        <is>
          <t>Plazo vencido</t>
        </is>
      </c>
      <c r="B416" s="3" t="n">
        <v>46318.99930555555</v>
      </c>
      <c r="C416" s="5" t="n">
        <v>552110.2</v>
      </c>
      <c r="D416" s="5" t="n">
        <v>552110.2</v>
      </c>
      <c r="E416" s="2" t="inlineStr">
        <is>
          <t>Andalucía</t>
        </is>
      </c>
      <c r="F416" s="2" t="inlineStr">
        <is>
          <t>Sevilla</t>
        </is>
      </c>
      <c r="G416" s="2" t="inlineStr">
        <is>
          <t>Mairena del Aljarafe</t>
        </is>
      </c>
      <c r="H416" s="2" t="inlineStr">
        <is>
          <t>Alcaldía del Ayuntamiento de Mairena del Aljarafe</t>
        </is>
      </c>
      <c r="I416" s="2" t="inlineStr">
        <is>
          <t>Actualización de proyecto básico y de ejecución de equipamiento deportivo para Parque de Ruedas y Zona Biosaludable en Av. Clara Campoamor S/N, Mairena del Aljarafe (Sevilla).</t>
        </is>
      </c>
      <c r="J416" s="2" t="inlineStr">
        <is>
          <t>17730/2026</t>
        </is>
      </c>
      <c r="K416" s="2" t="inlineStr">
        <is>
          <t>Abierto simplificado</t>
        </is>
      </c>
      <c r="L416" s="6" t="n">
        <v>5</v>
      </c>
      <c r="M416" s="2" t="inlineStr">
        <is>
          <t>G*-3</t>
        </is>
      </c>
      <c r="N416" s="7" t="n">
        <v>0</v>
      </c>
      <c r="O416" s="4" t="n"/>
      <c r="P416" s="2" t="inlineStr">
        <is>
          <t>45000000; 45233252</t>
        </is>
      </c>
      <c r="Q416" s="8" t="inlineStr">
        <is>
          <t>Ver</t>
        </is>
      </c>
      <c r="R416" s="8" t="inlineStr">
        <is>
          <t>PCAP</t>
        </is>
      </c>
      <c r="S416" s="9" t="n">
        <v>46317</v>
      </c>
      <c r="T416" s="3" t="n">
        <v>46316.61888888889</v>
      </c>
      <c r="U416" s="2" t="n"/>
    </row>
    <row r="417">
      <c r="A417" s="2" t="inlineStr">
        <is>
          <t>En plazo</t>
        </is>
      </c>
      <c r="B417" s="3" t="n">
        <v>46331.99930555555</v>
      </c>
      <c r="C417" s="5" t="n">
        <v>952036.08</v>
      </c>
      <c r="D417" s="5" t="n">
        <v>952036.08</v>
      </c>
      <c r="E417" s="2" t="inlineStr">
        <is>
          <t>Comunitat Valenciana</t>
        </is>
      </c>
      <c r="F417" s="2" t="inlineStr">
        <is>
          <t>Castellón</t>
        </is>
      </c>
      <c r="G417" s="2" t="inlineStr">
        <is>
          <t>Burriana (Castellón)</t>
        </is>
      </c>
      <c r="H417" s="2" t="inlineStr">
        <is>
          <t>Alcaldía del Ayuntamiento de Borriana</t>
        </is>
      </c>
      <c r="I417" s="2" t="inlineStr">
        <is>
          <t>Son objeto de contratación: - Lote 1 Obras de ejecución del proyecto "Dotación de accesibilidad al polideportivo Sant Blai de Burriana" - Lote 2 Obras de ejecución del proyecto "Mejora de las condiciones de estanqueidad del polideportivo municipal Sant Blai en Burriana"</t>
        </is>
      </c>
      <c r="J417" s="2" t="inlineStr">
        <is>
          <t>BURR16660/2026-PM9-PM 10</t>
        </is>
      </c>
      <c r="K417" s="2" t="inlineStr">
        <is>
          <t>Abierto simplificado</t>
        </is>
      </c>
      <c r="L417" s="6" t="n">
        <v>7</v>
      </c>
      <c r="M417" s="2" t="n"/>
      <c r="N417" s="7" t="n">
        <v>0</v>
      </c>
      <c r="O417" s="4" t="n">
        <v>2</v>
      </c>
      <c r="P417" s="2" t="inlineStr">
        <is>
          <t>45000000; 45212221; 45261000; 45443000; 45200000; 45212200</t>
        </is>
      </c>
      <c r="Q417" s="8" t="inlineStr">
        <is>
          <t>Ver</t>
        </is>
      </c>
      <c r="R417" s="8" t="inlineStr">
        <is>
          <t>PCAP</t>
        </is>
      </c>
      <c r="S417" s="9" t="n">
        <v>46314</v>
      </c>
      <c r="T417" s="3" t="n">
        <v>46316.61122685186</v>
      </c>
      <c r="U417" s="2" t="n"/>
    </row>
    <row r="418">
      <c r="A418" s="2" t="inlineStr">
        <is>
          <t>Resuelta</t>
        </is>
      </c>
      <c r="B418" s="3" t="n">
        <v>46289.75</v>
      </c>
      <c r="C418" s="5" t="n">
        <v>292655</v>
      </c>
      <c r="D418" s="5" t="n">
        <v>292655</v>
      </c>
      <c r="E418" s="2" t="inlineStr">
        <is>
          <t>Comunitat Valenciana</t>
        </is>
      </c>
      <c r="F418" s="2" t="inlineStr">
        <is>
          <t>Valencia</t>
        </is>
      </c>
      <c r="G418" s="2" t="n"/>
      <c r="H418" s="2" t="inlineStr">
        <is>
          <t>Empresa de Transformación Agraria S.A.,S.M.E., M.P., (TRAGSA)</t>
        </is>
      </c>
      <c r="I418" s="2" t="inlineStr">
        <is>
          <t>UT2-contrato derivado del acuerdo marco para el alquiler de maquinaria autopropulsada con conductor en el ámbito territorial de la provincia de valencia durante dos anualidades, en el marco del plan de recuperación, transformacion y resiliencia financiado por la union europea - nextgenerationeu-prtr, y resto de encargos, N 0786471 DANA24 CUENCAS TURIA. GENE</t>
        </is>
      </c>
      <c r="J418" s="2" t="inlineStr">
        <is>
          <t>TSA0081958-016</t>
        </is>
      </c>
      <c r="K418" s="2" t="inlineStr">
        <is>
          <t>Abierto</t>
        </is>
      </c>
      <c r="L418" s="6" t="n">
        <v>12</v>
      </c>
      <c r="M418" s="2" t="n"/>
      <c r="N418" s="7" t="n">
        <v>0</v>
      </c>
      <c r="O418" s="4" t="n"/>
      <c r="P418" s="2" t="inlineStr">
        <is>
          <t>45500000</t>
        </is>
      </c>
      <c r="Q418" s="8" t="inlineStr">
        <is>
          <t>Ver</t>
        </is>
      </c>
      <c r="R418" s="8" t="inlineStr">
        <is>
          <t>PCAP</t>
        </is>
      </c>
      <c r="S418" s="9" t="n">
        <v>46317</v>
      </c>
      <c r="T418" s="3" t="n">
        <v>46316.60670138889</v>
      </c>
      <c r="U418" s="2" t="n"/>
    </row>
    <row r="419">
      <c r="A419" s="2" t="inlineStr">
        <is>
          <t>Resuelta</t>
        </is>
      </c>
      <c r="B419" s="3" t="n">
        <v>46213.54166666666</v>
      </c>
      <c r="C419" s="5" t="n">
        <v>398834.72</v>
      </c>
      <c r="D419" s="5" t="n">
        <v>398834.72</v>
      </c>
      <c r="E419" s="2" t="inlineStr">
        <is>
          <t>Andalucía</t>
        </is>
      </c>
      <c r="F419" s="2" t="inlineStr">
        <is>
          <t>Jaén</t>
        </is>
      </c>
      <c r="G419" s="2" t="n"/>
      <c r="H419" s="2" t="inlineStr">
        <is>
          <t>Consejo de Administración de Sociedad Mercantil Estatal Aguas de las Cuencas de España, S.A. (ACUAES)</t>
        </is>
      </c>
      <c r="I419" s="2" t="inlineStr">
        <is>
          <t>Ejecución de las obras del Proyecto de mejoras en el abastecimiento de agua potable en el municipio de Pozo Alcón (Jaén), cofinanciado por el Programa Plurirregional de España (PPE) del Fondo Europeo de Desarrollo Regional (FEDER) 2021 - 2027.</t>
        </is>
      </c>
      <c r="J419" s="2" t="inlineStr">
        <is>
          <t>ACE/318.83/26/OBRA/01</t>
        </is>
      </c>
      <c r="K419" s="2" t="inlineStr">
        <is>
          <t>Abierto</t>
        </is>
      </c>
      <c r="L419" s="6" t="n">
        <v>14</v>
      </c>
      <c r="M419" s="2" t="inlineStr">
        <is>
          <t>E1-3</t>
        </is>
      </c>
      <c r="N419" s="7" t="n">
        <v>0.45</v>
      </c>
      <c r="O419" s="4" t="n"/>
      <c r="P419" s="2" t="inlineStr">
        <is>
          <t>45240000</t>
        </is>
      </c>
      <c r="Q419" s="8" t="inlineStr">
        <is>
          <t>Ver</t>
        </is>
      </c>
      <c r="R419" s="8" t="inlineStr">
        <is>
          <t>PCAP</t>
        </is>
      </c>
      <c r="S419" s="9" t="n">
        <v>46317</v>
      </c>
      <c r="T419" s="3" t="n">
        <v>46316.60637731481</v>
      </c>
      <c r="U419" s="2" t="n"/>
    </row>
    <row r="420">
      <c r="A420" s="2" t="inlineStr">
        <is>
          <t>Adjudicada</t>
        </is>
      </c>
      <c r="B420" s="3" t="n"/>
      <c r="C420" s="5" t="n">
        <v>116424.71</v>
      </c>
      <c r="D420" s="5" t="n">
        <v>116424.71</v>
      </c>
      <c r="E420" s="2" t="inlineStr">
        <is>
          <t>Andalucía</t>
        </is>
      </c>
      <c r="F420" s="2" t="inlineStr">
        <is>
          <t>Granada</t>
        </is>
      </c>
      <c r="G420" s="2" t="n"/>
      <c r="H420" s="2" t="inlineStr">
        <is>
          <t>Junta de Gobierno del Ayuntamiento de Granada</t>
        </is>
      </c>
      <c r="I420" s="2" t="inlineStr">
        <is>
          <t>Contrato de obras necesarias e imprescindibles para la reposición de conductores eléctricos sustraídos de las instalaciones de alumbrado público de la ciudad de Granada, por razones de emergencia</t>
        </is>
      </c>
      <c r="J420" s="2" t="inlineStr">
        <is>
          <t>OBR-2026000123</t>
        </is>
      </c>
      <c r="K420" s="2" t="inlineStr">
        <is>
          <t>Abierto</t>
        </is>
      </c>
      <c r="L420" s="6" t="n">
        <v>1.5</v>
      </c>
      <c r="M420" s="2" t="n"/>
      <c r="N420" s="7" t="n">
        <v>0</v>
      </c>
      <c r="O420" s="4" t="n"/>
      <c r="P420" s="2" t="inlineStr">
        <is>
          <t>45316000</t>
        </is>
      </c>
      <c r="Q420" s="8" t="inlineStr">
        <is>
          <t>Ver</t>
        </is>
      </c>
      <c r="R420" s="2" t="n"/>
      <c r="S420" s="9" t="n">
        <v>46310</v>
      </c>
      <c r="T420" s="3" t="n">
        <v>46316.60472222222</v>
      </c>
      <c r="U420" s="2" t="n"/>
    </row>
    <row r="421">
      <c r="A421" s="2" t="inlineStr">
        <is>
          <t>Resuelta</t>
        </is>
      </c>
      <c r="B421" s="3" t="n">
        <v>46267.58333333334</v>
      </c>
      <c r="C421" s="5" t="n">
        <v>115402.98</v>
      </c>
      <c r="D421" s="5" t="n">
        <v>115402.98</v>
      </c>
      <c r="E421" s="2" t="inlineStr">
        <is>
          <t>Comunitat Valenciana</t>
        </is>
      </c>
      <c r="F421" s="2" t="inlineStr">
        <is>
          <t>Valencia</t>
        </is>
      </c>
      <c r="G421" s="2" t="inlineStr">
        <is>
          <t>Xirivella</t>
        </is>
      </c>
      <c r="H421" s="2" t="inlineStr">
        <is>
          <t>Gerencia de Aigües de l'Horta S.A.</t>
        </is>
      </c>
      <c r="I421" s="2" t="inlineStr">
        <is>
          <t>Renovación de colectores de pluviales en planta subsuelo de edificios en Pz. Alqueria Nova (Xirivella)</t>
        </is>
      </c>
      <c r="J421" s="2" t="inlineStr">
        <is>
          <t>Xir_S26001</t>
        </is>
      </c>
      <c r="K421" s="2" t="inlineStr">
        <is>
          <t>Abierto</t>
        </is>
      </c>
      <c r="L421" s="6" t="n">
        <v>6</v>
      </c>
      <c r="M421" s="2" t="n"/>
      <c r="N421" s="7" t="n">
        <v>0.24</v>
      </c>
      <c r="O421" s="4" t="n"/>
      <c r="P421" s="2" t="inlineStr">
        <is>
          <t>45231300</t>
        </is>
      </c>
      <c r="Q421" s="8" t="inlineStr">
        <is>
          <t>Ver</t>
        </is>
      </c>
      <c r="R421" s="8" t="inlineStr">
        <is>
          <t>PCAP</t>
        </is>
      </c>
      <c r="S421" s="9" t="n">
        <v>46311</v>
      </c>
      <c r="T421" s="3" t="n">
        <v>46316.60462962963</v>
      </c>
      <c r="U421" s="2" t="inlineStr">
        <is>
          <t>2026-10-22: estado ADJ → RES</t>
        </is>
      </c>
    </row>
    <row r="422">
      <c r="A422" s="2" t="inlineStr">
        <is>
          <t>Pendiente de adjudicación</t>
        </is>
      </c>
      <c r="B422" s="3" t="n">
        <v>46288.99930555555</v>
      </c>
      <c r="C422" s="5" t="n">
        <v>603599.4399999999</v>
      </c>
      <c r="D422" s="5" t="n">
        <v>603599.4399999999</v>
      </c>
      <c r="E422" s="2" t="inlineStr">
        <is>
          <t>Comunitat Valenciana</t>
        </is>
      </c>
      <c r="F422" s="2" t="inlineStr">
        <is>
          <t>Alicante</t>
        </is>
      </c>
      <c r="G422" s="2" t="inlineStr">
        <is>
          <t>Alicante (Alacant)</t>
        </is>
      </c>
      <c r="H422" s="2" t="inlineStr">
        <is>
          <t>Junta de Gobierno del Ayuntamiento de Albatera</t>
        </is>
      </c>
      <c r="I422" s="2" t="inlineStr">
        <is>
          <t>Obras de mejora de infraestructuras y adecuación de viario en C/ Virgen de los Dolores y otras del casco viejo de Albatera</t>
        </is>
      </c>
      <c r="J422" s="2" t="inlineStr">
        <is>
          <t>7482/2026</t>
        </is>
      </c>
      <c r="K422" s="2" t="inlineStr">
        <is>
          <t>Abierto simplificado</t>
        </is>
      </c>
      <c r="L422" s="6" t="n">
        <v>5</v>
      </c>
      <c r="M422" s="2" t="inlineStr">
        <is>
          <t>G6-3</t>
        </is>
      </c>
      <c r="N422" s="7" t="n">
        <v>0.65</v>
      </c>
      <c r="O422" s="4" t="n"/>
      <c r="P422" s="2" t="inlineStr">
        <is>
          <t>45233223</t>
        </is>
      </c>
      <c r="Q422" s="8" t="inlineStr">
        <is>
          <t>Ver</t>
        </is>
      </c>
      <c r="R422" s="8" t="inlineStr">
        <is>
          <t>PCAP</t>
        </is>
      </c>
      <c r="S422" s="9" t="n">
        <v>46317</v>
      </c>
      <c r="T422" s="3" t="n">
        <v>46316.60423611111</v>
      </c>
      <c r="U422" s="2" t="n"/>
    </row>
    <row r="423">
      <c r="A423" s="2" t="inlineStr">
        <is>
          <t>En plazo</t>
        </is>
      </c>
      <c r="B423" s="3" t="n">
        <v>46336.99930555555</v>
      </c>
      <c r="C423" s="5" t="n">
        <v>285980.94</v>
      </c>
      <c r="D423" s="5" t="n">
        <v>285980.94</v>
      </c>
      <c r="E423" s="2" t="inlineStr">
        <is>
          <t>Andalucía</t>
        </is>
      </c>
      <c r="F423" s="2" t="inlineStr">
        <is>
          <t>Sevilla</t>
        </is>
      </c>
      <c r="G423" s="2" t="inlineStr">
        <is>
          <t>Mairena del Aljarafe</t>
        </is>
      </c>
      <c r="H423" s="2" t="inlineStr">
        <is>
          <t>Consejo de Gobierno de la Gerencia Municipal de Urbanismo del Ayuntamiento de Mairena del Aljarafe</t>
        </is>
      </c>
      <c r="I423" s="2" t="inlineStr">
        <is>
          <t>Obra de reparación de hundimientos en acerados en Avda. de los Olmos</t>
        </is>
      </c>
      <c r="J423" s="2" t="inlineStr">
        <is>
          <t>891/2026</t>
        </is>
      </c>
      <c r="K423" s="2" t="inlineStr">
        <is>
          <t>Abierto simplificado</t>
        </is>
      </c>
      <c r="L423" s="6" t="n">
        <v>5</v>
      </c>
      <c r="M423" s="2" t="n"/>
      <c r="N423" s="7" t="n">
        <v>0.25</v>
      </c>
      <c r="O423" s="4" t="n"/>
      <c r="P423" s="2" t="inlineStr">
        <is>
          <t>45000000</t>
        </is>
      </c>
      <c r="Q423" s="8" t="inlineStr">
        <is>
          <t>Ver</t>
        </is>
      </c>
      <c r="R423" s="8" t="inlineStr">
        <is>
          <t>PCAP</t>
        </is>
      </c>
      <c r="S423" s="9" t="n">
        <v>46317</v>
      </c>
      <c r="T423" s="3" t="n">
        <v>46316.6034375</v>
      </c>
      <c r="U423" s="2" t="n"/>
    </row>
    <row r="424">
      <c r="A424" s="2" t="inlineStr">
        <is>
          <t>Resuelta</t>
        </is>
      </c>
      <c r="B424" s="3" t="n">
        <v>44179.99930555555</v>
      </c>
      <c r="C424" s="5" t="n">
        <v>825224.22</v>
      </c>
      <c r="D424" s="5" t="n">
        <v>825224.22</v>
      </c>
      <c r="E424" s="2" t="inlineStr">
        <is>
          <t>Comunitat Valenciana</t>
        </is>
      </c>
      <c r="F424" s="2" t="inlineStr">
        <is>
          <t>Valencia</t>
        </is>
      </c>
      <c r="G424" s="2" t="n"/>
      <c r="H424" s="2" t="inlineStr">
        <is>
          <t>Junta de Gobierno del Ajuntament de València</t>
        </is>
      </c>
      <c r="I424" s="2" t="inlineStr">
        <is>
          <t>Obras de ejecución de varios proyectos de infraestructuras electromecánicas, en varias instalaciones de bombeo y estaciones depuradoras de aguas residuales urbanas, titularidad del ayuntamiento de València, dividido en tres lotes.-</t>
        </is>
      </c>
      <c r="J424" s="2" t="inlineStr">
        <is>
          <t>04101/2020/168-O</t>
        </is>
      </c>
      <c r="K424" s="2" t="inlineStr">
        <is>
          <t>Abierto simplificado</t>
        </is>
      </c>
      <c r="L424" s="6" t="n">
        <v>6</v>
      </c>
      <c r="M424" s="2" t="n"/>
      <c r="N424" s="7" t="n">
        <v>0.4</v>
      </c>
      <c r="O424" s="4" t="n">
        <v>3</v>
      </c>
      <c r="P424" s="2" t="inlineStr">
        <is>
          <t>45340000</t>
        </is>
      </c>
      <c r="Q424" s="8" t="inlineStr">
        <is>
          <t>Ver</t>
        </is>
      </c>
      <c r="R424" s="8" t="inlineStr">
        <is>
          <t>PCAP</t>
        </is>
      </c>
      <c r="S424" s="9" t="n">
        <v>46317</v>
      </c>
      <c r="T424" s="3" t="n">
        <v>46316.60290509259</v>
      </c>
      <c r="U424" s="2" t="n"/>
    </row>
    <row r="425">
      <c r="A425" s="2" t="inlineStr">
        <is>
          <t>Resuelta</t>
        </is>
      </c>
      <c r="B425" s="3" t="n">
        <v>46241.99930555555</v>
      </c>
      <c r="C425" s="5" t="n">
        <v>58945</v>
      </c>
      <c r="D425" s="5" t="n">
        <v>58945</v>
      </c>
      <c r="E425" s="2" t="inlineStr">
        <is>
          <t>Comunitat Valenciana</t>
        </is>
      </c>
      <c r="F425" s="2" t="inlineStr">
        <is>
          <t>Valencia</t>
        </is>
      </c>
      <c r="G425" s="2" t="inlineStr">
        <is>
          <t>Yátova</t>
        </is>
      </c>
      <c r="H425" s="2" t="inlineStr">
        <is>
          <t>Alcaldía del Ayuntamiento de Yátova</t>
        </is>
      </c>
      <c r="I425" s="2" t="inlineStr">
        <is>
          <t>Reforma daños causados por la DANA en la biblioteca municipal- DANA 2024</t>
        </is>
      </c>
      <c r="J425" s="2" t="inlineStr">
        <is>
          <t>677/2026</t>
        </is>
      </c>
      <c r="K425" s="2" t="inlineStr">
        <is>
          <t>Abierto simplificado</t>
        </is>
      </c>
      <c r="L425" s="6" t="n">
        <v>3</v>
      </c>
      <c r="M425" s="2" t="n"/>
      <c r="N425" s="7" t="n">
        <v>0</v>
      </c>
      <c r="O425" s="4" t="n"/>
      <c r="P425" s="2" t="inlineStr">
        <is>
          <t>45262520; 45212330</t>
        </is>
      </c>
      <c r="Q425" s="8" t="inlineStr">
        <is>
          <t>Ver</t>
        </is>
      </c>
      <c r="R425" s="8" t="inlineStr">
        <is>
          <t>PCAP</t>
        </is>
      </c>
      <c r="S425" s="9" t="n">
        <v>46317</v>
      </c>
      <c r="T425" s="3" t="n">
        <v>46316.60282407407</v>
      </c>
      <c r="U425" s="2" t="n"/>
    </row>
    <row r="426">
      <c r="A426" s="2" t="inlineStr">
        <is>
          <t>Adjudicada</t>
        </is>
      </c>
      <c r="B426" s="3" t="n">
        <v>46303.5</v>
      </c>
      <c r="C426" s="5" t="n">
        <v>380000</v>
      </c>
      <c r="D426" s="5" t="n">
        <v>380000</v>
      </c>
      <c r="E426" s="2" t="inlineStr">
        <is>
          <t>Andalucía</t>
        </is>
      </c>
      <c r="F426" s="2" t="inlineStr">
        <is>
          <t>Cádiz</t>
        </is>
      </c>
      <c r="G426" s="2" t="n"/>
      <c r="H426" s="2" t="inlineStr">
        <is>
          <t>Comité Central de Compras de Navantia S.A., S.M.E.</t>
        </is>
      </c>
      <c r="I426" s="2" t="inlineStr">
        <is>
          <t>Licitación para la adjudicación de un Contrato para los trabajos de retirada puntos altos antedique 4 en Navantia Cádiz.</t>
        </is>
      </c>
      <c r="J426" s="2" t="inlineStr">
        <is>
          <t>5100074847 dragado puntos altos D4 Navantia Cadiz</t>
        </is>
      </c>
      <c r="K426" s="2" t="inlineStr">
        <is>
          <t>Normas internas</t>
        </is>
      </c>
      <c r="L426" s="6" t="n">
        <v>2</v>
      </c>
      <c r="M426" s="2" t="n"/>
      <c r="N426" s="7" t="n">
        <v>1</v>
      </c>
      <c r="O426" s="4" t="n"/>
      <c r="P426" s="2" t="inlineStr">
        <is>
          <t>45252124</t>
        </is>
      </c>
      <c r="Q426" s="8" t="inlineStr">
        <is>
          <t>Ver</t>
        </is>
      </c>
      <c r="R426" s="8" t="inlineStr">
        <is>
          <t>PCAP</t>
        </is>
      </c>
      <c r="S426" s="9" t="n">
        <v>46317</v>
      </c>
      <c r="T426" s="3" t="n">
        <v>46316.60101851852</v>
      </c>
      <c r="U426" s="2" t="n"/>
    </row>
    <row r="427">
      <c r="A427" s="2" t="inlineStr">
        <is>
          <t>Resuelta</t>
        </is>
      </c>
      <c r="B427" s="3" t="n">
        <v>45943.5</v>
      </c>
      <c r="C427" s="5" t="n">
        <v>367462</v>
      </c>
      <c r="D427" s="5" t="n">
        <v>367462</v>
      </c>
      <c r="E427" s="2" t="inlineStr">
        <is>
          <t>Comunitat Valenciana</t>
        </is>
      </c>
      <c r="F427" s="2" t="inlineStr">
        <is>
          <t>Valencia</t>
        </is>
      </c>
      <c r="G427" s="2" t="inlineStr">
        <is>
          <t>Montroi</t>
        </is>
      </c>
      <c r="H427" s="2" t="inlineStr">
        <is>
          <t>Pleno del Ayuntamiento de Montroy</t>
        </is>
      </c>
      <c r="I427" s="2" t="inlineStr">
        <is>
          <t>Obras para la Restitución del entorno superior y trasero de la escuela infantil, por emergencia al amparo de la Orden TMD/101/2025, de 31 de enero, para la concesión directa de subvenciones a ayuntamientos y diputaciones provinciales para financiar obras ...de los daños causados por la Depresión Aislada en Niveles Altos (DANA) entre el 28 de octubre y el 4 de noviembre</t>
        </is>
      </c>
      <c r="J427" s="2" t="inlineStr">
        <is>
          <t>2095/2025</t>
        </is>
      </c>
      <c r="K427" s="2" t="inlineStr">
        <is>
          <t>Negociado sin publicidad</t>
        </is>
      </c>
      <c r="L427" s="6" t="n">
        <v>2</v>
      </c>
      <c r="M427" s="2" t="n"/>
      <c r="N427" s="7" t="n"/>
      <c r="O427" s="4" t="n"/>
      <c r="P427" s="2" t="inlineStr">
        <is>
          <t>45000000</t>
        </is>
      </c>
      <c r="Q427" s="8" t="inlineStr">
        <is>
          <t>Ver</t>
        </is>
      </c>
      <c r="R427" s="8" t="inlineStr">
        <is>
          <t>PCAP</t>
        </is>
      </c>
      <c r="S427" s="9" t="n">
        <v>46317</v>
      </c>
      <c r="T427" s="3" t="n">
        <v>46316.60053240741</v>
      </c>
      <c r="U427" s="2" t="n"/>
    </row>
    <row r="428">
      <c r="A428" s="2" t="inlineStr">
        <is>
          <t>En plazo</t>
        </is>
      </c>
      <c r="B428" s="3" t="n">
        <v>46336.99930555555</v>
      </c>
      <c r="C428" s="5" t="n">
        <v>495696.42</v>
      </c>
      <c r="D428" s="5" t="n">
        <v>495696.42</v>
      </c>
      <c r="E428" s="2" t="inlineStr">
        <is>
          <t>Andalucía</t>
        </is>
      </c>
      <c r="F428" s="2" t="inlineStr">
        <is>
          <t>Málaga</t>
        </is>
      </c>
      <c r="G428" s="2" t="n"/>
      <c r="H428" s="2" t="inlineStr">
        <is>
          <t>Concejalía de Hacienda del Ayuntamiento de Benalmádena</t>
        </is>
      </c>
      <c r="I428" s="2" t="inlineStr">
        <is>
          <t>Obra del "Parque infantil y pista polideportiva en la Viñuela", en calle Rambla, en el Término Municipal de Benalmádena</t>
        </is>
      </c>
      <c r="J428" s="2" t="inlineStr">
        <is>
          <t>2026/53673Y</t>
        </is>
      </c>
      <c r="K428" s="2" t="inlineStr">
        <is>
          <t>Abierto simplificado</t>
        </is>
      </c>
      <c r="L428" s="6" t="n">
        <v>6</v>
      </c>
      <c r="M428" s="2" t="n"/>
      <c r="N428" s="7" t="n">
        <v>0</v>
      </c>
      <c r="O428" s="4" t="n"/>
      <c r="P428" s="2" t="inlineStr">
        <is>
          <t>45220000</t>
        </is>
      </c>
      <c r="Q428" s="8" t="inlineStr">
        <is>
          <t>Ver</t>
        </is>
      </c>
      <c r="R428" s="8" t="inlineStr">
        <is>
          <t>PCAP</t>
        </is>
      </c>
      <c r="S428" s="9" t="n">
        <v>46317</v>
      </c>
      <c r="T428" s="3" t="n">
        <v>46316.59855324074</v>
      </c>
      <c r="U428" s="2" t="n"/>
    </row>
    <row r="429">
      <c r="A429" s="2" t="inlineStr">
        <is>
          <t>En plazo</t>
        </is>
      </c>
      <c r="B429" s="3" t="n">
        <v>46331.99930555555</v>
      </c>
      <c r="C429" s="5" t="n">
        <v>78500</v>
      </c>
      <c r="D429" s="5" t="n">
        <v>78500</v>
      </c>
      <c r="E429" s="2" t="inlineStr">
        <is>
          <t>Andalucía</t>
        </is>
      </c>
      <c r="F429" s="2" t="inlineStr">
        <is>
          <t>Huelva</t>
        </is>
      </c>
      <c r="G429" s="2" t="n"/>
      <c r="H429" s="2" t="inlineStr">
        <is>
          <t>Pleno del Ayuntamiento de Alájar</t>
        </is>
      </c>
      <c r="I429" s="2" t="inlineStr">
        <is>
          <t>Reparación y Rehabilitación de caminos públicos dañados por borrascas en el término municipal de Alájar.</t>
        </is>
      </c>
      <c r="J429" s="2" t="inlineStr">
        <is>
          <t>2026/CON_02/000015</t>
        </is>
      </c>
      <c r="K429" s="2" t="inlineStr">
        <is>
          <t>Abierto simplificado</t>
        </is>
      </c>
      <c r="L429" s="6" t="n">
        <v>3</v>
      </c>
      <c r="M429" s="2" t="n"/>
      <c r="N429" s="7" t="n">
        <v>0</v>
      </c>
      <c r="O429" s="4" t="n"/>
      <c r="P429" s="2" t="inlineStr">
        <is>
          <t>45233200</t>
        </is>
      </c>
      <c r="Q429" s="8" t="inlineStr">
        <is>
          <t>Ver</t>
        </is>
      </c>
      <c r="R429" s="8" t="inlineStr">
        <is>
          <t>PCAP</t>
        </is>
      </c>
      <c r="S429" s="9" t="n">
        <v>46317</v>
      </c>
      <c r="T429" s="3" t="n">
        <v>46316.59578703704</v>
      </c>
      <c r="U429" s="2" t="n"/>
    </row>
    <row r="430">
      <c r="A430" s="2" t="inlineStr">
        <is>
          <t>Pendiente de adjudicación</t>
        </is>
      </c>
      <c r="B430" s="3" t="n">
        <v>46314.99930555555</v>
      </c>
      <c r="C430" s="5" t="n">
        <v>165288.4</v>
      </c>
      <c r="D430" s="5" t="n">
        <v>165288.4</v>
      </c>
      <c r="E430" s="2" t="inlineStr">
        <is>
          <t>Andalucía</t>
        </is>
      </c>
      <c r="F430" s="2" t="inlineStr">
        <is>
          <t>Granada</t>
        </is>
      </c>
      <c r="G430" s="2" t="n"/>
      <c r="H430" s="2" t="inlineStr">
        <is>
          <t>Alcaldia del Ayuntamiento de Salobreña</t>
        </is>
      </c>
      <c r="I430" s="2" t="inlineStr">
        <is>
          <t>La ejecución del proyecto de sustitución del césped artificial y riego del campo de fútbol.</t>
        </is>
      </c>
      <c r="J430" s="2" t="inlineStr">
        <is>
          <t>Expte.807/2026</t>
        </is>
      </c>
      <c r="K430" s="2" t="inlineStr">
        <is>
          <t>Abierto simplificado</t>
        </is>
      </c>
      <c r="L430" s="6" t="n">
        <v>2</v>
      </c>
      <c r="M430" s="2" t="n"/>
      <c r="N430" s="7" t="n">
        <v>0</v>
      </c>
      <c r="O430" s="4" t="n"/>
      <c r="P430" s="2" t="inlineStr">
        <is>
          <t>45236119; 45100000; 39293400</t>
        </is>
      </c>
      <c r="Q430" s="8" t="inlineStr">
        <is>
          <t>Ver</t>
        </is>
      </c>
      <c r="R430" s="8" t="inlineStr">
        <is>
          <t>PCAP</t>
        </is>
      </c>
      <c r="S430" s="9" t="n">
        <v>46317</v>
      </c>
      <c r="T430" s="3" t="n">
        <v>46316.59578703704</v>
      </c>
      <c r="U430" s="2" t="n"/>
    </row>
    <row r="431">
      <c r="A431" s="2" t="inlineStr">
        <is>
          <t>En plazo</t>
        </is>
      </c>
      <c r="B431" s="3" t="n">
        <v>46335.79166666666</v>
      </c>
      <c r="C431" s="5" t="n">
        <v>190470.22</v>
      </c>
      <c r="D431" s="5" t="n">
        <v>190470.22</v>
      </c>
      <c r="E431" s="2" t="inlineStr">
        <is>
          <t>Comunitat Valenciana</t>
        </is>
      </c>
      <c r="F431" s="2" t="inlineStr">
        <is>
          <t>Castellón</t>
        </is>
      </c>
      <c r="G431" s="2" t="inlineStr">
        <is>
          <t>Artana</t>
        </is>
      </c>
      <c r="H431" s="2" t="inlineStr">
        <is>
          <t>Dirección Territorial de Educación y Universidades de Castellón</t>
        </is>
      </c>
      <c r="I431" s="2" t="inlineStr">
        <is>
          <t>Ampliación para ubicación de ascensor, escalera, almacén, actuaciones de accesibilidad y sustitución de aparatos sanitarios en el CEIP Carme Martín de Artana (Castellón)</t>
        </is>
      </c>
      <c r="J431" s="2" t="inlineStr">
        <is>
          <t>CMAYOR/2026/39Y14/0088</t>
        </is>
      </c>
      <c r="K431" s="2" t="inlineStr">
        <is>
          <t>Abierto simplificado</t>
        </is>
      </c>
      <c r="L431" s="6" t="n">
        <v>6</v>
      </c>
      <c r="M431" s="2" t="n"/>
      <c r="N431" s="7" t="n">
        <v>0</v>
      </c>
      <c r="O431" s="4" t="n"/>
      <c r="P431" s="2" t="inlineStr">
        <is>
          <t>45214210; 45000000</t>
        </is>
      </c>
      <c r="Q431" s="8" t="inlineStr">
        <is>
          <t>Ver</t>
        </is>
      </c>
      <c r="R431" s="8" t="inlineStr">
        <is>
          <t>PCAP</t>
        </is>
      </c>
      <c r="S431" s="9" t="n">
        <v>46310</v>
      </c>
      <c r="T431" s="3" t="n">
        <v>46316.59458333333</v>
      </c>
      <c r="U431" s="2" t="inlineStr">
        <is>
          <t>2026-10-22: plazo 2026-11-04 19:00 → 2026-11-09 19:00</t>
        </is>
      </c>
    </row>
    <row r="432">
      <c r="A432" s="2" t="inlineStr">
        <is>
          <t>En plazo</t>
        </is>
      </c>
      <c r="B432" s="3" t="n">
        <v>46330.79166666666</v>
      </c>
      <c r="C432" s="5" t="n">
        <v>173771.55</v>
      </c>
      <c r="D432" s="5" t="n">
        <v>173771.55</v>
      </c>
      <c r="E432" s="2" t="inlineStr">
        <is>
          <t>Comunitat Valenciana</t>
        </is>
      </c>
      <c r="F432" s="2" t="inlineStr">
        <is>
          <t>Castellón</t>
        </is>
      </c>
      <c r="G432" s="2" t="inlineStr">
        <is>
          <t>Morella</t>
        </is>
      </c>
      <c r="H432" s="2" t="inlineStr">
        <is>
          <t>Dirección Territorial de Educación y Universidades de Castellón</t>
        </is>
      </c>
      <c r="I432" s="2" t="inlineStr">
        <is>
          <t>Reforma de la instalación de calefacción y mejoras en el patio de infantil en el CEIP Mare de Deu de la Vallivana de Morella</t>
        </is>
      </c>
      <c r="J432" s="2" t="inlineStr">
        <is>
          <t>CMAYOR/2026/39Y14/0011</t>
        </is>
      </c>
      <c r="K432" s="2" t="inlineStr">
        <is>
          <t>Abierto simplificado</t>
        </is>
      </c>
      <c r="L432" s="6" t="n">
        <v>3</v>
      </c>
      <c r="M432" s="2" t="n"/>
      <c r="N432" s="7" t="n">
        <v>0</v>
      </c>
      <c r="O432" s="4" t="n"/>
      <c r="P432" s="2" t="inlineStr">
        <is>
          <t>45214210; 45000000</t>
        </is>
      </c>
      <c r="Q432" s="8" t="inlineStr">
        <is>
          <t>Ver</t>
        </is>
      </c>
      <c r="R432" s="8" t="inlineStr">
        <is>
          <t>PCAP</t>
        </is>
      </c>
      <c r="S432" s="9" t="n">
        <v>46310</v>
      </c>
      <c r="T432" s="3" t="n">
        <v>46316.59334490741</v>
      </c>
      <c r="U432" s="2" t="n"/>
    </row>
    <row r="433">
      <c r="A433" s="2" t="inlineStr">
        <is>
          <t>En plazo</t>
        </is>
      </c>
      <c r="B433" s="3" t="n">
        <v>46335.79166666666</v>
      </c>
      <c r="C433" s="5" t="n">
        <v>407483.45</v>
      </c>
      <c r="D433" s="5" t="n">
        <v>407483.45</v>
      </c>
      <c r="E433" s="2" t="inlineStr">
        <is>
          <t>Comunitat Valenciana</t>
        </is>
      </c>
      <c r="F433" s="2" t="inlineStr">
        <is>
          <t>Castellón</t>
        </is>
      </c>
      <c r="G433" s="2" t="inlineStr">
        <is>
          <t>Segorbe</t>
        </is>
      </c>
      <c r="H433" s="2" t="inlineStr">
        <is>
          <t>Dirección Territorial de Educación y Universidades de Castellón</t>
        </is>
      </c>
      <c r="I433" s="2" t="inlineStr">
        <is>
          <t>Obra mayor de transformación de los espacios de trinquete y galotxeta en aulas taller en el IES Alto Palancia de Segorbe</t>
        </is>
      </c>
      <c r="J433" s="2" t="inlineStr">
        <is>
          <t>CMAYOR/2026/39Y14/0001</t>
        </is>
      </c>
      <c r="K433" s="2" t="inlineStr">
        <is>
          <t>Abierto simplificado</t>
        </is>
      </c>
      <c r="L433" s="6" t="n">
        <v>4</v>
      </c>
      <c r="M433" s="2" t="n"/>
      <c r="N433" s="7" t="n">
        <v>0</v>
      </c>
      <c r="O433" s="4" t="n"/>
      <c r="P433" s="2" t="inlineStr">
        <is>
          <t>45214220; 45000000</t>
        </is>
      </c>
      <c r="Q433" s="8" t="inlineStr">
        <is>
          <t>Ver</t>
        </is>
      </c>
      <c r="R433" s="8" t="inlineStr">
        <is>
          <t>PCAP</t>
        </is>
      </c>
      <c r="S433" s="9" t="n">
        <v>46310</v>
      </c>
      <c r="T433" s="3" t="n">
        <v>46316.59190972222</v>
      </c>
      <c r="U433" s="2" t="inlineStr">
        <is>
          <t>2026-10-22: plazo 2026-11-04 19:00 → 2026-11-09 19:00</t>
        </is>
      </c>
    </row>
    <row r="434">
      <c r="A434" s="2" t="inlineStr">
        <is>
          <t>Resuelta</t>
        </is>
      </c>
      <c r="B434" s="3" t="n">
        <v>44564.99930555555</v>
      </c>
      <c r="C434" s="5" t="n">
        <v>67462.00999999999</v>
      </c>
      <c r="D434" s="5" t="n">
        <v>67462.00999999999</v>
      </c>
      <c r="E434" s="2" t="inlineStr">
        <is>
          <t>Comunitat Valenciana</t>
        </is>
      </c>
      <c r="F434" s="2" t="inlineStr">
        <is>
          <t>Valencia</t>
        </is>
      </c>
      <c r="G434" s="2" t="n"/>
      <c r="H434" s="2" t="inlineStr">
        <is>
          <t>Concejalía Delegada de Contratación del Ajuntament de València</t>
        </is>
      </c>
      <c r="I434" s="2" t="inlineStr">
        <is>
          <t>Obras de ejecución del proyecto “Rehabilitación de la Barraca de Cotofío o Tío Tonet en la Pedanía de la Torre – València”.-</t>
        </is>
      </c>
      <c r="J434" s="2" t="inlineStr">
        <is>
          <t>04101/2021/253-O</t>
        </is>
      </c>
      <c r="K434" s="2" t="inlineStr">
        <is>
          <t>Abierto simplificado</t>
        </is>
      </c>
      <c r="L434" s="6" t="n">
        <v>5</v>
      </c>
      <c r="M434" s="2" t="n"/>
      <c r="N434" s="7" t="n">
        <v>0</v>
      </c>
      <c r="O434" s="4" t="n"/>
      <c r="P434" s="2" t="inlineStr">
        <is>
          <t>45000000</t>
        </is>
      </c>
      <c r="Q434" s="8" t="inlineStr">
        <is>
          <t>Ver</t>
        </is>
      </c>
      <c r="R434" s="8" t="inlineStr">
        <is>
          <t>PCAP</t>
        </is>
      </c>
      <c r="S434" s="9" t="n">
        <v>46317</v>
      </c>
      <c r="T434" s="3" t="n">
        <v>46316.58880787037</v>
      </c>
      <c r="U434" s="2" t="n"/>
    </row>
    <row r="435">
      <c r="A435" s="2" t="inlineStr">
        <is>
          <t>Pendiente de adjudicación</t>
        </is>
      </c>
      <c r="B435" s="3" t="n">
        <v>46311.99930555555</v>
      </c>
      <c r="C435" s="5" t="n">
        <v>746329.11</v>
      </c>
      <c r="D435" s="5" t="n">
        <v>746329.11</v>
      </c>
      <c r="E435" s="2" t="inlineStr">
        <is>
          <t>Andalucía</t>
        </is>
      </c>
      <c r="F435" s="2" t="inlineStr">
        <is>
          <t>Granada</t>
        </is>
      </c>
      <c r="G435" s="2" t="n"/>
      <c r="H435" s="2" t="inlineStr">
        <is>
          <t>Alcaldia del Ayuntamiento de Salobreña</t>
        </is>
      </c>
      <c r="I435" s="2" t="inlineStr">
        <is>
          <t>La ejecución del proyecto de asfaltado viario público</t>
        </is>
      </c>
      <c r="J435" s="2" t="inlineStr">
        <is>
          <t>Expte.5578/2026</t>
        </is>
      </c>
      <c r="K435" s="2" t="inlineStr">
        <is>
          <t>Abierto simplificado</t>
        </is>
      </c>
      <c r="L435" s="6" t="n">
        <v>2</v>
      </c>
      <c r="M435" s="2" t="inlineStr">
        <is>
          <t>G4-3</t>
        </is>
      </c>
      <c r="N435" s="7" t="n">
        <v>0</v>
      </c>
      <c r="O435" s="4" t="n"/>
      <c r="P435" s="2" t="inlineStr">
        <is>
          <t>45100000; 45233222; 45000000</t>
        </is>
      </c>
      <c r="Q435" s="8" t="inlineStr">
        <is>
          <t>Ver</t>
        </is>
      </c>
      <c r="R435" s="8" t="inlineStr">
        <is>
          <t>PCAP</t>
        </is>
      </c>
      <c r="S435" s="9" t="n">
        <v>46317</v>
      </c>
      <c r="T435" s="3" t="n">
        <v>46316.58790509259</v>
      </c>
      <c r="U435" s="2" t="n"/>
    </row>
    <row r="436">
      <c r="A436" s="2" t="inlineStr">
        <is>
          <t>Pendiente de adjudicación</t>
        </is>
      </c>
      <c r="B436" s="3" t="n">
        <v>46295.99930555555</v>
      </c>
      <c r="C436" s="5" t="n">
        <v>194214.88</v>
      </c>
      <c r="D436" s="5" t="n">
        <v>194214.88</v>
      </c>
      <c r="E436" s="2" t="inlineStr">
        <is>
          <t>Andalucía</t>
        </is>
      </c>
      <c r="F436" s="2" t="inlineStr">
        <is>
          <t>Almería</t>
        </is>
      </c>
      <c r="G436" s="2" t="inlineStr">
        <is>
          <t>VÍCAR</t>
        </is>
      </c>
      <c r="H436" s="2" t="inlineStr">
        <is>
          <t>JUNTA DE GOBIERNO LOCAL AYUNTAMIENTO DE VÍCAR</t>
        </is>
      </c>
      <c r="I436" s="2" t="inlineStr">
        <is>
          <t>Reposición de red de abastecimiento camino de servicio Canal de Benínar, TM VÍCAR (Almería)</t>
        </is>
      </c>
      <c r="J436" s="2" t="inlineStr">
        <is>
          <t>7309/2026</t>
        </is>
      </c>
      <c r="K436" s="2" t="inlineStr">
        <is>
          <t>Abierto simplificado</t>
        </is>
      </c>
      <c r="L436" s="6" t="n">
        <v>2</v>
      </c>
      <c r="M436" s="2" t="n"/>
      <c r="N436" s="7" t="n">
        <v>0.25</v>
      </c>
      <c r="O436" s="4" t="n"/>
      <c r="P436" s="2" t="inlineStr">
        <is>
          <t>45231113; 45232100; 45232150</t>
        </is>
      </c>
      <c r="Q436" s="8" t="inlineStr">
        <is>
          <t>Ver</t>
        </is>
      </c>
      <c r="R436" s="8" t="inlineStr">
        <is>
          <t>PCAP</t>
        </is>
      </c>
      <c r="S436" s="9" t="n">
        <v>46310</v>
      </c>
      <c r="T436" s="3" t="n">
        <v>46316.58621527778</v>
      </c>
      <c r="U436" s="2" t="n"/>
    </row>
    <row r="437">
      <c r="A437" s="2" t="inlineStr">
        <is>
          <t>Resuelta</t>
        </is>
      </c>
      <c r="B437" s="3" t="n"/>
      <c r="C437" s="5" t="n">
        <v>3980473.41</v>
      </c>
      <c r="D437" s="5" t="n">
        <v>4816372.83</v>
      </c>
      <c r="E437" s="2" t="inlineStr">
        <is>
          <t>Andalucía</t>
        </is>
      </c>
      <c r="F437" s="2" t="inlineStr">
        <is>
          <t>Granada</t>
        </is>
      </c>
      <c r="G437" s="2" t="n"/>
      <c r="H437" s="2" t="inlineStr">
        <is>
          <t>Demarcación de Carreteras del Estado en Andalucía Oriental</t>
        </is>
      </c>
      <c r="I437" s="2" t="inlineStr">
        <is>
          <t>Reposición de ODTS por daños provocados por las lluvias del 11 de noviembre de 2024 en los TT.MM. de Adra, Balanegra, El Ejido, La Mojonera y Roquetas de Mar, provincia de Almería. Lote 3</t>
        </is>
      </c>
      <c r="J437" s="2" t="inlineStr">
        <is>
          <t>EM24-AL-01.L3</t>
        </is>
      </c>
      <c r="K437" s="2" t="inlineStr">
        <is>
          <t>Negociado sin publicidad</t>
        </is>
      </c>
      <c r="L437" s="6" t="n">
        <v>12</v>
      </c>
      <c r="M437" s="2" t="n"/>
      <c r="N437" s="7" t="n"/>
      <c r="O437" s="4" t="n"/>
      <c r="P437" s="2" t="inlineStr">
        <is>
          <t>45000000</t>
        </is>
      </c>
      <c r="Q437" s="8" t="inlineStr">
        <is>
          <t>Ver</t>
        </is>
      </c>
      <c r="R437" s="2" t="n"/>
      <c r="S437" s="9" t="n">
        <v>46317</v>
      </c>
      <c r="T437" s="3" t="n">
        <v>46316.58092592593</v>
      </c>
      <c r="U437" s="2" t="n"/>
    </row>
    <row r="438">
      <c r="A438" s="2" t="inlineStr">
        <is>
          <t>Pendiente de adjudicación</t>
        </is>
      </c>
      <c r="B438" s="3" t="n">
        <v>46308.79166666666</v>
      </c>
      <c r="C438" s="5" t="n">
        <v>70872.67999999999</v>
      </c>
      <c r="D438" s="5" t="n">
        <v>70872.67999999999</v>
      </c>
      <c r="E438" s="2" t="inlineStr">
        <is>
          <t>Comunitat Valenciana</t>
        </is>
      </c>
      <c r="F438" s="2" t="inlineStr">
        <is>
          <t>Valencia</t>
        </is>
      </c>
      <c r="G438" s="2" t="inlineStr">
        <is>
          <t>Corbera</t>
        </is>
      </c>
      <c r="H438" s="2" t="inlineStr">
        <is>
          <t>Alcaldía del Ayuntamiento de Corbera</t>
        </is>
      </c>
      <c r="I438" s="2" t="inlineStr">
        <is>
          <t>Reconstrucción áreas recreativas para actividades culturales en el ámbito de la infancia y la juventud en el municipio de Corbera.</t>
        </is>
      </c>
      <c r="J438" s="2" t="inlineStr">
        <is>
          <t>1529/2026</t>
        </is>
      </c>
      <c r="K438" s="2" t="inlineStr">
        <is>
          <t>Abierto simplificado</t>
        </is>
      </c>
      <c r="L438" s="6" t="n"/>
      <c r="M438" s="2" t="n"/>
      <c r="N438" s="7" t="n">
        <v>0</v>
      </c>
      <c r="O438" s="4" t="n"/>
      <c r="P438" s="2" t="inlineStr">
        <is>
          <t>45236210; 45236250; 34928400; 45233293; 34970000</t>
        </is>
      </c>
      <c r="Q438" s="8" t="inlineStr">
        <is>
          <t>Ver</t>
        </is>
      </c>
      <c r="R438" s="8" t="inlineStr">
        <is>
          <t>PCAP</t>
        </is>
      </c>
      <c r="S438" s="9" t="n">
        <v>46310</v>
      </c>
      <c r="T438" s="3" t="n">
        <v>46316.57957175926</v>
      </c>
      <c r="U438" s="2" t="n"/>
    </row>
    <row r="439">
      <c r="A439" s="2" t="inlineStr">
        <is>
          <t>Pendiente de adjudicación</t>
        </is>
      </c>
      <c r="B439" s="3" t="n">
        <v>46294.79166666666</v>
      </c>
      <c r="C439" s="5" t="n">
        <v>578214.0699999999</v>
      </c>
      <c r="D439" s="5" t="n">
        <v>578214.0699999999</v>
      </c>
      <c r="E439" s="2" t="inlineStr">
        <is>
          <t>Andalucía</t>
        </is>
      </c>
      <c r="F439" s="2" t="inlineStr">
        <is>
          <t>Granada</t>
        </is>
      </c>
      <c r="G439" s="2" t="n"/>
      <c r="H439" s="2" t="inlineStr">
        <is>
          <t>Junta de Gobierno Local del Ayuntamiento de Ogíjares</t>
        </is>
      </c>
      <c r="I439" s="2" t="inlineStr">
        <is>
          <t>Contrato de obras de construcción de campo de fútbol siete con módulo de vestuarios y sala polivalente en Ogíjares (Granada).</t>
        </is>
      </c>
      <c r="J439" s="2" t="inlineStr">
        <is>
          <t>4249/2026</t>
        </is>
      </c>
      <c r="K439" s="2" t="inlineStr">
        <is>
          <t>Abierto simplificado</t>
        </is>
      </c>
      <c r="L439" s="6" t="n">
        <v>12</v>
      </c>
      <c r="M439" s="2" t="inlineStr">
        <is>
          <t>G6-3</t>
        </is>
      </c>
      <c r="N439" s="7" t="n">
        <v>0</v>
      </c>
      <c r="O439" s="4" t="n"/>
      <c r="P439" s="2" t="inlineStr">
        <is>
          <t>45000000</t>
        </is>
      </c>
      <c r="Q439" s="8" t="inlineStr">
        <is>
          <t>Ver</t>
        </is>
      </c>
      <c r="R439" s="8" t="inlineStr">
        <is>
          <t>PCAP</t>
        </is>
      </c>
      <c r="S439" s="9" t="n">
        <v>46310</v>
      </c>
      <c r="T439" s="3" t="n">
        <v>46316.57942129629</v>
      </c>
      <c r="U439" s="2" t="n"/>
    </row>
    <row r="440">
      <c r="A440" s="2" t="inlineStr">
        <is>
          <t>En plazo</t>
        </is>
      </c>
      <c r="B440" s="3" t="n">
        <v>46344.99930555555</v>
      </c>
      <c r="C440" s="5" t="n">
        <v>47600</v>
      </c>
      <c r="D440" s="5" t="n">
        <v>47600</v>
      </c>
      <c r="E440" s="2" t="inlineStr">
        <is>
          <t>Andalucía</t>
        </is>
      </c>
      <c r="F440" s="2" t="inlineStr">
        <is>
          <t>Sevilla</t>
        </is>
      </c>
      <c r="G440" s="2" t="n"/>
      <c r="H440" s="2" t="inlineStr">
        <is>
          <t>Alcaldía del Ayuntamiento de Castilleja de Guzmán</t>
        </is>
      </c>
      <c r="I440" s="2" t="inlineStr">
        <is>
          <t>Sustitución de lucernario de la Casa Consistorial para la mejora de la eficiencia energética del Ayuntamiento de Castilleja de Guzmán. Plan Provincial MAS Sevilla.</t>
        </is>
      </c>
      <c r="J440" s="2" t="inlineStr">
        <is>
          <t>P4102800B-2026/000100-PAAS</t>
        </is>
      </c>
      <c r="K440" s="2" t="inlineStr">
        <is>
          <t>Abierto simplificado</t>
        </is>
      </c>
      <c r="L440" s="6" t="n">
        <v>1</v>
      </c>
      <c r="M440" s="2" t="n"/>
      <c r="N440" s="7" t="n">
        <v>0</v>
      </c>
      <c r="O440" s="4" t="n"/>
      <c r="P440" s="2" t="inlineStr">
        <is>
          <t>45000000</t>
        </is>
      </c>
      <c r="Q440" s="8" t="inlineStr">
        <is>
          <t>Ver</t>
        </is>
      </c>
      <c r="R440" s="8" t="inlineStr">
        <is>
          <t>PCAP</t>
        </is>
      </c>
      <c r="S440" s="9" t="n">
        <v>46317</v>
      </c>
      <c r="T440" s="3" t="n">
        <v>46316.57862268519</v>
      </c>
      <c r="U440" s="2" t="n"/>
    </row>
    <row r="441">
      <c r="A441" s="2" t="inlineStr">
        <is>
          <t>Pendiente de adjudicación</t>
        </is>
      </c>
      <c r="B441" s="3" t="n">
        <v>46300.99930555555</v>
      </c>
      <c r="C441" s="5" t="n">
        <v>416028.59</v>
      </c>
      <c r="D441" s="5" t="n">
        <v>416028.59</v>
      </c>
      <c r="E441" s="2" t="inlineStr">
        <is>
          <t>Andalucía</t>
        </is>
      </c>
      <c r="F441" s="2" t="inlineStr">
        <is>
          <t>Córdoba</t>
        </is>
      </c>
      <c r="G441" s="2" t="inlineStr">
        <is>
          <t>CABRA</t>
        </is>
      </c>
      <c r="H441" s="2" t="inlineStr">
        <is>
          <t>Alcaldía del Ayuntamiento de Cabra</t>
        </is>
      </c>
      <c r="I441" s="2" t="inlineStr">
        <is>
          <t>Obras de Construcción de REMODELACIÓN DE PISTA DE CICLISMO Y EDIFICIO DE VESTUARIOS PARA PISTA DE FÚTBOL-7, contrato que se ejecuta en el marco del Plan de Actuación Integrado de Cabra y está cofinanciado por la Unión Europea a través del Fondo Europeo de Desarrollo Regional (FEDER) dentro del Programa Operativo Plurirregional de España FEDER 2021-2027</t>
        </is>
      </c>
      <c r="J441" s="2" t="inlineStr">
        <is>
          <t>2026/25342</t>
        </is>
      </c>
      <c r="K441" s="2" t="inlineStr">
        <is>
          <t>Abierto simplificado</t>
        </is>
      </c>
      <c r="L441" s="6" t="n">
        <v>6</v>
      </c>
      <c r="M441" s="2" t="n"/>
      <c r="N441" s="7" t="n">
        <v>0</v>
      </c>
      <c r="O441" s="4" t="n"/>
      <c r="P441" s="2" t="inlineStr">
        <is>
          <t>45212200; 45212000</t>
        </is>
      </c>
      <c r="Q441" s="8" t="inlineStr">
        <is>
          <t>Ver</t>
        </is>
      </c>
      <c r="R441" s="8" t="inlineStr">
        <is>
          <t>PCAP</t>
        </is>
      </c>
      <c r="S441" s="9" t="n">
        <v>46317</v>
      </c>
      <c r="T441" s="3" t="n">
        <v>46316.57778935185</v>
      </c>
      <c r="U441" s="2" t="n"/>
    </row>
    <row r="442">
      <c r="A442" s="2" t="inlineStr">
        <is>
          <t>Pendiente de adjudicación</t>
        </is>
      </c>
      <c r="B442" s="3" t="n">
        <v>46239.99930555555</v>
      </c>
      <c r="C442" s="5" t="n">
        <v>469223.19</v>
      </c>
      <c r="D442" s="5" t="n">
        <v>469223.19</v>
      </c>
      <c r="E442" s="2" t="inlineStr">
        <is>
          <t>Andalucía</t>
        </is>
      </c>
      <c r="F442" s="2" t="inlineStr">
        <is>
          <t>Jaén</t>
        </is>
      </c>
      <c r="G442" s="2" t="inlineStr">
        <is>
          <t>JAEN</t>
        </is>
      </c>
      <c r="H442" s="2" t="inlineStr">
        <is>
          <t>Presidencia de la Diputación Provincial de Jaén</t>
        </is>
      </c>
      <c r="I442" s="2" t="inlineStr">
        <is>
          <t>Contrato de Obra de JA-4311 Noguerones a límite de provincia, mejora de firme.</t>
        </is>
      </c>
      <c r="J442" s="2" t="inlineStr">
        <is>
          <t>CO-2026/000596</t>
        </is>
      </c>
      <c r="K442" s="2" t="inlineStr">
        <is>
          <t>Abierto simplificado</t>
        </is>
      </c>
      <c r="L442" s="6" t="n">
        <v>4</v>
      </c>
      <c r="M442" s="2" t="n"/>
      <c r="N442" s="7" t="n">
        <v>0.25</v>
      </c>
      <c r="O442" s="4" t="n"/>
      <c r="P442" s="2" t="inlineStr">
        <is>
          <t>45233142</t>
        </is>
      </c>
      <c r="Q442" s="8" t="inlineStr">
        <is>
          <t>Ver</t>
        </is>
      </c>
      <c r="R442" s="8" t="inlineStr">
        <is>
          <t>PCAP</t>
        </is>
      </c>
      <c r="S442" s="9" t="n">
        <v>46317</v>
      </c>
      <c r="T442" s="3" t="n">
        <v>46316.57766203704</v>
      </c>
      <c r="U442" s="2" t="n"/>
    </row>
    <row r="443">
      <c r="A443" s="2" t="inlineStr">
        <is>
          <t>Adjudicada</t>
        </is>
      </c>
      <c r="B443" s="3" t="n">
        <v>46031.75</v>
      </c>
      <c r="C443" s="5" t="n">
        <v>6000004.82</v>
      </c>
      <c r="D443" s="5" t="n">
        <v>16200013.01</v>
      </c>
      <c r="E443" s="2" t="inlineStr">
        <is>
          <t>Andalucía</t>
        </is>
      </c>
      <c r="F443" s="2" t="inlineStr">
        <is>
          <t>Málaga</t>
        </is>
      </c>
      <c r="G443" s="2" t="n"/>
      <c r="H443" s="2" t="inlineStr">
        <is>
          <t>Consejero Delegado de la Empresa Municipal de Aguas de Málaga S.A.</t>
        </is>
      </c>
      <c r="I443" s="2" t="inlineStr">
        <is>
          <t>Acuerdo Marco para la contratación de la rehabilitación/renovación mediante tecnología sin apertura de zanja del plan de renovación de redes de la ciudad de Málaga para diámetros pequeños y medios de saneamiento (Ø&lt;= 600 mm) y otros sistemas innovadores</t>
        </is>
      </c>
      <c r="J443" s="2" t="inlineStr">
        <is>
          <t>25-620</t>
        </is>
      </c>
      <c r="K443" s="2" t="inlineStr">
        <is>
          <t>Abierto</t>
        </is>
      </c>
      <c r="L443" s="6" t="n">
        <v>24</v>
      </c>
      <c r="M443" s="2" t="n"/>
      <c r="N443" s="7" t="n">
        <v>0.42</v>
      </c>
      <c r="O443" s="4" t="n"/>
      <c r="P443" s="2" t="inlineStr">
        <is>
          <t>45232151; 45231300</t>
        </is>
      </c>
      <c r="Q443" s="8" t="inlineStr">
        <is>
          <t>Ver</t>
        </is>
      </c>
      <c r="R443" s="8" t="inlineStr">
        <is>
          <t>PCAP</t>
        </is>
      </c>
      <c r="S443" s="9" t="n">
        <v>46317</v>
      </c>
      <c r="T443" s="3" t="n">
        <v>46316.57685185185</v>
      </c>
      <c r="U443" s="2" t="n"/>
    </row>
    <row r="444">
      <c r="A444" s="2" t="inlineStr">
        <is>
          <t>Resuelta</t>
        </is>
      </c>
      <c r="B444" s="3" t="n">
        <v>46301.41666666666</v>
      </c>
      <c r="C444" s="5" t="n">
        <v>439221</v>
      </c>
      <c r="D444" s="5" t="n">
        <v>439221</v>
      </c>
      <c r="E444" s="2" t="inlineStr">
        <is>
          <t>Comunitat Valenciana</t>
        </is>
      </c>
      <c r="F444" s="2" t="inlineStr">
        <is>
          <t>Valencia</t>
        </is>
      </c>
      <c r="G444" s="2" t="inlineStr">
        <is>
          <t>Término municipal de Massanassa (Valencia).</t>
        </is>
      </c>
      <c r="H444" s="2" t="inlineStr">
        <is>
          <t>Empresa de Transformación Agraria S.A.,S.M.E., M.P., (TRAGSA)</t>
        </is>
      </c>
      <c r="I444" s="2" t="inlineStr">
        <is>
          <t>Contrato derivado de acuerdo marco para la contratación de los trabajos para la restauración y reposición de los daños a instalaciones y limpieza y reparación de infraestructuras de los daños causados por la DANA entre el 28 de octubre y 4 de noviembre de 2024, Nº 0794092 DANA24 INF PREV INCENDIOS VAL</t>
        </is>
      </c>
      <c r="J444" s="2" t="inlineStr">
        <is>
          <t>TSA0079986-075</t>
        </is>
      </c>
      <c r="K444" s="2" t="inlineStr">
        <is>
          <t>Abierto</t>
        </is>
      </c>
      <c r="L444" s="6" t="n">
        <v>2</v>
      </c>
      <c r="M444" s="2" t="n"/>
      <c r="N444" s="7" t="n">
        <v>0</v>
      </c>
      <c r="O444" s="4" t="n"/>
      <c r="P444" s="2" t="inlineStr">
        <is>
          <t>45233200</t>
        </is>
      </c>
      <c r="Q444" s="8" t="inlineStr">
        <is>
          <t>Ver</t>
        </is>
      </c>
      <c r="R444" s="8" t="inlineStr">
        <is>
          <t>PCAP</t>
        </is>
      </c>
      <c r="S444" s="9" t="n">
        <v>46315</v>
      </c>
      <c r="T444" s="3" t="n">
        <v>46316.57237268519</v>
      </c>
      <c r="U444" s="2" t="n"/>
    </row>
    <row r="445">
      <c r="A445" s="2" t="inlineStr">
        <is>
          <t>Adjudicada</t>
        </is>
      </c>
      <c r="B445" s="3" t="n">
        <v>46223.625</v>
      </c>
      <c r="C445" s="5" t="n">
        <v>159154.27</v>
      </c>
      <c r="D445" s="5" t="n">
        <v>159154.27</v>
      </c>
      <c r="E445" s="2" t="inlineStr">
        <is>
          <t>Comunitat Valenciana</t>
        </is>
      </c>
      <c r="F445" s="2" t="inlineStr">
        <is>
          <t>Castellón</t>
        </is>
      </c>
      <c r="G445" s="2" t="inlineStr">
        <is>
          <t>Castellón de la Plana</t>
        </is>
      </c>
      <c r="H445" s="2" t="inlineStr">
        <is>
          <t>Dirección Territorial de Educación y Universidades de Castellón</t>
        </is>
      </c>
      <c r="I445" s="2" t="inlineStr">
        <is>
          <t>Vallado perimetral de la parcela de la Escuela Oficial de Idiomas de Castellón de la Plana</t>
        </is>
      </c>
      <c r="J445" s="2" t="inlineStr">
        <is>
          <t>CMAYOR/2026/39Y14/0002</t>
        </is>
      </c>
      <c r="K445" s="2" t="inlineStr">
        <is>
          <t>Abierto simplificado</t>
        </is>
      </c>
      <c r="L445" s="6" t="n">
        <v>3</v>
      </c>
      <c r="M445" s="2" t="n"/>
      <c r="N445" s="7" t="n">
        <v>0</v>
      </c>
      <c r="O445" s="4" t="n"/>
      <c r="P445" s="2" t="inlineStr">
        <is>
          <t>45214210</t>
        </is>
      </c>
      <c r="Q445" s="8" t="inlineStr">
        <is>
          <t>Ver</t>
        </is>
      </c>
      <c r="R445" s="8" t="inlineStr">
        <is>
          <t>PCAP</t>
        </is>
      </c>
      <c r="S445" s="9" t="n">
        <v>46317</v>
      </c>
      <c r="T445" s="3" t="n">
        <v>46316.57202546296</v>
      </c>
      <c r="U445" s="2" t="n"/>
    </row>
    <row r="446">
      <c r="A446" s="2" t="inlineStr">
        <is>
          <t>En plazo</t>
        </is>
      </c>
      <c r="B446" s="3" t="n">
        <v>46321.99930555555</v>
      </c>
      <c r="C446" s="5" t="n">
        <v>725142.59</v>
      </c>
      <c r="D446" s="5" t="n">
        <v>725142.59</v>
      </c>
      <c r="E446" s="2" t="inlineStr">
        <is>
          <t>Andalucía</t>
        </is>
      </c>
      <c r="F446" s="2" t="inlineStr">
        <is>
          <t>Almería</t>
        </is>
      </c>
      <c r="G446" s="2" t="n"/>
      <c r="H446" s="2" t="inlineStr">
        <is>
          <t>Junta de Gobierno de la Diputación Provincial de Almería</t>
        </is>
      </c>
      <c r="I446" s="2" t="inlineStr">
        <is>
          <t>Consolidacióin Primaria Cortijo Del Fraile 1PGM2026</t>
        </is>
      </c>
      <c r="J446" s="2" t="inlineStr">
        <is>
          <t>2026/D31000/006-013/00029</t>
        </is>
      </c>
      <c r="K446" s="2" t="inlineStr">
        <is>
          <t>Abierto simplificado</t>
        </is>
      </c>
      <c r="L446" s="6" t="n">
        <v>10</v>
      </c>
      <c r="M446" s="2" t="n"/>
      <c r="N446" s="7" t="n">
        <v>0.25</v>
      </c>
      <c r="O446" s="4" t="n"/>
      <c r="P446" s="2" t="inlineStr">
        <is>
          <t>45212350</t>
        </is>
      </c>
      <c r="Q446" s="8" t="inlineStr">
        <is>
          <t>Ver</t>
        </is>
      </c>
      <c r="R446" s="8" t="inlineStr">
        <is>
          <t>PCAP</t>
        </is>
      </c>
      <c r="S446" s="9" t="n">
        <v>46317</v>
      </c>
      <c r="T446" s="3" t="n">
        <v>46316.57186342592</v>
      </c>
      <c r="U446" s="2" t="n"/>
    </row>
    <row r="447">
      <c r="A447" s="2" t="inlineStr">
        <is>
          <t>Pendiente de adjudicación</t>
        </is>
      </c>
      <c r="B447" s="3" t="n">
        <v>46308.58333333334</v>
      </c>
      <c r="C447" s="5" t="n">
        <v>248315.19</v>
      </c>
      <c r="D447" s="5" t="n">
        <v>248315.19</v>
      </c>
      <c r="E447" s="2" t="inlineStr">
        <is>
          <t>Comunitat Valenciana</t>
        </is>
      </c>
      <c r="F447" s="2" t="n"/>
      <c r="G447" s="2" t="n"/>
      <c r="H447" s="2" t="inlineStr">
        <is>
          <t>Vicepresidente Tercero y Conseller de Medio Ambiente, Infraestructuras, Territorio y de la Recuperación</t>
        </is>
      </c>
      <c r="I447" s="2" t="inlineStr">
        <is>
          <t>Proyecto de ejecución de actuaciones de mejora selvícola en el MUP V168 "GANACIENDAS" T.M.REQUENA</t>
        </is>
      </c>
      <c r="J447" s="2" t="inlineStr">
        <is>
          <t>CMAYOR/2026/24Y06/0025</t>
        </is>
      </c>
      <c r="K447" s="2" t="inlineStr">
        <is>
          <t>Abierto simplificado</t>
        </is>
      </c>
      <c r="L447" s="6" t="n">
        <v>12</v>
      </c>
      <c r="M447" s="2" t="n"/>
      <c r="N447" s="7" t="n">
        <v>0</v>
      </c>
      <c r="O447" s="4" t="n"/>
      <c r="P447" s="2" t="inlineStr">
        <is>
          <t>45262640</t>
        </is>
      </c>
      <c r="Q447" s="8" t="inlineStr">
        <is>
          <t>Ver</t>
        </is>
      </c>
      <c r="R447" s="8" t="inlineStr">
        <is>
          <t>PCAP</t>
        </is>
      </c>
      <c r="S447" s="9" t="n">
        <v>46317</v>
      </c>
      <c r="T447" s="3" t="n">
        <v>46316.570625</v>
      </c>
      <c r="U447" s="2" t="n"/>
    </row>
    <row r="448">
      <c r="A448" s="2" t="inlineStr">
        <is>
          <t>En plazo</t>
        </is>
      </c>
      <c r="B448" s="3" t="n">
        <v>46344.99930555555</v>
      </c>
      <c r="C448" s="5" t="n">
        <v>1494349.1</v>
      </c>
      <c r="D448" s="5" t="n">
        <v>1494349.1</v>
      </c>
      <c r="E448" s="2" t="inlineStr">
        <is>
          <t>Comunitat Valenciana</t>
        </is>
      </c>
      <c r="F448" s="2" t="inlineStr">
        <is>
          <t>Valencia</t>
        </is>
      </c>
      <c r="G448" s="2" t="inlineStr">
        <is>
          <t>Yátova</t>
        </is>
      </c>
      <c r="H448" s="2" t="inlineStr">
        <is>
          <t>Pleno del Ayuntamiento de Yátova</t>
        </is>
      </c>
      <c r="I448" s="2" t="inlineStr">
        <is>
          <t>Reparación, acondicionamiento y mejora de caminos rurales en el término municipal de Yátova. Subvención Ministerio Dana2024</t>
        </is>
      </c>
      <c r="J448" s="2" t="inlineStr">
        <is>
          <t>899/2026</t>
        </is>
      </c>
      <c r="K448" s="2" t="inlineStr">
        <is>
          <t>Abierto simplificado</t>
        </is>
      </c>
      <c r="L448" s="6" t="n">
        <v>6</v>
      </c>
      <c r="M448" s="2" t="inlineStr">
        <is>
          <t>G*-4</t>
        </is>
      </c>
      <c r="N448" s="7" t="n">
        <v>0</v>
      </c>
      <c r="O448" s="4" t="n"/>
      <c r="P448" s="2" t="inlineStr">
        <is>
          <t>45233250; 45233222; 45233251; 45233140</t>
        </is>
      </c>
      <c r="Q448" s="8" t="inlineStr">
        <is>
          <t>Ver</t>
        </is>
      </c>
      <c r="R448" s="8" t="inlineStr">
        <is>
          <t>PCAP</t>
        </is>
      </c>
      <c r="S448" s="9" t="n">
        <v>46317</v>
      </c>
      <c r="T448" s="3" t="n">
        <v>46316.57015046296</v>
      </c>
      <c r="U448" s="2" t="n"/>
    </row>
    <row r="449">
      <c r="A449" s="2" t="inlineStr">
        <is>
          <t>Pendiente de adjudicación</t>
        </is>
      </c>
      <c r="B449" s="3" t="n">
        <v>46314.99930555555</v>
      </c>
      <c r="C449" s="5" t="n">
        <v>688603.6899999999</v>
      </c>
      <c r="D449" s="5" t="n">
        <v>757464.0600000001</v>
      </c>
      <c r="E449" s="2" t="inlineStr">
        <is>
          <t>Comunitat Valenciana</t>
        </is>
      </c>
      <c r="F449" s="2" t="inlineStr">
        <is>
          <t>Valencia</t>
        </is>
      </c>
      <c r="G449" s="2" t="inlineStr">
        <is>
          <t>MONCADA</t>
        </is>
      </c>
      <c r="H449" s="2" t="inlineStr">
        <is>
          <t>Dirección del Instituto Valenciano de Investigaciones Agrarias (IVIA)</t>
        </is>
      </c>
      <c r="I449" s="2" t="inlineStr">
        <is>
          <t>Acometidas de agua potable y saneamiento desde el polígono nº 3 de moncada a las instalaciones del ivia</t>
        </is>
      </c>
      <c r="J449" s="2" t="inlineStr">
        <is>
          <t>: CMAYOR/2026/26Y09/0022</t>
        </is>
      </c>
      <c r="K449" s="2" t="inlineStr">
        <is>
          <t>Abierto simplificado</t>
        </is>
      </c>
      <c r="L449" s="6" t="n">
        <v>4</v>
      </c>
      <c r="M449" s="2" t="inlineStr">
        <is>
          <t>E1-3</t>
        </is>
      </c>
      <c r="N449" s="7" t="n">
        <v>0</v>
      </c>
      <c r="O449" s="4" t="n"/>
      <c r="P449" s="2" t="inlineStr">
        <is>
          <t>45232410; 45232150</t>
        </is>
      </c>
      <c r="Q449" s="8" t="inlineStr">
        <is>
          <t>Ver</t>
        </is>
      </c>
      <c r="R449" s="8" t="inlineStr">
        <is>
          <t>PCAP</t>
        </is>
      </c>
      <c r="S449" s="9" t="n">
        <v>46317</v>
      </c>
      <c r="T449" s="3" t="n">
        <v>46316.56717592593</v>
      </c>
      <c r="U449" s="2" t="n"/>
    </row>
    <row r="450">
      <c r="A450" s="2" t="inlineStr">
        <is>
          <t>En plazo</t>
        </is>
      </c>
      <c r="B450" s="3" t="n">
        <v>46335.79166666666</v>
      </c>
      <c r="C450" s="5" t="n">
        <v>1240704.74</v>
      </c>
      <c r="D450" s="5" t="n">
        <v>1488845.69</v>
      </c>
      <c r="E450" s="2" t="inlineStr">
        <is>
          <t>Comunitat Valenciana</t>
        </is>
      </c>
      <c r="F450" s="2" t="inlineStr">
        <is>
          <t>Alicante</t>
        </is>
      </c>
      <c r="G450" s="2" t="inlineStr">
        <is>
          <t>Alicante (Alacant)</t>
        </is>
      </c>
      <c r="H450" s="2" t="inlineStr">
        <is>
          <t>Alcaldía del Ayuntamiento de Santa Pola</t>
        </is>
      </c>
      <c r="I450" s="2" t="inlineStr">
        <is>
          <t>Licitación para la contratación de las Obras de Reforma y adecuación del campo municipal Manolo Maciá de Santa Pola, susceptible de ser confinanciado por la UE a través del Fondo Europeo de Desarrollo</t>
        </is>
      </c>
      <c r="J450" s="2" t="inlineStr">
        <is>
          <t>18226/2026</t>
        </is>
      </c>
      <c r="K450" s="2" t="inlineStr">
        <is>
          <t>Abierto simplificado</t>
        </is>
      </c>
      <c r="L450" s="6" t="n">
        <v>4</v>
      </c>
      <c r="M450" s="2" t="inlineStr">
        <is>
          <t>G*-3</t>
        </is>
      </c>
      <c r="N450" s="7" t="n">
        <v>0.45</v>
      </c>
      <c r="O450" s="4" t="n"/>
      <c r="P450" s="2" t="inlineStr">
        <is>
          <t>45212200; 45212224; 45212220; 45310000</t>
        </is>
      </c>
      <c r="Q450" s="8" t="inlineStr">
        <is>
          <t>Ver</t>
        </is>
      </c>
      <c r="R450" s="8" t="inlineStr">
        <is>
          <t>PCAP</t>
        </is>
      </c>
      <c r="S450" s="9" t="n">
        <v>46315</v>
      </c>
      <c r="T450" s="3" t="n">
        <v>46316.56428240741</v>
      </c>
      <c r="U450" s="2" t="n"/>
    </row>
    <row r="451">
      <c r="A451" s="2" t="inlineStr">
        <is>
          <t>Pendiente de adjudicación</t>
        </is>
      </c>
      <c r="B451" s="3" t="n">
        <v>46314.99930555555</v>
      </c>
      <c r="C451" s="5" t="n">
        <v>329857.26</v>
      </c>
      <c r="D451" s="5" t="n">
        <v>329857.26</v>
      </c>
      <c r="E451" s="2" t="inlineStr">
        <is>
          <t>Andalucía</t>
        </is>
      </c>
      <c r="F451" s="2" t="inlineStr">
        <is>
          <t>Málaga</t>
        </is>
      </c>
      <c r="G451" s="2" t="n"/>
      <c r="H451" s="2" t="inlineStr">
        <is>
          <t>Alcaldía del Ayuntamiento de Ronda</t>
        </is>
      </c>
      <c r="I451" s="2" t="inlineStr">
        <is>
          <t>C. Obras. Proyecto de Obras de Reparación y Restitución de la red viaria municipal de Ronda. Contrato financiado con cargo a las ayudas de la Administración General del Estado, a través del Ministerio de Política Territorial y Memoria Democrática, previstas en el artículo 7 del Real Decreto-ley 5/2026, de 17 de febrero.</t>
        </is>
      </c>
      <c r="J451" s="2" t="inlineStr">
        <is>
          <t>12793/2026</t>
        </is>
      </c>
      <c r="K451" s="2" t="inlineStr">
        <is>
          <t>Abierto</t>
        </is>
      </c>
      <c r="L451" s="6" t="n">
        <v>1</v>
      </c>
      <c r="M451" s="2" t="inlineStr">
        <is>
          <t>G6-2</t>
        </is>
      </c>
      <c r="N451" s="7" t="n">
        <v>0</v>
      </c>
      <c r="O451" s="4" t="n"/>
      <c r="P451" s="2" t="inlineStr">
        <is>
          <t>45233200; 45233222</t>
        </is>
      </c>
      <c r="Q451" s="8" t="inlineStr">
        <is>
          <t>Ver</t>
        </is>
      </c>
      <c r="R451" s="8" t="inlineStr">
        <is>
          <t>PCAP</t>
        </is>
      </c>
      <c r="S451" s="9" t="n">
        <v>46317</v>
      </c>
      <c r="T451" s="3" t="n">
        <v>46316.56290509259</v>
      </c>
      <c r="U451" s="2" t="n"/>
    </row>
    <row r="452">
      <c r="A452" s="2" t="inlineStr">
        <is>
          <t>Adjudicada</t>
        </is>
      </c>
      <c r="B452" s="3" t="n">
        <v>46300.99930555555</v>
      </c>
      <c r="C452" s="5" t="n">
        <v>77598.96000000001</v>
      </c>
      <c r="D452" s="5" t="n">
        <v>77598.96000000001</v>
      </c>
      <c r="E452" s="2" t="inlineStr">
        <is>
          <t>Andalucía</t>
        </is>
      </c>
      <c r="F452" s="2" t="inlineStr">
        <is>
          <t>Huelva</t>
        </is>
      </c>
      <c r="G452" s="2" t="inlineStr">
        <is>
          <t>Gibraleón</t>
        </is>
      </c>
      <c r="H452" s="2" t="inlineStr">
        <is>
          <t>Alcaldía del Ayuntamiento de Gibraleón</t>
        </is>
      </c>
      <c r="I452" s="2" t="inlineStr">
        <is>
          <t>Contrato de obras de rehabilitación de la capa de rodadura del pavimento de determinadas calles del núcleo urbano de Gibraleón (PLAN DE CONCERTACIÓN MUNICIPAL).</t>
        </is>
      </c>
      <c r="J452" s="2" t="inlineStr">
        <is>
          <t>4138/2026</t>
        </is>
      </c>
      <c r="K452" s="2" t="inlineStr">
        <is>
          <t>Negociado sin publicidad</t>
        </is>
      </c>
      <c r="L452" s="6" t="n">
        <v>1.5</v>
      </c>
      <c r="M452" s="2" t="inlineStr">
        <is>
          <t>G*-1</t>
        </is>
      </c>
      <c r="N452" s="7" t="n">
        <v>0</v>
      </c>
      <c r="O452" s="4" t="n"/>
      <c r="P452" s="2" t="inlineStr">
        <is>
          <t>45233252</t>
        </is>
      </c>
      <c r="Q452" s="8" t="inlineStr">
        <is>
          <t>Ver</t>
        </is>
      </c>
      <c r="R452" s="8" t="inlineStr">
        <is>
          <t>PCAP</t>
        </is>
      </c>
      <c r="S452" s="9" t="n">
        <v>46317</v>
      </c>
      <c r="T452" s="3" t="n">
        <v>46316.55927083334</v>
      </c>
      <c r="U452" s="2" t="n"/>
    </row>
    <row r="453">
      <c r="A453" s="2" t="inlineStr">
        <is>
          <t>En plazo</t>
        </is>
      </c>
      <c r="B453" s="3" t="n">
        <v>46344.99930555555</v>
      </c>
      <c r="C453" s="5" t="n">
        <v>82521.58</v>
      </c>
      <c r="D453" s="5" t="n">
        <v>82521.58</v>
      </c>
      <c r="E453" s="2" t="inlineStr">
        <is>
          <t>Comunitat Valenciana</t>
        </is>
      </c>
      <c r="F453" s="2" t="inlineStr">
        <is>
          <t>Valencia</t>
        </is>
      </c>
      <c r="G453" s="2" t="inlineStr">
        <is>
          <t>Yátova</t>
        </is>
      </c>
      <c r="H453" s="2" t="inlineStr">
        <is>
          <t>Alcaldía del Ayuntamiento de Yátova</t>
        </is>
      </c>
      <c r="I453" s="2" t="inlineStr">
        <is>
          <t>Obras de reforma de los acabados dañados por la DANA en el interior del edificio destinado a escuela infantil municipal</t>
        </is>
      </c>
      <c r="J453" s="2" t="inlineStr">
        <is>
          <t>937/2026</t>
        </is>
      </c>
      <c r="K453" s="2" t="inlineStr">
        <is>
          <t>Abierto simplificado</t>
        </is>
      </c>
      <c r="L453" s="6" t="n">
        <v>3</v>
      </c>
      <c r="M453" s="2" t="n"/>
      <c r="N453" s="7" t="n">
        <v>0</v>
      </c>
      <c r="O453" s="4" t="n"/>
      <c r="P453" s="2" t="inlineStr">
        <is>
          <t>45262520; 45400000; 45200000</t>
        </is>
      </c>
      <c r="Q453" s="8" t="inlineStr">
        <is>
          <t>Ver</t>
        </is>
      </c>
      <c r="R453" s="8" t="inlineStr">
        <is>
          <t>PCAP</t>
        </is>
      </c>
      <c r="S453" s="9" t="n">
        <v>46317</v>
      </c>
      <c r="T453" s="3" t="n">
        <v>46316.55804398148</v>
      </c>
      <c r="U453" s="2" t="n"/>
    </row>
    <row r="454">
      <c r="A454" s="2" t="inlineStr">
        <is>
          <t>En plazo</t>
        </is>
      </c>
      <c r="B454" s="3" t="n">
        <v>46344.99930555555</v>
      </c>
      <c r="C454" s="5" t="n">
        <v>188019.76</v>
      </c>
      <c r="D454" s="5" t="n">
        <v>188019.76</v>
      </c>
      <c r="E454" s="2" t="inlineStr">
        <is>
          <t>Comunitat Valenciana</t>
        </is>
      </c>
      <c r="F454" s="2" t="inlineStr">
        <is>
          <t>Valencia</t>
        </is>
      </c>
      <c r="G454" s="2" t="inlineStr">
        <is>
          <t>Yátova</t>
        </is>
      </c>
      <c r="H454" s="2" t="inlineStr">
        <is>
          <t>Pleno del Ayuntamiento de Yátova</t>
        </is>
      </c>
      <c r="I454" s="2" t="inlineStr">
        <is>
          <t>Obras de reforma del Parque de San Vicente- Subvención Ministerio DANA2024</t>
        </is>
      </c>
      <c r="J454" s="2" t="inlineStr">
        <is>
          <t>940/2026</t>
        </is>
      </c>
      <c r="K454" s="2" t="inlineStr">
        <is>
          <t>Abierto simplificado</t>
        </is>
      </c>
      <c r="L454" s="6" t="n">
        <v>3</v>
      </c>
      <c r="M454" s="2" t="n"/>
      <c r="N454" s="7" t="n">
        <v>0</v>
      </c>
      <c r="O454" s="4" t="n"/>
      <c r="P454" s="2" t="inlineStr">
        <is>
          <t>45236290; 45232410</t>
        </is>
      </c>
      <c r="Q454" s="8" t="inlineStr">
        <is>
          <t>Ver</t>
        </is>
      </c>
      <c r="R454" s="8" t="inlineStr">
        <is>
          <t>PCAP</t>
        </is>
      </c>
      <c r="S454" s="9" t="n">
        <v>46317</v>
      </c>
      <c r="T454" s="3" t="n">
        <v>46316.55787037037</v>
      </c>
      <c r="U454" s="2" t="n"/>
    </row>
    <row r="455">
      <c r="A455" s="2" t="inlineStr">
        <is>
          <t>Pendiente de adjudicación</t>
        </is>
      </c>
      <c r="B455" s="3" t="n">
        <v>46313.99930555555</v>
      </c>
      <c r="C455" s="5" t="n">
        <v>82285.41</v>
      </c>
      <c r="D455" s="5" t="n">
        <v>82285.41</v>
      </c>
      <c r="E455" s="2" t="inlineStr">
        <is>
          <t>Andalucía</t>
        </is>
      </c>
      <c r="F455" s="2" t="inlineStr">
        <is>
          <t>Jaén</t>
        </is>
      </c>
      <c r="G455" s="2" t="inlineStr">
        <is>
          <t>TORREPEROGIL</t>
        </is>
      </c>
      <c r="H455" s="2" t="inlineStr">
        <is>
          <t>Alcaldía del Ayuntamiento de Torreperogil</t>
        </is>
      </c>
      <c r="I455" s="2" t="inlineStr">
        <is>
          <t>“Reparación y restitución de cubiertas en instalaciones municipales “nave servicios limpieza y obras, nave servicios municipales y cubiertas cementerio municipal” en municipio de Torreperogil (Jaén)”</t>
        </is>
      </c>
      <c r="J455" s="2" t="inlineStr">
        <is>
          <t>2224/2026</t>
        </is>
      </c>
      <c r="K455" s="2" t="inlineStr">
        <is>
          <t>Abierto simplificado</t>
        </is>
      </c>
      <c r="L455" s="6" t="n">
        <v>5</v>
      </c>
      <c r="M455" s="2" t="n"/>
      <c r="N455" s="7" t="n">
        <v>0.2</v>
      </c>
      <c r="O455" s="4" t="n"/>
      <c r="P455" s="2" t="inlineStr">
        <is>
          <t>45454100</t>
        </is>
      </c>
      <c r="Q455" s="8" t="inlineStr">
        <is>
          <t>Ver</t>
        </is>
      </c>
      <c r="R455" s="8" t="inlineStr">
        <is>
          <t>PCAP</t>
        </is>
      </c>
      <c r="S455" s="9" t="n">
        <v>46317</v>
      </c>
      <c r="T455" s="3" t="n">
        <v>46316.55767361111</v>
      </c>
      <c r="U455" s="2" t="n"/>
    </row>
    <row r="456">
      <c r="A456" s="2" t="inlineStr">
        <is>
          <t>Resuelta</t>
        </is>
      </c>
      <c r="B456" s="3" t="n">
        <v>46275.99930555555</v>
      </c>
      <c r="C456" s="5" t="n">
        <v>130578.51</v>
      </c>
      <c r="D456" s="5" t="n">
        <v>130578.51</v>
      </c>
      <c r="E456" s="2" t="inlineStr">
        <is>
          <t>Comunitat Valenciana</t>
        </is>
      </c>
      <c r="F456" s="2" t="inlineStr">
        <is>
          <t>Castellón</t>
        </is>
      </c>
      <c r="G456" s="2" t="inlineStr">
        <is>
          <t>Torreblanca</t>
        </is>
      </c>
      <c r="H456" s="2" t="inlineStr">
        <is>
          <t>Junta de Gobierno del Ayuntamiento de Torreblanca</t>
        </is>
      </c>
      <c r="I456" s="2" t="inlineStr">
        <is>
          <t>Contrato Obra ampliación Cementerio de Torreblabanca (5ª Fase)</t>
        </is>
      </c>
      <c r="J456" s="2" t="inlineStr">
        <is>
          <t>2126/2026</t>
        </is>
      </c>
      <c r="K456" s="2" t="inlineStr">
        <is>
          <t>Abierto simplificado</t>
        </is>
      </c>
      <c r="L456" s="6" t="n">
        <v>2</v>
      </c>
      <c r="M456" s="2" t="n"/>
      <c r="N456" s="7" t="n">
        <v>0</v>
      </c>
      <c r="O456" s="4" t="n"/>
      <c r="P456" s="2" t="inlineStr">
        <is>
          <t>45215400</t>
        </is>
      </c>
      <c r="Q456" s="8" t="inlineStr">
        <is>
          <t>Ver</t>
        </is>
      </c>
      <c r="R456" s="8" t="inlineStr">
        <is>
          <t>PCAP</t>
        </is>
      </c>
      <c r="S456" s="9" t="n">
        <v>46310</v>
      </c>
      <c r="T456" s="3" t="n">
        <v>46316.55665509259</v>
      </c>
      <c r="U456" s="2" t="inlineStr">
        <is>
          <t>2026-10-20: estado EV → ADJ | 2026-10-22: estado ADJ → RES</t>
        </is>
      </c>
    </row>
    <row r="457">
      <c r="A457" s="2" t="inlineStr">
        <is>
          <t>Pendiente de adjudicación</t>
        </is>
      </c>
      <c r="B457" s="3" t="n">
        <v>46282.99930555555</v>
      </c>
      <c r="C457" s="5" t="n">
        <v>132897.85</v>
      </c>
      <c r="D457" s="5" t="n">
        <v>132897.85</v>
      </c>
      <c r="E457" s="2" t="inlineStr">
        <is>
          <t>Comunitat Valenciana</t>
        </is>
      </c>
      <c r="F457" s="2" t="inlineStr">
        <is>
          <t>Castellón</t>
        </is>
      </c>
      <c r="G457" s="2" t="inlineStr">
        <is>
          <t>Portell de Morella</t>
        </is>
      </c>
      <c r="H457" s="2" t="inlineStr">
        <is>
          <t>Alcaldía del Ayuntamiento de Portell de Morella</t>
        </is>
      </c>
      <c r="I457" s="2" t="inlineStr">
        <is>
          <t>Ejecucion de las obras definidas en el proyecto conservación de la torre 3 y excavación arqueológica del entorno de la muralla del recinto superior del Castillo de Portell de Morella</t>
        </is>
      </c>
      <c r="J457" s="2" t="inlineStr">
        <is>
          <t>163/2026</t>
        </is>
      </c>
      <c r="K457" s="2" t="inlineStr">
        <is>
          <t>Abierto simplificado</t>
        </is>
      </c>
      <c r="L457" s="6" t="n">
        <v>4</v>
      </c>
      <c r="M457" s="2" t="n"/>
      <c r="N457" s="7" t="n">
        <v>0.25</v>
      </c>
      <c r="O457" s="4" t="n"/>
      <c r="P457" s="2" t="inlineStr">
        <is>
          <t>45262522; 45100000; 45212314; 71351914</t>
        </is>
      </c>
      <c r="Q457" s="8" t="inlineStr">
        <is>
          <t>Ver</t>
        </is>
      </c>
      <c r="R457" s="8" t="inlineStr">
        <is>
          <t>PCAP</t>
        </is>
      </c>
      <c r="S457" s="9" t="n">
        <v>46317</v>
      </c>
      <c r="T457" s="3" t="n">
        <v>46316.55256944444</v>
      </c>
      <c r="U457" s="2" t="n"/>
    </row>
    <row r="458">
      <c r="A458" s="2" t="inlineStr">
        <is>
          <t>Adjudicada</t>
        </is>
      </c>
      <c r="B458" s="3" t="n">
        <v>46237.99930555555</v>
      </c>
      <c r="C458" s="5" t="n">
        <v>163049.42</v>
      </c>
      <c r="D458" s="5" t="n">
        <v>163049.42</v>
      </c>
      <c r="E458" s="2" t="inlineStr">
        <is>
          <t>Andalucía</t>
        </is>
      </c>
      <c r="F458" s="2" t="inlineStr">
        <is>
          <t>Jaén</t>
        </is>
      </c>
      <c r="G458" s="2" t="n"/>
      <c r="H458" s="2" t="inlineStr">
        <is>
          <t>Alcaldía del Ayuntamiento de Úbeda</t>
        </is>
      </c>
      <c r="I458" s="2" t="inlineStr">
        <is>
          <t>Plan de Asfaltado en Pedanías.</t>
        </is>
      </c>
      <c r="J458" s="2" t="inlineStr">
        <is>
          <t>OBR8465/2026</t>
        </is>
      </c>
      <c r="K458" s="2" t="inlineStr">
        <is>
          <t>Abierto simplificado</t>
        </is>
      </c>
      <c r="L458" s="6" t="n">
        <v>1.5</v>
      </c>
      <c r="M458" s="2" t="n"/>
      <c r="N458" s="7" t="n">
        <v>0</v>
      </c>
      <c r="O458" s="4" t="n">
        <v>7</v>
      </c>
      <c r="P458" s="2" t="inlineStr">
        <is>
          <t>45233200</t>
        </is>
      </c>
      <c r="Q458" s="8" t="inlineStr">
        <is>
          <t>Ver</t>
        </is>
      </c>
      <c r="R458" s="8" t="inlineStr">
        <is>
          <t>PCAP</t>
        </is>
      </c>
      <c r="S458" s="9" t="n">
        <v>46317</v>
      </c>
      <c r="T458" s="3" t="n">
        <v>46316.55157407407</v>
      </c>
      <c r="U458" s="2" t="n"/>
    </row>
    <row r="459">
      <c r="A459" s="2" t="inlineStr">
        <is>
          <t>Pendiente de adjudicación</t>
        </is>
      </c>
      <c r="B459" s="3" t="n">
        <v>46314.99930555555</v>
      </c>
      <c r="C459" s="5" t="n">
        <v>765205.73</v>
      </c>
      <c r="D459" s="5" t="n">
        <v>765205.73</v>
      </c>
      <c r="E459" s="2" t="inlineStr">
        <is>
          <t>Andalucía</t>
        </is>
      </c>
      <c r="F459" s="2" t="inlineStr">
        <is>
          <t>Málaga</t>
        </is>
      </c>
      <c r="G459" s="2" t="n"/>
      <c r="H459" s="2" t="inlineStr">
        <is>
          <t>Alcaldía del Ayuntamiento de Ronda</t>
        </is>
      </c>
      <c r="I459" s="2" t="inlineStr">
        <is>
          <t>C. Obras. Proyecto de Actuación de Reparación y Mejora de Calle Tomilla, ubicada en ARUA Barrio Las Peñas y borde suroeste de Ronda (Málaga). Contrato financiado con cargo a las ayudas de la Administración General del Estado, a través del Ministerio de Política Territorial y Memoria Democrática, previstas en el artículo 7 del Real Decreto-ley 5/2026, de 17 de febrero.</t>
        </is>
      </c>
      <c r="J459" s="2" t="inlineStr">
        <is>
          <t>13542/2026</t>
        </is>
      </c>
      <c r="K459" s="2" t="inlineStr">
        <is>
          <t>Abierto</t>
        </is>
      </c>
      <c r="L459" s="6" t="n">
        <v>10</v>
      </c>
      <c r="M459" s="2" t="inlineStr">
        <is>
          <t>G6-3</t>
        </is>
      </c>
      <c r="N459" s="7" t="n">
        <v>0</v>
      </c>
      <c r="O459" s="4" t="n"/>
      <c r="P459" s="2" t="inlineStr">
        <is>
          <t>45000000; 45233252</t>
        </is>
      </c>
      <c r="Q459" s="8" t="inlineStr">
        <is>
          <t>Ver</t>
        </is>
      </c>
      <c r="R459" s="8" t="inlineStr">
        <is>
          <t>PCAP</t>
        </is>
      </c>
      <c r="S459" s="9" t="n">
        <v>46317</v>
      </c>
      <c r="T459" s="3" t="n">
        <v>46316.55054398148</v>
      </c>
      <c r="U459" s="2" t="n"/>
    </row>
    <row r="460">
      <c r="A460" s="2" t="inlineStr">
        <is>
          <t>En plazo</t>
        </is>
      </c>
      <c r="B460" s="3" t="n">
        <v>46331.99930555555</v>
      </c>
      <c r="C460" s="5" t="n">
        <v>41322.31</v>
      </c>
      <c r="D460" s="5" t="n">
        <v>41322.31</v>
      </c>
      <c r="E460" s="2" t="inlineStr">
        <is>
          <t>Andalucía</t>
        </is>
      </c>
      <c r="F460" s="2" t="inlineStr">
        <is>
          <t>Cádiz</t>
        </is>
      </c>
      <c r="G460" s="2" t="inlineStr">
        <is>
          <t>BENAMAHOMA</t>
        </is>
      </c>
      <c r="H460" s="2" t="inlineStr">
        <is>
          <t>Alcaldía del Ayuntamiento de Grazalema</t>
        </is>
      </c>
      <c r="I460" s="2" t="inlineStr">
        <is>
          <t>Ejecución de la Obra de adelantamiento Camino del Colegio de Benamahoma - PPCOS - Nº Actuacion 15.1 (PPCOS 2026-2027)</t>
        </is>
      </c>
      <c r="J460" s="2" t="inlineStr">
        <is>
          <t>1217/2026</t>
        </is>
      </c>
      <c r="K460" s="2" t="inlineStr">
        <is>
          <t>Abierto simplificado</t>
        </is>
      </c>
      <c r="L460" s="6" t="n">
        <v>6</v>
      </c>
      <c r="M460" s="2" t="n"/>
      <c r="N460" s="7" t="n">
        <v>0</v>
      </c>
      <c r="O460" s="4" t="n"/>
      <c r="P460" s="2" t="inlineStr">
        <is>
          <t>45200000; 45262620; 45210000</t>
        </is>
      </c>
      <c r="Q460" s="8" t="inlineStr">
        <is>
          <t>Ver</t>
        </is>
      </c>
      <c r="R460" s="8" t="inlineStr">
        <is>
          <t>PCAP</t>
        </is>
      </c>
      <c r="S460" s="9" t="n">
        <v>46317</v>
      </c>
      <c r="T460" s="3" t="n">
        <v>46316.54957175926</v>
      </c>
      <c r="U460" s="2" t="n"/>
    </row>
    <row r="461">
      <c r="A461" s="2" t="inlineStr">
        <is>
          <t>Pendiente de adjudicación</t>
        </is>
      </c>
      <c r="B461" s="3" t="n">
        <v>46308.99930555555</v>
      </c>
      <c r="C461" s="5" t="n">
        <v>293684.52</v>
      </c>
      <c r="D461" s="5" t="n">
        <v>293684.52</v>
      </c>
      <c r="E461" s="2" t="inlineStr">
        <is>
          <t>Comunitat Valenciana</t>
        </is>
      </c>
      <c r="F461" s="2" t="inlineStr">
        <is>
          <t>Valencia</t>
        </is>
      </c>
      <c r="G461" s="2" t="n"/>
      <c r="H461" s="2" t="inlineStr">
        <is>
          <t>Junta de Gobierno del Ayuntamiento de Serra</t>
        </is>
      </c>
      <c r="I461" s="2" t="inlineStr">
        <is>
          <t>Restauración de la Torre del Señor de la Vila de Serra.</t>
        </is>
      </c>
      <c r="J461" s="2" t="inlineStr">
        <is>
          <t>2301963X</t>
        </is>
      </c>
      <c r="K461" s="2" t="inlineStr">
        <is>
          <t>Abierto simplificado</t>
        </is>
      </c>
      <c r="L461" s="6" t="n">
        <v>6</v>
      </c>
      <c r="M461" s="2" t="n"/>
      <c r="N461" s="7" t="n">
        <v>0</v>
      </c>
      <c r="O461" s="4" t="n"/>
      <c r="P461" s="2" t="inlineStr">
        <is>
          <t>45454100</t>
        </is>
      </c>
      <c r="Q461" s="8" t="inlineStr">
        <is>
          <t>Ver</t>
        </is>
      </c>
      <c r="R461" s="8" t="inlineStr">
        <is>
          <t>PCAP</t>
        </is>
      </c>
      <c r="S461" s="9" t="n">
        <v>46317</v>
      </c>
      <c r="T461" s="3" t="n">
        <v>46316.54891203704</v>
      </c>
      <c r="U461" s="2" t="n"/>
    </row>
    <row r="462">
      <c r="A462" s="2" t="inlineStr">
        <is>
          <t>Pendiente de adjudicación</t>
        </is>
      </c>
      <c r="B462" s="3" t="n">
        <v>46308.54166666666</v>
      </c>
      <c r="C462" s="5" t="n">
        <v>1183531.28</v>
      </c>
      <c r="D462" s="5" t="n">
        <v>1301884.41</v>
      </c>
      <c r="E462" s="2" t="inlineStr">
        <is>
          <t>Comunitat Valenciana</t>
        </is>
      </c>
      <c r="F462" s="2" t="inlineStr">
        <is>
          <t>Valencia</t>
        </is>
      </c>
      <c r="G462" s="2" t="n"/>
      <c r="H462" s="2" t="inlineStr">
        <is>
          <t>Presidencia de la Diputación Provincial de Valencia</t>
        </is>
      </c>
      <c r="I462" s="2" t="inlineStr">
        <is>
          <t>S-480A/O. Ampliación de carretera, mejora de la seguridad vial e itinerario ciclo peatonal en la carretera CV-401, de Alfafar a El Saler. Tramo del pk 0+000 al pk 0+400. Término municipal de Alfafar.</t>
        </is>
      </c>
      <c r="J462" s="2" t="inlineStr">
        <is>
          <t>1241/26/CAR</t>
        </is>
      </c>
      <c r="K462" s="2" t="inlineStr">
        <is>
          <t>Abierto</t>
        </is>
      </c>
      <c r="L462" s="6" t="n">
        <v>5</v>
      </c>
      <c r="M462" s="2" t="inlineStr">
        <is>
          <t>G4-4</t>
        </is>
      </c>
      <c r="N462" s="7" t="n">
        <v>0.33</v>
      </c>
      <c r="O462" s="4" t="n"/>
      <c r="P462" s="2" t="inlineStr">
        <is>
          <t>45233120; 45233162</t>
        </is>
      </c>
      <c r="Q462" s="8" t="inlineStr">
        <is>
          <t>Ver</t>
        </is>
      </c>
      <c r="R462" s="8" t="inlineStr">
        <is>
          <t>PCAP</t>
        </is>
      </c>
      <c r="S462" s="9" t="n">
        <v>46317</v>
      </c>
      <c r="T462" s="3" t="n">
        <v>46316.54851851852</v>
      </c>
      <c r="U462" s="2" t="n"/>
    </row>
    <row r="463">
      <c r="A463" s="2" t="inlineStr">
        <is>
          <t>Adjudicada</t>
        </is>
      </c>
      <c r="B463" s="3" t="n">
        <v>46283.41666666666</v>
      </c>
      <c r="C463" s="5" t="n">
        <v>48486.9</v>
      </c>
      <c r="D463" s="5" t="n">
        <v>48486.9</v>
      </c>
      <c r="E463" s="2" t="inlineStr">
        <is>
          <t>Andalucía</t>
        </is>
      </c>
      <c r="F463" s="2" t="inlineStr">
        <is>
          <t>Huelva</t>
        </is>
      </c>
      <c r="G463" s="2" t="n"/>
      <c r="H463" s="2" t="inlineStr">
        <is>
          <t>Empresa de Transformación Agraria S.A.,S.M.E., M.P., (TRAGSA)</t>
        </is>
      </c>
      <c r="I463" s="2" t="inlineStr">
        <is>
          <t>Ejecución de señalización horizontal para la obra: Proyecto de mejora de los caminos de acceso a la presa del Andévalo, en los T.M. de El Almendro, El Granado y Puebla de Guzmán (Huelva)</t>
        </is>
      </c>
      <c r="J463" s="2" t="inlineStr">
        <is>
          <t>TSA0084000</t>
        </is>
      </c>
      <c r="K463" s="2" t="inlineStr">
        <is>
          <t>Abierto simplificado</t>
        </is>
      </c>
      <c r="L463" s="6" t="n">
        <v>4</v>
      </c>
      <c r="M463" s="2" t="n"/>
      <c r="N463" s="7" t="n">
        <v>0</v>
      </c>
      <c r="O463" s="4" t="n"/>
      <c r="P463" s="2" t="inlineStr">
        <is>
          <t>45233221</t>
        </is>
      </c>
      <c r="Q463" s="8" t="inlineStr">
        <is>
          <t>Ver</t>
        </is>
      </c>
      <c r="R463" s="8" t="inlineStr">
        <is>
          <t>PCAP</t>
        </is>
      </c>
      <c r="S463" s="9" t="n">
        <v>46310</v>
      </c>
      <c r="T463" s="3" t="n">
        <v>46316.54685185185</v>
      </c>
      <c r="U463" s="2" t="inlineStr">
        <is>
          <t>2026-10-22: estado EV → ADJ</t>
        </is>
      </c>
    </row>
    <row r="464">
      <c r="A464" s="2" t="inlineStr">
        <is>
          <t>Resuelta</t>
        </is>
      </c>
      <c r="B464" s="3" t="n">
        <v>46219.5</v>
      </c>
      <c r="C464" s="5" t="n">
        <v>157901.9</v>
      </c>
      <c r="D464" s="5" t="n">
        <v>157901.9</v>
      </c>
      <c r="E464" s="2" t="inlineStr">
        <is>
          <t>Comunitat Valenciana</t>
        </is>
      </c>
      <c r="F464" s="2" t="inlineStr">
        <is>
          <t>Valencia</t>
        </is>
      </c>
      <c r="G464" s="2" t="n"/>
      <c r="H464" s="2" t="inlineStr">
        <is>
          <t>Gerencia de Ferrocarrils de la Generalitat Valenciana</t>
        </is>
      </c>
      <c r="I464" s="2" t="inlineStr">
        <is>
          <t>Suministro y sustitución por retrofit de Feeder de DC de tracción ferroviaria de la subestación de Picassent de FGV en Valencia.</t>
        </is>
      </c>
      <c r="J464" s="2" t="inlineStr">
        <is>
          <t>26/019</t>
        </is>
      </c>
      <c r="K464" s="2" t="inlineStr">
        <is>
          <t>Abierto</t>
        </is>
      </c>
      <c r="L464" s="6" t="n">
        <v>3</v>
      </c>
      <c r="M464" s="2" t="inlineStr">
        <is>
          <t>D4-1</t>
        </is>
      </c>
      <c r="N464" s="7" t="n">
        <v>0.25</v>
      </c>
      <c r="O464" s="4" t="n"/>
      <c r="P464" s="2" t="inlineStr">
        <is>
          <t>45234170; 45315700; 45234181</t>
        </is>
      </c>
      <c r="Q464" s="8" t="inlineStr">
        <is>
          <t>Ver</t>
        </is>
      </c>
      <c r="R464" s="8" t="inlineStr">
        <is>
          <t>PCAP</t>
        </is>
      </c>
      <c r="S464" s="9" t="n">
        <v>46317</v>
      </c>
      <c r="T464" s="3" t="n">
        <v>46316.54651620371</v>
      </c>
      <c r="U464" s="2" t="n"/>
    </row>
    <row r="465">
      <c r="A465" s="2" t="inlineStr">
        <is>
          <t>Pendiente de adjudicación</t>
        </is>
      </c>
      <c r="B465" s="3" t="n">
        <v>46213.54166666666</v>
      </c>
      <c r="C465" s="5" t="n">
        <v>520584.12</v>
      </c>
      <c r="D465" s="5" t="n">
        <v>572642.53</v>
      </c>
      <c r="E465" s="2" t="inlineStr">
        <is>
          <t>Comunitat Valenciana</t>
        </is>
      </c>
      <c r="F465" s="2" t="inlineStr">
        <is>
          <t>Valencia</t>
        </is>
      </c>
      <c r="G465" s="2" t="n"/>
      <c r="H465" s="2" t="inlineStr">
        <is>
          <t>Presidencia de la Diputación Provincial de Valencia</t>
        </is>
      </c>
      <c r="I465" s="2" t="inlineStr">
        <is>
          <t>Az-378CIT/O. Acondicionamiento y mejora del Camino de Antella a Sumacárcer.</t>
        </is>
      </c>
      <c r="J465" s="2" t="inlineStr">
        <is>
          <t>3265/25/CAR</t>
        </is>
      </c>
      <c r="K465" s="2" t="inlineStr">
        <is>
          <t>Abierto</t>
        </is>
      </c>
      <c r="L465" s="6" t="n">
        <v>4</v>
      </c>
      <c r="M465" s="2" t="inlineStr">
        <is>
          <t>G4-3</t>
        </is>
      </c>
      <c r="N465" s="7" t="n">
        <v>0.49</v>
      </c>
      <c r="O465" s="4" t="n"/>
      <c r="P465" s="2" t="inlineStr">
        <is>
          <t>45233120</t>
        </is>
      </c>
      <c r="Q465" s="8" t="inlineStr">
        <is>
          <t>Ver</t>
        </is>
      </c>
      <c r="R465" s="8" t="inlineStr">
        <is>
          <t>PCAP</t>
        </is>
      </c>
      <c r="S465" s="9" t="n">
        <v>46317</v>
      </c>
      <c r="T465" s="3" t="n">
        <v>46316.54523148148</v>
      </c>
      <c r="U465" s="2" t="n"/>
    </row>
    <row r="466">
      <c r="A466" s="2" t="inlineStr">
        <is>
          <t>Adjudicada</t>
        </is>
      </c>
      <c r="B466" s="3" t="n">
        <v>46282.99930555555</v>
      </c>
      <c r="C466" s="5" t="n">
        <v>287055.49</v>
      </c>
      <c r="D466" s="5" t="n">
        <v>287055.49</v>
      </c>
      <c r="E466" s="2" t="inlineStr">
        <is>
          <t>Andalucía</t>
        </is>
      </c>
      <c r="F466" s="2" t="inlineStr">
        <is>
          <t>Málaga</t>
        </is>
      </c>
      <c r="G466" s="2" t="inlineStr">
        <is>
          <t>Alhaurín el Grande</t>
        </is>
      </c>
      <c r="H466" s="2" t="inlineStr">
        <is>
          <t>Alcaldía del Ayuntamiento de Alhaurín el Grande</t>
        </is>
      </c>
      <c r="I466" s="2" t="inlineStr">
        <is>
          <t>Proyecto de obras del proyecto de mejora y arreglo de infraestructuras existentes y acabado final de la calle Alozaina de Alhaurín el Grande</t>
        </is>
      </c>
      <c r="J466" s="2" t="inlineStr">
        <is>
          <t>23594/2026 CALLE ALOZAINA</t>
        </is>
      </c>
      <c r="K466" s="2" t="inlineStr">
        <is>
          <t>Abierto simplificado</t>
        </is>
      </c>
      <c r="L466" s="6" t="n">
        <v>5</v>
      </c>
      <c r="M466" s="2" t="n"/>
      <c r="N466" s="7" t="n">
        <v>0.15</v>
      </c>
      <c r="O466" s="4" t="n"/>
      <c r="P466" s="2" t="inlineStr">
        <is>
          <t>45233140; 45232431</t>
        </is>
      </c>
      <c r="Q466" s="8" t="inlineStr">
        <is>
          <t>Ver</t>
        </is>
      </c>
      <c r="R466" s="8" t="inlineStr">
        <is>
          <t>PCAP</t>
        </is>
      </c>
      <c r="S466" s="9" t="n">
        <v>46317</v>
      </c>
      <c r="T466" s="3" t="n">
        <v>46316.54458333334</v>
      </c>
      <c r="U466" s="2" t="n"/>
    </row>
    <row r="467">
      <c r="A467" s="2" t="inlineStr">
        <is>
          <t>Pendiente de adjudicación</t>
        </is>
      </c>
      <c r="B467" s="3" t="n">
        <v>46314.99930555555</v>
      </c>
      <c r="C467" s="5" t="n">
        <v>338318.95</v>
      </c>
      <c r="D467" s="5" t="n">
        <v>338318.95</v>
      </c>
      <c r="E467" s="2" t="inlineStr">
        <is>
          <t>Andalucía</t>
        </is>
      </c>
      <c r="F467" s="2" t="inlineStr">
        <is>
          <t>Jaén</t>
        </is>
      </c>
      <c r="G467" s="2" t="inlineStr">
        <is>
          <t>Lupión</t>
        </is>
      </c>
      <c r="H467" s="2" t="inlineStr">
        <is>
          <t>Pleno del Ayuntamiento de Lupión</t>
        </is>
      </c>
      <c r="I467" s="2" t="inlineStr">
        <is>
          <t>Reparación y mejora de los drenajes de aguas pluviales y de los muros de cerramiento deteriorados del campo de futbol de Lupión.</t>
        </is>
      </c>
      <c r="J467" s="2" t="inlineStr">
        <is>
          <t>332/2026</t>
        </is>
      </c>
      <c r="K467" s="2" t="inlineStr">
        <is>
          <t>Abierto simplificado</t>
        </is>
      </c>
      <c r="L467" s="6" t="n">
        <v>5</v>
      </c>
      <c r="M467" s="2" t="inlineStr">
        <is>
          <t>C6-2; G6-2</t>
        </is>
      </c>
      <c r="N467" s="7" t="n">
        <v>0</v>
      </c>
      <c r="O467" s="4" t="n"/>
      <c r="P467" s="2" t="inlineStr">
        <is>
          <t>45212290</t>
        </is>
      </c>
      <c r="Q467" s="8" t="inlineStr">
        <is>
          <t>Ver</t>
        </is>
      </c>
      <c r="R467" s="8" t="inlineStr">
        <is>
          <t>PCAP</t>
        </is>
      </c>
      <c r="S467" s="9" t="n">
        <v>46310</v>
      </c>
      <c r="T467" s="3" t="n">
        <v>46316.54369212963</v>
      </c>
      <c r="U467" s="2" t="inlineStr">
        <is>
          <t>2026-10-22: estado PUB → EV</t>
        </is>
      </c>
    </row>
    <row r="468">
      <c r="A468" s="2" t="inlineStr">
        <is>
          <t>En plazo</t>
        </is>
      </c>
      <c r="B468" s="3" t="n">
        <v>46321.58333333334</v>
      </c>
      <c r="C468" s="5" t="n">
        <v>585223.15</v>
      </c>
      <c r="D468" s="5" t="n">
        <v>585223.15</v>
      </c>
      <c r="E468" s="2" t="inlineStr">
        <is>
          <t>Comunitat Valenciana</t>
        </is>
      </c>
      <c r="F468" s="2" t="inlineStr">
        <is>
          <t>Valencia</t>
        </is>
      </c>
      <c r="G468" s="2" t="n"/>
      <c r="H468" s="2" t="inlineStr">
        <is>
          <t>Presidencia de la Entidad Valenciana de Vivienda y Suelo</t>
        </is>
      </c>
      <c r="I468" s="2" t="inlineStr">
        <is>
          <t>Obras de Reparación y Refuerzo Estructural e Intervenciones puntuales en Fachadas y Cubiertas, así como Obras de Reparación y Refuerzo Estructural e Intervenciones puntuales en el interior de los edificios de la Manzana D del Grupo de Viviendas de Promoción Pública 030001 Miguel Hernández de Alicante.</t>
        </is>
      </c>
      <c r="J468" s="2" t="inlineStr">
        <is>
          <t>CMAYOR/2026/EVHA0/0011</t>
        </is>
      </c>
      <c r="K468" s="2" t="inlineStr">
        <is>
          <t>Abierto simplificado</t>
        </is>
      </c>
      <c r="L468" s="6" t="n">
        <v>4</v>
      </c>
      <c r="M468" s="2" t="inlineStr">
        <is>
          <t>C4-3; C*-4</t>
        </is>
      </c>
      <c r="N468" s="7" t="n">
        <v>0.2</v>
      </c>
      <c r="O468" s="4" t="n"/>
      <c r="P468" s="2" t="inlineStr">
        <is>
          <t>45200000</t>
        </is>
      </c>
      <c r="Q468" s="8" t="inlineStr">
        <is>
          <t>Ver</t>
        </is>
      </c>
      <c r="R468" s="8" t="inlineStr">
        <is>
          <t>PCAP</t>
        </is>
      </c>
      <c r="S468" s="9" t="n">
        <v>46317</v>
      </c>
      <c r="T468" s="3" t="n">
        <v>46316.54164351852</v>
      </c>
      <c r="U468" s="2" t="n"/>
    </row>
    <row r="469">
      <c r="A469" s="2" t="inlineStr">
        <is>
          <t>Resuelta</t>
        </is>
      </c>
      <c r="B469" s="3" t="n">
        <v>46211.99930555555</v>
      </c>
      <c r="C469" s="5" t="n">
        <v>82627.64999999999</v>
      </c>
      <c r="D469" s="5" t="n">
        <v>82627.64999999999</v>
      </c>
      <c r="E469" s="2" t="inlineStr">
        <is>
          <t>Comunitat Valenciana</t>
        </is>
      </c>
      <c r="F469" s="2" t="inlineStr">
        <is>
          <t>Castellón</t>
        </is>
      </c>
      <c r="G469" s="2" t="n"/>
      <c r="H469" s="2" t="inlineStr">
        <is>
          <t>Junta de Gobierno del Ayuntamiento de Castellón de la Plana</t>
        </is>
      </c>
      <c r="I469" s="2" t="inlineStr">
        <is>
          <t>Obras del itinerario accesible Tetuán XIV de Castellón de la Plana.</t>
        </is>
      </c>
      <c r="J469" s="2" t="inlineStr">
        <is>
          <t>34667/2026</t>
        </is>
      </c>
      <c r="K469" s="2" t="inlineStr">
        <is>
          <t>Abierto</t>
        </is>
      </c>
      <c r="L469" s="6" t="n">
        <v>4</v>
      </c>
      <c r="M469" s="2" t="n"/>
      <c r="N469" s="7" t="n">
        <v>0.468</v>
      </c>
      <c r="O469" s="4" t="n"/>
      <c r="P469" s="2" t="inlineStr">
        <is>
          <t>45233252</t>
        </is>
      </c>
      <c r="Q469" s="8" t="inlineStr">
        <is>
          <t>Ver</t>
        </is>
      </c>
      <c r="R469" s="8" t="inlineStr">
        <is>
          <t>PCAP</t>
        </is>
      </c>
      <c r="S469" s="9" t="n">
        <v>46317</v>
      </c>
      <c r="T469" s="3" t="n">
        <v>46316.5408912037</v>
      </c>
      <c r="U469" s="2" t="n"/>
    </row>
    <row r="470">
      <c r="A470" s="2" t="inlineStr">
        <is>
          <t>Resuelta</t>
        </is>
      </c>
      <c r="B470" s="3" t="n">
        <v>46091.99930555555</v>
      </c>
      <c r="C470" s="5" t="n">
        <v>214926.14</v>
      </c>
      <c r="D470" s="5" t="n">
        <v>214926.14</v>
      </c>
      <c r="E470" s="2" t="inlineStr">
        <is>
          <t>Andalucía</t>
        </is>
      </c>
      <c r="F470" s="2" t="inlineStr">
        <is>
          <t>Sevilla</t>
        </is>
      </c>
      <c r="G470" s="2" t="n"/>
      <c r="H470" s="2" t="inlineStr">
        <is>
          <t>Alcaldía del Ayuntamiento de Utrera</t>
        </is>
      </c>
      <c r="I470" s="2" t="inlineStr">
        <is>
          <t>Ejecución de las obras del proyecto básico y de ejecución de adecuación de dependencias para oficina de DNI en edificio sito en calle Veracruz, 74, incluido en el Programa de Cooperación General del Plan Provincial Más Sevilla.</t>
        </is>
      </c>
      <c r="J470" s="2" t="inlineStr">
        <is>
          <t>OB63/2025</t>
        </is>
      </c>
      <c r="K470" s="2" t="inlineStr">
        <is>
          <t>Abierto simplificado</t>
        </is>
      </c>
      <c r="L470" s="6" t="n">
        <v>5</v>
      </c>
      <c r="M470" s="2" t="n"/>
      <c r="N470" s="7" t="n">
        <v>0</v>
      </c>
      <c r="O470" s="4" t="n"/>
      <c r="P470" s="2" t="inlineStr">
        <is>
          <t>45000000; 45400000; 45300000</t>
        </is>
      </c>
      <c r="Q470" s="8" t="inlineStr">
        <is>
          <t>Ver</t>
        </is>
      </c>
      <c r="R470" s="8" t="inlineStr">
        <is>
          <t>PCAP</t>
        </is>
      </c>
      <c r="S470" s="9" t="n">
        <v>46317</v>
      </c>
      <c r="T470" s="3" t="n">
        <v>46316.53913194445</v>
      </c>
      <c r="U470" s="2" t="n"/>
    </row>
    <row r="471">
      <c r="A471" s="2" t="inlineStr">
        <is>
          <t>En plazo</t>
        </is>
      </c>
      <c r="B471" s="3" t="n">
        <v>46338.61111111111</v>
      </c>
      <c r="C471" s="5" t="n">
        <v>91000</v>
      </c>
      <c r="D471" s="5" t="n">
        <v>91000</v>
      </c>
      <c r="E471" s="2" t="inlineStr">
        <is>
          <t>Andalucía</t>
        </is>
      </c>
      <c r="F471" s="2" t="inlineStr">
        <is>
          <t>Granada</t>
        </is>
      </c>
      <c r="G471" s="2" t="n"/>
      <c r="H471" s="2" t="inlineStr">
        <is>
          <t>Presidencia Mancomunidad de Municipios de la Comarca de Baza</t>
        </is>
      </c>
      <c r="I471" s="2" t="inlineStr">
        <is>
          <t>Instalación de una estación particular de suministro de Gas Natural Vehicular (Gas Natural Comprimido, GNC) en modalidad de carga lenta, para la flota de la Mancomunidad de Municipios de la Comarca de Baza</t>
        </is>
      </c>
      <c r="J471" s="2" t="inlineStr">
        <is>
          <t>17/2026</t>
        </is>
      </c>
      <c r="K471" s="2" t="inlineStr">
        <is>
          <t>Abierto simplificado</t>
        </is>
      </c>
      <c r="L471" s="6" t="n">
        <v>1.5</v>
      </c>
      <c r="M471" s="2" t="n"/>
      <c r="N471" s="7" t="n">
        <v>0</v>
      </c>
      <c r="O471" s="4" t="n"/>
      <c r="P471" s="2" t="inlineStr">
        <is>
          <t>45223720; 42123100</t>
        </is>
      </c>
      <c r="Q471" s="8" t="inlineStr">
        <is>
          <t>Ver</t>
        </is>
      </c>
      <c r="R471" s="8" t="inlineStr">
        <is>
          <t>PCAP</t>
        </is>
      </c>
      <c r="S471" s="9" t="n">
        <v>46317</v>
      </c>
      <c r="T471" s="3" t="n">
        <v>46316.53854166667</v>
      </c>
      <c r="U471" s="2" t="n"/>
    </row>
    <row r="472">
      <c r="A472" s="2" t="inlineStr">
        <is>
          <t>En plazo</t>
        </is>
      </c>
      <c r="B472" s="3" t="n">
        <v>46331.99930555555</v>
      </c>
      <c r="C472" s="5" t="n">
        <v>41322.32</v>
      </c>
      <c r="D472" s="5" t="n">
        <v>41322.32</v>
      </c>
      <c r="E472" s="2" t="inlineStr">
        <is>
          <t>Andalucía</t>
        </is>
      </c>
      <c r="F472" s="2" t="inlineStr">
        <is>
          <t>Cádiz</t>
        </is>
      </c>
      <c r="G472" s="2" t="inlineStr">
        <is>
          <t>Prado del rey</t>
        </is>
      </c>
      <c r="H472" s="2" t="inlineStr">
        <is>
          <t>Alcaldía del Ayuntamiento de Prado del Rey</t>
        </is>
      </c>
      <c r="I472" s="2" t="inlineStr">
        <is>
          <t>Contrato administrativo de obras para acometer mejoras de las infraestructuras públicas municipales, tales como reparar el firme de un tramo de la cañada real Ubrique Sevilla denominada Venta Mena, incluyendo desbroce, tala, limpieza de cunetas y ejecución de badenes, del municipio de Prado del Rey.</t>
        </is>
      </c>
      <c r="J472" s="2" t="inlineStr">
        <is>
          <t>2857/2026</t>
        </is>
      </c>
      <c r="K472" s="2" t="inlineStr">
        <is>
          <t>Abierto simplificado</t>
        </is>
      </c>
      <c r="L472" s="6" t="n">
        <v>4</v>
      </c>
      <c r="M472" s="2" t="n"/>
      <c r="N472" s="7" t="n">
        <v>0</v>
      </c>
      <c r="O472" s="4" t="n"/>
      <c r="P472" s="2" t="inlineStr">
        <is>
          <t>45233200; 77312000</t>
        </is>
      </c>
      <c r="Q472" s="8" t="inlineStr">
        <is>
          <t>Ver</t>
        </is>
      </c>
      <c r="R472" s="8" t="inlineStr">
        <is>
          <t>PCAP</t>
        </is>
      </c>
      <c r="S472" s="9" t="n">
        <v>46317</v>
      </c>
      <c r="T472" s="3" t="n">
        <v>46316.53799768518</v>
      </c>
      <c r="U472" s="2" t="n"/>
    </row>
    <row r="473">
      <c r="A473" s="2" t="inlineStr">
        <is>
          <t>En plazo</t>
        </is>
      </c>
      <c r="B473" s="3" t="n">
        <v>46336.99930555555</v>
      </c>
      <c r="C473" s="5" t="n">
        <v>123966.94</v>
      </c>
      <c r="D473" s="5" t="n">
        <v>123966.94</v>
      </c>
      <c r="E473" s="2" t="inlineStr">
        <is>
          <t>Andalucía</t>
        </is>
      </c>
      <c r="F473" s="2" t="inlineStr">
        <is>
          <t>Jaén</t>
        </is>
      </c>
      <c r="G473" s="2" t="inlineStr">
        <is>
          <t>Jaén</t>
        </is>
      </c>
      <c r="H473" s="2" t="inlineStr">
        <is>
          <t>Presidencia de la Diputación Provincial de Jaén</t>
        </is>
      </c>
      <c r="I473" s="2" t="inlineStr">
        <is>
          <t>Obras de sustitución carpintería exterior dependencias oficiales y adecuación de pabellón a oficinas en acuartelamiento de Villacarrillo (Jaén)</t>
        </is>
      </c>
      <c r="J473" s="2" t="inlineStr">
        <is>
          <t>CO-2025/000784</t>
        </is>
      </c>
      <c r="K473" s="2" t="inlineStr">
        <is>
          <t>Abierto simplificado</t>
        </is>
      </c>
      <c r="L473" s="6" t="n">
        <v>6</v>
      </c>
      <c r="M473" s="2" t="n"/>
      <c r="N473" s="7" t="n">
        <v>0</v>
      </c>
      <c r="O473" s="4" t="n"/>
      <c r="P473" s="2" t="inlineStr">
        <is>
          <t>45453100</t>
        </is>
      </c>
      <c r="Q473" s="8" t="inlineStr">
        <is>
          <t>Ver</t>
        </is>
      </c>
      <c r="R473" s="8" t="inlineStr">
        <is>
          <t>PCAP</t>
        </is>
      </c>
      <c r="S473" s="9" t="n">
        <v>46317</v>
      </c>
      <c r="T473" s="3" t="n">
        <v>46316.53047453704</v>
      </c>
      <c r="U473" s="2" t="n"/>
    </row>
    <row r="474">
      <c r="A474" s="2" t="inlineStr">
        <is>
          <t>Adjudicada</t>
        </is>
      </c>
      <c r="B474" s="3" t="n">
        <v>46267.99930555555</v>
      </c>
      <c r="C474" s="5" t="n">
        <v>495867.77</v>
      </c>
      <c r="D474" s="5" t="n">
        <v>495867.77</v>
      </c>
      <c r="E474" s="2" t="inlineStr">
        <is>
          <t>Andalucía</t>
        </is>
      </c>
      <c r="F474" s="2" t="inlineStr">
        <is>
          <t>Sevilla</t>
        </is>
      </c>
      <c r="G474" s="2" t="n"/>
      <c r="H474" s="2" t="inlineStr">
        <is>
          <t>Alcaldia del Ayuntamiento de Carmona</t>
        </is>
      </c>
      <c r="I474" s="2" t="inlineStr">
        <is>
          <t>Obra para repavimentación de varias calles del conjunto urbano del municipio de Carmona correspondiente al vi plan de asfaltado del Excmo. Ayuntamiento de Carmona integrado dentro del plan provincial de cooperación general de la diputación de Sevilla, Más Sevilla.</t>
        </is>
      </c>
      <c r="J474" s="2" t="inlineStr">
        <is>
          <t>EXP 26-173-05</t>
        </is>
      </c>
      <c r="K474" s="2" t="inlineStr">
        <is>
          <t>Abierto simplificado</t>
        </is>
      </c>
      <c r="L474" s="6" t="n">
        <v>3</v>
      </c>
      <c r="M474" s="2" t="n"/>
      <c r="N474" s="7" t="n">
        <v>0</v>
      </c>
      <c r="O474" s="4" t="n"/>
      <c r="P474" s="2" t="inlineStr">
        <is>
          <t>45233223; 45233222; 45233261; 45233252</t>
        </is>
      </c>
      <c r="Q474" s="8" t="inlineStr">
        <is>
          <t>Ver</t>
        </is>
      </c>
      <c r="R474" s="8" t="inlineStr">
        <is>
          <t>PCAP</t>
        </is>
      </c>
      <c r="S474" s="9" t="n">
        <v>46317</v>
      </c>
      <c r="T474" s="3" t="n">
        <v>46316.53019675926</v>
      </c>
      <c r="U474" s="2" t="n"/>
    </row>
    <row r="475">
      <c r="A475" s="2" t="inlineStr">
        <is>
          <t>Adjudicada</t>
        </is>
      </c>
      <c r="B475" s="3" t="n">
        <v>46297.625</v>
      </c>
      <c r="C475" s="5" t="n">
        <v>42803.27</v>
      </c>
      <c r="D475" s="5" t="n">
        <v>42803.27</v>
      </c>
      <c r="E475" s="2" t="inlineStr">
        <is>
          <t>Andalucía</t>
        </is>
      </c>
      <c r="F475" s="2" t="inlineStr">
        <is>
          <t>Sevilla</t>
        </is>
      </c>
      <c r="G475" s="2" t="inlineStr">
        <is>
          <t>AGUADULCE</t>
        </is>
      </c>
      <c r="H475" s="2" t="inlineStr">
        <is>
          <t>Alcaldía del Ayuntamiento de Aguadulce</t>
        </is>
      </c>
      <c r="I475" s="2" t="inlineStr">
        <is>
          <t>construccion de modulo de 66 nichos en cementerio municipal</t>
        </is>
      </c>
      <c r="J475" s="2" t="inlineStr">
        <is>
          <t>1114/2026</t>
        </is>
      </c>
      <c r="K475" s="2" t="inlineStr">
        <is>
          <t>Abierto simplificado</t>
        </is>
      </c>
      <c r="L475" s="6" t="n">
        <v>3</v>
      </c>
      <c r="M475" s="2" t="n"/>
      <c r="N475" s="7" t="n">
        <v>0</v>
      </c>
      <c r="O475" s="4" t="n"/>
      <c r="P475" s="2" t="inlineStr">
        <is>
          <t>45215400</t>
        </is>
      </c>
      <c r="Q475" s="8" t="inlineStr">
        <is>
          <t>Ver</t>
        </is>
      </c>
      <c r="R475" s="8" t="inlineStr">
        <is>
          <t>PCAP</t>
        </is>
      </c>
      <c r="S475" s="9" t="n">
        <v>46310</v>
      </c>
      <c r="T475" s="3" t="n">
        <v>46316.52938657408</v>
      </c>
      <c r="U475" s="2" t="inlineStr">
        <is>
          <t>2026-10-22: estado EV → ADJ</t>
        </is>
      </c>
    </row>
    <row r="476">
      <c r="A476" s="2" t="inlineStr">
        <is>
          <t>Pendiente de adjudicación</t>
        </is>
      </c>
      <c r="B476" s="3" t="n">
        <v>46308.99930555555</v>
      </c>
      <c r="C476" s="5" t="n">
        <v>110375.57</v>
      </c>
      <c r="D476" s="5" t="n">
        <v>110375.57</v>
      </c>
      <c r="E476" s="2" t="inlineStr">
        <is>
          <t>Andalucía</t>
        </is>
      </c>
      <c r="F476" s="2" t="inlineStr">
        <is>
          <t>Jaén</t>
        </is>
      </c>
      <c r="G476" s="2" t="inlineStr">
        <is>
          <t>Torreblascopedro, Jaén</t>
        </is>
      </c>
      <c r="H476" s="2" t="inlineStr">
        <is>
          <t>Alcaldía del Ayuntamiento de Torreblascopedro</t>
        </is>
      </c>
      <c r="I476" s="2" t="inlineStr">
        <is>
          <t>Reparación de daños en techo del centro municipal de arte contemporáneo "Francisco Fernández" de Torreblascopedro, en el marco del Real Decreto 5/2026, de 17 de febrero, por el que se adoptan medidas urgentes en respuesta a los daños causados por diversos fenómenos meteorológicos adversos, de especial afectación en las comunidades autónomas de Andalucía y Extremadura</t>
        </is>
      </c>
      <c r="J476" s="2" t="inlineStr">
        <is>
          <t>286/2026</t>
        </is>
      </c>
      <c r="K476" s="2" t="inlineStr">
        <is>
          <t>Abierto simplificado</t>
        </is>
      </c>
      <c r="L476" s="6" t="n">
        <v>4</v>
      </c>
      <c r="M476" s="2" t="inlineStr">
        <is>
          <t>C7-1</t>
        </is>
      </c>
      <c r="N476" s="7" t="n">
        <v>0</v>
      </c>
      <c r="O476" s="4" t="n"/>
      <c r="P476" s="2" t="inlineStr">
        <is>
          <t>45261900; 45450000; 45261410; 45261420</t>
        </is>
      </c>
      <c r="Q476" s="8" t="inlineStr">
        <is>
          <t>Ver</t>
        </is>
      </c>
      <c r="R476" s="8" t="inlineStr">
        <is>
          <t>PCAP</t>
        </is>
      </c>
      <c r="S476" s="9" t="n">
        <v>46310</v>
      </c>
      <c r="T476" s="3" t="n">
        <v>46316.52802083334</v>
      </c>
      <c r="U476" s="2" t="n"/>
    </row>
    <row r="477">
      <c r="A477" s="2" t="inlineStr">
        <is>
          <t>Adjudicada</t>
        </is>
      </c>
      <c r="B477" s="3" t="n">
        <v>46029.99930555555</v>
      </c>
      <c r="C477" s="5" t="n">
        <v>1466773.55</v>
      </c>
      <c r="D477" s="5" t="n">
        <v>1466773.55</v>
      </c>
      <c r="E477" s="2" t="inlineStr">
        <is>
          <t>Andalucía</t>
        </is>
      </c>
      <c r="F477" s="2" t="inlineStr">
        <is>
          <t>Sevilla</t>
        </is>
      </c>
      <c r="G477" s="2" t="inlineStr">
        <is>
          <t>Sevilla</t>
        </is>
      </c>
      <c r="H477" s="2" t="inlineStr">
        <is>
          <t>Comisión Ejecutiva del Consejo de Administración de la Empresa Municipal de la Vivienda, Suelo y Equipamiento de Sevilla S.A. (EMVISESA)</t>
        </is>
      </c>
      <c r="I477" s="2" t="inlineStr">
        <is>
          <t>Obras de renovación de fachadas, cubiertas, garajes y zonas comunes del parque inmobiliario en alquiler de EMVISESA (Fenix)</t>
        </is>
      </c>
      <c r="J477" s="2" t="inlineStr">
        <is>
          <t>EMVI/2025/0097/01</t>
        </is>
      </c>
      <c r="K477" s="2" t="inlineStr">
        <is>
          <t>Abierto</t>
        </is>
      </c>
      <c r="L477" s="6" t="n">
        <v>18</v>
      </c>
      <c r="M477" s="2" t="inlineStr">
        <is>
          <t>C*-2</t>
        </is>
      </c>
      <c r="N477" s="7" t="n">
        <v>0.4</v>
      </c>
      <c r="O477" s="4" t="n">
        <v>6</v>
      </c>
      <c r="P477" s="2" t="inlineStr">
        <is>
          <t>45443000; 45442120; 45261420; 90911200; 45442100; 45442110; 45442180; 45261220; 90914000</t>
        </is>
      </c>
      <c r="Q477" s="8" t="inlineStr">
        <is>
          <t>Ver</t>
        </is>
      </c>
      <c r="R477" s="8" t="inlineStr">
        <is>
          <t>PCAP</t>
        </is>
      </c>
      <c r="S477" s="9" t="n">
        <v>46317</v>
      </c>
      <c r="T477" s="3" t="n">
        <v>46316.52777777778</v>
      </c>
      <c r="U477" s="2" t="n"/>
    </row>
    <row r="478">
      <c r="A478" s="2" t="inlineStr">
        <is>
          <t>En plazo</t>
        </is>
      </c>
      <c r="B478" s="3" t="n">
        <v>46342.99930555555</v>
      </c>
      <c r="C478" s="5" t="n">
        <v>324578.52</v>
      </c>
      <c r="D478" s="5" t="n">
        <v>324578.52</v>
      </c>
      <c r="E478" s="2" t="inlineStr">
        <is>
          <t>Andalucía</t>
        </is>
      </c>
      <c r="F478" s="2" t="inlineStr">
        <is>
          <t>Málaga</t>
        </is>
      </c>
      <c r="G478" s="2" t="n"/>
      <c r="H478" s="2" t="inlineStr">
        <is>
          <t>Junta de Gobierno del Ayuntamiento de Marbella</t>
        </is>
      </c>
      <c r="I478" s="2" t="inlineStr">
        <is>
          <t>Contratación de las Obras: Mejoras de la Red de Agua en margen derecha de la Avenida Cánovas del Castillo entre Polideportivo Paco Cantos y Rotonda Canimo del Pinar. T.M. Marbella (Málaga). PAEM 2024 4ª FASE</t>
        </is>
      </c>
      <c r="J478" s="2" t="inlineStr">
        <is>
          <t>OB 201/26</t>
        </is>
      </c>
      <c r="K478" s="2" t="inlineStr">
        <is>
          <t>Abierto</t>
        </is>
      </c>
      <c r="L478" s="6" t="n">
        <v>3</v>
      </c>
      <c r="M478" s="2" t="n"/>
      <c r="N478" s="7" t="n">
        <v>0.4</v>
      </c>
      <c r="O478" s="4" t="n"/>
      <c r="P478" s="2" t="inlineStr">
        <is>
          <t>45233200; 45112712</t>
        </is>
      </c>
      <c r="Q478" s="8" t="inlineStr">
        <is>
          <t>Ver</t>
        </is>
      </c>
      <c r="R478" s="8" t="inlineStr">
        <is>
          <t>PCAP</t>
        </is>
      </c>
      <c r="S478" s="9" t="n">
        <v>46317</v>
      </c>
      <c r="T478" s="3" t="n">
        <v>46316.5271875</v>
      </c>
      <c r="U478" s="2" t="n"/>
    </row>
    <row r="479">
      <c r="A479" s="2" t="inlineStr">
        <is>
          <t>Resuelta</t>
        </is>
      </c>
      <c r="B479" s="3" t="n">
        <v>46260.99930555555</v>
      </c>
      <c r="C479" s="5" t="n">
        <v>589050</v>
      </c>
      <c r="D479" s="5" t="n">
        <v>589050</v>
      </c>
      <c r="E479" s="2" t="inlineStr">
        <is>
          <t>Andalucía</t>
        </is>
      </c>
      <c r="F479" s="2" t="inlineStr">
        <is>
          <t>Sevilla</t>
        </is>
      </c>
      <c r="G479" s="2" t="inlineStr">
        <is>
          <t>Utrera (Sevilla)</t>
        </is>
      </c>
      <c r="H479" s="2" t="inlineStr">
        <is>
          <t>Alcaldía del Ayuntamiento de Utrera</t>
        </is>
      </c>
      <c r="I479" s="2" t="inlineStr">
        <is>
          <t>Ejecución de las obras del Reformado 01 del Proyecto de Ejecución de "Rehabilitación de la casa de los Cuadra sita en plaza Enrique de la Cuadra nº 8. [Fase 0 y 1 Parcial], en Utrera (Sevilla)", cofinanciado por la Diputación de Sevilla con cargo a la línea de inversiones del Programa de Cooperación General del Plan Provincial Más Sevilla.</t>
        </is>
      </c>
      <c r="J479" s="2" t="inlineStr">
        <is>
          <t>OB38/2026</t>
        </is>
      </c>
      <c r="K479" s="2" t="inlineStr">
        <is>
          <t>Abierto simplificado</t>
        </is>
      </c>
      <c r="L479" s="6" t="n">
        <v>8</v>
      </c>
      <c r="M479" s="2" t="n"/>
      <c r="N479" s="7" t="n">
        <v>0</v>
      </c>
      <c r="O479" s="4" t="n"/>
      <c r="P479" s="2" t="inlineStr">
        <is>
          <t>45000000; 45262520; 45310000; 45400000; 45421130; 45112000; 45421160; 45111100; 45223100; 45321000; 45331200; 45330000; 45232410; 45233200</t>
        </is>
      </c>
      <c r="Q479" s="8" t="inlineStr">
        <is>
          <t>Ver</t>
        </is>
      </c>
      <c r="R479" s="8" t="inlineStr">
        <is>
          <t>PCAP</t>
        </is>
      </c>
      <c r="S479" s="9" t="n">
        <v>46314</v>
      </c>
      <c r="T479" s="3" t="n">
        <v>46316.52657407407</v>
      </c>
      <c r="U479" s="2" t="n"/>
    </row>
    <row r="480">
      <c r="A480" s="2" t="inlineStr">
        <is>
          <t>Resuelta</t>
        </is>
      </c>
      <c r="B480" s="3" t="n">
        <v>46254.99930555555</v>
      </c>
      <c r="C480" s="5" t="n">
        <v>61983.47</v>
      </c>
      <c r="D480" s="5" t="n">
        <v>61983.47</v>
      </c>
      <c r="E480" s="2" t="inlineStr">
        <is>
          <t>Andalucía</t>
        </is>
      </c>
      <c r="F480" s="2" t="inlineStr">
        <is>
          <t>Sevilla</t>
        </is>
      </c>
      <c r="G480" s="2" t="n"/>
      <c r="H480" s="2" t="inlineStr">
        <is>
          <t>Junta de Gobierno del Ayuntamiento de Dos Hermanas</t>
        </is>
      </c>
      <c r="I480" s="2" t="inlineStr">
        <is>
          <t>Mejora de la accesibilidad en el Parque de la Alquería y el Parque Francisco Caro, incluido en el plan de Biosombra en Dos Hermanas, (ámbito de intervención TI00127 del P.A.I.), que podrá ser cofinanciado por la Unión Europea a través del Fondo Europeo de Desarrollo Regional (Feder) en el marco del programa Plurirregional de España 2021-2027 (Plan Edil)</t>
        </is>
      </c>
      <c r="J480" s="2" t="inlineStr">
        <is>
          <t>2026000024</t>
        </is>
      </c>
      <c r="K480" s="2" t="inlineStr">
        <is>
          <t>Abierto simplificado</t>
        </is>
      </c>
      <c r="L480" s="6" t="n">
        <v>3</v>
      </c>
      <c r="M480" s="2" t="n"/>
      <c r="N480" s="7" t="n">
        <v>0</v>
      </c>
      <c r="O480" s="4" t="n"/>
      <c r="P480" s="2" t="inlineStr">
        <is>
          <t>45233200; 45111100; 45112000</t>
        </is>
      </c>
      <c r="Q480" s="8" t="inlineStr">
        <is>
          <t>Ver</t>
        </is>
      </c>
      <c r="R480" s="8" t="inlineStr">
        <is>
          <t>PCAP</t>
        </is>
      </c>
      <c r="S480" s="9" t="n">
        <v>46310</v>
      </c>
      <c r="T480" s="3" t="n">
        <v>46316.52523148148</v>
      </c>
      <c r="U480" s="2" t="inlineStr">
        <is>
          <t>2026-10-22: estado ADJ → RES</t>
        </is>
      </c>
    </row>
    <row r="481">
      <c r="A481" s="2" t="inlineStr">
        <is>
          <t>En plazo</t>
        </is>
      </c>
      <c r="B481" s="3" t="n">
        <v>46336.99930555555</v>
      </c>
      <c r="C481" s="5" t="n">
        <v>55899.78</v>
      </c>
      <c r="D481" s="5" t="n">
        <v>55899.78</v>
      </c>
      <c r="E481" s="2" t="inlineStr">
        <is>
          <t>Comunitat Valenciana</t>
        </is>
      </c>
      <c r="F481" s="2" t="inlineStr">
        <is>
          <t>Alicante</t>
        </is>
      </c>
      <c r="G481" s="2" t="inlineStr">
        <is>
          <t>Novelda</t>
        </is>
      </c>
      <c r="H481" s="2" t="inlineStr">
        <is>
          <t>Junta de Gobierno del Ayuntamiento de Novelda</t>
        </is>
      </c>
      <c r="I481" s="2" t="inlineStr">
        <is>
          <t>Mejora de la Accesibilidad en las Aceras de Novelda</t>
        </is>
      </c>
      <c r="J481" s="2" t="inlineStr">
        <is>
          <t>2025/234S</t>
        </is>
      </c>
      <c r="K481" s="2" t="inlineStr">
        <is>
          <t>Abierto simplificado</t>
        </is>
      </c>
      <c r="L481" s="6" t="n">
        <v>3</v>
      </c>
      <c r="M481" s="2" t="n"/>
      <c r="N481" s="7" t="n">
        <v>0</v>
      </c>
      <c r="O481" s="4" t="n"/>
      <c r="P481" s="2" t="inlineStr">
        <is>
          <t>45233252</t>
        </is>
      </c>
      <c r="Q481" s="8" t="inlineStr">
        <is>
          <t>Ver</t>
        </is>
      </c>
      <c r="R481" s="8" t="inlineStr">
        <is>
          <t>PCAP</t>
        </is>
      </c>
      <c r="S481" s="9" t="n">
        <v>46315</v>
      </c>
      <c r="T481" s="3" t="n">
        <v>46316.52150462963</v>
      </c>
      <c r="U481" s="2" t="inlineStr">
        <is>
          <t>2026-10-22: plazo 2026-11-09 23:59 → 2026-11-10 23:59</t>
        </is>
      </c>
    </row>
    <row r="482">
      <c r="A482" s="2" t="inlineStr">
        <is>
          <t>En plazo</t>
        </is>
      </c>
      <c r="B482" s="3" t="n">
        <v>46336.99930555555</v>
      </c>
      <c r="C482" s="5" t="n">
        <v>273362.94</v>
      </c>
      <c r="D482" s="5" t="n">
        <v>273362.94</v>
      </c>
      <c r="E482" s="2" t="inlineStr">
        <is>
          <t>Andalucía</t>
        </is>
      </c>
      <c r="F482" s="2" t="inlineStr">
        <is>
          <t>Granada</t>
        </is>
      </c>
      <c r="G482" s="2" t="inlineStr">
        <is>
          <t>Orce</t>
        </is>
      </c>
      <c r="H482" s="2" t="inlineStr">
        <is>
          <t>Alcaldia del Ayuntamiento de Orce</t>
        </is>
      </c>
      <c r="I482" s="2" t="inlineStr">
        <is>
          <t>Obras de los Muros de contención y reparación de calles adyacentes a Rambla San Marcos (Orce).</t>
        </is>
      </c>
      <c r="J482" s="2" t="inlineStr">
        <is>
          <t>586/2026</t>
        </is>
      </c>
      <c r="K482" s="2" t="inlineStr">
        <is>
          <t>Abierto simplificado</t>
        </is>
      </c>
      <c r="L482" s="6" t="n">
        <v>5</v>
      </c>
      <c r="M482" s="2" t="n"/>
      <c r="N482" s="7" t="n">
        <v>0.25</v>
      </c>
      <c r="O482" s="4" t="n"/>
      <c r="P482" s="2" t="inlineStr">
        <is>
          <t>45246100; 45230000; 45220000</t>
        </is>
      </c>
      <c r="Q482" s="8" t="inlineStr">
        <is>
          <t>Ver</t>
        </is>
      </c>
      <c r="R482" s="8" t="inlineStr">
        <is>
          <t>PCAP</t>
        </is>
      </c>
      <c r="S482" s="9" t="n">
        <v>46317</v>
      </c>
      <c r="T482" s="3" t="n">
        <v>46316.51891203703</v>
      </c>
      <c r="U482" s="2" t="n"/>
    </row>
    <row r="483">
      <c r="A483" s="2" t="inlineStr">
        <is>
          <t>Resuelta</t>
        </is>
      </c>
      <c r="B483" s="3" t="n">
        <v>46230.99930555555</v>
      </c>
      <c r="C483" s="5" t="n">
        <v>78401.92999999999</v>
      </c>
      <c r="D483" s="5" t="n">
        <v>78401.92999999999</v>
      </c>
      <c r="E483" s="2" t="inlineStr">
        <is>
          <t>Comunitat Valenciana</t>
        </is>
      </c>
      <c r="F483" s="2" t="inlineStr">
        <is>
          <t>Castellón</t>
        </is>
      </c>
      <c r="G483" s="2" t="inlineStr">
        <is>
          <t>Peñíscola</t>
        </is>
      </c>
      <c r="H483" s="2" t="inlineStr">
        <is>
          <t>Alcaldía del Ayuntamiento de Peñíscola</t>
        </is>
      </c>
      <c r="I483" s="2" t="inlineStr">
        <is>
          <t>Obras de reparación de las fachadas del edificio sociocultural de Peñíscola</t>
        </is>
      </c>
      <c r="J483" s="2" t="inlineStr">
        <is>
          <t>2026/00004382W</t>
        </is>
      </c>
      <c r="K483" s="2" t="inlineStr">
        <is>
          <t>Negociado sin publicidad</t>
        </is>
      </c>
      <c r="L483" s="6" t="n">
        <v>2</v>
      </c>
      <c r="M483" s="2" t="n"/>
      <c r="N483" s="7" t="n">
        <v>0</v>
      </c>
      <c r="O483" s="4" t="n"/>
      <c r="P483" s="2" t="inlineStr">
        <is>
          <t>45262650</t>
        </is>
      </c>
      <c r="Q483" s="8" t="inlineStr">
        <is>
          <t>Ver</t>
        </is>
      </c>
      <c r="R483" s="8" t="inlineStr">
        <is>
          <t>PCAP</t>
        </is>
      </c>
      <c r="S483" s="9" t="n">
        <v>46314</v>
      </c>
      <c r="T483" s="3" t="n">
        <v>46316.51783564815</v>
      </c>
      <c r="U483" s="2" t="inlineStr">
        <is>
          <t>2026-10-22: estado ADJ → RES</t>
        </is>
      </c>
    </row>
    <row r="484">
      <c r="A484" s="2" t="inlineStr">
        <is>
          <t>Resuelta</t>
        </is>
      </c>
      <c r="B484" s="3" t="n">
        <v>46153.99930555555</v>
      </c>
      <c r="C484" s="5" t="n">
        <v>113764.62</v>
      </c>
      <c r="D484" s="5" t="n">
        <v>113764.62</v>
      </c>
      <c r="E484" s="2" t="inlineStr">
        <is>
          <t>Andalucía</t>
        </is>
      </c>
      <c r="F484" s="2" t="inlineStr">
        <is>
          <t>Sevilla</t>
        </is>
      </c>
      <c r="G484" s="2" t="n"/>
      <c r="H484" s="2" t="inlineStr">
        <is>
          <t>Alcaldía del Ayuntamiento de Utrera</t>
        </is>
      </c>
      <c r="I484" s="2" t="inlineStr">
        <is>
          <t>Ejecución de obras del proyecto básico y de ejecución de sustitución de cubierta de fibrocemento por panel sándwich en edificio sito en Calle Veracruz, 74 financiado por la Excma. Diputación de Sevilla, Programa de Cooperación General del Plan Provincial Más Sevilla.</t>
        </is>
      </c>
      <c r="J484" s="2" t="inlineStr">
        <is>
          <t>OB16/2026</t>
        </is>
      </c>
      <c r="K484" s="2" t="inlineStr">
        <is>
          <t>Abierto simplificado</t>
        </is>
      </c>
      <c r="L484" s="6" t="n">
        <v>2</v>
      </c>
      <c r="M484" s="2" t="n"/>
      <c r="N484" s="7" t="n">
        <v>0</v>
      </c>
      <c r="O484" s="4" t="n"/>
      <c r="P484" s="2" t="inlineStr">
        <is>
          <t>45262660; 45111100; 45200000; 45261000; 45000000</t>
        </is>
      </c>
      <c r="Q484" s="8" t="inlineStr">
        <is>
          <t>Ver</t>
        </is>
      </c>
      <c r="R484" s="8" t="inlineStr">
        <is>
          <t>PCAP</t>
        </is>
      </c>
      <c r="S484" s="9" t="n">
        <v>46317</v>
      </c>
      <c r="T484" s="3" t="n">
        <v>46316.51695601852</v>
      </c>
      <c r="U484" s="2" t="n"/>
    </row>
    <row r="485">
      <c r="A485" s="2" t="inlineStr">
        <is>
          <t>En plazo</t>
        </is>
      </c>
      <c r="B485" s="3" t="n">
        <v>46337.58333333334</v>
      </c>
      <c r="C485" s="5" t="n">
        <v>409090.91</v>
      </c>
      <c r="D485" s="5" t="n">
        <v>409090.91</v>
      </c>
      <c r="E485" s="2" t="inlineStr">
        <is>
          <t>Andalucía</t>
        </is>
      </c>
      <c r="F485" s="2" t="inlineStr">
        <is>
          <t>Cádiz</t>
        </is>
      </c>
      <c r="G485" s="2" t="n"/>
      <c r="H485" s="2" t="inlineStr">
        <is>
          <t>Alcaldía del Ayuntamiento de Puerto Serrano</t>
        </is>
      </c>
      <c r="I485" s="2" t="inlineStr">
        <is>
          <t>Mejora y embellecimiento de la Plaza García Márquez</t>
        </is>
      </c>
      <c r="J485" s="2" t="inlineStr">
        <is>
          <t>2026/COM_02/000183</t>
        </is>
      </c>
      <c r="K485" s="2" t="inlineStr">
        <is>
          <t>Abierto simplificado</t>
        </is>
      </c>
      <c r="L485" s="6" t="n">
        <v>10</v>
      </c>
      <c r="M485" s="2" t="n"/>
      <c r="N485" s="7" t="n">
        <v>0</v>
      </c>
      <c r="O485" s="4" t="n"/>
      <c r="P485" s="2" t="inlineStr">
        <is>
          <t>45233200; 45233262</t>
        </is>
      </c>
      <c r="Q485" s="8" t="inlineStr">
        <is>
          <t>Ver</t>
        </is>
      </c>
      <c r="R485" s="8" t="inlineStr">
        <is>
          <t>PCAP</t>
        </is>
      </c>
      <c r="S485" s="9" t="n">
        <v>46317</v>
      </c>
      <c r="T485" s="3" t="n">
        <v>46316.51634259259</v>
      </c>
      <c r="U485" s="2" t="n"/>
    </row>
    <row r="486">
      <c r="A486" s="2" t="inlineStr">
        <is>
          <t>Pendiente de adjudicación</t>
        </is>
      </c>
      <c r="B486" s="3" t="n">
        <v>46276.5</v>
      </c>
      <c r="C486" s="5" t="n">
        <v>147927.78</v>
      </c>
      <c r="D486" s="5" t="n">
        <v>147927.78</v>
      </c>
      <c r="E486" s="2" t="inlineStr">
        <is>
          <t>Andalucía</t>
        </is>
      </c>
      <c r="F486" s="2" t="inlineStr">
        <is>
          <t>Granada</t>
        </is>
      </c>
      <c r="G486" s="2" t="inlineStr">
        <is>
          <t>Atarfe (Granada)</t>
        </is>
      </c>
      <c r="H486" s="2" t="inlineStr">
        <is>
          <t>Dirección Gerente de Aguas Vega Sierra Elvira, S.A.</t>
        </is>
      </c>
      <c r="I486" s="2" t="inlineStr">
        <is>
          <t>Cubrición del Barranco Purcal en el T.M. de Peligros (Granada)</t>
        </is>
      </c>
      <c r="J486" s="2" t="inlineStr">
        <is>
          <t>Obras 12/2026</t>
        </is>
      </c>
      <c r="K486" s="2" t="inlineStr">
        <is>
          <t>Abierto</t>
        </is>
      </c>
      <c r="L486" s="6" t="n">
        <v>4</v>
      </c>
      <c r="M486" s="2" t="n"/>
      <c r="N486" s="7" t="n">
        <v>0.4</v>
      </c>
      <c r="O486" s="4" t="n"/>
      <c r="P486" s="2" t="inlineStr">
        <is>
          <t>45200000; 44160000; 45232100; 45231100; 45220000</t>
        </is>
      </c>
      <c r="Q486" s="8" t="inlineStr">
        <is>
          <t>Ver</t>
        </is>
      </c>
      <c r="R486" s="8" t="inlineStr">
        <is>
          <t>PCAP</t>
        </is>
      </c>
      <c r="S486" s="9" t="n">
        <v>46315</v>
      </c>
      <c r="T486" s="3" t="n">
        <v>46316.51302083334</v>
      </c>
      <c r="U486" s="2" t="n"/>
    </row>
    <row r="487">
      <c r="A487" s="2" t="inlineStr">
        <is>
          <t>Resuelta</t>
        </is>
      </c>
      <c r="B487" s="3" t="n">
        <v>46097.99930555555</v>
      </c>
      <c r="C487" s="5" t="n">
        <v>66115.7</v>
      </c>
      <c r="D487" s="5" t="n">
        <v>66115.7</v>
      </c>
      <c r="E487" s="2" t="inlineStr">
        <is>
          <t>Andalucía</t>
        </is>
      </c>
      <c r="F487" s="2" t="inlineStr">
        <is>
          <t>Jaén</t>
        </is>
      </c>
      <c r="G487" s="2" t="inlineStr">
        <is>
          <t>Beas de SEgura</t>
        </is>
      </c>
      <c r="H487" s="2" t="inlineStr">
        <is>
          <t>Alcaldía del Ayuntamiento de Beas de Segura</t>
        </is>
      </c>
      <c r="I487" s="2" t="inlineStr">
        <is>
          <t>Reforma de instalaciones en pabellón deportivo.</t>
        </is>
      </c>
      <c r="J487" s="2" t="inlineStr">
        <is>
          <t>85/2026</t>
        </is>
      </c>
      <c r="K487" s="2" t="inlineStr">
        <is>
          <t>Abierto simplificado</t>
        </is>
      </c>
      <c r="L487" s="6" t="n">
        <v>4</v>
      </c>
      <c r="M487" s="2" t="n"/>
      <c r="N487" s="7" t="n">
        <v>0</v>
      </c>
      <c r="O487" s="4" t="n"/>
      <c r="P487" s="2" t="inlineStr">
        <is>
          <t>45453100</t>
        </is>
      </c>
      <c r="Q487" s="8" t="inlineStr">
        <is>
          <t>Ver</t>
        </is>
      </c>
      <c r="R487" s="8" t="inlineStr">
        <is>
          <t>PCAP</t>
        </is>
      </c>
      <c r="S487" s="9" t="n">
        <v>46317</v>
      </c>
      <c r="T487" s="3" t="n">
        <v>46316.51118055556</v>
      </c>
      <c r="U487" s="2" t="n"/>
    </row>
    <row r="488">
      <c r="A488" s="2" t="inlineStr">
        <is>
          <t>En plazo</t>
        </is>
      </c>
      <c r="B488" s="3" t="n">
        <v>46336.75</v>
      </c>
      <c r="C488" s="5" t="n">
        <v>188530.66</v>
      </c>
      <c r="D488" s="5" t="n">
        <v>188530.66</v>
      </c>
      <c r="E488" s="2" t="inlineStr">
        <is>
          <t>Andalucía</t>
        </is>
      </c>
      <c r="F488" s="2" t="inlineStr">
        <is>
          <t>Sevilla</t>
        </is>
      </c>
      <c r="G488" s="2" t="n"/>
      <c r="H488" s="2" t="inlineStr">
        <is>
          <t>Rectorado de la Universidad de Sevilla</t>
        </is>
      </c>
      <c r="I488" s="2" t="inlineStr">
        <is>
          <t>Obra para la ejecución de aula de simulación en Pabellón Docente de Valme de la Universidad de Sevilla para la Facultad de Medicina</t>
        </is>
      </c>
      <c r="J488" s="2" t="inlineStr">
        <is>
          <t>26/ANT/45339</t>
        </is>
      </c>
      <c r="K488" s="2" t="inlineStr">
        <is>
          <t>Abierto simplificado</t>
        </is>
      </c>
      <c r="L488" s="6" t="n">
        <v>2</v>
      </c>
      <c r="M488" s="2" t="n"/>
      <c r="N488" s="7" t="n">
        <v>0</v>
      </c>
      <c r="O488" s="4" t="n"/>
      <c r="P488" s="2" t="inlineStr">
        <is>
          <t>45232440</t>
        </is>
      </c>
      <c r="Q488" s="8" t="inlineStr">
        <is>
          <t>Ver</t>
        </is>
      </c>
      <c r="R488" s="8" t="inlineStr">
        <is>
          <t>PCAP</t>
        </is>
      </c>
      <c r="S488" s="9" t="n">
        <v>46317</v>
      </c>
      <c r="T488" s="3" t="n">
        <v>46316.50726851852</v>
      </c>
      <c r="U488" s="2" t="n"/>
    </row>
    <row r="489">
      <c r="A489" s="2" t="inlineStr">
        <is>
          <t>Resuelta</t>
        </is>
      </c>
      <c r="B489" s="3" t="n">
        <v>46134.99930555555</v>
      </c>
      <c r="C489" s="5" t="n">
        <v>956615.47</v>
      </c>
      <c r="D489" s="5" t="n">
        <v>956615.47</v>
      </c>
      <c r="E489" s="2" t="inlineStr">
        <is>
          <t>Andalucía</t>
        </is>
      </c>
      <c r="F489" s="2" t="inlineStr">
        <is>
          <t>Málaga</t>
        </is>
      </c>
      <c r="G489" s="2" t="inlineStr">
        <is>
          <t>ALGARROBO</t>
        </is>
      </c>
      <c r="H489" s="2" t="inlineStr">
        <is>
          <t>Alcaldía del Ayuntamiento de Algarrobo</t>
        </is>
      </c>
      <c r="I489" s="2" t="inlineStr">
        <is>
          <t>Ejecución de aparcamiento de vehículos C/ Antonio Ruiz Rivas, C/ Platero y Paseo Pablo Ruiz Picasso en Algarrobo.</t>
        </is>
      </c>
      <c r="J489" s="2" t="inlineStr">
        <is>
          <t>158/2026</t>
        </is>
      </c>
      <c r="K489" s="2" t="inlineStr">
        <is>
          <t>Abierto</t>
        </is>
      </c>
      <c r="L489" s="6" t="n">
        <v>9</v>
      </c>
      <c r="M489" s="2" t="n"/>
      <c r="N489" s="7" t="n">
        <v>0</v>
      </c>
      <c r="O489" s="4" t="n"/>
      <c r="P489" s="2" t="inlineStr">
        <is>
          <t>45200000</t>
        </is>
      </c>
      <c r="Q489" s="8" t="inlineStr">
        <is>
          <t>Ver</t>
        </is>
      </c>
      <c r="R489" s="8" t="inlineStr">
        <is>
          <t>PCAP</t>
        </is>
      </c>
      <c r="S489" s="9" t="n">
        <v>46317</v>
      </c>
      <c r="T489" s="3" t="n">
        <v>46316.50451388889</v>
      </c>
      <c r="U489" s="2" t="n"/>
    </row>
    <row r="490">
      <c r="A490" s="2" t="inlineStr">
        <is>
          <t>Pendiente de adjudicación</t>
        </is>
      </c>
      <c r="B490" s="3" t="n">
        <v>46315.99930555555</v>
      </c>
      <c r="C490" s="5" t="n">
        <v>49229.93</v>
      </c>
      <c r="D490" s="5" t="n">
        <v>42229.93</v>
      </c>
      <c r="E490" s="2" t="inlineStr">
        <is>
          <t>Andalucía</t>
        </is>
      </c>
      <c r="F490" s="2" t="inlineStr">
        <is>
          <t>Huelva</t>
        </is>
      </c>
      <c r="G490" s="2" t="inlineStr">
        <is>
          <t>Alosno</t>
        </is>
      </c>
      <c r="H490" s="2" t="inlineStr">
        <is>
          <t>Alcaldía del Ayuntamiento de Alosno</t>
        </is>
      </c>
      <c r="I490" s="2" t="inlineStr">
        <is>
          <t>El contrato tiene por objeto las obras de asfaltado en la calle Los Molinos, que es una vía pública situada en Suelo urbano. La calzada presenta una capa de rodadura constituida por una capa de aglomerado asfaltico sobre subbase de zahorra artificial.</t>
        </is>
      </c>
      <c r="J490" s="2" t="inlineStr">
        <is>
          <t>887/2026</t>
        </is>
      </c>
      <c r="K490" s="2" t="inlineStr">
        <is>
          <t>Abierto simplificado</t>
        </is>
      </c>
      <c r="L490" s="6" t="n">
        <v>1</v>
      </c>
      <c r="M490" s="2" t="n"/>
      <c r="N490" s="7" t="n">
        <v>0</v>
      </c>
      <c r="O490" s="4" t="n"/>
      <c r="P490" s="2" t="inlineStr">
        <is>
          <t>45233222</t>
        </is>
      </c>
      <c r="Q490" s="8" t="inlineStr">
        <is>
          <t>Ver</t>
        </is>
      </c>
      <c r="R490" s="8" t="inlineStr">
        <is>
          <t>PCAP</t>
        </is>
      </c>
      <c r="S490" s="9" t="n">
        <v>46317</v>
      </c>
      <c r="T490" s="3" t="n">
        <v>46316.50388888889</v>
      </c>
      <c r="U490" s="2" t="n"/>
    </row>
    <row r="491">
      <c r="A491" s="2" t="inlineStr">
        <is>
          <t>En plazo</t>
        </is>
      </c>
      <c r="B491" s="3" t="n">
        <v>46329.99930555555</v>
      </c>
      <c r="C491" s="5" t="n">
        <v>176711.57</v>
      </c>
      <c r="D491" s="5" t="n">
        <v>176711.57</v>
      </c>
      <c r="E491" s="2" t="inlineStr">
        <is>
          <t>Comunitat Valenciana</t>
        </is>
      </c>
      <c r="F491" s="2" t="inlineStr">
        <is>
          <t>Valencia</t>
        </is>
      </c>
      <c r="G491" s="2" t="inlineStr">
        <is>
          <t>Montroi</t>
        </is>
      </c>
      <c r="H491" s="2" t="inlineStr">
        <is>
          <t>Junta de Gobierno Local del Ayuntamiento de Montroy</t>
        </is>
      </c>
      <c r="I491" s="2" t="inlineStr">
        <is>
          <t>Rehabilitación y adecuación de las instalaciones del Espacio Polivalente de Montroi.</t>
        </is>
      </c>
      <c r="J491" s="2" t="inlineStr">
        <is>
          <t>1585/2026</t>
        </is>
      </c>
      <c r="K491" s="2" t="inlineStr">
        <is>
          <t>Abierto simplificado</t>
        </is>
      </c>
      <c r="L491" s="6" t="n">
        <v>3</v>
      </c>
      <c r="M491" s="2" t="n"/>
      <c r="N491" s="7" t="n">
        <v>0</v>
      </c>
      <c r="O491" s="4" t="n"/>
      <c r="P491" s="2" t="inlineStr">
        <is>
          <t>45454000</t>
        </is>
      </c>
      <c r="Q491" s="8" t="inlineStr">
        <is>
          <t>Ver</t>
        </is>
      </c>
      <c r="R491" s="8" t="inlineStr">
        <is>
          <t>PCAP</t>
        </is>
      </c>
      <c r="S491" s="9" t="n">
        <v>46315</v>
      </c>
      <c r="T491" s="3" t="n">
        <v>46316.50190972222</v>
      </c>
      <c r="U491" s="2" t="n"/>
    </row>
    <row r="492">
      <c r="A492" s="2" t="inlineStr">
        <is>
          <t>Resuelta</t>
        </is>
      </c>
      <c r="B492" s="3" t="n">
        <v>46286.5</v>
      </c>
      <c r="C492" s="5" t="n">
        <v>156316.01</v>
      </c>
      <c r="D492" s="5" t="n">
        <v>156316.01</v>
      </c>
      <c r="E492" s="2" t="inlineStr">
        <is>
          <t>Andalucía</t>
        </is>
      </c>
      <c r="F492" s="2" t="inlineStr">
        <is>
          <t>Granada</t>
        </is>
      </c>
      <c r="G492" s="2" t="n"/>
      <c r="H492" s="2" t="inlineStr">
        <is>
          <t>Jefatura de Intendencia de Asuntos Económicos Sur</t>
        </is>
      </c>
      <c r="I492" s="2" t="inlineStr">
        <is>
          <t>OBRA TC 205-48/24 de las actuaciones por pandeo de la crujía este del claustro del Establecimiento de la Merced, Granada</t>
        </is>
      </c>
      <c r="J492" s="2" t="inlineStr">
        <is>
          <t>2026/ETSAE0226/00005967E</t>
        </is>
      </c>
      <c r="K492" s="2" t="inlineStr">
        <is>
          <t>Abierto simplificado</t>
        </is>
      </c>
      <c r="L492" s="6" t="n">
        <v>1.5</v>
      </c>
      <c r="M492" s="2" t="n"/>
      <c r="N492" s="7" t="n">
        <v>0</v>
      </c>
      <c r="O492" s="4" t="n"/>
      <c r="P492" s="2" t="inlineStr">
        <is>
          <t>45000000; 45400000; 45216200; 45200000</t>
        </is>
      </c>
      <c r="Q492" s="8" t="inlineStr">
        <is>
          <t>Ver</t>
        </is>
      </c>
      <c r="R492" s="8" t="inlineStr">
        <is>
          <t>PCAP</t>
        </is>
      </c>
      <c r="S492" s="9" t="n">
        <v>46317</v>
      </c>
      <c r="T492" s="3" t="n">
        <v>46316.50165509259</v>
      </c>
      <c r="U492" s="2" t="n"/>
    </row>
    <row r="493">
      <c r="A493" s="2" t="inlineStr">
        <is>
          <t>Adjudicada</t>
        </is>
      </c>
      <c r="B493" s="3" t="n">
        <v>46202.99930555555</v>
      </c>
      <c r="C493" s="5" t="n">
        <v>237551.64</v>
      </c>
      <c r="D493" s="5" t="n">
        <v>237551.64</v>
      </c>
      <c r="E493" s="2" t="inlineStr">
        <is>
          <t>Andalucía</t>
        </is>
      </c>
      <c r="F493" s="2" t="inlineStr">
        <is>
          <t>Granada</t>
        </is>
      </c>
      <c r="G493" s="2" t="inlineStr">
        <is>
          <t>HUÉSCAR</t>
        </is>
      </c>
      <c r="H493" s="2" t="inlineStr">
        <is>
          <t>Presidencia de la Diputación Provincial de Granada</t>
        </is>
      </c>
      <c r="I493" s="2" t="inlineStr">
        <is>
          <t>Proyecto de obra para reforma de diversas instalaciones de la finca "Los Morales" en el término municipal de Huéscar (Granada)</t>
        </is>
      </c>
      <c r="J493" s="2" t="inlineStr">
        <is>
          <t>OB-044/26</t>
        </is>
      </c>
      <c r="K493" s="2" t="inlineStr">
        <is>
          <t>Abierto simplificado</t>
        </is>
      </c>
      <c r="L493" s="6" t="n">
        <v>2</v>
      </c>
      <c r="M493" s="2" t="n"/>
      <c r="N493" s="7" t="n">
        <v>0</v>
      </c>
      <c r="O493" s="4" t="n">
        <v>6</v>
      </c>
      <c r="P493" s="2" t="inlineStr">
        <is>
          <t>45453100; 45212220</t>
        </is>
      </c>
      <c r="Q493" s="8" t="inlineStr">
        <is>
          <t>Ver</t>
        </is>
      </c>
      <c r="R493" s="8" t="inlineStr">
        <is>
          <t>PCAP</t>
        </is>
      </c>
      <c r="S493" s="9" t="n">
        <v>46311</v>
      </c>
      <c r="T493" s="3" t="n">
        <v>46316.50130787037</v>
      </c>
      <c r="U493" s="2" t="n"/>
    </row>
    <row r="494">
      <c r="A494" s="2" t="inlineStr">
        <is>
          <t>Resuelta</t>
        </is>
      </c>
      <c r="B494" s="3" t="n"/>
      <c r="C494" s="5" t="n">
        <v>1300911.9</v>
      </c>
      <c r="D494" s="5" t="n">
        <v>1574103.41</v>
      </c>
      <c r="E494" s="2" t="inlineStr">
        <is>
          <t>Andalucía</t>
        </is>
      </c>
      <c r="F494" s="2" t="inlineStr">
        <is>
          <t>Granada</t>
        </is>
      </c>
      <c r="G494" s="2" t="n"/>
      <c r="H494" s="2" t="inlineStr">
        <is>
          <t>Demarcación de Carreteras del Estado en Andalucía Oriental</t>
        </is>
      </c>
      <c r="I494" s="2" t="inlineStr">
        <is>
          <t>Desvíos provisionales y limpieza de viales por los daños provocados por las lluvias del 11 de noviembre de 2024 en los TT.MM. de Adra, Balanegra, El Ejido, La Mojonera y Roquetas de Mar, provincia de Almería. Lote 2</t>
        </is>
      </c>
      <c r="J494" s="2" t="inlineStr">
        <is>
          <t>EM24-AL-01.L2</t>
        </is>
      </c>
      <c r="K494" s="2" t="inlineStr">
        <is>
          <t>Negociado sin publicidad</t>
        </is>
      </c>
      <c r="L494" s="6" t="n">
        <v>12</v>
      </c>
      <c r="M494" s="2" t="n"/>
      <c r="N494" s="7" t="n"/>
      <c r="O494" s="4" t="n"/>
      <c r="P494" s="2" t="inlineStr">
        <is>
          <t>45000000</t>
        </is>
      </c>
      <c r="Q494" s="8" t="inlineStr">
        <is>
          <t>Ver</t>
        </is>
      </c>
      <c r="R494" s="2" t="n"/>
      <c r="S494" s="9" t="n">
        <v>46317</v>
      </c>
      <c r="T494" s="3" t="n">
        <v>46316.49880787037</v>
      </c>
      <c r="U494" s="2" t="n"/>
    </row>
    <row r="495">
      <c r="A495" s="2" t="inlineStr">
        <is>
          <t>Adjudicada</t>
        </is>
      </c>
      <c r="B495" s="3" t="n">
        <v>46202.54166666666</v>
      </c>
      <c r="C495" s="5" t="n">
        <v>1702260.35</v>
      </c>
      <c r="D495" s="5" t="n">
        <v>1872486.38</v>
      </c>
      <c r="E495" s="2" t="inlineStr">
        <is>
          <t>Comunitat Valenciana</t>
        </is>
      </c>
      <c r="F495" s="2" t="inlineStr">
        <is>
          <t>Valencia</t>
        </is>
      </c>
      <c r="G495" s="2" t="n"/>
      <c r="H495" s="2" t="inlineStr">
        <is>
          <t>Presidencia de la Diputación Provincial de Valencia</t>
        </is>
      </c>
      <c r="I495" s="2" t="inlineStr">
        <is>
          <t>S-513/O Acondicionamiento de nueva glorieta en el pk 0+315 de la CV-374. Término municipal Riba-Roja de Turia</t>
        </is>
      </c>
      <c r="J495" s="2" t="inlineStr">
        <is>
          <t>1461/25/CAR</t>
        </is>
      </c>
      <c r="K495" s="2" t="inlineStr">
        <is>
          <t>Abierto</t>
        </is>
      </c>
      <c r="L495" s="6" t="n">
        <v>11</v>
      </c>
      <c r="M495" s="2" t="inlineStr">
        <is>
          <t>G4-4</t>
        </is>
      </c>
      <c r="N495" s="7" t="n">
        <v>0.45</v>
      </c>
      <c r="O495" s="4" t="n"/>
      <c r="P495" s="2" t="inlineStr">
        <is>
          <t>45233128</t>
        </is>
      </c>
      <c r="Q495" s="8" t="inlineStr">
        <is>
          <t>Ver</t>
        </is>
      </c>
      <c r="R495" s="8" t="inlineStr">
        <is>
          <t>PCAP</t>
        </is>
      </c>
      <c r="S495" s="9" t="n">
        <v>46317</v>
      </c>
      <c r="T495" s="3" t="n">
        <v>46316.4975</v>
      </c>
      <c r="U495" s="2" t="n"/>
    </row>
    <row r="496">
      <c r="A496" s="2" t="inlineStr">
        <is>
          <t>En plazo</t>
        </is>
      </c>
      <c r="B496" s="3" t="n">
        <v>46336.99930555555</v>
      </c>
      <c r="C496" s="5" t="n">
        <v>295408.59</v>
      </c>
      <c r="D496" s="5" t="n">
        <v>295408.59</v>
      </c>
      <c r="E496" s="2" t="inlineStr">
        <is>
          <t>Andalucía</t>
        </is>
      </c>
      <c r="F496" s="2" t="inlineStr">
        <is>
          <t>Cádiz</t>
        </is>
      </c>
      <c r="G496" s="2" t="n"/>
      <c r="H496" s="2" t="inlineStr">
        <is>
          <t>Alcaldía del Ayuntamiento de Bornos</t>
        </is>
      </c>
      <c r="I496" s="2" t="inlineStr">
        <is>
          <t>Renovación pavimento de césped artificial en campo de fútbol municipal LUIS VEGA</t>
        </is>
      </c>
      <c r="J496" s="2" t="inlineStr">
        <is>
          <t>2026_11010_COAS_00009</t>
        </is>
      </c>
      <c r="K496" s="2" t="inlineStr">
        <is>
          <t>Abierto simplificado</t>
        </is>
      </c>
      <c r="L496" s="6" t="n">
        <v>3</v>
      </c>
      <c r="M496" s="2" t="n"/>
      <c r="N496" s="7" t="n">
        <v>0</v>
      </c>
      <c r="O496" s="4" t="n"/>
      <c r="P496" s="2" t="inlineStr">
        <is>
          <t>45236119</t>
        </is>
      </c>
      <c r="Q496" s="8" t="inlineStr">
        <is>
          <t>Ver</t>
        </is>
      </c>
      <c r="R496" s="8" t="inlineStr">
        <is>
          <t>PCAP</t>
        </is>
      </c>
      <c r="S496" s="9" t="n">
        <v>46317</v>
      </c>
      <c r="T496" s="3" t="n">
        <v>46316.49747685185</v>
      </c>
      <c r="U496" s="2" t="n"/>
    </row>
    <row r="497">
      <c r="A497" s="2" t="inlineStr">
        <is>
          <t>En plazo</t>
        </is>
      </c>
      <c r="B497" s="3" t="n">
        <v>46331.99930555555</v>
      </c>
      <c r="C497" s="5" t="n">
        <v>77575.11</v>
      </c>
      <c r="D497" s="5" t="n">
        <v>77575.11</v>
      </c>
      <c r="E497" s="2" t="inlineStr">
        <is>
          <t>Andalucía</t>
        </is>
      </c>
      <c r="F497" s="2" t="inlineStr">
        <is>
          <t>Granada</t>
        </is>
      </c>
      <c r="G497" s="2" t="n"/>
      <c r="H497" s="2" t="inlineStr">
        <is>
          <t>Alcaldía del Ayuntamiento de Gobernador</t>
        </is>
      </c>
      <c r="I497" s="2" t="inlineStr">
        <is>
          <t>Mejora de las calles Eras y Cordoba</t>
        </is>
      </c>
      <c r="J497" s="2" t="inlineStr">
        <is>
          <t>132.2026</t>
        </is>
      </c>
      <c r="K497" s="2" t="inlineStr">
        <is>
          <t>Abierto simplificado</t>
        </is>
      </c>
      <c r="L497" s="6" t="n">
        <v>5</v>
      </c>
      <c r="M497" s="2" t="n"/>
      <c r="N497" s="7" t="n">
        <v>0</v>
      </c>
      <c r="O497" s="4" t="n"/>
      <c r="P497" s="2" t="inlineStr">
        <is>
          <t>45000000; 45316000; 45232400; 45233250; 45232410; 45233252</t>
        </is>
      </c>
      <c r="Q497" s="8" t="inlineStr">
        <is>
          <t>Ver</t>
        </is>
      </c>
      <c r="R497" s="8" t="inlineStr">
        <is>
          <t>PCAP</t>
        </is>
      </c>
      <c r="S497" s="9" t="n">
        <v>46317</v>
      </c>
      <c r="T497" s="3" t="n">
        <v>46316.49739583334</v>
      </c>
      <c r="U497" s="2" t="n"/>
    </row>
    <row r="498">
      <c r="A498" s="2" t="inlineStr">
        <is>
          <t>En plazo</t>
        </is>
      </c>
      <c r="B498" s="3" t="n">
        <v>46350.45833333334</v>
      </c>
      <c r="C498" s="5" t="n">
        <v>96164.84</v>
      </c>
      <c r="D498" s="5" t="n">
        <v>96164.84</v>
      </c>
      <c r="E498" s="2" t="inlineStr">
        <is>
          <t>Andalucía</t>
        </is>
      </c>
      <c r="F498" s="2" t="inlineStr">
        <is>
          <t>Málaga</t>
        </is>
      </c>
      <c r="G498" s="2" t="n"/>
      <c r="H498" s="2" t="inlineStr">
        <is>
          <t>ADIF - Presidencia</t>
        </is>
      </c>
      <c r="I498" s="2" t="inlineStr">
        <is>
          <t>Obras de ejecución del Proyecto Nuevo Gabinete de Circulación Tipo en la Estación de Las Mellizas (Málaga)</t>
        </is>
      </c>
      <c r="J498" s="2" t="inlineStr">
        <is>
          <t>3.26/46506.0045</t>
        </is>
      </c>
      <c r="K498" s="2" t="inlineStr">
        <is>
          <t>Abierto simplificado</t>
        </is>
      </c>
      <c r="L498" s="6" t="n">
        <v>6</v>
      </c>
      <c r="M498" s="2" t="inlineStr">
        <is>
          <t>C2-1</t>
        </is>
      </c>
      <c r="N498" s="7" t="n">
        <v>0</v>
      </c>
      <c r="O498" s="4" t="n"/>
      <c r="P498" s="2" t="inlineStr">
        <is>
          <t>45223000</t>
        </is>
      </c>
      <c r="Q498" s="8" t="inlineStr">
        <is>
          <t>Ver</t>
        </is>
      </c>
      <c r="R498" s="8" t="inlineStr">
        <is>
          <t>PCAP</t>
        </is>
      </c>
      <c r="S498" s="9" t="n">
        <v>46317</v>
      </c>
      <c r="T498" s="3" t="n">
        <v>46316.4957175926</v>
      </c>
      <c r="U498" s="2" t="n"/>
    </row>
    <row r="499">
      <c r="A499" s="2" t="inlineStr">
        <is>
          <t>Resuelta</t>
        </is>
      </c>
      <c r="B499" s="3" t="n">
        <v>45755.99930555555</v>
      </c>
      <c r="C499" s="5" t="n">
        <v>227540.55</v>
      </c>
      <c r="D499" s="5" t="n">
        <v>227540.55</v>
      </c>
      <c r="E499" s="2" t="inlineStr">
        <is>
          <t>Andalucía</t>
        </is>
      </c>
      <c r="F499" s="2" t="inlineStr">
        <is>
          <t>Sevilla</t>
        </is>
      </c>
      <c r="G499" s="2" t="inlineStr">
        <is>
          <t>Sevilla</t>
        </is>
      </c>
      <c r="H499" s="2" t="inlineStr">
        <is>
          <t>Comisión Ejecutiva del Patronato del Real Alcázar y Casa Consistorial de Sevilla</t>
        </is>
      </c>
      <c r="I499" s="2" t="inlineStr">
        <is>
          <t>Obras de adecuación y rehabilitación de la Casa del Inglés para su uso como taller para la Unidad de Mantenimiento del Real Alcázar de Sevilla</t>
        </is>
      </c>
      <c r="J499" s="2" t="inlineStr">
        <is>
          <t>2024/001263</t>
        </is>
      </c>
      <c r="K499" s="2" t="inlineStr">
        <is>
          <t>Abierto simplificado</t>
        </is>
      </c>
      <c r="L499" s="6" t="n">
        <v>5</v>
      </c>
      <c r="M499" s="2" t="inlineStr">
        <is>
          <t>K7-2</t>
        </is>
      </c>
      <c r="N499" s="7" t="n">
        <v>0</v>
      </c>
      <c r="O499" s="4" t="n"/>
      <c r="P499" s="2" t="inlineStr">
        <is>
          <t>45212350</t>
        </is>
      </c>
      <c r="Q499" s="8" t="inlineStr">
        <is>
          <t>Ver</t>
        </is>
      </c>
      <c r="R499" s="8" t="inlineStr">
        <is>
          <t>PCAP</t>
        </is>
      </c>
      <c r="S499" s="9" t="n">
        <v>46317</v>
      </c>
      <c r="T499" s="3" t="n">
        <v>46316.49481481482</v>
      </c>
      <c r="U499" s="2" t="n"/>
    </row>
    <row r="500">
      <c r="A500" s="2" t="inlineStr">
        <is>
          <t>En plazo</t>
        </is>
      </c>
      <c r="B500" s="3" t="n">
        <v>46342.99930555555</v>
      </c>
      <c r="C500" s="5" t="n">
        <v>185950.41</v>
      </c>
      <c r="D500" s="5" t="n">
        <v>185950.41</v>
      </c>
      <c r="E500" s="2" t="inlineStr">
        <is>
          <t>Andalucía</t>
        </is>
      </c>
      <c r="F500" s="2" t="inlineStr">
        <is>
          <t>Málaga</t>
        </is>
      </c>
      <c r="G500" s="2" t="n"/>
      <c r="H500" s="2" t="inlineStr">
        <is>
          <t>Junta de Gobierno del Ayuntamiento de Marbella</t>
        </is>
      </c>
      <c r="I500" s="2" t="inlineStr">
        <is>
          <t>Contratación de las Obras: Creación de Pasos de Peatones Inteligentes en Avda. Miguel de Cervantes de Nueva Andalucía. T.M. Marbella (Málaga)</t>
        </is>
      </c>
      <c r="J500" s="2" t="inlineStr">
        <is>
          <t>OB 341/26</t>
        </is>
      </c>
      <c r="K500" s="2" t="inlineStr">
        <is>
          <t>Abierto</t>
        </is>
      </c>
      <c r="L500" s="6" t="n">
        <v>2</v>
      </c>
      <c r="M500" s="2" t="n"/>
      <c r="N500" s="7" t="n">
        <v>0.3</v>
      </c>
      <c r="O500" s="4" t="n"/>
      <c r="P500" s="2" t="inlineStr">
        <is>
          <t>45233294</t>
        </is>
      </c>
      <c r="Q500" s="8" t="inlineStr">
        <is>
          <t>Ver</t>
        </is>
      </c>
      <c r="R500" s="8" t="inlineStr">
        <is>
          <t>PCAP</t>
        </is>
      </c>
      <c r="S500" s="9" t="n">
        <v>46317</v>
      </c>
      <c r="T500" s="3" t="n">
        <v>46316.49372685186</v>
      </c>
      <c r="U500" s="2" t="n"/>
    </row>
    <row r="501">
      <c r="A501" s="2" t="inlineStr">
        <is>
          <t>Pendiente de adjudicación</t>
        </is>
      </c>
      <c r="B501" s="3" t="n">
        <v>46189.99930555555</v>
      </c>
      <c r="C501" s="5" t="n">
        <v>125711.75</v>
      </c>
      <c r="D501" s="5" t="n">
        <v>125711.75</v>
      </c>
      <c r="E501" s="2" t="inlineStr">
        <is>
          <t>Andalucía</t>
        </is>
      </c>
      <c r="F501" s="2" t="inlineStr">
        <is>
          <t>Málaga</t>
        </is>
      </c>
      <c r="G501" s="2" t="n"/>
      <c r="H501" s="2" t="inlineStr">
        <is>
          <t>Alcaldía del Ayuntamiento de Villanueva del Trabuco</t>
        </is>
      </c>
      <c r="I501" s="2" t="inlineStr">
        <is>
          <t>Contrato administrativo de obras para la ejecución de los proyectos de instalación solar fotovoltaica para autoconsumo con excedentes acogidos a compensación con las cubiertas del centro educativo infantil de Vva. del Trabuco, consultorio médico y CEIP López Mayor de Vva. del Trabuco, mediante procedimiento abierto simplificado.</t>
        </is>
      </c>
      <c r="J501" s="2" t="inlineStr">
        <is>
          <t>90/2026</t>
        </is>
      </c>
      <c r="K501" s="2" t="inlineStr">
        <is>
          <t>Abierto simplificado</t>
        </is>
      </c>
      <c r="L501" s="6" t="n">
        <v>1</v>
      </c>
      <c r="M501" s="2" t="inlineStr">
        <is>
          <t>I9-1</t>
        </is>
      </c>
      <c r="N501" s="7" t="n">
        <v>0</v>
      </c>
      <c r="O501" s="4" t="n"/>
      <c r="P501" s="2" t="inlineStr">
        <is>
          <t>45223000; 09330000; 09332000; 09331200; 31440000; 09331000</t>
        </is>
      </c>
      <c r="Q501" s="8" t="inlineStr">
        <is>
          <t>Ver</t>
        </is>
      </c>
      <c r="R501" s="8" t="inlineStr">
        <is>
          <t>PCAP</t>
        </is>
      </c>
      <c r="S501" s="9" t="n">
        <v>46310</v>
      </c>
      <c r="T501" s="3" t="n">
        <v>46316.49028935185</v>
      </c>
      <c r="U501" s="2" t="n"/>
    </row>
    <row r="502">
      <c r="A502" s="2" t="inlineStr">
        <is>
          <t>Resuelta</t>
        </is>
      </c>
      <c r="B502" s="3" t="n">
        <v>46280.99930555555</v>
      </c>
      <c r="C502" s="5" t="n">
        <v>19421.49</v>
      </c>
      <c r="D502" s="5" t="n">
        <v>19421.49</v>
      </c>
      <c r="E502" s="2" t="inlineStr">
        <is>
          <t>Comunitat Valenciana</t>
        </is>
      </c>
      <c r="F502" s="2" t="inlineStr">
        <is>
          <t>Alicante</t>
        </is>
      </c>
      <c r="G502" s="2" t="n"/>
      <c r="H502" s="2" t="inlineStr">
        <is>
          <t>Presidencia de la Diputación Provincial de Alicante</t>
        </is>
      </c>
      <c r="I502" s="2" t="inlineStr">
        <is>
          <t>Obras de restauración de zona degradada por vertido incontrolado de residuos en "Corral del Senyoret", TM de Parcent (Alicante)</t>
        </is>
      </c>
      <c r="J502" s="2" t="inlineStr">
        <is>
          <t>O4SS-143/2026</t>
        </is>
      </c>
      <c r="K502" s="2" t="inlineStr">
        <is>
          <t>Abierto simplificado</t>
        </is>
      </c>
      <c r="L502" s="6" t="n">
        <v>1</v>
      </c>
      <c r="M502" s="2" t="n"/>
      <c r="N502" s="7" t="n">
        <v>0</v>
      </c>
      <c r="O502" s="4" t="n"/>
      <c r="P502" s="2" t="inlineStr">
        <is>
          <t>45111213</t>
        </is>
      </c>
      <c r="Q502" s="8" t="inlineStr">
        <is>
          <t>Ver</t>
        </is>
      </c>
      <c r="R502" s="8" t="inlineStr">
        <is>
          <t>PCAP</t>
        </is>
      </c>
      <c r="S502" s="9" t="n">
        <v>46317</v>
      </c>
      <c r="T502" s="3" t="n">
        <v>46316.48479166667</v>
      </c>
      <c r="U502" s="2" t="n"/>
    </row>
    <row r="503">
      <c r="A503" s="2" t="inlineStr">
        <is>
          <t>En plazo</t>
        </is>
      </c>
      <c r="B503" s="3" t="n">
        <v>46342.79166666666</v>
      </c>
      <c r="C503" s="5" t="n">
        <v>145760.33</v>
      </c>
      <c r="D503" s="5" t="n">
        <v>145760.33</v>
      </c>
      <c r="E503" s="2" t="inlineStr">
        <is>
          <t>Andalucía</t>
        </is>
      </c>
      <c r="F503" s="2" t="inlineStr">
        <is>
          <t>Granada</t>
        </is>
      </c>
      <c r="G503" s="2" t="inlineStr">
        <is>
          <t>ZAGRA</t>
        </is>
      </c>
      <c r="H503" s="2" t="inlineStr">
        <is>
          <t>Alcaldía del Ayuntamiento de Zagra</t>
        </is>
      </c>
      <c r="I503" s="2" t="inlineStr">
        <is>
          <t>Reparación Camino Carretera Rozuelas.</t>
        </is>
      </c>
      <c r="J503" s="2" t="inlineStr">
        <is>
          <t>REPARACION CAMINO RURAL CARRETERA ROZUELAS</t>
        </is>
      </c>
      <c r="K503" s="2" t="inlineStr">
        <is>
          <t>Abierto</t>
        </is>
      </c>
      <c r="L503" s="6" t="n">
        <v>2</v>
      </c>
      <c r="M503" s="2" t="n"/>
      <c r="N503" s="7" t="n">
        <v>0</v>
      </c>
      <c r="O503" s="4" t="n"/>
      <c r="P503" s="2" t="inlineStr">
        <is>
          <t>45233142</t>
        </is>
      </c>
      <c r="Q503" s="8" t="inlineStr">
        <is>
          <t>Ver</t>
        </is>
      </c>
      <c r="R503" s="8" t="inlineStr">
        <is>
          <t>PCAP</t>
        </is>
      </c>
      <c r="S503" s="9" t="n">
        <v>46317</v>
      </c>
      <c r="T503" s="3" t="n">
        <v>46316.48270833334</v>
      </c>
      <c r="U503" s="2" t="n"/>
    </row>
    <row r="504">
      <c r="A504" s="2" t="inlineStr">
        <is>
          <t>Resuelta</t>
        </is>
      </c>
      <c r="B504" s="3" t="n">
        <v>46245.41666666666</v>
      </c>
      <c r="C504" s="5" t="n">
        <v>109120</v>
      </c>
      <c r="D504" s="5" t="n">
        <v>109120</v>
      </c>
      <c r="E504" s="2" t="inlineStr">
        <is>
          <t>Andalucía</t>
        </is>
      </c>
      <c r="F504" s="2" t="inlineStr">
        <is>
          <t>Córdoba</t>
        </is>
      </c>
      <c r="G504" s="2" t="n"/>
      <c r="H504" s="2" t="inlineStr">
        <is>
          <t>Empresa de Transformación Agraria S.A.,S.M.E., M.P., (TRAGSA)</t>
        </is>
      </c>
      <c r="I504" s="2" t="inlineStr">
        <is>
          <t>Contrato derivado del Acuerdo marco para alquiler de maquinaria de obra civil, agrícola y forestal, y camiones para obras de construcción y demolición, dotada de operario, para las actuaciones del ámbito territorial de la gerencia provincial de Tragsa en Córdoba, incluida las obras con fondos en el marco del plan de recuperación, transformación y resiliencia-financiado por la unión europea</t>
        </is>
      </c>
      <c r="J504" s="2" t="inlineStr">
        <is>
          <t>TSA0079529-131</t>
        </is>
      </c>
      <c r="K504" s="2" t="inlineStr">
        <is>
          <t>Abierto</t>
        </is>
      </c>
      <c r="L504" s="6" t="n">
        <v>6</v>
      </c>
      <c r="M504" s="2" t="n"/>
      <c r="N504" s="7" t="n">
        <v>0</v>
      </c>
      <c r="O504" s="4" t="n"/>
      <c r="P504" s="2" t="inlineStr">
        <is>
          <t>45500000</t>
        </is>
      </c>
      <c r="Q504" s="8" t="inlineStr">
        <is>
          <t>Ver</t>
        </is>
      </c>
      <c r="R504" s="8" t="inlineStr">
        <is>
          <t>PCAP</t>
        </is>
      </c>
      <c r="S504" s="9" t="n">
        <v>46317</v>
      </c>
      <c r="T504" s="3" t="n">
        <v>46316.46403935185</v>
      </c>
      <c r="U504" s="2" t="n"/>
    </row>
    <row r="505">
      <c r="A505" s="2" t="inlineStr">
        <is>
          <t>En plazo</t>
        </is>
      </c>
      <c r="B505" s="3" t="n">
        <v>46350.45833333334</v>
      </c>
      <c r="C505" s="5" t="n">
        <v>102224.68</v>
      </c>
      <c r="D505" s="5" t="n">
        <v>102224.68</v>
      </c>
      <c r="E505" s="2" t="inlineStr">
        <is>
          <t>Andalucía</t>
        </is>
      </c>
      <c r="F505" s="2" t="inlineStr">
        <is>
          <t>Córdoba</t>
        </is>
      </c>
      <c r="G505" s="2" t="n"/>
      <c r="H505" s="2" t="inlineStr">
        <is>
          <t>ADIF - Presidencia</t>
        </is>
      </c>
      <c r="I505" s="2" t="inlineStr">
        <is>
          <t>Obras de ejecución del Proyecto de Nuevo Gabinete de Circulación Tipo en la Estación de Hornachuelos (Córdoba).</t>
        </is>
      </c>
      <c r="J505" s="2" t="inlineStr">
        <is>
          <t>3.26/46506.0044</t>
        </is>
      </c>
      <c r="K505" s="2" t="inlineStr">
        <is>
          <t>Abierto simplificado</t>
        </is>
      </c>
      <c r="L505" s="6" t="n">
        <v>6</v>
      </c>
      <c r="M505" s="2" t="inlineStr">
        <is>
          <t>C2-1</t>
        </is>
      </c>
      <c r="N505" s="7" t="n">
        <v>0</v>
      </c>
      <c r="O505" s="4" t="n"/>
      <c r="P505" s="2" t="inlineStr">
        <is>
          <t>45223000</t>
        </is>
      </c>
      <c r="Q505" s="8" t="inlineStr">
        <is>
          <t>Ver</t>
        </is>
      </c>
      <c r="R505" s="8" t="inlineStr">
        <is>
          <t>PCAP</t>
        </is>
      </c>
      <c r="S505" s="9" t="n">
        <v>46317</v>
      </c>
      <c r="T505" s="3" t="n">
        <v>46316.45766203704</v>
      </c>
      <c r="U505" s="2" t="n"/>
    </row>
    <row r="506">
      <c r="A506" s="2" t="inlineStr">
        <is>
          <t>Resuelta</t>
        </is>
      </c>
      <c r="B506" s="3" t="n">
        <v>45905.99930555555</v>
      </c>
      <c r="C506" s="5" t="n">
        <v>139042.5</v>
      </c>
      <c r="D506" s="5" t="n">
        <v>139042.5</v>
      </c>
      <c r="E506" s="2" t="inlineStr">
        <is>
          <t>Andalucía</t>
        </is>
      </c>
      <c r="F506" s="2" t="inlineStr">
        <is>
          <t>Sevilla</t>
        </is>
      </c>
      <c r="G506" s="2" t="inlineStr">
        <is>
          <t>Sevilla</t>
        </is>
      </c>
      <c r="H506" s="2" t="inlineStr">
        <is>
          <t>Aena. Dirección del Aeropuerto de Sevilla</t>
        </is>
      </c>
      <c r="I506" s="2" t="inlineStr">
        <is>
          <t>Pruebas De Estanqueidad En Salas Con Sistemas De Extinción De Incendios</t>
        </is>
      </c>
      <c r="J506" s="2" t="inlineStr">
        <is>
          <t>SVQ-52/2025</t>
        </is>
      </c>
      <c r="K506" s="2" t="inlineStr">
        <is>
          <t>Normas internas</t>
        </is>
      </c>
      <c r="L506" s="6" t="n"/>
      <c r="M506" s="2" t="n"/>
      <c r="N506" s="7" t="n">
        <v>0</v>
      </c>
      <c r="O506" s="4" t="n"/>
      <c r="P506" s="2" t="inlineStr">
        <is>
          <t>45312100</t>
        </is>
      </c>
      <c r="Q506" s="8" t="inlineStr">
        <is>
          <t>Ver</t>
        </is>
      </c>
      <c r="R506" s="8" t="inlineStr">
        <is>
          <t>PCAP</t>
        </is>
      </c>
      <c r="S506" s="9" t="n">
        <v>46317</v>
      </c>
      <c r="T506" s="3" t="n">
        <v>46316.45438657407</v>
      </c>
      <c r="U506" s="2" t="n"/>
    </row>
    <row r="507">
      <c r="A507" s="2" t="inlineStr">
        <is>
          <t>En plazo</t>
        </is>
      </c>
      <c r="B507" s="3" t="n">
        <v>46336.99930555555</v>
      </c>
      <c r="C507" s="5" t="n">
        <v>149911.18</v>
      </c>
      <c r="D507" s="5" t="n">
        <v>149911.18</v>
      </c>
      <c r="E507" s="2" t="inlineStr">
        <is>
          <t>Andalucía</t>
        </is>
      </c>
      <c r="F507" s="2" t="inlineStr">
        <is>
          <t>Cádiz</t>
        </is>
      </c>
      <c r="G507" s="2" t="n"/>
      <c r="H507" s="2" t="inlineStr">
        <is>
          <t>Alcaldía del Ayuntamiento de Zahara</t>
        </is>
      </c>
      <c r="I507" s="2" t="inlineStr">
        <is>
          <t>Ejecución del proyecto de obras Mejoras en aparcamiento público Lagunetas, suscrito por D. José Julio García Cabello (arquitecto) y Doña Lorena Carvajal Ramírez (arquitecta técnica) adscritos a la Diputación de Cádiz (SAM Villamartin). El proyecto suscrito en fecha 30 de julio de de 2026, fue aprobado en fecha 6 de octubre de 2026 y replanteado en fecha 13 de octubre de 2026.</t>
        </is>
      </c>
      <c r="J507" s="2" t="inlineStr">
        <is>
          <t>241/2026</t>
        </is>
      </c>
      <c r="K507" s="2" t="inlineStr">
        <is>
          <t>Abierto</t>
        </is>
      </c>
      <c r="L507" s="6" t="n">
        <v>8</v>
      </c>
      <c r="M507" s="2" t="n"/>
      <c r="N507" s="7" t="n">
        <v>0</v>
      </c>
      <c r="O507" s="4" t="n"/>
      <c r="P507" s="2" t="inlineStr">
        <is>
          <t>45200000</t>
        </is>
      </c>
      <c r="Q507" s="8" t="inlineStr">
        <is>
          <t>Ver</t>
        </is>
      </c>
      <c r="R507" s="8" t="inlineStr">
        <is>
          <t>PCAP</t>
        </is>
      </c>
      <c r="S507" s="9" t="n">
        <v>46317</v>
      </c>
      <c r="T507" s="3" t="n">
        <v>46316.45203703704</v>
      </c>
      <c r="U507" s="2" t="n"/>
    </row>
    <row r="508">
      <c r="A508" s="2" t="inlineStr">
        <is>
          <t>Resuelta</t>
        </is>
      </c>
      <c r="B508" s="3" t="n">
        <v>46259.41666666666</v>
      </c>
      <c r="C508" s="5" t="n">
        <v>86000</v>
      </c>
      <c r="D508" s="5" t="n">
        <v>86000</v>
      </c>
      <c r="E508" s="2" t="inlineStr">
        <is>
          <t>Andalucía</t>
        </is>
      </c>
      <c r="F508" s="2" t="inlineStr">
        <is>
          <t>Huelva</t>
        </is>
      </c>
      <c r="G508" s="2" t="n"/>
      <c r="H508" s="2" t="inlineStr">
        <is>
          <t>Empresa de Transformación Agraria S.A.,S.M.E., M.P., (TRAGSA)</t>
        </is>
      </c>
      <c r="I508"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CAMINOS ACCESO PRESA ANDÉVALO Y RIESGOS PRESAS.HU</t>
        </is>
      </c>
      <c r="J508" s="2" t="inlineStr">
        <is>
          <t>TSA0080057-242</t>
        </is>
      </c>
      <c r="K508" s="2" t="inlineStr">
        <is>
          <t>Abierto</t>
        </is>
      </c>
      <c r="L508" s="6" t="n">
        <v>4</v>
      </c>
      <c r="M508" s="2" t="n"/>
      <c r="N508" s="7" t="n">
        <v>0</v>
      </c>
      <c r="O508" s="4" t="n"/>
      <c r="P508" s="2" t="inlineStr">
        <is>
          <t>45500000</t>
        </is>
      </c>
      <c r="Q508" s="8" t="inlineStr">
        <is>
          <t>Ver</t>
        </is>
      </c>
      <c r="R508" s="8" t="inlineStr">
        <is>
          <t>PCAP</t>
        </is>
      </c>
      <c r="S508" s="9" t="n">
        <v>46317</v>
      </c>
      <c r="T508" s="3" t="n">
        <v>46316.45153935185</v>
      </c>
      <c r="U508" s="2" t="n"/>
    </row>
    <row r="509">
      <c r="A509" s="2" t="inlineStr">
        <is>
          <t>Resuelta</t>
        </is>
      </c>
      <c r="B509" s="3" t="n">
        <v>46022.99930555555</v>
      </c>
      <c r="C509" s="5" t="n">
        <v>404353.79</v>
      </c>
      <c r="D509" s="5" t="n">
        <v>424571.48</v>
      </c>
      <c r="E509" s="2" t="inlineStr">
        <is>
          <t>Andalucía</t>
        </is>
      </c>
      <c r="F509" s="2" t="inlineStr">
        <is>
          <t>Sevilla</t>
        </is>
      </c>
      <c r="G509" s="2" t="inlineStr">
        <is>
          <t>Sevilla</t>
        </is>
      </c>
      <c r="H509" s="2" t="inlineStr">
        <is>
          <t>Junta de Gobierno del Ayuntamiento de Sevilla</t>
        </is>
      </c>
      <c r="I509" s="2" t="inlineStr">
        <is>
          <t>Obras de adecuación para Comisaria del distrito Macarena, en el Hogar Virgen de los Reyes de Sevilla</t>
        </is>
      </c>
      <c r="J509" s="2" t="inlineStr">
        <is>
          <t>2025/001338</t>
        </is>
      </c>
      <c r="K509" s="2" t="inlineStr">
        <is>
          <t>Abierto simplificado</t>
        </is>
      </c>
      <c r="L509" s="6" t="n">
        <v>6</v>
      </c>
      <c r="M509" s="2" t="n"/>
      <c r="N509" s="7" t="n">
        <v>0</v>
      </c>
      <c r="O509" s="4" t="n"/>
      <c r="P509" s="2" t="inlineStr">
        <is>
          <t>45000000</t>
        </is>
      </c>
      <c r="Q509" s="8" t="inlineStr">
        <is>
          <t>Ver</t>
        </is>
      </c>
      <c r="R509" s="8" t="inlineStr">
        <is>
          <t>PCAP</t>
        </is>
      </c>
      <c r="S509" s="9" t="n">
        <v>46317</v>
      </c>
      <c r="T509" s="3" t="n">
        <v>46316.44981481481</v>
      </c>
      <c r="U509" s="2" t="n"/>
    </row>
    <row r="510">
      <c r="A510" s="2" t="inlineStr">
        <is>
          <t>Resuelta</t>
        </is>
      </c>
      <c r="B510" s="3" t="n">
        <v>46280.99930555555</v>
      </c>
      <c r="C510" s="5" t="n">
        <v>197880.98</v>
      </c>
      <c r="D510" s="5" t="n">
        <v>197880.98</v>
      </c>
      <c r="E510" s="2" t="inlineStr">
        <is>
          <t>Andalucía</t>
        </is>
      </c>
      <c r="F510" s="2" t="inlineStr">
        <is>
          <t>Córdoba</t>
        </is>
      </c>
      <c r="G510" s="2" t="n"/>
      <c r="H510" s="2" t="inlineStr">
        <is>
          <t>Diputado delegado de Infraestructuras, Sostenibilidad y Agricultura</t>
        </is>
      </c>
      <c r="I510" s="2" t="inlineStr">
        <is>
          <t>Contrato de obra de Ampliación Parque Municipal Las Erillas, en Hornachuelos (Córdoba). Obra incluida en el Plan de Humanización 2024-2027 (bienio 2024-2025).</t>
        </is>
      </c>
      <c r="J510" s="2" t="inlineStr">
        <is>
          <t>650/26</t>
        </is>
      </c>
      <c r="K510" s="2" t="inlineStr">
        <is>
          <t>Abierto</t>
        </is>
      </c>
      <c r="L510" s="6" t="n">
        <v>10</v>
      </c>
      <c r="M510" s="2" t="n"/>
      <c r="N510" s="7" t="n">
        <v>0.25</v>
      </c>
      <c r="O510" s="4" t="n"/>
      <c r="P510" s="2" t="inlineStr">
        <is>
          <t>45212000; 45300000</t>
        </is>
      </c>
      <c r="Q510" s="8" t="inlineStr">
        <is>
          <t>Ver</t>
        </is>
      </c>
      <c r="R510" s="8" t="inlineStr">
        <is>
          <t>PCAP</t>
        </is>
      </c>
      <c r="S510" s="9" t="n">
        <v>46317</v>
      </c>
      <c r="T510" s="3" t="n">
        <v>46316.44914351852</v>
      </c>
      <c r="U510" s="2" t="n"/>
    </row>
    <row r="511">
      <c r="A511" s="2" t="inlineStr">
        <is>
          <t>Resuelta</t>
        </is>
      </c>
      <c r="B511" s="3" t="n">
        <v>46091.41666666666</v>
      </c>
      <c r="C511" s="5" t="n">
        <v>145024</v>
      </c>
      <c r="D511" s="5" t="n">
        <v>145024</v>
      </c>
      <c r="E511" s="2" t="inlineStr">
        <is>
          <t>Andalucía</t>
        </is>
      </c>
      <c r="F511" s="2" t="inlineStr">
        <is>
          <t>Córdoba</t>
        </is>
      </c>
      <c r="G511" s="2" t="n"/>
      <c r="H511" s="2" t="inlineStr">
        <is>
          <t>Empresa de Transformación Agraria S.A.,S.M.E., M.P., (TRAGSA)</t>
        </is>
      </c>
      <c r="I511" s="2" t="inlineStr">
        <is>
          <t>Contrato derivado del Acuerdo marco para alquiler de maquinaria de obra civil, agrícola y forestal, y camiones para obras de construcción y demolición, dotada de operario, para las actuaciones del ámbito territorial de la gerencia provincial de Tragsa en Córdoba, incluida las obras con fondos en el marco del plan de recuperación, transformación y resiliencia–financiado por la unión europea</t>
        </is>
      </c>
      <c r="J511" s="2" t="inlineStr">
        <is>
          <t>TSA0079529-092</t>
        </is>
      </c>
      <c r="K511" s="2" t="inlineStr">
        <is>
          <t>Abierto</t>
        </is>
      </c>
      <c r="L511" s="6" t="n"/>
      <c r="M511" s="2" t="n"/>
      <c r="N511" s="7" t="n">
        <v>0</v>
      </c>
      <c r="O511" s="4" t="n"/>
      <c r="P511" s="2" t="inlineStr">
        <is>
          <t>45500000</t>
        </is>
      </c>
      <c r="Q511" s="8" t="inlineStr">
        <is>
          <t>Ver</t>
        </is>
      </c>
      <c r="R511" s="8" t="inlineStr">
        <is>
          <t>PCAP</t>
        </is>
      </c>
      <c r="S511" s="9" t="n">
        <v>46315</v>
      </c>
      <c r="T511" s="3" t="n">
        <v>46316.44868055556</v>
      </c>
      <c r="U511" s="2" t="n"/>
    </row>
    <row r="512">
      <c r="A512" s="2" t="inlineStr">
        <is>
          <t>Resuelta</t>
        </is>
      </c>
      <c r="B512" s="3" t="n">
        <v>46225.75</v>
      </c>
      <c r="C512" s="5" t="n">
        <v>284042.13</v>
      </c>
      <c r="D512" s="5" t="n">
        <v>284042.13</v>
      </c>
      <c r="E512" s="2" t="inlineStr">
        <is>
          <t>Comunitat Valenciana</t>
        </is>
      </c>
      <c r="F512" s="2" t="inlineStr">
        <is>
          <t>Valencia</t>
        </is>
      </c>
      <c r="G512" s="2" t="inlineStr">
        <is>
          <t>Algemesi</t>
        </is>
      </c>
      <c r="H512" s="2" t="inlineStr">
        <is>
          <t>Junta de Gobierno del Ayuntamiento de Algemesí</t>
        </is>
      </c>
      <c r="I512" s="2" t="inlineStr">
        <is>
          <t>Renovación de aceras de la calle Joan Fuster</t>
        </is>
      </c>
      <c r="J512" s="2" t="inlineStr">
        <is>
          <t>2439/2026</t>
        </is>
      </c>
      <c r="K512" s="2" t="inlineStr">
        <is>
          <t>Abierto simplificado</t>
        </is>
      </c>
      <c r="L512" s="6" t="n">
        <v>3</v>
      </c>
      <c r="M512" s="2" t="n"/>
      <c r="N512" s="7" t="n">
        <v>0</v>
      </c>
      <c r="O512" s="4" t="n"/>
      <c r="P512" s="2" t="inlineStr">
        <is>
          <t>45233252</t>
        </is>
      </c>
      <c r="Q512" s="8" t="inlineStr">
        <is>
          <t>Ver</t>
        </is>
      </c>
      <c r="R512" s="8" t="inlineStr">
        <is>
          <t>PCAP</t>
        </is>
      </c>
      <c r="S512" s="9" t="n">
        <v>46317</v>
      </c>
      <c r="T512" s="3" t="n">
        <v>46316.44851851852</v>
      </c>
      <c r="U512" s="2" t="n"/>
    </row>
    <row r="513">
      <c r="A513" s="2" t="inlineStr">
        <is>
          <t>Resuelta</t>
        </is>
      </c>
      <c r="B513" s="3" t="n">
        <v>45972.41666666666</v>
      </c>
      <c r="C513" s="5" t="n">
        <v>63000</v>
      </c>
      <c r="D513" s="5" t="n">
        <v>63000</v>
      </c>
      <c r="E513" s="2" t="inlineStr">
        <is>
          <t>Andalucía</t>
        </is>
      </c>
      <c r="F513" s="2" t="inlineStr">
        <is>
          <t>Córdoba</t>
        </is>
      </c>
      <c r="G513" s="2" t="n"/>
      <c r="H513" s="2" t="inlineStr">
        <is>
          <t>Empresa de Transformación Agraria S.A.,S.M.E., M.P., (TRAGSA)</t>
        </is>
      </c>
      <c r="I513" s="2" t="inlineStr">
        <is>
          <t>Contrato derivado del Acuerdo marco para alquiler de maquinaria de obra civil, agrícola y forestal, y camiones para obras de construcción y demolición, dotada de operario, para las actuaciones del ámbito territorial de la gerencia provincial de Tragsa en Córdoba, incluida las obras con fondos en el marco del plan de recuperación, transformación y resiliencia–financiado por la unión europea</t>
        </is>
      </c>
      <c r="J513" s="2" t="inlineStr">
        <is>
          <t>TSA0079529-045</t>
        </is>
      </c>
      <c r="K513" s="2" t="inlineStr">
        <is>
          <t>Abierto</t>
        </is>
      </c>
      <c r="L513" s="6" t="n"/>
      <c r="M513" s="2" t="n"/>
      <c r="N513" s="7" t="n">
        <v>0</v>
      </c>
      <c r="O513" s="4" t="n"/>
      <c r="P513" s="2" t="inlineStr">
        <is>
          <t>45500000</t>
        </is>
      </c>
      <c r="Q513" s="8" t="inlineStr">
        <is>
          <t>Ver</t>
        </is>
      </c>
      <c r="R513" s="8" t="inlineStr">
        <is>
          <t>PCAP</t>
        </is>
      </c>
      <c r="S513" s="9" t="n">
        <v>46317</v>
      </c>
      <c r="T513" s="3" t="n">
        <v>46316.44549768518</v>
      </c>
      <c r="U513" s="2" t="n"/>
    </row>
    <row r="514">
      <c r="A514" s="2" t="inlineStr">
        <is>
          <t>Resuelta</t>
        </is>
      </c>
      <c r="B514" s="3" t="n">
        <v>45972.41666666666</v>
      </c>
      <c r="C514" s="5" t="n">
        <v>50000</v>
      </c>
      <c r="D514" s="5" t="n">
        <v>50000</v>
      </c>
      <c r="E514" s="2" t="inlineStr">
        <is>
          <t>Andalucía</t>
        </is>
      </c>
      <c r="F514" s="2" t="inlineStr">
        <is>
          <t>Córdoba</t>
        </is>
      </c>
      <c r="G514" s="2" t="n"/>
      <c r="H514" s="2" t="inlineStr">
        <is>
          <t>Empresa de Transformación Agraria S.A.,S.M.E., M.P., (TRAGSA)</t>
        </is>
      </c>
      <c r="I514" s="2" t="inlineStr">
        <is>
          <t>Contrato derivado del Acuerdo marco para alquiler de maquinaria de obra civil, agrícola y forestal, y camiones para obras de construcción y demolición, dotada de operario, para las actuaciones del ámbito territorial de la gerencia provincial de Tragsa en Córdoba, incluida las obras con fondos en el marco del plan de recuperación, transformación y resiliencia–financiado por la unión europea</t>
        </is>
      </c>
      <c r="J514" s="2" t="inlineStr">
        <is>
          <t>TSA0079529-043</t>
        </is>
      </c>
      <c r="K514" s="2" t="inlineStr">
        <is>
          <t>Abierto</t>
        </is>
      </c>
      <c r="L514" s="6" t="n"/>
      <c r="M514" s="2" t="n"/>
      <c r="N514" s="7" t="n">
        <v>0</v>
      </c>
      <c r="O514" s="4" t="n"/>
      <c r="P514" s="2" t="inlineStr">
        <is>
          <t>45500000</t>
        </is>
      </c>
      <c r="Q514" s="8" t="inlineStr">
        <is>
          <t>Ver</t>
        </is>
      </c>
      <c r="R514" s="8" t="inlineStr">
        <is>
          <t>PCAP</t>
        </is>
      </c>
      <c r="S514" s="9" t="n">
        <v>46317</v>
      </c>
      <c r="T514" s="3" t="n">
        <v>46316.44403935185</v>
      </c>
      <c r="U514" s="2" t="n"/>
    </row>
    <row r="515">
      <c r="A515" s="2" t="inlineStr">
        <is>
          <t>En plazo</t>
        </is>
      </c>
      <c r="B515" s="3" t="n">
        <v>46335.99930555555</v>
      </c>
      <c r="C515" s="5" t="n">
        <v>661157.01</v>
      </c>
      <c r="D515" s="5" t="n">
        <v>661157.01</v>
      </c>
      <c r="E515" s="2" t="inlineStr">
        <is>
          <t>Andalucía</t>
        </is>
      </c>
      <c r="F515" s="2" t="inlineStr">
        <is>
          <t>Almería</t>
        </is>
      </c>
      <c r="G515" s="2" t="n"/>
      <c r="H515" s="2" t="inlineStr">
        <is>
          <t>Junta de Gobierno del Ayuntamiento de Almería</t>
        </is>
      </c>
      <c r="I515" s="2" t="inlineStr">
        <is>
          <t>Contratación de obras de Reforma integral de la Plaza de la Iglesia y calles Iglesia de Cabo de Gata, La Estrella de Mar, Chozas y Las Barcas de la barriada de San Miguel de Cabo de Gata (Almería)</t>
        </is>
      </c>
      <c r="J515" s="2" t="inlineStr">
        <is>
          <t>AYAL-2026000221</t>
        </is>
      </c>
      <c r="K515" s="2" t="inlineStr">
        <is>
          <t>Abierto simplificado</t>
        </is>
      </c>
      <c r="L515" s="6" t="n">
        <v>6</v>
      </c>
      <c r="M515" s="2" t="n"/>
      <c r="N515" s="7" t="n">
        <v>0</v>
      </c>
      <c r="O515" s="4" t="n"/>
      <c r="P515" s="2" t="inlineStr">
        <is>
          <t>45233140</t>
        </is>
      </c>
      <c r="Q515" s="8" t="inlineStr">
        <is>
          <t>Ver</t>
        </is>
      </c>
      <c r="R515" s="8" t="inlineStr">
        <is>
          <t>PCAP</t>
        </is>
      </c>
      <c r="S515" s="9" t="n">
        <v>46315</v>
      </c>
      <c r="T515" s="3" t="n">
        <v>46316.44347222222</v>
      </c>
      <c r="U515" s="2" t="n"/>
    </row>
    <row r="516">
      <c r="A516" s="2" t="inlineStr">
        <is>
          <t>En plazo</t>
        </is>
      </c>
      <c r="B516" s="3" t="n">
        <v>46329.5</v>
      </c>
      <c r="C516" s="5" t="n">
        <v>50000</v>
      </c>
      <c r="D516" s="5" t="n">
        <v>50000</v>
      </c>
      <c r="E516" s="2" t="inlineStr">
        <is>
          <t>Andalucía</t>
        </is>
      </c>
      <c r="F516" s="2" t="inlineStr">
        <is>
          <t>Málaga</t>
        </is>
      </c>
      <c r="G516" s="2" t="inlineStr">
        <is>
          <t>Málaga</t>
        </is>
      </c>
      <c r="H516" s="2" t="inlineStr">
        <is>
          <t>Aena. Dirección del Aeropuerto de Málaga-Costa del Sol</t>
        </is>
      </c>
      <c r="I516" s="2" t="inlineStr">
        <is>
          <t>Sustitución De Unidades De Regulación De Tensión Electrónica En Sendos Transformadores De 66 Kv En Celtn Del Aeropuerto De Málaga</t>
        </is>
      </c>
      <c r="J516" s="2" t="inlineStr">
        <is>
          <t>AGP-162/2026</t>
        </is>
      </c>
      <c r="K516" s="2" t="inlineStr">
        <is>
          <t>Normas internas</t>
        </is>
      </c>
      <c r="L516" s="6" t="n">
        <v>4</v>
      </c>
      <c r="M516" s="2" t="n"/>
      <c r="N516" s="7" t="n">
        <v>0</v>
      </c>
      <c r="O516" s="4" t="n"/>
      <c r="P516" s="2" t="inlineStr">
        <is>
          <t>45317200</t>
        </is>
      </c>
      <c r="Q516" s="8" t="inlineStr">
        <is>
          <t>Ver</t>
        </is>
      </c>
      <c r="R516" s="8" t="inlineStr">
        <is>
          <t>PCAP</t>
        </is>
      </c>
      <c r="S516" s="9" t="n">
        <v>46317</v>
      </c>
      <c r="T516" s="3" t="n">
        <v>46316.44148148148</v>
      </c>
      <c r="U516" s="2" t="n"/>
    </row>
    <row r="517">
      <c r="A517" s="2" t="inlineStr">
        <is>
          <t>Resuelta</t>
        </is>
      </c>
      <c r="B517" s="3" t="n">
        <v>45972.41666666666</v>
      </c>
      <c r="C517" s="5" t="n">
        <v>50000</v>
      </c>
      <c r="D517" s="5" t="n">
        <v>50000</v>
      </c>
      <c r="E517" s="2" t="inlineStr">
        <is>
          <t>Andalucía</t>
        </is>
      </c>
      <c r="F517" s="2" t="inlineStr">
        <is>
          <t>Córdoba</t>
        </is>
      </c>
      <c r="G517" s="2" t="n"/>
      <c r="H517" s="2" t="inlineStr">
        <is>
          <t>Empresa de Transformación Agraria S.A.,S.M.E., M.P., (TRAGSA)</t>
        </is>
      </c>
      <c r="I517" s="2" t="inlineStr">
        <is>
          <t>Contrato derivado del Acuerdo marco para alquiler de maquinaria de obra civil, agrícola y forestal, y camiones para obras de construcción y demolición, dotada de operario, para las actuaciones del ámbito territorial de la gerencia provincial de Tragsa en Córdoba, incluida las obras con fondos en el marco del plan de recuperación, transformación y resiliencia–financiado por la unión europea</t>
        </is>
      </c>
      <c r="J517" s="2" t="inlineStr">
        <is>
          <t>TSA0079529-042</t>
        </is>
      </c>
      <c r="K517" s="2" t="inlineStr">
        <is>
          <t>Abierto</t>
        </is>
      </c>
      <c r="L517" s="6" t="n"/>
      <c r="M517" s="2" t="n"/>
      <c r="N517" s="7" t="n">
        <v>0</v>
      </c>
      <c r="O517" s="4" t="n"/>
      <c r="P517" s="2" t="inlineStr">
        <is>
          <t>45500000</t>
        </is>
      </c>
      <c r="Q517" s="8" t="inlineStr">
        <is>
          <t>Ver</t>
        </is>
      </c>
      <c r="R517" s="8" t="inlineStr">
        <is>
          <t>PCAP</t>
        </is>
      </c>
      <c r="S517" s="9" t="n">
        <v>46317</v>
      </c>
      <c r="T517" s="3" t="n">
        <v>46316.43893518519</v>
      </c>
      <c r="U517" s="2" t="n"/>
    </row>
    <row r="518">
      <c r="A518" s="2" t="inlineStr">
        <is>
          <t>Adjudicada</t>
        </is>
      </c>
      <c r="B518" s="3" t="n">
        <v>46272.58333333334</v>
      </c>
      <c r="C518" s="5" t="n">
        <v>65813.06</v>
      </c>
      <c r="D518" s="5" t="n">
        <v>65813.06</v>
      </c>
      <c r="E518" s="2" t="inlineStr">
        <is>
          <t>Andalucía</t>
        </is>
      </c>
      <c r="F518" s="2" t="inlineStr">
        <is>
          <t>Granada</t>
        </is>
      </c>
      <c r="G518" s="2" t="inlineStr">
        <is>
          <t>Pulianas</t>
        </is>
      </c>
      <c r="H518" s="2" t="inlineStr">
        <is>
          <t>Junta de Gobierno Local del Ayuntamiento de Pulianas</t>
        </is>
      </c>
      <c r="I518" s="2" t="inlineStr">
        <is>
          <t>OP 2026/07 Renovación Hogar del Pensionista</t>
        </is>
      </c>
      <c r="J518" s="2" t="inlineStr">
        <is>
          <t>1766/2026</t>
        </is>
      </c>
      <c r="K518" s="2" t="inlineStr">
        <is>
          <t>Abierto simplificado</t>
        </is>
      </c>
      <c r="L518" s="6" t="n">
        <v>4</v>
      </c>
      <c r="M518" s="2" t="n"/>
      <c r="N518" s="7" t="n">
        <v>0.25</v>
      </c>
      <c r="O518" s="4" t="n"/>
      <c r="P518" s="2" t="inlineStr">
        <is>
          <t>45262700; 45313100</t>
        </is>
      </c>
      <c r="Q518" s="8" t="inlineStr">
        <is>
          <t>Ver</t>
        </is>
      </c>
      <c r="R518" s="8" t="inlineStr">
        <is>
          <t>PCAP</t>
        </is>
      </c>
      <c r="S518" s="9" t="n">
        <v>46315</v>
      </c>
      <c r="T518" s="3" t="n">
        <v>46316.43857638889</v>
      </c>
      <c r="U518" s="2" t="inlineStr">
        <is>
          <t>2026-10-22: estado EV → ADJ</t>
        </is>
      </c>
    </row>
    <row r="519">
      <c r="A519" s="2" t="inlineStr">
        <is>
          <t>Pendiente de adjudicación</t>
        </is>
      </c>
      <c r="B519" s="3" t="n">
        <v>46251.99930555555</v>
      </c>
      <c r="C519" s="5" t="n">
        <v>300285.16</v>
      </c>
      <c r="D519" s="5" t="n">
        <v>300285.16</v>
      </c>
      <c r="E519" s="2" t="inlineStr">
        <is>
          <t>Andalucía</t>
        </is>
      </c>
      <c r="F519" s="2" t="inlineStr">
        <is>
          <t>Málaga</t>
        </is>
      </c>
      <c r="G519" s="2" t="n"/>
      <c r="H519" s="2" t="inlineStr">
        <is>
          <t>Junta de Gobierno del Ayuntamiento de Fuengirola</t>
        </is>
      </c>
      <c r="I519" s="2" t="inlineStr">
        <is>
          <t>Obras de remodelación de la plaza del Carmen, de Fuengirola.</t>
        </is>
      </c>
      <c r="J519" s="2" t="inlineStr">
        <is>
          <t>CONTR-2026000061</t>
        </is>
      </c>
      <c r="K519" s="2" t="inlineStr">
        <is>
          <t>Abierto</t>
        </is>
      </c>
      <c r="L519" s="6" t="n">
        <v>3.5</v>
      </c>
      <c r="M519" s="2" t="n"/>
      <c r="N519" s="7" t="n">
        <v>0.49</v>
      </c>
      <c r="O519" s="4" t="n"/>
      <c r="P519" s="2" t="inlineStr">
        <is>
          <t>45233140</t>
        </is>
      </c>
      <c r="Q519" s="8" t="inlineStr">
        <is>
          <t>Ver</t>
        </is>
      </c>
      <c r="R519" s="8" t="inlineStr">
        <is>
          <t>PCAP</t>
        </is>
      </c>
      <c r="S519" s="9" t="n">
        <v>46317</v>
      </c>
      <c r="T519" s="3" t="n">
        <v>46316.4359375</v>
      </c>
      <c r="U519" s="2" t="n"/>
    </row>
    <row r="520">
      <c r="A520" s="2" t="inlineStr">
        <is>
          <t>Adjudicada</t>
        </is>
      </c>
      <c r="B520" s="3" t="n">
        <v>46237.99930555555</v>
      </c>
      <c r="C520" s="5" t="n">
        <v>28730.26</v>
      </c>
      <c r="D520" s="5" t="n">
        <v>28730.26</v>
      </c>
      <c r="E520" s="2" t="inlineStr">
        <is>
          <t>Comunitat Valenciana</t>
        </is>
      </c>
      <c r="F520" s="2" t="inlineStr">
        <is>
          <t>Alicante</t>
        </is>
      </c>
      <c r="G520" s="2" t="inlineStr">
        <is>
          <t>Alicante (Alacant)</t>
        </is>
      </c>
      <c r="H520" s="2" t="inlineStr">
        <is>
          <t>Alcaldía del Ayuntamiento de Villajoyosa</t>
        </is>
      </c>
      <c r="I520" s="2" t="inlineStr">
        <is>
          <t>Servicio de subsanación de deficiencias detectadas en la OCA de baja tensión en el OAL Santa Marta.</t>
        </is>
      </c>
      <c r="J520" s="2" t="inlineStr">
        <is>
          <t>7405/2026</t>
        </is>
      </c>
      <c r="K520" s="2" t="inlineStr">
        <is>
          <t>Abierto simplificado</t>
        </is>
      </c>
      <c r="L520" s="6" t="n">
        <v>1</v>
      </c>
      <c r="M520" s="2" t="n"/>
      <c r="N520" s="7" t="n">
        <v>0.4</v>
      </c>
      <c r="O520" s="4" t="n"/>
      <c r="P520" s="2" t="inlineStr">
        <is>
          <t>45259000; 45315600</t>
        </is>
      </c>
      <c r="Q520" s="8" t="inlineStr">
        <is>
          <t>Ver</t>
        </is>
      </c>
      <c r="R520" s="2" t="n"/>
      <c r="S520" s="9" t="n">
        <v>46317</v>
      </c>
      <c r="T520" s="3" t="n">
        <v>46316.43457175926</v>
      </c>
      <c r="U520" s="2" t="n"/>
    </row>
    <row r="521">
      <c r="A521" s="2" t="inlineStr">
        <is>
          <t>Adjudicada</t>
        </is>
      </c>
      <c r="B521" s="3" t="n">
        <v>46245.99930555555</v>
      </c>
      <c r="C521" s="5" t="n">
        <v>41668.4</v>
      </c>
      <c r="D521" s="5" t="n">
        <v>41668.4</v>
      </c>
      <c r="E521" s="2" t="inlineStr">
        <is>
          <t>Andalucía</t>
        </is>
      </c>
      <c r="F521" s="2" t="inlineStr">
        <is>
          <t>Córdoba</t>
        </is>
      </c>
      <c r="G521" s="2" t="inlineStr">
        <is>
          <t>Pedro Abad</t>
        </is>
      </c>
      <c r="H521" s="2" t="inlineStr">
        <is>
          <t>Alcaldía de Ayuntamiento de Pedro Abad</t>
        </is>
      </c>
      <c r="I521" s="2" t="inlineStr">
        <is>
          <t>Obras de remodelación de acerados en parque de la Barriada Pablo Iglesias de Pedro Abad</t>
        </is>
      </c>
      <c r="J521" s="2" t="inlineStr">
        <is>
          <t>GEX 3298/2026</t>
        </is>
      </c>
      <c r="K521" s="2" t="inlineStr">
        <is>
          <t>Abierto simplificado</t>
        </is>
      </c>
      <c r="L521" s="6" t="n">
        <v>2</v>
      </c>
      <c r="M521" s="2" t="n"/>
      <c r="N521" s="7" t="n">
        <v>0</v>
      </c>
      <c r="O521" s="4" t="n"/>
      <c r="P521" s="2" t="inlineStr">
        <is>
          <t>45211360</t>
        </is>
      </c>
      <c r="Q521" s="8" t="inlineStr">
        <is>
          <t>Ver</t>
        </is>
      </c>
      <c r="R521" s="8" t="inlineStr">
        <is>
          <t>PCAP</t>
        </is>
      </c>
      <c r="S521" s="9" t="n">
        <v>46310</v>
      </c>
      <c r="T521" s="3" t="n">
        <v>46316.43344907407</v>
      </c>
      <c r="U521" s="2" t="inlineStr">
        <is>
          <t>2026-10-22: estado EV → ADJ</t>
        </is>
      </c>
    </row>
    <row r="522">
      <c r="A522" s="2" t="inlineStr">
        <is>
          <t>En plazo</t>
        </is>
      </c>
      <c r="B522" s="3" t="n">
        <v>46336.99930555555</v>
      </c>
      <c r="C522" s="5" t="n">
        <v>227353.6</v>
      </c>
      <c r="D522" s="5" t="n">
        <v>227353.6</v>
      </c>
      <c r="E522" s="2" t="inlineStr">
        <is>
          <t>Andalucía</t>
        </is>
      </c>
      <c r="F522" s="2" t="inlineStr">
        <is>
          <t>Málaga</t>
        </is>
      </c>
      <c r="G522" s="2" t="n"/>
      <c r="H522" s="2" t="inlineStr">
        <is>
          <t>Junta de Gobierno del Ayuntamiento de Vélez-Málaga</t>
        </is>
      </c>
      <c r="I522" s="2" t="inlineStr">
        <is>
          <t>Reparación de pavimentos de acera y calzada del viario del SUO.CH-4 del PGOU de Vélez-Málaga</t>
        </is>
      </c>
      <c r="J522" s="2" t="inlineStr">
        <is>
          <t>AVM.OBR-2026000018</t>
        </is>
      </c>
      <c r="K522" s="2" t="inlineStr">
        <is>
          <t>Abierto simplificado</t>
        </is>
      </c>
      <c r="L522" s="6" t="n">
        <v>5</v>
      </c>
      <c r="M522" s="2" t="inlineStr">
        <is>
          <t>G6-2</t>
        </is>
      </c>
      <c r="N522" s="7" t="n">
        <v>0</v>
      </c>
      <c r="O522" s="4" t="n"/>
      <c r="P522" s="2" t="inlineStr">
        <is>
          <t>45233140</t>
        </is>
      </c>
      <c r="Q522" s="8" t="inlineStr">
        <is>
          <t>Ver</t>
        </is>
      </c>
      <c r="R522" s="8" t="inlineStr">
        <is>
          <t>PCAP</t>
        </is>
      </c>
      <c r="S522" s="9" t="n">
        <v>46317</v>
      </c>
      <c r="T522" s="3" t="n">
        <v>46316.43340277778</v>
      </c>
      <c r="U522" s="2" t="n"/>
    </row>
    <row r="523">
      <c r="A523" s="2" t="inlineStr">
        <is>
          <t>Pendiente de adjudicación</t>
        </is>
      </c>
      <c r="B523" s="3" t="n">
        <v>45974.99930555555</v>
      </c>
      <c r="C523" s="5" t="n">
        <v>194506.31</v>
      </c>
      <c r="D523" s="5" t="n">
        <v>194506.31</v>
      </c>
      <c r="E523" s="2" t="inlineStr">
        <is>
          <t>Comunitat Valenciana</t>
        </is>
      </c>
      <c r="F523" s="2" t="inlineStr">
        <is>
          <t>Alicante</t>
        </is>
      </c>
      <c r="G523" s="2" t="n"/>
      <c r="H523" s="2" t="inlineStr">
        <is>
          <t>Presidencia de la Diputación Provincial de Alicante</t>
        </is>
      </c>
      <c r="I523" s="2" t="inlineStr">
        <is>
          <t>Obras de recuperación de la cubierta vegetal y para evitar la pérdida del suelo y de biodiversidad en los montes de propiedad municipal de La Vall de Gallinera, afectados por los incendios forestales de agosto de 2022. Acción inmediata.</t>
        </is>
      </c>
      <c r="J523" s="2" t="inlineStr">
        <is>
          <t>O4S-203/2025</t>
        </is>
      </c>
      <c r="K523" s="2" t="inlineStr">
        <is>
          <t>Abierto simplificado</t>
        </is>
      </c>
      <c r="L523" s="6" t="n">
        <v>3</v>
      </c>
      <c r="M523" s="2" t="n"/>
      <c r="N523" s="7" t="n">
        <v>0.25</v>
      </c>
      <c r="O523" s="4" t="n"/>
      <c r="P523" s="2" t="inlineStr">
        <is>
          <t>45112700; 45262640</t>
        </is>
      </c>
      <c r="Q523" s="8" t="inlineStr">
        <is>
          <t>Ver</t>
        </is>
      </c>
      <c r="R523" s="8" t="inlineStr">
        <is>
          <t>PCAP</t>
        </is>
      </c>
      <c r="S523" s="9" t="n">
        <v>46317</v>
      </c>
      <c r="T523" s="3" t="n">
        <v>46316.42978009259</v>
      </c>
      <c r="U523" s="2" t="n"/>
    </row>
    <row r="524">
      <c r="A524" s="2" t="inlineStr">
        <is>
          <t>En plazo</t>
        </is>
      </c>
      <c r="B524" s="3" t="n">
        <v>46331.99930555555</v>
      </c>
      <c r="C524" s="5" t="n">
        <v>75415.06</v>
      </c>
      <c r="D524" s="5" t="n">
        <v>75415.06</v>
      </c>
      <c r="E524" s="2" t="inlineStr">
        <is>
          <t>Andalucía</t>
        </is>
      </c>
      <c r="F524" s="2" t="inlineStr">
        <is>
          <t>Córdoba</t>
        </is>
      </c>
      <c r="G524" s="2" t="inlineStr">
        <is>
          <t>CÓRDOBA</t>
        </is>
      </c>
      <c r="H524" s="2" t="inlineStr">
        <is>
          <t>Presidencia del Consejo Rector de la Gerencia Municipal de Urbanismo del Ayuntamiento de Córdoba</t>
        </is>
      </c>
      <c r="I524" s="2" t="inlineStr">
        <is>
          <t>Constituye el objeto del contrato la ejecución de la obras contenidas en el Proyecto de actividad arqueológica preventiva excavación arqueológica y análisis de estructuras emergentes en calle Amador de los Ríos s/n (Jardín del Obispo), Córdoba.</t>
        </is>
      </c>
      <c r="J524" s="2" t="inlineStr">
        <is>
          <t>33/2026</t>
        </is>
      </c>
      <c r="K524" s="2" t="inlineStr">
        <is>
          <t>Abierto simplificado</t>
        </is>
      </c>
      <c r="L524" s="6" t="n">
        <v>3</v>
      </c>
      <c r="M524" s="2" t="n"/>
      <c r="N524" s="7" t="n">
        <v>0</v>
      </c>
      <c r="O524" s="4" t="n"/>
      <c r="P524" s="2" t="inlineStr">
        <is>
          <t>45112200</t>
        </is>
      </c>
      <c r="Q524" s="8" t="inlineStr">
        <is>
          <t>Ver</t>
        </is>
      </c>
      <c r="R524" s="8" t="inlineStr">
        <is>
          <t>PCAP</t>
        </is>
      </c>
      <c r="S524" s="9" t="n">
        <v>46317</v>
      </c>
      <c r="T524" s="3" t="n">
        <v>46316.42859953704</v>
      </c>
      <c r="U524" s="2" t="n"/>
    </row>
    <row r="525">
      <c r="A525" s="2" t="inlineStr">
        <is>
          <t>Resuelta</t>
        </is>
      </c>
      <c r="B525" s="3" t="n">
        <v>46070.75</v>
      </c>
      <c r="C525" s="5" t="n">
        <v>515688.12</v>
      </c>
      <c r="D525" s="5" t="n">
        <v>618825.74</v>
      </c>
      <c r="E525" s="2" t="inlineStr">
        <is>
          <t>Andalucía</t>
        </is>
      </c>
      <c r="F525" s="2" t="inlineStr">
        <is>
          <t>Málaga</t>
        </is>
      </c>
      <c r="G525" s="2" t="n"/>
      <c r="H525" s="2" t="inlineStr">
        <is>
          <t>Consejero Delegado de la Empresa Municipal de Aguas de Málaga S.A.</t>
        </is>
      </c>
      <c r="I525" s="2" t="inlineStr">
        <is>
          <t>Obras de Ampliación de la Red de Baldeo de la Zona Este (Expdte Ingeniería: 173/2023)</t>
        </is>
      </c>
      <c r="J525" s="2" t="inlineStr">
        <is>
          <t>25-522-9</t>
        </is>
      </c>
      <c r="K525" s="2" t="inlineStr">
        <is>
          <t>Abierto</t>
        </is>
      </c>
      <c r="L525" s="6" t="n">
        <v>6</v>
      </c>
      <c r="M525" s="2" t="n"/>
      <c r="N525" s="7" t="n">
        <v>0</v>
      </c>
      <c r="O525" s="4" t="n"/>
      <c r="P525" s="2" t="inlineStr">
        <is>
          <t>45000000</t>
        </is>
      </c>
      <c r="Q525" s="8" t="inlineStr">
        <is>
          <t>Ver</t>
        </is>
      </c>
      <c r="R525" s="8" t="inlineStr">
        <is>
          <t>PCAP</t>
        </is>
      </c>
      <c r="S525" s="9" t="n">
        <v>46317</v>
      </c>
      <c r="T525" s="3" t="n">
        <v>46316.42324074074</v>
      </c>
      <c r="U525" s="2" t="n"/>
    </row>
    <row r="526">
      <c r="A526" s="2" t="inlineStr">
        <is>
          <t>En plazo</t>
        </is>
      </c>
      <c r="B526" s="3" t="n">
        <v>46329.99930555555</v>
      </c>
      <c r="C526" s="5" t="n">
        <v>335475.99</v>
      </c>
      <c r="D526" s="5" t="n">
        <v>335475.99</v>
      </c>
      <c r="E526" s="2" t="inlineStr">
        <is>
          <t>Andalucía</t>
        </is>
      </c>
      <c r="F526" s="2" t="inlineStr">
        <is>
          <t>Málaga</t>
        </is>
      </c>
      <c r="G526" s="2" t="n"/>
      <c r="H526" s="2" t="inlineStr">
        <is>
          <t>Alcaldía del Ayuntamiento de Jubrique</t>
        </is>
      </c>
      <c r="I526" s="2" t="inlineStr">
        <is>
          <t>El objeto del presente proyecto es la construccion de un aparcamiento en superficie, que permita dotar al entorno urbano de nuevas plazas de estacionamiento mediante una solución funcional.</t>
        </is>
      </c>
      <c r="J526" s="2" t="inlineStr">
        <is>
          <t>CONTRATO_99/2026</t>
        </is>
      </c>
      <c r="K526" s="2" t="inlineStr">
        <is>
          <t>Abierto simplificado</t>
        </is>
      </c>
      <c r="L526" s="6" t="n">
        <v>8</v>
      </c>
      <c r="M526" s="2" t="inlineStr">
        <is>
          <t>G6-2</t>
        </is>
      </c>
      <c r="N526" s="7" t="n">
        <v>0.25</v>
      </c>
      <c r="O526" s="4" t="n"/>
      <c r="P526" s="2" t="inlineStr">
        <is>
          <t>45223300; 45111000; 45233252</t>
        </is>
      </c>
      <c r="Q526" s="8" t="inlineStr">
        <is>
          <t>Ver</t>
        </is>
      </c>
      <c r="R526" s="8" t="inlineStr">
        <is>
          <t>PCAP</t>
        </is>
      </c>
      <c r="S526" s="9" t="n">
        <v>46310</v>
      </c>
      <c r="T526" s="3" t="n">
        <v>46316.42184027778</v>
      </c>
      <c r="U526" s="2" t="n"/>
    </row>
    <row r="527">
      <c r="A527" s="2" t="inlineStr">
        <is>
          <t>Pendiente de adjudicación</t>
        </is>
      </c>
      <c r="B527" s="3" t="n">
        <v>46308.99930555555</v>
      </c>
      <c r="C527" s="5" t="n">
        <v>410216.43</v>
      </c>
      <c r="D527" s="5" t="n">
        <v>410216.43</v>
      </c>
      <c r="E527" s="2" t="inlineStr">
        <is>
          <t>Comunitat Valenciana</t>
        </is>
      </c>
      <c r="F527" s="2" t="inlineStr">
        <is>
          <t>Valencia</t>
        </is>
      </c>
      <c r="G527" s="2" t="n"/>
      <c r="H527" s="2" t="inlineStr">
        <is>
          <t>Conselleria de Economía, Hacienda y Administración Pública</t>
        </is>
      </c>
      <c r="I527" s="2" t="inlineStr">
        <is>
          <t>Obras de adecuación de los baños del Almirante.</t>
        </is>
      </c>
      <c r="J527" s="2" t="inlineStr">
        <is>
          <t>CMAYOR/2026/31Y01/0060</t>
        </is>
      </c>
      <c r="K527" s="2" t="inlineStr">
        <is>
          <t>Abierto simplificado</t>
        </is>
      </c>
      <c r="L527" s="6" t="n">
        <v>5</v>
      </c>
      <c r="M527" s="2" t="inlineStr">
        <is>
          <t>K7-3</t>
        </is>
      </c>
      <c r="N527" s="7" t="n">
        <v>0</v>
      </c>
      <c r="O527" s="4" t="n"/>
      <c r="P527" s="2" t="inlineStr">
        <is>
          <t>45212350</t>
        </is>
      </c>
      <c r="Q527" s="8" t="inlineStr">
        <is>
          <t>Ver</t>
        </is>
      </c>
      <c r="R527" s="8" t="inlineStr">
        <is>
          <t>PCAP</t>
        </is>
      </c>
      <c r="S527" s="9" t="n">
        <v>46317</v>
      </c>
      <c r="T527" s="3" t="n">
        <v>46316.42115740741</v>
      </c>
      <c r="U527" s="2" t="n"/>
    </row>
    <row r="528">
      <c r="A528" s="2" t="inlineStr">
        <is>
          <t>Resuelta</t>
        </is>
      </c>
      <c r="B528" s="3" t="n">
        <v>46283.58333333334</v>
      </c>
      <c r="C528" s="5" t="n">
        <v>53719.01</v>
      </c>
      <c r="D528" s="5" t="n">
        <v>53719.01</v>
      </c>
      <c r="E528" s="2" t="inlineStr">
        <is>
          <t>Comunitat Valenciana</t>
        </is>
      </c>
      <c r="F528" s="2" t="inlineStr">
        <is>
          <t>Valencia</t>
        </is>
      </c>
      <c r="G528" s="2" t="inlineStr">
        <is>
          <t>Gandia</t>
        </is>
      </c>
      <c r="H528" s="2" t="inlineStr">
        <is>
          <t>Departamento de Salud de Gandía. Dirección Económica-Gerencia</t>
        </is>
      </c>
      <c r="I528" s="2" t="inlineStr">
        <is>
          <t>Obras de reparación de la cubierta del Centro de Salud de Tavernes de la Valldigna del Departamento de Salud de Gandía, según especificaciones descritas en el PPT, respetuoso con el medio ambiente.</t>
        </is>
      </c>
      <c r="J528" s="2" t="inlineStr">
        <is>
          <t>PASS OB 1165/2026</t>
        </is>
      </c>
      <c r="K528" s="2" t="inlineStr">
        <is>
          <t>Abierto simplificado</t>
        </is>
      </c>
      <c r="L528" s="6" t="n">
        <v>1</v>
      </c>
      <c r="M528" s="2" t="n"/>
      <c r="N528" s="7" t="n">
        <v>0</v>
      </c>
      <c r="O528" s="4" t="n"/>
      <c r="P528" s="2" t="inlineStr">
        <is>
          <t>45215140; 45261420; 45261910; 45261410</t>
        </is>
      </c>
      <c r="Q528" s="8" t="inlineStr">
        <is>
          <t>Ver</t>
        </is>
      </c>
      <c r="R528" s="8" t="inlineStr">
        <is>
          <t>PCAP</t>
        </is>
      </c>
      <c r="S528" s="9" t="n">
        <v>46317</v>
      </c>
      <c r="T528" s="3" t="n">
        <v>46316.41991898148</v>
      </c>
      <c r="U528" s="2" t="n"/>
    </row>
    <row r="529">
      <c r="A529" s="2" t="inlineStr">
        <is>
          <t>Pendiente de adjudicación</t>
        </is>
      </c>
      <c r="B529" s="3" t="n">
        <v>46258.99930555555</v>
      </c>
      <c r="C529" s="5" t="n">
        <v>232926.86</v>
      </c>
      <c r="D529" s="5" t="n">
        <v>232926.86</v>
      </c>
      <c r="E529" s="2" t="inlineStr">
        <is>
          <t>Comunitat Valenciana</t>
        </is>
      </c>
      <c r="F529" s="2" t="inlineStr">
        <is>
          <t>Valencia</t>
        </is>
      </c>
      <c r="G529" s="2" t="inlineStr">
        <is>
          <t>Utiel</t>
        </is>
      </c>
      <c r="H529" s="2" t="inlineStr">
        <is>
          <t>Alcaldía del Ayuntamiento de Utiel</t>
        </is>
      </c>
      <c r="I529" s="2" t="inlineStr">
        <is>
          <t>Construcción edificio base para el SAMU (Servicio de Atención Móvil de Urgencia) de Utiel</t>
        </is>
      </c>
      <c r="J529" s="2" t="inlineStr">
        <is>
          <t>427/2026</t>
        </is>
      </c>
      <c r="K529" s="2" t="inlineStr">
        <is>
          <t>Abierto simplificado</t>
        </is>
      </c>
      <c r="L529" s="6" t="n">
        <v>12</v>
      </c>
      <c r="M529" s="2" t="n"/>
      <c r="N529" s="7" t="n">
        <v>0</v>
      </c>
      <c r="O529" s="4" t="n"/>
      <c r="P529" s="2" t="inlineStr">
        <is>
          <t>45210000</t>
        </is>
      </c>
      <c r="Q529" s="8" t="inlineStr">
        <is>
          <t>Ver</t>
        </is>
      </c>
      <c r="R529" s="8" t="inlineStr">
        <is>
          <t>PCAP</t>
        </is>
      </c>
      <c r="S529" s="9" t="n">
        <v>46317</v>
      </c>
      <c r="T529" s="3" t="n">
        <v>46316.41451388889</v>
      </c>
      <c r="U529" s="2" t="n"/>
    </row>
    <row r="530">
      <c r="A530" s="2" t="inlineStr">
        <is>
          <t>Resuelta</t>
        </is>
      </c>
      <c r="B530" s="3" t="n">
        <v>46210.99930555555</v>
      </c>
      <c r="C530" s="5" t="n">
        <v>60175.36</v>
      </c>
      <c r="D530" s="5" t="n">
        <v>60175.36</v>
      </c>
      <c r="E530" s="2" t="inlineStr">
        <is>
          <t>Andalucía</t>
        </is>
      </c>
      <c r="F530" s="2" t="inlineStr">
        <is>
          <t>Jaén</t>
        </is>
      </c>
      <c r="G530" s="2" t="inlineStr">
        <is>
          <t>Villacarrillo</t>
        </is>
      </c>
      <c r="H530" s="2" t="inlineStr">
        <is>
          <t>Alcaldía del Ayuntamiento de Villacarrillo</t>
        </is>
      </c>
      <c r="I530" s="2" t="inlineStr">
        <is>
          <t>Reparación de pavimentación de diversas calles de Villacarrillo y anejos, en el término municipal de Villacarrillo (Jaén) como consecuencia de las ayudas extraordinarias a las entidades locales especialmente afectadas por los fenómenos naturales adversos en el periodo entre enero y febrero 2026 de la consejería de sanidad, presidencia y emergencias de la Junta de Andalucía.</t>
        </is>
      </c>
      <c r="J530" s="2" t="inlineStr">
        <is>
          <t>1642/2026</t>
        </is>
      </c>
      <c r="K530" s="2" t="inlineStr">
        <is>
          <t>Abierto simplificado</t>
        </is>
      </c>
      <c r="L530" s="6" t="n">
        <v>3</v>
      </c>
      <c r="M530" s="2" t="n"/>
      <c r="N530" s="7" t="n">
        <v>0</v>
      </c>
      <c r="O530" s="4" t="n"/>
      <c r="P530" s="2" t="inlineStr">
        <is>
          <t>45233252</t>
        </is>
      </c>
      <c r="Q530" s="8" t="inlineStr">
        <is>
          <t>Ver</t>
        </is>
      </c>
      <c r="R530" s="8" t="inlineStr">
        <is>
          <t>PCAP</t>
        </is>
      </c>
      <c r="S530" s="9" t="n">
        <v>46317</v>
      </c>
      <c r="T530" s="3" t="n">
        <v>46316.41331018518</v>
      </c>
      <c r="U530" s="2" t="n"/>
    </row>
    <row r="531">
      <c r="A531" s="2" t="inlineStr">
        <is>
          <t>Resuelta</t>
        </is>
      </c>
      <c r="B531" s="3" t="n">
        <v>46162.99930555555</v>
      </c>
      <c r="C531" s="5" t="n">
        <v>60740</v>
      </c>
      <c r="D531" s="5" t="n">
        <v>60740</v>
      </c>
      <c r="E531" s="2" t="inlineStr">
        <is>
          <t>Andalucía</t>
        </is>
      </c>
      <c r="F531" s="2" t="inlineStr">
        <is>
          <t>Jaén</t>
        </is>
      </c>
      <c r="G531" s="2" t="inlineStr">
        <is>
          <t>Beas de SEgura</t>
        </is>
      </c>
      <c r="H531" s="2" t="inlineStr">
        <is>
          <t>Alcaldía del Ayuntamiento de Beas de Segura</t>
        </is>
      </c>
      <c r="I531" s="2" t="inlineStr">
        <is>
          <t>Sustitución de equipos existentes por equipos de climatización de aerotermia</t>
        </is>
      </c>
      <c r="J531" s="2" t="inlineStr">
        <is>
          <t>398/2026</t>
        </is>
      </c>
      <c r="K531" s="2" t="inlineStr">
        <is>
          <t>Abierto simplificado</t>
        </is>
      </c>
      <c r="L531" s="6" t="n">
        <v>4</v>
      </c>
      <c r="M531" s="2" t="n"/>
      <c r="N531" s="7" t="n">
        <v>0</v>
      </c>
      <c r="O531" s="4" t="n"/>
      <c r="P531" s="2" t="inlineStr">
        <is>
          <t>45331000; 45453100</t>
        </is>
      </c>
      <c r="Q531" s="8" t="inlineStr">
        <is>
          <t>Ver</t>
        </is>
      </c>
      <c r="R531" s="8" t="inlineStr">
        <is>
          <t>PCAP</t>
        </is>
      </c>
      <c r="S531" s="9" t="n">
        <v>46317</v>
      </c>
      <c r="T531" s="3" t="n">
        <v>46316.40575231481</v>
      </c>
      <c r="U531" s="2" t="n"/>
    </row>
    <row r="532">
      <c r="A532" s="2" t="inlineStr">
        <is>
          <t>En plazo</t>
        </is>
      </c>
      <c r="B532" s="3" t="n">
        <v>46328.99930555555</v>
      </c>
      <c r="C532" s="5" t="n">
        <v>137253.4</v>
      </c>
      <c r="D532" s="5" t="n">
        <v>137253.4</v>
      </c>
      <c r="E532" s="2" t="inlineStr">
        <is>
          <t>Comunitat Valenciana</t>
        </is>
      </c>
      <c r="F532" s="2" t="inlineStr">
        <is>
          <t>Alicante</t>
        </is>
      </c>
      <c r="G532" s="2" t="inlineStr">
        <is>
          <t>SANT JOAN D`ALACANT</t>
        </is>
      </c>
      <c r="H532" s="2" t="inlineStr">
        <is>
          <t>Departamento de Salud de San Juan Alicante. Dirección Económica-Gerencia</t>
        </is>
      </c>
      <c r="I532" s="2" t="inlineStr">
        <is>
          <t>Obra para el asfaltado perímetro (vial de acceso a urgencias con 2 rampas y vial sur) del Hospital de Sant Joan d'Alacant, en condiciones de seguridad y salud laboral, de prácticas respetuosas con el medioambiente e innovación tecnológica.</t>
        </is>
      </c>
      <c r="J532" s="2" t="inlineStr">
        <is>
          <t>PA 300/2026</t>
        </is>
      </c>
      <c r="K532" s="2" t="inlineStr">
        <is>
          <t>Abierto</t>
        </is>
      </c>
      <c r="L532" s="6" t="n">
        <v>2</v>
      </c>
      <c r="M532" s="2" t="n"/>
      <c r="N532" s="7" t="n">
        <v>0.4</v>
      </c>
      <c r="O532" s="4" t="n"/>
      <c r="P532" s="2" t="inlineStr">
        <is>
          <t>45233252</t>
        </is>
      </c>
      <c r="Q532" s="8" t="inlineStr">
        <is>
          <t>Ver</t>
        </is>
      </c>
      <c r="R532" s="8" t="inlineStr">
        <is>
          <t>PCAP</t>
        </is>
      </c>
      <c r="S532" s="9" t="n">
        <v>46317</v>
      </c>
      <c r="T532" s="3" t="n">
        <v>46316.40496527778</v>
      </c>
      <c r="U532" s="2" t="n"/>
    </row>
    <row r="533">
      <c r="A533" s="2" t="inlineStr">
        <is>
          <t>Pendiente de adjudicación</t>
        </is>
      </c>
      <c r="B533" s="3" t="n">
        <v>46258.99930555555</v>
      </c>
      <c r="C533" s="5" t="n">
        <v>281188.21</v>
      </c>
      <c r="D533" s="5" t="n">
        <v>281188.21</v>
      </c>
      <c r="E533" s="2" t="inlineStr">
        <is>
          <t>Andalucía</t>
        </is>
      </c>
      <c r="F533" s="2" t="inlineStr">
        <is>
          <t>Sevilla</t>
        </is>
      </c>
      <c r="G533" s="2" t="n"/>
      <c r="H533" s="2" t="inlineStr">
        <is>
          <t>Junta de Gobierno del Ayuntamiento de Dos Hermanas</t>
        </is>
      </c>
      <c r="I533" s="2" t="inlineStr">
        <is>
          <t>Reforma de la Instalación de Alumbrado Público en Barriada la Motilla</t>
        </is>
      </c>
      <c r="J533" s="2" t="inlineStr">
        <is>
          <t>2026000004</t>
        </is>
      </c>
      <c r="K533" s="2" t="inlineStr">
        <is>
          <t>Abierto simplificado</t>
        </is>
      </c>
      <c r="L533" s="6" t="n">
        <v>4</v>
      </c>
      <c r="M533" s="2" t="n"/>
      <c r="N533" s="7" t="n">
        <v>0</v>
      </c>
      <c r="O533" s="4" t="n"/>
      <c r="P533" s="2" t="inlineStr">
        <is>
          <t>45316000</t>
        </is>
      </c>
      <c r="Q533" s="8" t="inlineStr">
        <is>
          <t>Ver</t>
        </is>
      </c>
      <c r="R533" s="8" t="inlineStr">
        <is>
          <t>PCAP</t>
        </is>
      </c>
      <c r="S533" s="9" t="n">
        <v>46310</v>
      </c>
      <c r="T533" s="3" t="n">
        <v>46316.40413194444</v>
      </c>
      <c r="U533" s="2" t="n"/>
    </row>
    <row r="534">
      <c r="A534" s="2" t="inlineStr">
        <is>
          <t>En plazo</t>
        </is>
      </c>
      <c r="B534" s="3" t="n">
        <v>46330.99930555555</v>
      </c>
      <c r="C534" s="5" t="n">
        <v>369075.17</v>
      </c>
      <c r="D534" s="5" t="n">
        <v>369075.17</v>
      </c>
      <c r="E534" s="2" t="inlineStr">
        <is>
          <t>Comunitat Valenciana</t>
        </is>
      </c>
      <c r="F534" s="2" t="inlineStr">
        <is>
          <t>Valencia</t>
        </is>
      </c>
      <c r="G534" s="2" t="n"/>
      <c r="H534" s="2" t="inlineStr">
        <is>
          <t>Departamento de Salud Valencia Dr. Peset. Dirección Económica-Gerencia</t>
        </is>
      </c>
      <c r="I534" s="2" t="inlineStr">
        <is>
          <t>Obra de traslado del gimnasio del C.S. Fuente de San Luis al C.S. Luis Oliag, destinado a las unidades de apoyo del CAU 24h, del Departamento de Salud Valencia-Doctor Peset, lote único, con condiciones especiales de ejecución de carácter ambiental y social.</t>
        </is>
      </c>
      <c r="J534" s="2" t="inlineStr">
        <is>
          <t>PA 1105/2026</t>
        </is>
      </c>
      <c r="K534" s="2" t="inlineStr">
        <is>
          <t>Abierto simplificado</t>
        </is>
      </c>
      <c r="L534" s="6" t="n">
        <v>4</v>
      </c>
      <c r="M534" s="2" t="n"/>
      <c r="N534" s="7" t="n">
        <v>0.25</v>
      </c>
      <c r="O534" s="4" t="n"/>
      <c r="P534" s="2" t="inlineStr">
        <is>
          <t>45215100; 45442100; 45421130; 45441000; 45432130; 45262520</t>
        </is>
      </c>
      <c r="Q534" s="8" t="inlineStr">
        <is>
          <t>Ver</t>
        </is>
      </c>
      <c r="R534" s="8" t="inlineStr">
        <is>
          <t>PCAP</t>
        </is>
      </c>
      <c r="S534" s="9" t="n">
        <v>46311</v>
      </c>
      <c r="T534" s="3" t="n">
        <v>46316.40302083334</v>
      </c>
      <c r="U534" s="2" t="n"/>
    </row>
    <row r="535">
      <c r="A535" s="2" t="inlineStr">
        <is>
          <t>Adjudicada</t>
        </is>
      </c>
      <c r="B535" s="3" t="n">
        <v>46275.625</v>
      </c>
      <c r="C535" s="5" t="n">
        <v>577685.95</v>
      </c>
      <c r="D535" s="5" t="n">
        <v>577685.95</v>
      </c>
      <c r="E535" s="2" t="inlineStr">
        <is>
          <t>Andalucía</t>
        </is>
      </c>
      <c r="F535" s="2" t="inlineStr">
        <is>
          <t>Córdoba</t>
        </is>
      </c>
      <c r="G535" s="2" t="n"/>
      <c r="H535" s="2" t="inlineStr">
        <is>
          <t>Alcaldía del Ayuntamiento de Montoro</t>
        </is>
      </c>
      <c r="I535" s="2" t="inlineStr">
        <is>
          <t>Contratación de las obras contenidas en el proyecto "Mejora del Camino Rural de Montoro a la Encarnada. Montoro (Córdoba)", financiado con cargo a las ayudas de la Administración General del Estado, a través del Ministerio de Política Territorial y Memoria Democrática, previstas en el artículo 7 del Real Decreto-ley 5/2026, de 17 de febrero.</t>
        </is>
      </c>
      <c r="J535" s="2" t="inlineStr">
        <is>
          <t>GEX 2026/9294</t>
        </is>
      </c>
      <c r="K535" s="2" t="inlineStr">
        <is>
          <t>Abierto simplificado</t>
        </is>
      </c>
      <c r="L535" s="6" t="n">
        <v>5</v>
      </c>
      <c r="M535" s="2" t="inlineStr">
        <is>
          <t>G4-3</t>
        </is>
      </c>
      <c r="N535" s="7" t="n">
        <v>0</v>
      </c>
      <c r="O535" s="4" t="n"/>
      <c r="P535" s="2" t="inlineStr">
        <is>
          <t>45233160</t>
        </is>
      </c>
      <c r="Q535" s="8" t="inlineStr">
        <is>
          <t>Ver</t>
        </is>
      </c>
      <c r="R535" s="8" t="inlineStr">
        <is>
          <t>PCAP</t>
        </is>
      </c>
      <c r="S535" s="9" t="n">
        <v>46315</v>
      </c>
      <c r="T535" s="3" t="n">
        <v>46316.4021875</v>
      </c>
      <c r="U535" s="2" t="inlineStr">
        <is>
          <t>2026-10-22: estado EV → ADJ</t>
        </is>
      </c>
    </row>
    <row r="536">
      <c r="A536" s="2" t="inlineStr">
        <is>
          <t>Pendiente de adjudicación</t>
        </is>
      </c>
      <c r="B536" s="3" t="n">
        <v>46303.58333333334</v>
      </c>
      <c r="C536" s="5" t="n">
        <v>2380165.29</v>
      </c>
      <c r="D536" s="5" t="n">
        <v>2380165.29</v>
      </c>
      <c r="E536" s="2" t="inlineStr">
        <is>
          <t>Andalucía</t>
        </is>
      </c>
      <c r="F536" s="2" t="inlineStr">
        <is>
          <t>Cádiz</t>
        </is>
      </c>
      <c r="G536" s="2" t="n"/>
      <c r="H536" s="2" t="inlineStr">
        <is>
          <t>Presidencia de la Autoridad Portuaria de la Bahía de Algeciras</t>
        </is>
      </c>
      <c r="I536" s="2" t="inlineStr">
        <is>
          <t>Contrato de obras correspondiente al Proyecto de sustitución y mejora de los elementos de atraque y defensa en la alineación de la fase b del Muelle de Isla Verde Exterior</t>
        </is>
      </c>
      <c r="J536" s="2" t="inlineStr">
        <is>
          <t>2026-073</t>
        </is>
      </c>
      <c r="K536" s="2" t="inlineStr">
        <is>
          <t>Abierto</t>
        </is>
      </c>
      <c r="L536" s="6" t="n">
        <v>12</v>
      </c>
      <c r="M536" s="2" t="inlineStr">
        <is>
          <t>F7-4</t>
        </is>
      </c>
      <c r="N536" s="7" t="n">
        <v>0.4</v>
      </c>
      <c r="O536" s="4" t="n"/>
      <c r="P536" s="2" t="inlineStr">
        <is>
          <t>45244100; 34516000</t>
        </is>
      </c>
      <c r="Q536" s="8" t="inlineStr">
        <is>
          <t>Ver</t>
        </is>
      </c>
      <c r="R536" s="8" t="inlineStr">
        <is>
          <t>PCAP</t>
        </is>
      </c>
      <c r="S536" s="9" t="n">
        <v>46317</v>
      </c>
      <c r="T536" s="3" t="n">
        <v>46316.39851851852</v>
      </c>
      <c r="U536" s="2" t="n"/>
    </row>
    <row r="537">
      <c r="A537" s="2" t="inlineStr">
        <is>
          <t>Resuelta</t>
        </is>
      </c>
      <c r="B537" s="3" t="n">
        <v>46276.58333333334</v>
      </c>
      <c r="C537" s="5" t="n">
        <v>230555.53</v>
      </c>
      <c r="D537" s="5" t="n">
        <v>230555.53</v>
      </c>
      <c r="E537" s="2" t="inlineStr">
        <is>
          <t>Comunitat Valenciana</t>
        </is>
      </c>
      <c r="F537" s="2" t="inlineStr">
        <is>
          <t>Valencia</t>
        </is>
      </c>
      <c r="G537" s="2" t="n"/>
      <c r="H537" s="2" t="inlineStr">
        <is>
          <t>Concejalía Delegada de Contratación del Ayuntamiento de Gandía</t>
        </is>
      </c>
      <c r="I537" s="2" t="inlineStr">
        <is>
          <t>Contrato de obra consistente en mejora, modernización y dotación de infraestructuras y servicios en el polígono Alcodar, IVACE ejercicios 2025-2026.</t>
        </is>
      </c>
      <c r="J537" s="2" t="inlineStr">
        <is>
          <t>CONT-059/2026 (41975/2026)</t>
        </is>
      </c>
      <c r="K537" s="2" t="inlineStr">
        <is>
          <t>Abierto simplificado</t>
        </is>
      </c>
      <c r="L537" s="6" t="n">
        <v>2</v>
      </c>
      <c r="M537" s="2" t="n"/>
      <c r="N537" s="7" t="n">
        <v>0</v>
      </c>
      <c r="O537" s="4" t="n"/>
      <c r="P537" s="2" t="inlineStr">
        <is>
          <t>45233140</t>
        </is>
      </c>
      <c r="Q537" s="8" t="inlineStr">
        <is>
          <t>Ver</t>
        </is>
      </c>
      <c r="R537" s="8" t="inlineStr">
        <is>
          <t>PCAP</t>
        </is>
      </c>
      <c r="S537" s="9" t="n">
        <v>46317</v>
      </c>
      <c r="T537" s="3" t="n">
        <v>46316.39837962963</v>
      </c>
      <c r="U537" s="2" t="n"/>
    </row>
    <row r="538">
      <c r="A538" s="2" t="inlineStr">
        <is>
          <t>En plazo</t>
        </is>
      </c>
      <c r="B538" s="3" t="n">
        <v>46331.99930555555</v>
      </c>
      <c r="C538" s="5" t="n">
        <v>691158.8</v>
      </c>
      <c r="D538" s="5" t="n">
        <v>691158.8</v>
      </c>
      <c r="E538" s="2" t="inlineStr">
        <is>
          <t>Andalucía</t>
        </is>
      </c>
      <c r="F538" s="2" t="inlineStr">
        <is>
          <t>Córdoba</t>
        </is>
      </c>
      <c r="G538" s="2" t="inlineStr">
        <is>
          <t>Villa del Río</t>
        </is>
      </c>
      <c r="H538" s="2" t="inlineStr">
        <is>
          <t>Alcaldía del Ayuntamiento de Villa del Río</t>
        </is>
      </c>
      <c r="I538" s="2" t="inlineStr">
        <is>
          <t>Redacción del proyecto de ejecución a partir de proyecto básico, redacción de estudio de seguridad y salud, proyectos de instalaciones y de actividad y ejecución de obras para la construcción de edificio destinado a biblioteca pública municipal y salas de usos múltiples (primera fase).</t>
        </is>
      </c>
      <c r="J538" s="2" t="inlineStr">
        <is>
          <t>8223/2026</t>
        </is>
      </c>
      <c r="K538" s="2" t="inlineStr">
        <is>
          <t>Abierto simplificado</t>
        </is>
      </c>
      <c r="L538" s="6" t="n">
        <v>20</v>
      </c>
      <c r="M538" s="2" t="n"/>
      <c r="N538" s="7" t="n">
        <v>0</v>
      </c>
      <c r="O538" s="4" t="n"/>
      <c r="P538" s="2" t="inlineStr">
        <is>
          <t>45212330; 71317200; 71242000; 45212170; 71000000</t>
        </is>
      </c>
      <c r="Q538" s="8" t="inlineStr">
        <is>
          <t>Ver</t>
        </is>
      </c>
      <c r="R538" s="8" t="inlineStr">
        <is>
          <t>PCAP</t>
        </is>
      </c>
      <c r="S538" s="9" t="n">
        <v>46317</v>
      </c>
      <c r="T538" s="3" t="n">
        <v>46316.39782407408</v>
      </c>
      <c r="U538" s="2" t="n"/>
    </row>
    <row r="539">
      <c r="A539" s="2" t="inlineStr">
        <is>
          <t>Resuelta</t>
        </is>
      </c>
      <c r="B539" s="3" t="n">
        <v>46150.58333333334</v>
      </c>
      <c r="C539" s="5" t="n">
        <v>1495134.1</v>
      </c>
      <c r="D539" s="5" t="n">
        <v>1495134.1</v>
      </c>
      <c r="E539" s="2" t="inlineStr">
        <is>
          <t>Comunitat Valenciana</t>
        </is>
      </c>
      <c r="F539" s="2" t="inlineStr">
        <is>
          <t>Valencia</t>
        </is>
      </c>
      <c r="G539" s="2" t="n"/>
      <c r="H539" s="2" t="inlineStr">
        <is>
          <t>Empresa de Transformación Agraria S.A.,S.M.E., M.P., (TRAGSA)</t>
        </is>
      </c>
      <c r="I539" s="2" t="inlineStr">
        <is>
          <t>Fábricas de bloque y acondicionamiento de parcelas agrícolas en los municipios afectados por la DANA 2024 en las Comarcas de los Serranos, Utiel-Requena y la Ribera.</t>
        </is>
      </c>
      <c r="J539" s="2" t="inlineStr">
        <is>
          <t>TSA0082819</t>
        </is>
      </c>
      <c r="K539" s="2" t="inlineStr">
        <is>
          <t>Abierto simplificado</t>
        </is>
      </c>
      <c r="L539" s="6" t="n">
        <v>6</v>
      </c>
      <c r="M539" s="2" t="n"/>
      <c r="N539" s="7" t="n">
        <v>0</v>
      </c>
      <c r="O539" s="4" t="n">
        <v>3</v>
      </c>
      <c r="P539" s="2" t="inlineStr">
        <is>
          <t>45223820</t>
        </is>
      </c>
      <c r="Q539" s="8" t="inlineStr">
        <is>
          <t>Ver</t>
        </is>
      </c>
      <c r="R539" s="8" t="inlineStr">
        <is>
          <t>PCAP</t>
        </is>
      </c>
      <c r="S539" s="9" t="n">
        <v>46310</v>
      </c>
      <c r="T539" s="3" t="n">
        <v>46316.39465277778</v>
      </c>
      <c r="U539" s="2" t="inlineStr">
        <is>
          <t>2026-10-22: estado ADJ → RES</t>
        </is>
      </c>
    </row>
    <row r="540">
      <c r="A540" s="2" t="inlineStr">
        <is>
          <t>Pendiente de adjudicación</t>
        </is>
      </c>
      <c r="B540" s="3" t="n">
        <v>46303.625</v>
      </c>
      <c r="C540" s="5" t="n">
        <v>1334731.63</v>
      </c>
      <c r="D540" s="5" t="n">
        <v>1334731.63</v>
      </c>
      <c r="E540" s="2" t="inlineStr">
        <is>
          <t>Andalucía</t>
        </is>
      </c>
      <c r="F540" s="2" t="inlineStr">
        <is>
          <t>Córdoba</t>
        </is>
      </c>
      <c r="G540" s="2" t="inlineStr">
        <is>
          <t>Villanueva de Córdoba</t>
        </is>
      </c>
      <c r="H540" s="2" t="inlineStr">
        <is>
          <t>Pleno del Ayuntamiento de Villanueva de Córdoba</t>
        </is>
      </c>
      <c r="I540" s="2" t="inlineStr">
        <is>
          <t>Ejecución de las obras del Plan de Asfaltado Extraordinario para reparación y reconstrucción de infraestructuras urbanas del núcleo urbano de Villanueva de Córdoba.</t>
        </is>
      </c>
      <c r="J540" s="2" t="inlineStr">
        <is>
          <t>1869/2026</t>
        </is>
      </c>
      <c r="K540" s="2" t="inlineStr">
        <is>
          <t>Abierto</t>
        </is>
      </c>
      <c r="L540" s="6" t="n">
        <v>4</v>
      </c>
      <c r="M540" s="2" t="inlineStr">
        <is>
          <t>G4-4</t>
        </is>
      </c>
      <c r="N540" s="7" t="n">
        <v>0</v>
      </c>
      <c r="O540" s="4" t="n"/>
      <c r="P540" s="2" t="inlineStr">
        <is>
          <t>45233222; 45233252</t>
        </is>
      </c>
      <c r="Q540" s="8" t="inlineStr">
        <is>
          <t>Ver</t>
        </is>
      </c>
      <c r="R540" s="8" t="inlineStr">
        <is>
          <t>PCAP</t>
        </is>
      </c>
      <c r="S540" s="9" t="n">
        <v>46310</v>
      </c>
      <c r="T540" s="3" t="n">
        <v>46316.39462962963</v>
      </c>
      <c r="U540" s="2" t="n"/>
    </row>
    <row r="541">
      <c r="A541" s="2" t="inlineStr">
        <is>
          <t>Pendiente de adjudicación</t>
        </is>
      </c>
      <c r="B541" s="3" t="n">
        <v>46104.58333333334</v>
      </c>
      <c r="C541" s="5" t="n">
        <v>4697282.42</v>
      </c>
      <c r="D541" s="5" t="n">
        <v>4697282.42</v>
      </c>
      <c r="E541" s="2" t="inlineStr">
        <is>
          <t>Comunitat Valenciana</t>
        </is>
      </c>
      <c r="F541" s="2" t="inlineStr">
        <is>
          <t>Valencia</t>
        </is>
      </c>
      <c r="G541" s="2" t="n"/>
      <c r="H541" s="2" t="inlineStr">
        <is>
          <t>Vicepresidente Tercero y Conseller de Medio Ambiente, Infraestructuras, Territorio y de la Recuperación</t>
        </is>
      </c>
      <c r="I541" s="2" t="inlineStr">
        <is>
          <t>Itinerario de permeabilización y conexión ciclopeatonal Picassent-Alcàsser-Silla (Valencia)</t>
        </is>
      </c>
      <c r="J541" s="2" t="inlineStr">
        <is>
          <t>CMAYOR/2023/03Y05/69</t>
        </is>
      </c>
      <c r="K541" s="2" t="inlineStr">
        <is>
          <t>Abierto</t>
        </is>
      </c>
      <c r="L541" s="6" t="n">
        <v>16</v>
      </c>
      <c r="M541" s="2" t="inlineStr">
        <is>
          <t>B4-5</t>
        </is>
      </c>
      <c r="N541" s="7" t="n">
        <v>0.4</v>
      </c>
      <c r="O541" s="4" t="n"/>
      <c r="P541" s="2" t="inlineStr">
        <is>
          <t>45233140</t>
        </is>
      </c>
      <c r="Q541" s="8" t="inlineStr">
        <is>
          <t>Ver</t>
        </is>
      </c>
      <c r="R541" s="8" t="inlineStr">
        <is>
          <t>PCAP</t>
        </is>
      </c>
      <c r="S541" s="9" t="n">
        <v>46317</v>
      </c>
      <c r="T541" s="3" t="n">
        <v>46316.39269675926</v>
      </c>
      <c r="U541" s="2" t="n"/>
    </row>
    <row r="542">
      <c r="A542" s="2" t="inlineStr">
        <is>
          <t>Resuelta</t>
        </is>
      </c>
      <c r="B542" s="3" t="n">
        <v>46282.99930555555</v>
      </c>
      <c r="C542" s="5" t="n">
        <v>413223.14</v>
      </c>
      <c r="D542" s="5" t="n">
        <v>413223.14</v>
      </c>
      <c r="E542" s="2" t="inlineStr">
        <is>
          <t>Comunitat Valenciana</t>
        </is>
      </c>
      <c r="F542" s="2" t="inlineStr">
        <is>
          <t>Valencia</t>
        </is>
      </c>
      <c r="G542" s="2" t="n"/>
      <c r="H542" s="2" t="inlineStr">
        <is>
          <t>Concejalía Delegada de Contratación del Ajuntament de Tavernes de la Valldigna</t>
        </is>
      </c>
      <c r="I542" s="2" t="inlineStr">
        <is>
          <t>Reurbanización de las calles Gebalcobra, Vadell y Garbí</t>
        </is>
      </c>
      <c r="J542" s="2" t="inlineStr">
        <is>
          <t>2983262W</t>
        </is>
      </c>
      <c r="K542" s="2" t="inlineStr">
        <is>
          <t>Abierto simplificado</t>
        </is>
      </c>
      <c r="L542" s="6" t="n">
        <v>5</v>
      </c>
      <c r="M542" s="2" t="n"/>
      <c r="N542" s="7" t="n">
        <v>0</v>
      </c>
      <c r="O542" s="4" t="n"/>
      <c r="P542" s="2" t="inlineStr">
        <is>
          <t>45000000</t>
        </is>
      </c>
      <c r="Q542" s="8" t="inlineStr">
        <is>
          <t>Ver</t>
        </is>
      </c>
      <c r="R542" s="8" t="inlineStr">
        <is>
          <t>PCAP</t>
        </is>
      </c>
      <c r="S542" s="9" t="n">
        <v>46317</v>
      </c>
      <c r="T542" s="3" t="n">
        <v>46316.3912037037</v>
      </c>
      <c r="U542" s="2" t="n"/>
    </row>
    <row r="543">
      <c r="A543" s="2" t="inlineStr">
        <is>
          <t>Resuelta</t>
        </is>
      </c>
      <c r="B543" s="3" t="n">
        <v>45839.58333333334</v>
      </c>
      <c r="C543" s="5" t="n">
        <v>77154.63</v>
      </c>
      <c r="D543" s="5" t="n">
        <v>77154.63</v>
      </c>
      <c r="E543" s="2" t="inlineStr">
        <is>
          <t>Andalucía</t>
        </is>
      </c>
      <c r="F543" s="2" t="inlineStr">
        <is>
          <t>Sevilla</t>
        </is>
      </c>
      <c r="G543" s="2" t="inlineStr">
        <is>
          <t>Tomares</t>
        </is>
      </c>
      <c r="H543" s="2" t="inlineStr">
        <is>
          <t>Alcaldía del Ayuntamiento de Tomares</t>
        </is>
      </c>
      <c r="I543" s="2" t="inlineStr">
        <is>
          <t>Adecentamiento zona adyacente Plaza Polideportivo Mascareta, en Tomares; Plan Provincial Sevilla 107 – Actuación 17</t>
        </is>
      </c>
      <c r="J543" s="2" t="inlineStr">
        <is>
          <t>6248/2025</t>
        </is>
      </c>
      <c r="K543" s="2" t="inlineStr">
        <is>
          <t>Abierto simplificado</t>
        </is>
      </c>
      <c r="L543" s="6" t="n">
        <v>6</v>
      </c>
      <c r="M543" s="2" t="n"/>
      <c r="N543" s="7" t="n">
        <v>0</v>
      </c>
      <c r="O543" s="4" t="n"/>
      <c r="P543" s="2" t="inlineStr">
        <is>
          <t>45233200; 16160000; 45233252</t>
        </is>
      </c>
      <c r="Q543" s="8" t="inlineStr">
        <is>
          <t>Ver</t>
        </is>
      </c>
      <c r="R543" s="8" t="inlineStr">
        <is>
          <t>PCAP</t>
        </is>
      </c>
      <c r="S543" s="9" t="n">
        <v>46317</v>
      </c>
      <c r="T543" s="3" t="n">
        <v>46316.38795138889</v>
      </c>
      <c r="U543" s="2" t="n"/>
    </row>
    <row r="544">
      <c r="A544" s="2" t="inlineStr">
        <is>
          <t>Pendiente de adjudicación</t>
        </is>
      </c>
      <c r="B544" s="3" t="n">
        <v>46220.58333333334</v>
      </c>
      <c r="C544" s="5" t="n">
        <v>8489993.039999999</v>
      </c>
      <c r="D544" s="5" t="n">
        <v>9338992.34</v>
      </c>
      <c r="E544" s="2" t="inlineStr">
        <is>
          <t>Comunitat Valenciana</t>
        </is>
      </c>
      <c r="F544" s="2" t="inlineStr">
        <is>
          <t>Alicante</t>
        </is>
      </c>
      <c r="G544" s="2" t="inlineStr">
        <is>
          <t>Alcoy (Alicante)</t>
        </is>
      </c>
      <c r="H544" s="2" t="inlineStr">
        <is>
          <t>Dirección General de Gestión Económica, Contratación e Infraestructuras de la Conselleria de Sanidad</t>
        </is>
      </c>
      <c r="I544" s="2" t="inlineStr">
        <is>
          <t>Obras de reforma y ampliación del Centro de Salud La Bassa de Alcoy</t>
        </is>
      </c>
      <c r="J544" s="2" t="inlineStr">
        <is>
          <t>220/2026</t>
        </is>
      </c>
      <c r="K544" s="2" t="inlineStr">
        <is>
          <t>Abierto</t>
        </is>
      </c>
      <c r="L544" s="6" t="n">
        <v>18</v>
      </c>
      <c r="M544" s="2" t="inlineStr">
        <is>
          <t>C4-6; C6-6; C2-6</t>
        </is>
      </c>
      <c r="N544" s="7" t="n">
        <v>0.1</v>
      </c>
      <c r="O544" s="4" t="n"/>
      <c r="P544" s="2" t="inlineStr">
        <is>
          <t>45215100</t>
        </is>
      </c>
      <c r="Q544" s="8" t="inlineStr">
        <is>
          <t>Ver</t>
        </is>
      </c>
      <c r="R544" s="8" t="inlineStr">
        <is>
          <t>PCAP</t>
        </is>
      </c>
      <c r="S544" s="9" t="n">
        <v>46310</v>
      </c>
      <c r="T544" s="3" t="n">
        <v>46316.38553240741</v>
      </c>
      <c r="U544" s="2" t="n"/>
    </row>
    <row r="545">
      <c r="A545" s="2" t="inlineStr">
        <is>
          <t>Pendiente de adjudicación</t>
        </is>
      </c>
      <c r="B545" s="3" t="n">
        <v>46310.99930555555</v>
      </c>
      <c r="C545" s="5" t="n">
        <v>103723.41</v>
      </c>
      <c r="D545" s="5" t="n">
        <v>114095.75</v>
      </c>
      <c r="E545" s="2" t="inlineStr">
        <is>
          <t>Comunitat Valenciana</t>
        </is>
      </c>
      <c r="F545" s="2" t="inlineStr">
        <is>
          <t>Alicante</t>
        </is>
      </c>
      <c r="G545" s="2" t="inlineStr">
        <is>
          <t>Cocentaina</t>
        </is>
      </c>
      <c r="H545" s="2" t="inlineStr">
        <is>
          <t>Alcaldía del Ayuntamiento de Cocentaina</t>
        </is>
      </c>
      <c r="I545" s="2" t="inlineStr">
        <is>
          <t>Obras de rehabilitación de vivienda unifamiliar entre medianeras en la C/Bisbe Mallol, 4 de Cocentaina. Este proyecto podrá ser cofinanciado por la Unión Europea a través del Fondo Europeo de Desarrollo Regional (FEDER) en el marco del Programa Plurirregional de España 2021-2027 dentro de la Estrategia de Desarrollo Integrado Local (Plan EDIL).</t>
        </is>
      </c>
      <c r="J545" s="2" t="inlineStr">
        <is>
          <t>4954/2024</t>
        </is>
      </c>
      <c r="K545" s="2" t="inlineStr">
        <is>
          <t>Abierto simplificado</t>
        </is>
      </c>
      <c r="L545" s="6" t="n">
        <v>6</v>
      </c>
      <c r="M545" s="2" t="n"/>
      <c r="N545" s="7" t="n">
        <v>0</v>
      </c>
      <c r="O545" s="4" t="n"/>
      <c r="P545" s="2" t="inlineStr">
        <is>
          <t>45210000; 45211000</t>
        </is>
      </c>
      <c r="Q545" s="8" t="inlineStr">
        <is>
          <t>Ver</t>
        </is>
      </c>
      <c r="R545" s="8" t="inlineStr">
        <is>
          <t>PCAP</t>
        </is>
      </c>
      <c r="S545" s="9" t="n">
        <v>46317</v>
      </c>
      <c r="T545" s="3" t="n">
        <v>46316.38465277778</v>
      </c>
      <c r="U545" s="2" t="n"/>
    </row>
    <row r="546">
      <c r="A546" s="2" t="inlineStr">
        <is>
          <t>Adjudicada</t>
        </is>
      </c>
      <c r="B546" s="3" t="n">
        <v>46274.99930555555</v>
      </c>
      <c r="C546" s="5" t="n">
        <v>202407.11</v>
      </c>
      <c r="D546" s="5" t="n">
        <v>202407.11</v>
      </c>
      <c r="E546" s="2" t="inlineStr">
        <is>
          <t>Comunitat Valenciana</t>
        </is>
      </c>
      <c r="F546" s="2" t="inlineStr">
        <is>
          <t>Alicante</t>
        </is>
      </c>
      <c r="G546" s="2" t="inlineStr">
        <is>
          <t>Alicante (Alacant)</t>
        </is>
      </c>
      <c r="H546" s="2" t="inlineStr">
        <is>
          <t>Alcaldía del Ayuntamiento de Villajoyosa</t>
        </is>
      </c>
      <c r="I546" s="2" t="inlineStr">
        <is>
          <t>Ejecución de las obras de sustitución de LAMT por LSMT en el polideportivo Maisa Lloret en Villajoyosa</t>
        </is>
      </c>
      <c r="J546" s="2" t="inlineStr">
        <is>
          <t>1001/2026</t>
        </is>
      </c>
      <c r="K546" s="2" t="inlineStr">
        <is>
          <t>Abierto</t>
        </is>
      </c>
      <c r="L546" s="6" t="n">
        <v>2</v>
      </c>
      <c r="M546" s="2" t="n"/>
      <c r="N546" s="7" t="n">
        <v>0.3</v>
      </c>
      <c r="O546" s="4" t="n"/>
      <c r="P546" s="2" t="inlineStr">
        <is>
          <t>45315400; 45231400</t>
        </is>
      </c>
      <c r="Q546" s="8" t="inlineStr">
        <is>
          <t>Ver</t>
        </is>
      </c>
      <c r="R546" s="2" t="n"/>
      <c r="S546" s="9" t="n">
        <v>46317</v>
      </c>
      <c r="T546" s="3" t="n">
        <v>46316.38410879629</v>
      </c>
      <c r="U546" s="2" t="n"/>
    </row>
    <row r="547">
      <c r="A547" s="2" t="inlineStr">
        <is>
          <t>Resuelta</t>
        </is>
      </c>
      <c r="B547" s="3" t="n">
        <v>46293.99930555555</v>
      </c>
      <c r="C547" s="5" t="n">
        <v>297520.66</v>
      </c>
      <c r="D547" s="5" t="n">
        <v>297520.66</v>
      </c>
      <c r="E547" s="2" t="inlineStr">
        <is>
          <t>Andalucía</t>
        </is>
      </c>
      <c r="F547" s="2" t="inlineStr">
        <is>
          <t>Jaén</t>
        </is>
      </c>
      <c r="G547" s="2" t="inlineStr">
        <is>
          <t>Jabalquinto</t>
        </is>
      </c>
      <c r="H547" s="2" t="inlineStr">
        <is>
          <t>Alcaldía del Ayuntamiento de Jabalquinto</t>
        </is>
      </c>
      <c r="I547" s="2" t="inlineStr">
        <is>
          <t>El objeto de este Pliego de Cláusulas Administrativas Particulares es regir la ejecución del contrato de obra denominado Renovación del césped artificial del campo de futbol Tomas García Velasco, promovido por el Ayuntamiento de Jabalquinto (Jaén).</t>
        </is>
      </c>
      <c r="J547" s="2" t="inlineStr">
        <is>
          <t>594/2026</t>
        </is>
      </c>
      <c r="K547" s="2" t="inlineStr">
        <is>
          <t>Abierto simplificado</t>
        </is>
      </c>
      <c r="L547" s="6" t="n">
        <v>3</v>
      </c>
      <c r="M547" s="2" t="inlineStr">
        <is>
          <t>G6-2</t>
        </is>
      </c>
      <c r="N547" s="7" t="n">
        <v>0</v>
      </c>
      <c r="O547" s="4" t="n"/>
      <c r="P547" s="2" t="inlineStr">
        <is>
          <t>45236110; 39293400</t>
        </is>
      </c>
      <c r="Q547" s="8" t="inlineStr">
        <is>
          <t>Ver</t>
        </is>
      </c>
      <c r="R547" s="8" t="inlineStr">
        <is>
          <t>PCAP</t>
        </is>
      </c>
      <c r="S547" s="9" t="n">
        <v>46317</v>
      </c>
      <c r="T547" s="3" t="n">
        <v>46316.38214120371</v>
      </c>
      <c r="U547" s="2" t="n"/>
    </row>
    <row r="548">
      <c r="A548" s="2" t="inlineStr">
        <is>
          <t>Pendiente de adjudicación</t>
        </is>
      </c>
      <c r="B548" s="3" t="n">
        <v>46314.99930555555</v>
      </c>
      <c r="C548" s="5" t="n">
        <v>78911.60000000001</v>
      </c>
      <c r="D548" s="5" t="n">
        <v>78911.60000000001</v>
      </c>
      <c r="E548" s="2" t="inlineStr">
        <is>
          <t>Andalucía</t>
        </is>
      </c>
      <c r="F548" s="2" t="inlineStr">
        <is>
          <t>Granada</t>
        </is>
      </c>
      <c r="G548" s="2" t="n"/>
      <c r="H548" s="2" t="inlineStr">
        <is>
          <t>Alcaldía del Ayuntamiento de Padul</t>
        </is>
      </c>
      <c r="I548" s="2" t="inlineStr">
        <is>
          <t>Contrato Administrativo de obras de Creación del Mirador del Territorio 'EL SILO'</t>
        </is>
      </c>
      <c r="J548" s="2" t="inlineStr">
        <is>
          <t>1588/2026</t>
        </is>
      </c>
      <c r="K548" s="2" t="inlineStr">
        <is>
          <t>Abierto simplificado</t>
        </is>
      </c>
      <c r="L548" s="6" t="n">
        <v>3</v>
      </c>
      <c r="M548" s="2" t="n"/>
      <c r="N548" s="7" t="n">
        <v>0</v>
      </c>
      <c r="O548" s="4" t="n"/>
      <c r="P548" s="2" t="inlineStr">
        <is>
          <t>45453100</t>
        </is>
      </c>
      <c r="Q548" s="8" t="inlineStr">
        <is>
          <t>Ver</t>
        </is>
      </c>
      <c r="R548" s="8" t="inlineStr">
        <is>
          <t>PCAP</t>
        </is>
      </c>
      <c r="S548" s="9" t="n">
        <v>46317</v>
      </c>
      <c r="T548" s="3" t="n">
        <v>46316.38126157408</v>
      </c>
      <c r="U548" s="2" t="n"/>
    </row>
    <row r="549">
      <c r="A549" s="2" t="inlineStr">
        <is>
          <t>Pendiente de adjudicación</t>
        </is>
      </c>
      <c r="B549" s="3" t="n">
        <v>46279.99930555555</v>
      </c>
      <c r="C549" s="5" t="n">
        <v>45323.14</v>
      </c>
      <c r="D549" s="5" t="n">
        <v>45323.14</v>
      </c>
      <c r="E549" s="2" t="inlineStr">
        <is>
          <t>Comunitat Valenciana</t>
        </is>
      </c>
      <c r="F549" s="2" t="inlineStr">
        <is>
          <t>Castellón</t>
        </is>
      </c>
      <c r="G549" s="2" t="inlineStr">
        <is>
          <t>Benicàssim</t>
        </is>
      </c>
      <c r="H549" s="2" t="inlineStr">
        <is>
          <t>Alcaldía del Ayuntamiento de Benicàssim</t>
        </is>
      </c>
      <c r="I549" s="2" t="inlineStr">
        <is>
          <t>El proyecto "REFORMA DE SALÓN DE PLENOS" CASA DE CULTURA pretende la reforma y adecuación del salón de plenos , en lo que respecta a zona de estrado, carpinterías, revestimientos e instalaciones. todo ello en respuesta a la propuesta planteada por la Alcaldía, con el objetivo de renovar el espacio teniendo en cuenta su antigüedad y deterioro</t>
        </is>
      </c>
      <c r="J549" s="2" t="inlineStr">
        <is>
          <t>17098/2026</t>
        </is>
      </c>
      <c r="K549" s="2" t="inlineStr">
        <is>
          <t>Abierto simplificado</t>
        </is>
      </c>
      <c r="L549" s="6" t="n">
        <v>3</v>
      </c>
      <c r="M549" s="2" t="n"/>
      <c r="N549" s="7" t="n">
        <v>0</v>
      </c>
      <c r="O549" s="4" t="n"/>
      <c r="P549" s="2" t="inlineStr">
        <is>
          <t>45430000; 45440000</t>
        </is>
      </c>
      <c r="Q549" s="8" t="inlineStr">
        <is>
          <t>Ver</t>
        </is>
      </c>
      <c r="R549" s="8" t="inlineStr">
        <is>
          <t>PCAP</t>
        </is>
      </c>
      <c r="S549" s="9" t="n">
        <v>46310</v>
      </c>
      <c r="T549" s="3" t="n">
        <v>46316.37844907407</v>
      </c>
      <c r="U549" s="2" t="n"/>
    </row>
    <row r="550">
      <c r="A550" s="2" t="inlineStr">
        <is>
          <t>En plazo</t>
        </is>
      </c>
      <c r="B550" s="3" t="n">
        <v>46335.99930555555</v>
      </c>
      <c r="C550" s="5" t="n">
        <v>1156866.81</v>
      </c>
      <c r="D550" s="5" t="n">
        <v>1156866.81</v>
      </c>
      <c r="E550" s="2" t="inlineStr">
        <is>
          <t>Andalucía</t>
        </is>
      </c>
      <c r="F550" s="2" t="inlineStr">
        <is>
          <t>Huelva</t>
        </is>
      </c>
      <c r="G550" s="2" t="n"/>
      <c r="H550" s="2" t="inlineStr">
        <is>
          <t>Junta de Gobierno del Ayuntamiento de Huelva</t>
        </is>
      </c>
      <c r="I550" s="2" t="inlineStr">
        <is>
          <t>Ejecución de las obras del Plan de Asfaltado 2027.</t>
        </is>
      </c>
      <c r="J550" s="2" t="inlineStr">
        <is>
          <t>497/2026</t>
        </is>
      </c>
      <c r="K550" s="2" t="inlineStr">
        <is>
          <t>Abierto simplificado</t>
        </is>
      </c>
      <c r="L550" s="6" t="n">
        <v>6</v>
      </c>
      <c r="M550" s="2" t="inlineStr">
        <is>
          <t>G4-4</t>
        </is>
      </c>
      <c r="N550" s="7" t="n">
        <v>0</v>
      </c>
      <c r="O550" s="4" t="n">
        <v>2</v>
      </c>
      <c r="P550" s="2" t="inlineStr">
        <is>
          <t>45233223; 45233221</t>
        </is>
      </c>
      <c r="Q550" s="8" t="inlineStr">
        <is>
          <t>Ver</t>
        </is>
      </c>
      <c r="R550" s="8" t="inlineStr">
        <is>
          <t>PCAP</t>
        </is>
      </c>
      <c r="S550" s="9" t="n">
        <v>46317</v>
      </c>
      <c r="T550" s="3" t="n">
        <v>46316.37706018519</v>
      </c>
      <c r="U550" s="2" t="n"/>
    </row>
    <row r="551">
      <c r="A551" s="2" t="inlineStr">
        <is>
          <t>Adjudicada</t>
        </is>
      </c>
      <c r="B551" s="3" t="n">
        <v>46265.58333333334</v>
      </c>
      <c r="C551" s="5" t="n">
        <v>115119.79</v>
      </c>
      <c r="D551" s="5" t="n">
        <v>115119.79</v>
      </c>
      <c r="E551" s="2" t="inlineStr">
        <is>
          <t>Andalucía</t>
        </is>
      </c>
      <c r="F551" s="2" t="inlineStr">
        <is>
          <t>Sevilla</t>
        </is>
      </c>
      <c r="G551" s="2" t="n"/>
      <c r="H551" s="2" t="inlineStr">
        <is>
          <t>Junta de Gobierno Local del Ayuntamiento de Osuna</t>
        </is>
      </c>
      <c r="I551" s="2" t="inlineStr">
        <is>
          <t>Renovación del pavimento de seguridad y adecuación de áreas de juegos infantiles en diversos parques municipales, incluyendo suministro e instalación de elementos de juego. Diputación provincial de Sevilla</t>
        </is>
      </c>
      <c r="J551" s="2" t="inlineStr">
        <is>
          <t>1452/2026</t>
        </is>
      </c>
      <c r="K551" s="2" t="inlineStr">
        <is>
          <t>Abierto simplificado</t>
        </is>
      </c>
      <c r="L551" s="6" t="n">
        <v>6</v>
      </c>
      <c r="M551" s="2" t="n"/>
      <c r="N551" s="7" t="n">
        <v>0.25</v>
      </c>
      <c r="O551" s="4" t="n"/>
      <c r="P551" s="2" t="inlineStr">
        <is>
          <t>45233293; 34928400</t>
        </is>
      </c>
      <c r="Q551" s="8" t="inlineStr">
        <is>
          <t>Ver</t>
        </is>
      </c>
      <c r="R551" s="8" t="inlineStr">
        <is>
          <t>PCAP</t>
        </is>
      </c>
      <c r="S551" s="9" t="n">
        <v>46310</v>
      </c>
      <c r="T551" s="3" t="n">
        <v>46316.37423611111</v>
      </c>
      <c r="U551" s="2" t="inlineStr">
        <is>
          <t>2026-10-22: estado EV → ADJ</t>
        </is>
      </c>
    </row>
    <row r="552">
      <c r="A552" s="2" t="inlineStr">
        <is>
          <t>Resuelta</t>
        </is>
      </c>
      <c r="B552" s="3" t="n">
        <v>46252.99930555555</v>
      </c>
      <c r="C552" s="5" t="n">
        <v>174990.72</v>
      </c>
      <c r="D552" s="5" t="n">
        <v>174990.72</v>
      </c>
      <c r="E552" s="2" t="inlineStr">
        <is>
          <t>Andalucía</t>
        </is>
      </c>
      <c r="F552" s="2" t="inlineStr">
        <is>
          <t>Sevilla</t>
        </is>
      </c>
      <c r="G552" s="2" t="n"/>
      <c r="H552" s="2" t="inlineStr">
        <is>
          <t>Alcaldia del Ayuntamiento de Carmona</t>
        </is>
      </c>
      <c r="I552" s="2" t="inlineStr">
        <is>
          <t>Contratación de obra para la adecuación y mejora del parque público situado en c/ Dioclesiano s/n dentro del programa de cooperación municipal general Más Sevilla.</t>
        </is>
      </c>
      <c r="J552" s="2" t="inlineStr">
        <is>
          <t>EXP 26-173-12</t>
        </is>
      </c>
      <c r="K552" s="2" t="inlineStr">
        <is>
          <t>Abierto simplificado</t>
        </is>
      </c>
      <c r="L552" s="6" t="n">
        <v>2</v>
      </c>
      <c r="M552" s="2" t="n"/>
      <c r="N552" s="7" t="n">
        <v>0.25</v>
      </c>
      <c r="O552" s="4" t="n"/>
      <c r="P552" s="2" t="inlineStr">
        <is>
          <t>45262300; 77313000; 77312000; 45233290; 77311000; 77310000; 45232120; 45233222</t>
        </is>
      </c>
      <c r="Q552" s="8" t="inlineStr">
        <is>
          <t>Ver</t>
        </is>
      </c>
      <c r="R552" s="8" t="inlineStr">
        <is>
          <t>PCAP</t>
        </is>
      </c>
      <c r="S552" s="9" t="n">
        <v>46314</v>
      </c>
      <c r="T552" s="3" t="n">
        <v>46316.37358796296</v>
      </c>
      <c r="U552" s="2" t="inlineStr">
        <is>
          <t>2026-10-22: estado ADJ → RES</t>
        </is>
      </c>
    </row>
    <row r="553">
      <c r="A553" s="2" t="inlineStr">
        <is>
          <t>En plazo</t>
        </is>
      </c>
      <c r="B553" s="3" t="n">
        <v>46335.99930555555</v>
      </c>
      <c r="C553" s="5" t="n">
        <v>414209.51</v>
      </c>
      <c r="D553" s="5" t="n">
        <v>414209.51</v>
      </c>
      <c r="E553" s="2" t="inlineStr">
        <is>
          <t>Comunitat Valenciana</t>
        </is>
      </c>
      <c r="F553" s="2" t="inlineStr">
        <is>
          <t>Valencia</t>
        </is>
      </c>
      <c r="G553" s="2" t="n"/>
      <c r="H553" s="2" t="inlineStr">
        <is>
          <t>Junta de Gobierno del Ayuntamiento de Benaguasil</t>
        </is>
      </c>
      <c r="I553" s="2" t="inlineStr">
        <is>
          <t>Contrato Administrativo de obra para la repavimentación de la C/ Pedralba, entre los números 4 y 103, del municipio de Benaguasil, enmarcado dentro del Plan Abierto de Inversiones 2024-2027 de la Diputación Provincial de Valencia.</t>
        </is>
      </c>
      <c r="J553" s="2" t="inlineStr">
        <is>
          <t>3049058D</t>
        </is>
      </c>
      <c r="K553" s="2" t="inlineStr">
        <is>
          <t>Abierto simplificado</t>
        </is>
      </c>
      <c r="L553" s="6" t="n">
        <v>6</v>
      </c>
      <c r="M553" s="2" t="n"/>
      <c r="N553" s="7" t="n">
        <v>0</v>
      </c>
      <c r="O553" s="4" t="n"/>
      <c r="P553" s="2" t="inlineStr">
        <is>
          <t>45233251; 45233252</t>
        </is>
      </c>
      <c r="Q553" s="8" t="inlineStr">
        <is>
          <t>Ver</t>
        </is>
      </c>
      <c r="R553" s="8" t="inlineStr">
        <is>
          <t>PCAP</t>
        </is>
      </c>
      <c r="S553" s="9" t="n">
        <v>46317</v>
      </c>
      <c r="T553" s="3" t="n">
        <v>46316.37268518518</v>
      </c>
      <c r="U553" s="2" t="n"/>
    </row>
    <row r="554">
      <c r="A554" s="2" t="inlineStr">
        <is>
          <t>Pendiente de adjudicación</t>
        </is>
      </c>
      <c r="B554" s="3" t="n">
        <v>46314.99930555555</v>
      </c>
      <c r="C554" s="5" t="n">
        <v>200748.83</v>
      </c>
      <c r="D554" s="5" t="n">
        <v>200748.83</v>
      </c>
      <c r="E554" s="2" t="inlineStr">
        <is>
          <t>Andalucía</t>
        </is>
      </c>
      <c r="F554" s="2" t="inlineStr">
        <is>
          <t>Jaén</t>
        </is>
      </c>
      <c r="G554" s="2" t="inlineStr">
        <is>
          <t>MENGÍBAR</t>
        </is>
      </c>
      <c r="H554" s="2" t="inlineStr">
        <is>
          <t>Alcaldía del Ayuntamiento de Mengibar</t>
        </is>
      </c>
      <c r="I554" s="2" t="inlineStr">
        <is>
          <t>Elbaoración de proyecto y Cubrición pista polideportiva CEIP José Plata</t>
        </is>
      </c>
      <c r="J554" s="2" t="inlineStr">
        <is>
          <t>2690/2026</t>
        </is>
      </c>
      <c r="K554" s="2" t="inlineStr">
        <is>
          <t>Abierto simplificado</t>
        </is>
      </c>
      <c r="L554" s="6" t="n">
        <v>4</v>
      </c>
      <c r="M554" s="2" t="n"/>
      <c r="N554" s="7" t="n">
        <v>0.2</v>
      </c>
      <c r="O554" s="4" t="n"/>
      <c r="P554" s="2" t="inlineStr">
        <is>
          <t>45261000; 71320000</t>
        </is>
      </c>
      <c r="Q554" s="8" t="inlineStr">
        <is>
          <t>Ver</t>
        </is>
      </c>
      <c r="R554" s="8" t="inlineStr">
        <is>
          <t>PCAP</t>
        </is>
      </c>
      <c r="S554" s="9" t="n">
        <v>46317</v>
      </c>
      <c r="T554" s="3" t="n">
        <v>46316.37224537037</v>
      </c>
      <c r="U554" s="2" t="n"/>
    </row>
    <row r="555">
      <c r="A555" s="2" t="inlineStr">
        <is>
          <t>En plazo</t>
        </is>
      </c>
      <c r="B555" s="3" t="n">
        <v>46324.99930555555</v>
      </c>
      <c r="C555" s="5" t="n">
        <v>396285.58</v>
      </c>
      <c r="D555" s="5" t="n">
        <v>396285.58</v>
      </c>
      <c r="E555" s="2" t="inlineStr">
        <is>
          <t>Andalucía</t>
        </is>
      </c>
      <c r="F555" s="2" t="inlineStr">
        <is>
          <t>Cádiz</t>
        </is>
      </c>
      <c r="G555" s="2" t="n"/>
      <c r="H555" s="2" t="inlineStr">
        <is>
          <t>Alcaldía del Ayuntamiento de Algeciras</t>
        </is>
      </c>
      <c r="I555" s="2" t="inlineStr">
        <is>
          <t>Proyecto de mejoras de accesibilidad y pavimentación en calles Salamanca y Salesianos, de Algeciras incluido en la senda financiera del PAI Algeciras Conecta cofinanciado por el Fondo Europeo de desarrollo regional en el periodo de programación 2021-2027.</t>
        </is>
      </c>
      <c r="J555" s="2" t="inlineStr">
        <is>
          <t>36136/2026</t>
        </is>
      </c>
      <c r="K555" s="2" t="inlineStr">
        <is>
          <t>Abierto simplificado</t>
        </is>
      </c>
      <c r="L555" s="6" t="n">
        <v>9</v>
      </c>
      <c r="M555" s="2" t="n"/>
      <c r="N555" s="7" t="n">
        <v>0</v>
      </c>
      <c r="O555" s="4" t="n"/>
      <c r="P555" s="2" t="inlineStr">
        <is>
          <t>45233140</t>
        </is>
      </c>
      <c r="Q555" s="8" t="inlineStr">
        <is>
          <t>Ver</t>
        </is>
      </c>
      <c r="R555" s="8" t="inlineStr">
        <is>
          <t>PCAP</t>
        </is>
      </c>
      <c r="S555" s="9" t="n">
        <v>46310</v>
      </c>
      <c r="T555" s="3" t="n">
        <v>46316.37199074074</v>
      </c>
      <c r="U555" s="2" t="n"/>
    </row>
    <row r="556">
      <c r="A556" s="2" t="inlineStr">
        <is>
          <t>En plazo</t>
        </is>
      </c>
      <c r="B556" s="3" t="n">
        <v>46324.99930555555</v>
      </c>
      <c r="C556" s="5" t="n">
        <v>193083.2</v>
      </c>
      <c r="D556" s="5" t="n">
        <v>193083.2</v>
      </c>
      <c r="E556" s="2" t="inlineStr">
        <is>
          <t>Comunitat Valenciana</t>
        </is>
      </c>
      <c r="F556" s="2" t="inlineStr">
        <is>
          <t>Valencia</t>
        </is>
      </c>
      <c r="G556" s="2" t="n"/>
      <c r="H556" s="2" t="inlineStr">
        <is>
          <t>Junta de Gobierno del Ayuntamiento de Picanya</t>
        </is>
      </c>
      <c r="I556" s="2" t="inlineStr">
        <is>
          <t>Contrato de obras de rehabilitación y subsanación de desperfectos sufridos en la biblioteca municipal de Picanya tras la DANA</t>
        </is>
      </c>
      <c r="J556" s="2" t="inlineStr">
        <is>
          <t>2886786A</t>
        </is>
      </c>
      <c r="K556" s="2" t="inlineStr">
        <is>
          <t>Abierto</t>
        </is>
      </c>
      <c r="L556" s="6" t="n">
        <v>4</v>
      </c>
      <c r="M556" s="2" t="n"/>
      <c r="N556" s="7" t="n">
        <v>0.45</v>
      </c>
      <c r="O556" s="4" t="n"/>
      <c r="P556" s="2" t="inlineStr">
        <is>
          <t>45000000; 45262520; 45430000; 45200000</t>
        </is>
      </c>
      <c r="Q556" s="8" t="inlineStr">
        <is>
          <t>Ver</t>
        </is>
      </c>
      <c r="R556" s="8" t="inlineStr">
        <is>
          <t>PCAP</t>
        </is>
      </c>
      <c r="S556" s="9" t="n">
        <v>46314</v>
      </c>
      <c r="T556" s="3" t="n">
        <v>46316.3716087963</v>
      </c>
      <c r="U556" s="2" t="n"/>
    </row>
    <row r="557">
      <c r="A557" s="2" t="inlineStr">
        <is>
          <t>Adjudicada</t>
        </is>
      </c>
      <c r="B557" s="3" t="n">
        <v>46265.58333333334</v>
      </c>
      <c r="C557" s="5" t="n">
        <v>170628.03</v>
      </c>
      <c r="D557" s="5" t="n">
        <v>170628.03</v>
      </c>
      <c r="E557" s="2" t="inlineStr">
        <is>
          <t>Andalucía</t>
        </is>
      </c>
      <c r="F557" s="2" t="inlineStr">
        <is>
          <t>Sevilla</t>
        </is>
      </c>
      <c r="G557" s="2" t="n"/>
      <c r="H557" s="2" t="inlineStr">
        <is>
          <t>Junta de Gobierno Local del Ayuntamiento de Osuna</t>
        </is>
      </c>
      <c r="I557" s="2" t="inlineStr">
        <is>
          <t>Arreglo y asfaltado de varias calles del municipio de Osuna. Plan Provincial de Cooperación en obras y servicios 2026. Diputación Provincial de Sevilla</t>
        </is>
      </c>
      <c r="J557" s="2" t="inlineStr">
        <is>
          <t>1902/2026</t>
        </is>
      </c>
      <c r="K557" s="2" t="inlineStr">
        <is>
          <t>Abierto simplificado</t>
        </is>
      </c>
      <c r="L557" s="6" t="n">
        <v>5</v>
      </c>
      <c r="M557" s="2" t="n"/>
      <c r="N557" s="7" t="n">
        <v>0.25</v>
      </c>
      <c r="O557" s="4" t="n"/>
      <c r="P557" s="2" t="inlineStr">
        <is>
          <t>45233222</t>
        </is>
      </c>
      <c r="Q557" s="8" t="inlineStr">
        <is>
          <t>Ver</t>
        </is>
      </c>
      <c r="R557" s="8" t="inlineStr">
        <is>
          <t>PCAP</t>
        </is>
      </c>
      <c r="S557" s="9" t="n">
        <v>46314</v>
      </c>
      <c r="T557" s="3" t="n">
        <v>46316.37042824074</v>
      </c>
      <c r="U557" s="2" t="inlineStr">
        <is>
          <t>2026-10-22: estado EV → ADJ</t>
        </is>
      </c>
    </row>
    <row r="558">
      <c r="A558" s="2" t="inlineStr">
        <is>
          <t>Resuelta</t>
        </is>
      </c>
      <c r="B558" s="3" t="n"/>
      <c r="C558" s="5" t="n">
        <v>63608.5</v>
      </c>
      <c r="D558" s="5" t="n">
        <v>63608.5</v>
      </c>
      <c r="E558" s="2" t="inlineStr">
        <is>
          <t>Andalucía</t>
        </is>
      </c>
      <c r="F558" s="2" t="inlineStr">
        <is>
          <t>Málaga</t>
        </is>
      </c>
      <c r="G558" s="2" t="n"/>
      <c r="H558" s="2" t="inlineStr">
        <is>
          <t>Concejalía Delegada de la Presidencia de la Junta Municipal del Distrito nº 9, Campanillas del Ayuntamiento de Málaga</t>
        </is>
      </c>
      <c r="I558" s="2" t="inlineStr">
        <is>
          <t>Renovación de acerados</t>
        </is>
      </c>
      <c r="J558" s="2" t="inlineStr">
        <is>
          <t>AM 108/23</t>
        </is>
      </c>
      <c r="K558" s="2" t="inlineStr">
        <is>
          <t>Abierto</t>
        </is>
      </c>
      <c r="L558" s="6" t="n">
        <v>3</v>
      </c>
      <c r="M558" s="2" t="n"/>
      <c r="N558" s="7" t="n">
        <v>0</v>
      </c>
      <c r="O558" s="4" t="n"/>
      <c r="P558" s="2" t="inlineStr">
        <is>
          <t>45000000</t>
        </is>
      </c>
      <c r="Q558" s="8" t="inlineStr">
        <is>
          <t>Ver</t>
        </is>
      </c>
      <c r="R558" s="2" t="n"/>
      <c r="S558" s="9" t="n">
        <v>46317</v>
      </c>
      <c r="T558" s="3" t="n">
        <v>46316.36951388889</v>
      </c>
      <c r="U558" s="2" t="n"/>
    </row>
    <row r="559">
      <c r="A559" s="2" t="inlineStr">
        <is>
          <t>Resuelta</t>
        </is>
      </c>
      <c r="B559" s="3" t="n">
        <v>46237.58333333334</v>
      </c>
      <c r="C559" s="5" t="n">
        <v>330578.51</v>
      </c>
      <c r="D559" s="5" t="n">
        <v>363636.36</v>
      </c>
      <c r="E559" s="2" t="inlineStr">
        <is>
          <t>Comunitat Valenciana</t>
        </is>
      </c>
      <c r="F559" s="2" t="inlineStr">
        <is>
          <t>Alicante</t>
        </is>
      </c>
      <c r="G559" s="2" t="inlineStr">
        <is>
          <t>Alicante (Alacant)</t>
        </is>
      </c>
      <c r="H559" s="2" t="inlineStr">
        <is>
          <t>Junta de Gobierno del Ayuntamiento de Petrer</t>
        </is>
      </c>
      <c r="I559" s="2" t="inlineStr">
        <is>
          <t>Obras incluidas en el "Proyecto básico y de ejecución de reasfaltado 2026 de varias calles (Petrer)"</t>
        </is>
      </c>
      <c r="J559" s="2" t="inlineStr">
        <is>
          <t>4849/2026-C18/26</t>
        </is>
      </c>
      <c r="K559" s="2" t="inlineStr">
        <is>
          <t>Abierto simplificado</t>
        </is>
      </c>
      <c r="L559" s="6" t="n">
        <v>3</v>
      </c>
      <c r="M559" s="2" t="n"/>
      <c r="N559" s="7" t="n"/>
      <c r="O559" s="4" t="n"/>
      <c r="P559" s="2" t="inlineStr">
        <is>
          <t>45233222</t>
        </is>
      </c>
      <c r="Q559" s="8" t="inlineStr">
        <is>
          <t>Ver</t>
        </is>
      </c>
      <c r="R559" s="8" t="inlineStr">
        <is>
          <t>PCAP</t>
        </is>
      </c>
      <c r="S559" s="9" t="n">
        <v>46311</v>
      </c>
      <c r="T559" s="3" t="n">
        <v>46316.36364583333</v>
      </c>
      <c r="U559" s="2" t="inlineStr">
        <is>
          <t>2026-10-22: estado ADJ → RES</t>
        </is>
      </c>
    </row>
    <row r="560">
      <c r="A560" s="2" t="inlineStr">
        <is>
          <t>Pendiente de adjudicación</t>
        </is>
      </c>
      <c r="B560" s="3" t="n">
        <v>46295.99930555555</v>
      </c>
      <c r="C560" s="5" t="n">
        <v>411862.87</v>
      </c>
      <c r="D560" s="5" t="n">
        <v>411862.87</v>
      </c>
      <c r="E560" s="2" t="inlineStr">
        <is>
          <t>Andalucía</t>
        </is>
      </c>
      <c r="F560" s="2" t="inlineStr">
        <is>
          <t>Jaén</t>
        </is>
      </c>
      <c r="G560" s="2" t="inlineStr">
        <is>
          <t>Linares</t>
        </is>
      </c>
      <c r="H560" s="2" t="inlineStr">
        <is>
          <t>Alcaldía del Ayuntamiento de Linares</t>
        </is>
      </c>
      <c r="I560" s="2" t="inlineStr">
        <is>
          <t>Obras de rehabilitación de la Casa de la Cultura. Plan Actuación Integrado (PAI) con cargo a fondos EDIL.</t>
        </is>
      </c>
      <c r="J560" s="2" t="inlineStr">
        <is>
          <t>2026/10741</t>
        </is>
      </c>
      <c r="K560" s="2" t="inlineStr">
        <is>
          <t>Abierto simplificado</t>
        </is>
      </c>
      <c r="L560" s="6" t="n">
        <v>5</v>
      </c>
      <c r="M560" s="2" t="n"/>
      <c r="N560" s="7" t="n">
        <v>0</v>
      </c>
      <c r="O560" s="4" t="n"/>
      <c r="P560" s="2" t="inlineStr">
        <is>
          <t>45000000</t>
        </is>
      </c>
      <c r="Q560" s="8" t="inlineStr">
        <is>
          <t>Ver</t>
        </is>
      </c>
      <c r="R560" s="8" t="inlineStr">
        <is>
          <t>PCAP</t>
        </is>
      </c>
      <c r="S560" s="9" t="n">
        <v>46317</v>
      </c>
      <c r="T560" s="3" t="n">
        <v>46316.36109953704</v>
      </c>
      <c r="U560" s="2" t="n"/>
    </row>
    <row r="561">
      <c r="A561" s="2" t="inlineStr">
        <is>
          <t>Resuelta</t>
        </is>
      </c>
      <c r="B561" s="3" t="n">
        <v>46275.99930555555</v>
      </c>
      <c r="C561" s="5" t="n">
        <v>123887.53</v>
      </c>
      <c r="D561" s="5" t="n">
        <v>123887.53</v>
      </c>
      <c r="E561" s="2" t="inlineStr">
        <is>
          <t>Andalucía</t>
        </is>
      </c>
      <c r="F561" s="2" t="inlineStr">
        <is>
          <t>Sevilla</t>
        </is>
      </c>
      <c r="G561" s="2" t="inlineStr">
        <is>
          <t>MAIRENA DEL ALCOR</t>
        </is>
      </c>
      <c r="H561" s="2" t="inlineStr">
        <is>
          <t>Concejal Delegado con Delegación Genérica de Urbanismo, Vivienda, Ordenación del Territorio, Digitalización Urbana, Fondos Europeos, Servicios, Parques y Jardines, Limpieza, Coordinación de barrios, Obras, Disciplina, Patrimonio, Medio Ambiente y Movilidad del Ayuntamiento de Mairena del Alcor</t>
        </is>
      </c>
      <c r="I561" s="2" t="inlineStr">
        <is>
          <t>Ejecucion de 210 Nichos y 96 Columbarios en Cementerio Municipal San Jose</t>
        </is>
      </c>
      <c r="J561" s="2" t="inlineStr">
        <is>
          <t>1963/2026</t>
        </is>
      </c>
      <c r="K561" s="2" t="inlineStr">
        <is>
          <t>Abierto simplificado</t>
        </is>
      </c>
      <c r="L561" s="6" t="n">
        <v>3</v>
      </c>
      <c r="M561" s="2" t="n"/>
      <c r="N561" s="7" t="n">
        <v>0</v>
      </c>
      <c r="O561" s="4" t="n"/>
      <c r="P561" s="2" t="inlineStr">
        <is>
          <t>45215400</t>
        </is>
      </c>
      <c r="Q561" s="8" t="inlineStr">
        <is>
          <t>Ver</t>
        </is>
      </c>
      <c r="R561" s="8" t="inlineStr">
        <is>
          <t>PCAP</t>
        </is>
      </c>
      <c r="S561" s="9" t="n">
        <v>46311</v>
      </c>
      <c r="T561" s="3" t="n">
        <v>46316.36086805556</v>
      </c>
      <c r="U561" s="2" t="inlineStr">
        <is>
          <t>2026-10-22: estado ADJ → RES</t>
        </is>
      </c>
    </row>
    <row r="562">
      <c r="A562" s="2" t="inlineStr">
        <is>
          <t>Adjudicada</t>
        </is>
      </c>
      <c r="B562" s="3" t="n">
        <v>46223.99930555555</v>
      </c>
      <c r="C562" s="5" t="n">
        <v>66087.07000000001</v>
      </c>
      <c r="D562" s="5" t="n">
        <v>66087.07000000001</v>
      </c>
      <c r="E562" s="2" t="inlineStr">
        <is>
          <t>Andalucía</t>
        </is>
      </c>
      <c r="F562" s="2" t="inlineStr">
        <is>
          <t>Sevilla</t>
        </is>
      </c>
      <c r="G562" s="2" t="n"/>
      <c r="H562" s="2" t="inlineStr">
        <is>
          <t>Junta de Gobierno del Ayuntamiento de La Rinconada</t>
        </is>
      </c>
      <c r="I562" s="2" t="inlineStr">
        <is>
          <t>Obras de la instalación de depósitos de cenizas ubicado en el Cementerio Municipal Nuestra Señora del Carmen de San José de La Rinconada</t>
        </is>
      </c>
      <c r="J562" s="2" t="inlineStr">
        <is>
          <t>6795/2026</t>
        </is>
      </c>
      <c r="K562" s="2" t="inlineStr">
        <is>
          <t>Abierto simplificado</t>
        </is>
      </c>
      <c r="L562" s="6" t="n">
        <v>1</v>
      </c>
      <c r="M562" s="2" t="n"/>
      <c r="N562" s="7" t="n">
        <v>0</v>
      </c>
      <c r="O562" s="4" t="n"/>
      <c r="P562" s="2" t="inlineStr">
        <is>
          <t>45215400</t>
        </is>
      </c>
      <c r="Q562" s="8" t="inlineStr">
        <is>
          <t>Ver</t>
        </is>
      </c>
      <c r="R562" s="8" t="inlineStr">
        <is>
          <t>PCAP</t>
        </is>
      </c>
      <c r="S562" s="9" t="n">
        <v>46317</v>
      </c>
      <c r="T562" s="3" t="n">
        <v>46316.36072916666</v>
      </c>
      <c r="U562" s="2" t="n"/>
    </row>
    <row r="563">
      <c r="A563" s="2" t="inlineStr">
        <is>
          <t>Resuelta</t>
        </is>
      </c>
      <c r="B563" s="3" t="n">
        <v>45698.99930555555</v>
      </c>
      <c r="C563" s="5" t="n">
        <v>1822189.62</v>
      </c>
      <c r="D563" s="5" t="n">
        <v>2004408.58</v>
      </c>
      <c r="E563" s="2" t="inlineStr">
        <is>
          <t>Comunitat Valenciana</t>
        </is>
      </c>
      <c r="F563" s="2" t="inlineStr">
        <is>
          <t>Alicante</t>
        </is>
      </c>
      <c r="G563" s="2" t="n"/>
      <c r="H563" s="2" t="inlineStr">
        <is>
          <t>Departamento de Salud de Elda. Dirección Económica-Gerencia</t>
        </is>
      </c>
      <c r="I563" s="2" t="inlineStr">
        <is>
          <t>Obras para la ampliación del Servicio de Urgencias del Hospital General Universitario de Elda, Respetuosas con el Medio Ambiente. Departamento de Salud de Elda.</t>
        </is>
      </c>
      <c r="J563" s="2" t="inlineStr">
        <is>
          <t>PA 56/2025 TA</t>
        </is>
      </c>
      <c r="K563" s="2" t="inlineStr">
        <is>
          <t>Abierto</t>
        </is>
      </c>
      <c r="L563" s="6" t="n">
        <v>15</v>
      </c>
      <c r="M563" s="2" t="inlineStr">
        <is>
          <t>C*-4</t>
        </is>
      </c>
      <c r="N563" s="7" t="n">
        <v>0.25</v>
      </c>
      <c r="O563" s="4" t="n"/>
      <c r="P563" s="2" t="inlineStr">
        <is>
          <t>45262800</t>
        </is>
      </c>
      <c r="Q563" s="8" t="inlineStr">
        <is>
          <t>Ver</t>
        </is>
      </c>
      <c r="R563" s="8" t="inlineStr">
        <is>
          <t>PCAP</t>
        </is>
      </c>
      <c r="S563" s="9" t="n">
        <v>46317</v>
      </c>
      <c r="T563" s="3" t="n">
        <v>46316.35768518518</v>
      </c>
      <c r="U563" s="2" t="n"/>
    </row>
    <row r="564">
      <c r="A564" s="2" t="inlineStr">
        <is>
          <t>Resuelta</t>
        </is>
      </c>
      <c r="B564" s="3" t="n">
        <v>46169.41666666666</v>
      </c>
      <c r="C564" s="5" t="n">
        <v>71606.23</v>
      </c>
      <c r="D564" s="5" t="n">
        <v>71606.23</v>
      </c>
      <c r="E564" s="2" t="inlineStr">
        <is>
          <t>Andalucía</t>
        </is>
      </c>
      <c r="F564" s="2" t="inlineStr">
        <is>
          <t>Málaga</t>
        </is>
      </c>
      <c r="G564" s="2" t="n"/>
      <c r="H564" s="2" t="inlineStr">
        <is>
          <t>ADIF Alta Velocidad - Presidencia</t>
        </is>
      </c>
      <c r="I564" s="2" t="inlineStr">
        <is>
          <t>Obras de ejecución del proyecto simplificado para la instalación de sistemas de alimentación ininterrumpida (SAI´S) en las estaciones de Antequera Santa Ana y Málaga María Zambrano</t>
        </is>
      </c>
      <c r="J564" s="2" t="inlineStr">
        <is>
          <t>3.26/30820.0018</t>
        </is>
      </c>
      <c r="K564" s="2" t="inlineStr">
        <is>
          <t>Abierto simplificado</t>
        </is>
      </c>
      <c r="L564" s="6" t="n">
        <v>2</v>
      </c>
      <c r="M564" s="2" t="n"/>
      <c r="N564" s="7" t="n">
        <v>0</v>
      </c>
      <c r="O564" s="4" t="n"/>
      <c r="P564" s="2" t="inlineStr">
        <is>
          <t>45315600</t>
        </is>
      </c>
      <c r="Q564" s="8" t="inlineStr">
        <is>
          <t>Ver</t>
        </is>
      </c>
      <c r="R564" s="8" t="inlineStr">
        <is>
          <t>PCAP</t>
        </is>
      </c>
      <c r="S564" s="9" t="n">
        <v>46311</v>
      </c>
      <c r="T564" s="3" t="n">
        <v>46316.35690972222</v>
      </c>
      <c r="U564" s="2" t="inlineStr">
        <is>
          <t>2026-10-22: estado ADJ → RES</t>
        </is>
      </c>
    </row>
    <row r="565">
      <c r="A565" s="2" t="inlineStr">
        <is>
          <t>Pendiente de adjudicación</t>
        </is>
      </c>
      <c r="B565" s="3" t="n">
        <v>46294.99930555555</v>
      </c>
      <c r="C565" s="5" t="n">
        <v>50579.45</v>
      </c>
      <c r="D565" s="5" t="n">
        <v>50579.45</v>
      </c>
      <c r="E565" s="2" t="inlineStr">
        <is>
          <t>Andalucía</t>
        </is>
      </c>
      <c r="F565" s="2" t="inlineStr">
        <is>
          <t>Jaén</t>
        </is>
      </c>
      <c r="G565" s="2" t="inlineStr">
        <is>
          <t>Beas de SEgura</t>
        </is>
      </c>
      <c r="H565" s="2" t="inlineStr">
        <is>
          <t>Alcaldía del Ayuntamiento de Beas de Segura</t>
        </is>
      </c>
      <c r="I565" s="2" t="inlineStr">
        <is>
          <t>Contrato de obra para la reparación del aglomerado asfaltico de varias calles de Beas de Segura correspondientes al programa de fomento de empleo agrario 2025/2026 para la ejecución por administración directa de la inversión denominada "Urbanización de varias calles de Beas de Segura".</t>
        </is>
      </c>
      <c r="J565" s="2" t="inlineStr">
        <is>
          <t>491/2026</t>
        </is>
      </c>
      <c r="K565" s="2" t="inlineStr">
        <is>
          <t>Abierto simplificado</t>
        </is>
      </c>
      <c r="L565" s="6" t="n">
        <v>4</v>
      </c>
      <c r="M565" s="2" t="n"/>
      <c r="N565" s="7" t="n">
        <v>0</v>
      </c>
      <c r="O565" s="4" t="n"/>
      <c r="P565" s="2" t="inlineStr">
        <is>
          <t>45000000</t>
        </is>
      </c>
      <c r="Q565" s="8" t="inlineStr">
        <is>
          <t>Ver</t>
        </is>
      </c>
      <c r="R565" s="8" t="inlineStr">
        <is>
          <t>PCAP</t>
        </is>
      </c>
      <c r="S565" s="9" t="n">
        <v>46314</v>
      </c>
      <c r="T565" s="3" t="n">
        <v>46316.35486111111</v>
      </c>
      <c r="U565" s="2" t="n"/>
    </row>
    <row r="566">
      <c r="A566" s="2" t="inlineStr">
        <is>
          <t>Pendiente de adjudicación</t>
        </is>
      </c>
      <c r="B566" s="3" t="n">
        <v>46313.99930555555</v>
      </c>
      <c r="C566" s="5" t="n">
        <v>247829.38</v>
      </c>
      <c r="D566" s="5" t="n">
        <v>272612.32</v>
      </c>
      <c r="E566" s="2" t="inlineStr">
        <is>
          <t>Andalucía</t>
        </is>
      </c>
      <c r="F566" s="2" t="inlineStr">
        <is>
          <t>Córdoba</t>
        </is>
      </c>
      <c r="G566" s="2" t="inlineStr">
        <is>
          <t>El Carpio (Córdoba)</t>
        </is>
      </c>
      <c r="H566" s="2" t="inlineStr">
        <is>
          <t>Alcaldía del Ayuntamiento de El Carpio</t>
        </is>
      </c>
      <c r="I566" s="2" t="inlineStr">
        <is>
          <t>Obras de Renovación y mejora del pavimento del Campo de fútbol Contrato financiado con cargo a las ayudas de la Administración General del Estado, a través del Ministerio de Política Territorial y Memoria democrática, previstas en el artículo 7 del Real Decreto-ley 5/2026, de 17 de febrero.</t>
        </is>
      </c>
      <c r="J566" s="2" t="inlineStr">
        <is>
          <t>4796/2026</t>
        </is>
      </c>
      <c r="K566" s="2" t="inlineStr">
        <is>
          <t>Abierto simplificado</t>
        </is>
      </c>
      <c r="L566" s="6" t="n">
        <v>4</v>
      </c>
      <c r="M566" s="2" t="n"/>
      <c r="N566" s="7" t="n">
        <v>0</v>
      </c>
      <c r="O566" s="4" t="n"/>
      <c r="P566" s="2" t="inlineStr">
        <is>
          <t>45000000</t>
        </is>
      </c>
      <c r="Q566" s="8" t="inlineStr">
        <is>
          <t>Ver</t>
        </is>
      </c>
      <c r="R566" s="8" t="inlineStr">
        <is>
          <t>PCAP</t>
        </is>
      </c>
      <c r="S566" s="9" t="n">
        <v>46317</v>
      </c>
      <c r="T566" s="3" t="n">
        <v>46316.35094907408</v>
      </c>
      <c r="U566" s="2" t="n"/>
    </row>
    <row r="567">
      <c r="A567" s="2" t="inlineStr">
        <is>
          <t>Resuelta</t>
        </is>
      </c>
      <c r="B567" s="3" t="n">
        <v>46267.99930555555</v>
      </c>
      <c r="C567" s="5" t="n">
        <v>122003.22</v>
      </c>
      <c r="D567" s="5" t="n">
        <v>122003.22</v>
      </c>
      <c r="E567" s="2" t="inlineStr">
        <is>
          <t>Andalucía</t>
        </is>
      </c>
      <c r="F567" s="2" t="inlineStr">
        <is>
          <t>Huelva</t>
        </is>
      </c>
      <c r="G567" s="2" t="inlineStr">
        <is>
          <t>Gibraleón</t>
        </is>
      </c>
      <c r="H567" s="2" t="inlineStr">
        <is>
          <t>Alcaldía del Ayuntamiento de Gibraleón</t>
        </is>
      </c>
      <c r="I567" s="2" t="inlineStr">
        <is>
          <t>Obras correspondientes al Plan de Asfaltado Municipal.</t>
        </is>
      </c>
      <c r="J567" s="2" t="inlineStr">
        <is>
          <t>3179/2026</t>
        </is>
      </c>
      <c r="K567" s="2" t="inlineStr">
        <is>
          <t>Abierto simplificado</t>
        </is>
      </c>
      <c r="L567" s="6" t="n">
        <v>1.5</v>
      </c>
      <c r="M567" s="2" t="inlineStr">
        <is>
          <t>G*-1</t>
        </is>
      </c>
      <c r="N567" s="7" t="n">
        <v>0</v>
      </c>
      <c r="O567" s="4" t="n"/>
      <c r="P567" s="2" t="inlineStr">
        <is>
          <t>45233252</t>
        </is>
      </c>
      <c r="Q567" s="8" t="inlineStr">
        <is>
          <t>Ver</t>
        </is>
      </c>
      <c r="R567" s="8" t="inlineStr">
        <is>
          <t>PCAP</t>
        </is>
      </c>
      <c r="S567" s="9" t="n">
        <v>46317</v>
      </c>
      <c r="T567" s="3" t="n">
        <v>46316.35071759259</v>
      </c>
      <c r="U567" s="2" t="n"/>
    </row>
    <row r="568">
      <c r="A568" s="2" t="inlineStr">
        <is>
          <t>Resuelta</t>
        </is>
      </c>
      <c r="B568" s="3" t="n">
        <v>46286.99930555555</v>
      </c>
      <c r="C568" s="5" t="n">
        <v>57263.62</v>
      </c>
      <c r="D568" s="5" t="n">
        <v>57263.62</v>
      </c>
      <c r="E568" s="2" t="inlineStr">
        <is>
          <t>Andalucía</t>
        </is>
      </c>
      <c r="F568" s="2" t="inlineStr">
        <is>
          <t>Málaga</t>
        </is>
      </c>
      <c r="G568" s="2" t="n"/>
      <c r="H568" s="2" t="inlineStr">
        <is>
          <t>Junta de Gobierno del Ayuntamiento de Fuengirola</t>
        </is>
      </c>
      <c r="I568" s="2" t="inlineStr">
        <is>
          <t>Obras de reparación de los daños ocasionados por las inundaciones del 4 de enero de 2026 en la balsa de decantación de arenas del Río Fuengirola, en el T.M. de Fuengirola</t>
        </is>
      </c>
      <c r="J568" s="2" t="inlineStr">
        <is>
          <t>CONTR-2026000081</t>
        </is>
      </c>
      <c r="K568" s="2" t="inlineStr">
        <is>
          <t>Abierto simplificado</t>
        </is>
      </c>
      <c r="L568" s="6" t="n">
        <v>0.7</v>
      </c>
      <c r="M568" s="2" t="n"/>
      <c r="N568" s="7" t="n">
        <v>0</v>
      </c>
      <c r="O568" s="4" t="n"/>
      <c r="P568" s="2" t="inlineStr">
        <is>
          <t>45111200; 45112000</t>
        </is>
      </c>
      <c r="Q568" s="8" t="inlineStr">
        <is>
          <t>Ver</t>
        </is>
      </c>
      <c r="R568" s="8" t="inlineStr">
        <is>
          <t>PCAP</t>
        </is>
      </c>
      <c r="S568" s="9" t="n">
        <v>46310</v>
      </c>
      <c r="T568" s="3" t="n">
        <v>46316.34543981482</v>
      </c>
      <c r="U568" s="2" t="inlineStr">
        <is>
          <t>2026-10-22: estado ADJ → RES</t>
        </is>
      </c>
    </row>
    <row r="569">
      <c r="A569" s="2" t="inlineStr">
        <is>
          <t>En plazo</t>
        </is>
      </c>
      <c r="B569" s="3" t="n">
        <v>46335.99930555555</v>
      </c>
      <c r="C569" s="5" t="n">
        <v>108201.18</v>
      </c>
      <c r="D569" s="5" t="n">
        <v>108201.18</v>
      </c>
      <c r="E569" s="2" t="inlineStr">
        <is>
          <t>Andalucía</t>
        </is>
      </c>
      <c r="F569" s="2" t="inlineStr">
        <is>
          <t>Granada</t>
        </is>
      </c>
      <c r="G569" s="2" t="n"/>
      <c r="H569" s="2" t="inlineStr">
        <is>
          <t>Alcaldía del Ayuntamiento de Las Gabias</t>
        </is>
      </c>
      <c r="I569" s="2" t="inlineStr">
        <is>
          <t>Reparación de daños producidos por temporal e inversiones de carácter preventivo en Las Gabias.</t>
        </is>
      </c>
      <c r="J569" s="2" t="inlineStr">
        <is>
          <t>963/2026</t>
        </is>
      </c>
      <c r="K569" s="2" t="inlineStr">
        <is>
          <t>Abierto simplificado</t>
        </is>
      </c>
      <c r="L569" s="6" t="n">
        <v>2</v>
      </c>
      <c r="M569" s="2" t="n"/>
      <c r="N569" s="7" t="n">
        <v>0</v>
      </c>
      <c r="O569" s="4" t="n">
        <v>6</v>
      </c>
      <c r="P569" s="2" t="inlineStr">
        <is>
          <t>45261420; 45261900; 45261320; 45421132; 45212190</t>
        </is>
      </c>
      <c r="Q569" s="8" t="inlineStr">
        <is>
          <t>Ver</t>
        </is>
      </c>
      <c r="R569" s="8" t="inlineStr">
        <is>
          <t>PCAP</t>
        </is>
      </c>
      <c r="S569" s="9" t="n">
        <v>46317</v>
      </c>
      <c r="T569" s="3" t="n">
        <v>46316.34349537037</v>
      </c>
      <c r="U569" s="2" t="n"/>
    </row>
    <row r="570">
      <c r="A570" s="2" t="inlineStr">
        <is>
          <t>En plazo</t>
        </is>
      </c>
      <c r="B570" s="3" t="n">
        <v>46330.99930555555</v>
      </c>
      <c r="C570" s="5" t="n">
        <v>33057.85</v>
      </c>
      <c r="D570" s="5" t="n">
        <v>33057.85</v>
      </c>
      <c r="E570" s="2" t="inlineStr">
        <is>
          <t>Comunitat Valenciana</t>
        </is>
      </c>
      <c r="F570" s="2" t="inlineStr">
        <is>
          <t>Castellón</t>
        </is>
      </c>
      <c r="G570" s="2" t="inlineStr">
        <is>
          <t>MORELLA (CASTELLON)</t>
        </is>
      </c>
      <c r="H570" s="2" t="inlineStr">
        <is>
          <t>Comandancia Guardia Civil de Castellón</t>
        </is>
      </c>
      <c r="I570" s="2" t="inlineStr">
        <is>
          <t>Obra reparación/impermeabilización azotea bloque principal de estancias oficiales del Acuartelamiento de la Guardia Civil de Morella (Castellón).</t>
        </is>
      </c>
      <c r="J570" s="2" t="inlineStr">
        <is>
          <t>P/0123/Y/26/6</t>
        </is>
      </c>
      <c r="K570" s="2" t="inlineStr">
        <is>
          <t>Abierto simplificado</t>
        </is>
      </c>
      <c r="L570" s="6" t="n">
        <v>1.6</v>
      </c>
      <c r="M570" s="2" t="n"/>
      <c r="N570" s="7" t="n">
        <v>0</v>
      </c>
      <c r="O570" s="4" t="n"/>
      <c r="P570" s="2" t="inlineStr">
        <is>
          <t>45000000; 45450000</t>
        </is>
      </c>
      <c r="Q570" s="8" t="inlineStr">
        <is>
          <t>Ver</t>
        </is>
      </c>
      <c r="R570" s="8" t="inlineStr">
        <is>
          <t>PCAP</t>
        </is>
      </c>
      <c r="S570" s="9" t="n">
        <v>46317</v>
      </c>
      <c r="T570" s="3" t="n">
        <v>46316.34275462963</v>
      </c>
      <c r="U570" s="2" t="n"/>
    </row>
    <row r="571">
      <c r="A571" s="2" t="inlineStr">
        <is>
          <t>Resuelta</t>
        </is>
      </c>
      <c r="B571" s="3" t="n">
        <v>46239.54166666666</v>
      </c>
      <c r="C571" s="5" t="n">
        <v>526779.51</v>
      </c>
      <c r="D571" s="5" t="n">
        <v>526779.51</v>
      </c>
      <c r="E571" s="2" t="inlineStr">
        <is>
          <t>Andalucía</t>
        </is>
      </c>
      <c r="F571" s="2" t="inlineStr">
        <is>
          <t>Almería</t>
        </is>
      </c>
      <c r="G571" s="2" t="inlineStr">
        <is>
          <t>Almeria</t>
        </is>
      </c>
      <c r="H571" s="2" t="inlineStr">
        <is>
          <t>Rectorado de la Universidad de Almería</t>
        </is>
      </c>
      <c r="I571" s="2" t="inlineStr">
        <is>
          <t>ejecución de las obras necesarias para la instalación de un sistema solar fotovoltaico para autoconsumo en la cubierta de los edificios departamentales de la Universidad de Almería, ubicado en el campus de La Cañada de San Urbano</t>
        </is>
      </c>
      <c r="J571" s="2" t="inlineStr">
        <is>
          <t>1095</t>
        </is>
      </c>
      <c r="K571" s="2" t="inlineStr">
        <is>
          <t>Abierto simplificado</t>
        </is>
      </c>
      <c r="L571" s="6" t="n">
        <v>4</v>
      </c>
      <c r="M571" s="2" t="n"/>
      <c r="N571" s="7" t="n">
        <v>0</v>
      </c>
      <c r="O571" s="4" t="n"/>
      <c r="P571" s="2" t="inlineStr">
        <is>
          <t>45310000; 09332000; 45261215; 09331000; 09331200; 09330000</t>
        </is>
      </c>
      <c r="Q571" s="8" t="inlineStr">
        <is>
          <t>Ver</t>
        </is>
      </c>
      <c r="R571" s="8" t="inlineStr">
        <is>
          <t>PCAP</t>
        </is>
      </c>
      <c r="S571" s="9" t="n">
        <v>46315</v>
      </c>
      <c r="T571" s="3" t="n">
        <v>46316.33378472222</v>
      </c>
      <c r="U571" s="2" t="inlineStr">
        <is>
          <t>2026-10-22: estado ADJ → RES</t>
        </is>
      </c>
    </row>
    <row r="572">
      <c r="A572" s="2" t="inlineStr">
        <is>
          <t>En plazo</t>
        </is>
      </c>
      <c r="B572" s="3" t="n">
        <v>46321.58333333334</v>
      </c>
      <c r="C572" s="5" t="n">
        <v>792000</v>
      </c>
      <c r="D572" s="5" t="n">
        <v>1742400</v>
      </c>
      <c r="E572" s="2" t="inlineStr">
        <is>
          <t>Comunitat Valenciana</t>
        </is>
      </c>
      <c r="F572" s="2" t="inlineStr">
        <is>
          <t>Valencia</t>
        </is>
      </c>
      <c r="G572" s="2" t="n"/>
      <c r="H572" s="2" t="inlineStr">
        <is>
          <t>Presidencia de la Entidad Valenciana de Vivienda y Suelo</t>
        </is>
      </c>
      <c r="I572" s="2" t="inlineStr">
        <is>
          <t>Mantenimiento correctivo (incluyendo la gestión integral de reclamaciones) de los inmuebles que componen el patrimonio público de viviendas de la Generalitat en la provincia de Castellón para los ejercicios 2027/2028.</t>
        </is>
      </c>
      <c r="J572" s="2" t="inlineStr">
        <is>
          <t>CMAYOR/2026/EVHA0/0012</t>
        </is>
      </c>
      <c r="K572" s="2" t="inlineStr">
        <is>
          <t>Abierto</t>
        </is>
      </c>
      <c r="L572" s="6" t="n">
        <v>24</v>
      </c>
      <c r="M572" s="2" t="inlineStr">
        <is>
          <t>I6-1; C4-2; J4-1; C9-2</t>
        </is>
      </c>
      <c r="N572" s="7" t="n">
        <v>0.4</v>
      </c>
      <c r="O572" s="4" t="n"/>
      <c r="P572" s="2" t="inlineStr">
        <is>
          <t>45200000; 71000000</t>
        </is>
      </c>
      <c r="Q572" s="8" t="inlineStr">
        <is>
          <t>Ver</t>
        </is>
      </c>
      <c r="R572" s="8" t="inlineStr">
        <is>
          <t>PCAP</t>
        </is>
      </c>
      <c r="S572" s="9" t="n">
        <v>46317</v>
      </c>
      <c r="T572" s="3" t="n">
        <v>46316.33206018519</v>
      </c>
      <c r="U572" s="2" t="n"/>
    </row>
    <row r="573">
      <c r="A573" s="2" t="inlineStr">
        <is>
          <t>Resuelta</t>
        </is>
      </c>
      <c r="B573" s="3" t="n">
        <v>46253.99930555555</v>
      </c>
      <c r="C573" s="5" t="n">
        <v>547266.03</v>
      </c>
      <c r="D573" s="5" t="n">
        <v>547266.03</v>
      </c>
      <c r="E573" s="2" t="inlineStr">
        <is>
          <t>Andalucía</t>
        </is>
      </c>
      <c r="F573" s="2" t="inlineStr">
        <is>
          <t>Sevilla</t>
        </is>
      </c>
      <c r="G573" s="2" t="inlineStr">
        <is>
          <t>BRENES</t>
        </is>
      </c>
      <c r="H573" s="2" t="inlineStr">
        <is>
          <t>Alcaldía del Ayuntamiento de Brenes</t>
        </is>
      </c>
      <c r="I573" s="2" t="inlineStr">
        <is>
          <t>Contratación de obras de reforma y rehabilitación del edificio antiguo Mercado de Abastos: (Fase I) de rehabilitación y reforma de centro de ocio y esparcimiento en antiguo edificio de Mercado de Abastos</t>
        </is>
      </c>
      <c r="J573" s="2" t="inlineStr">
        <is>
          <t>2666/2026</t>
        </is>
      </c>
      <c r="K573" s="2" t="inlineStr">
        <is>
          <t>Abierto simplificado</t>
        </is>
      </c>
      <c r="L573" s="6" t="n">
        <v>10</v>
      </c>
      <c r="M573" s="2" t="n"/>
      <c r="N573" s="7" t="n">
        <v>0</v>
      </c>
      <c r="O573" s="4" t="n"/>
      <c r="P573" s="2" t="inlineStr">
        <is>
          <t>45212110</t>
        </is>
      </c>
      <c r="Q573" s="8" t="inlineStr">
        <is>
          <t>Ver</t>
        </is>
      </c>
      <c r="R573" s="8" t="inlineStr">
        <is>
          <t>PCAP</t>
        </is>
      </c>
      <c r="S573" s="9" t="n">
        <v>46310</v>
      </c>
      <c r="T573" s="3" t="n">
        <v>46316.33126157407</v>
      </c>
      <c r="U573" s="2" t="n"/>
    </row>
    <row r="574">
      <c r="A574" s="2" t="inlineStr">
        <is>
          <t>En plazo</t>
        </is>
      </c>
      <c r="B574" s="3" t="n">
        <v>46336.99930555555</v>
      </c>
      <c r="C574" s="5" t="n">
        <v>147598.83</v>
      </c>
      <c r="D574" s="5" t="n">
        <v>147598.83</v>
      </c>
      <c r="E574" s="2" t="inlineStr">
        <is>
          <t>Comunitat Valenciana</t>
        </is>
      </c>
      <c r="F574" s="2" t="inlineStr">
        <is>
          <t>Valencia</t>
        </is>
      </c>
      <c r="G574" s="2" t="inlineStr">
        <is>
          <t>Náquera</t>
        </is>
      </c>
      <c r="H574" s="2" t="inlineStr">
        <is>
          <t>Alcaldía del Ayuntamiento de Náquera</t>
        </is>
      </c>
      <c r="I574" s="2" t="inlineStr">
        <is>
          <t>Contrato de obras de renovación de instalación de alumbrado público en el sector I y II La Loma de Náquera.</t>
        </is>
      </c>
      <c r="J574" s="2" t="inlineStr">
        <is>
          <t>4898/2026</t>
        </is>
      </c>
      <c r="K574" s="2" t="inlineStr">
        <is>
          <t>Abierto simplificado</t>
        </is>
      </c>
      <c r="L574" s="6" t="n">
        <v>4</v>
      </c>
      <c r="M574" s="2" t="n"/>
      <c r="N574" s="7" t="n">
        <v>0.15</v>
      </c>
      <c r="O574" s="4" t="n"/>
      <c r="P574" s="2" t="inlineStr">
        <is>
          <t>45220000; 45316000</t>
        </is>
      </c>
      <c r="Q574" s="8" t="inlineStr">
        <is>
          <t>Ver</t>
        </is>
      </c>
      <c r="R574" s="8" t="inlineStr">
        <is>
          <t>PCAP</t>
        </is>
      </c>
      <c r="S574" s="9" t="n">
        <v>46317</v>
      </c>
      <c r="T574" s="3" t="n">
        <v>46316.32938657407</v>
      </c>
      <c r="U574" s="2" t="n"/>
    </row>
    <row r="575">
      <c r="A575" s="2" t="inlineStr">
        <is>
          <t>Resuelta</t>
        </is>
      </c>
      <c r="B575" s="3" t="n">
        <v>46294.99930555555</v>
      </c>
      <c r="C575" s="5" t="n">
        <v>1221212.29</v>
      </c>
      <c r="D575" s="5" t="n">
        <v>1221212.29</v>
      </c>
      <c r="E575" s="2" t="inlineStr">
        <is>
          <t>Andalucía</t>
        </is>
      </c>
      <c r="F575" s="2" t="inlineStr">
        <is>
          <t>Córdoba</t>
        </is>
      </c>
      <c r="G575" s="2" t="n"/>
      <c r="H575" s="2" t="inlineStr">
        <is>
          <t>Junta de Gobierno de la Diputación Provincial de Córdoba</t>
        </is>
      </c>
      <c r="I575" s="2" t="inlineStr">
        <is>
          <t>Nuevo campo de fútbol de césped artificial en el SG-D6 y SG-V7 "LLanos de Cristo" del PGOU vigente, en Puente Genil (Córdoba). Obra incluida en el Plan Provincial de Obras y Servicios 2024-2027 (bienio 2025-2026)</t>
        </is>
      </c>
      <c r="J575" s="2" t="inlineStr">
        <is>
          <t>646/26</t>
        </is>
      </c>
      <c r="K575" s="2" t="inlineStr">
        <is>
          <t>Abierto</t>
        </is>
      </c>
      <c r="L575" s="6" t="n">
        <v>12</v>
      </c>
      <c r="M575" s="2" t="inlineStr">
        <is>
          <t>C4-2; C2-2; C6-3; I9-2</t>
        </is>
      </c>
      <c r="N575" s="7" t="n">
        <v>0.25</v>
      </c>
      <c r="O575" s="4" t="n"/>
      <c r="P575" s="2" t="inlineStr">
        <is>
          <t>45200000; 45212224; 45212200; 45212221; 45212213; 45212230</t>
        </is>
      </c>
      <c r="Q575" s="8" t="inlineStr">
        <is>
          <t>Ver</t>
        </is>
      </c>
      <c r="R575" s="8" t="inlineStr">
        <is>
          <t>PCAP</t>
        </is>
      </c>
      <c r="S575" s="9" t="n">
        <v>46310</v>
      </c>
      <c r="T575" s="3" t="n">
        <v>46316.32465277778</v>
      </c>
      <c r="U575" s="2" t="inlineStr">
        <is>
          <t>2026-10-22: estado EV → RES</t>
        </is>
      </c>
    </row>
    <row r="576">
      <c r="A576" s="2" t="inlineStr">
        <is>
          <t>En plazo</t>
        </is>
      </c>
      <c r="B576" s="3" t="n">
        <v>46336.99930555555</v>
      </c>
      <c r="C576" s="5" t="n">
        <v>122230.72</v>
      </c>
      <c r="D576" s="5" t="n">
        <v>122230.72</v>
      </c>
      <c r="E576" s="2" t="inlineStr">
        <is>
          <t>Andalucía</t>
        </is>
      </c>
      <c r="F576" s="2" t="inlineStr">
        <is>
          <t>Sevilla</t>
        </is>
      </c>
      <c r="G576" s="2" t="inlineStr">
        <is>
          <t>Sevilla</t>
        </is>
      </c>
      <c r="H576" s="2" t="inlineStr">
        <is>
          <t>Jefatura de la Sección Económico Administrativa 12 - Agrupación del Acuartelamiento Aéreo Tablada</t>
        </is>
      </c>
      <c r="I576" s="2" t="inlineStr">
        <is>
          <t>Obra adecuación del Edificio 0040 Agrupación ACAR Tablada.</t>
        </is>
      </c>
      <c r="J576" s="2" t="inlineStr">
        <is>
          <t>2026/EA12/00001595E</t>
        </is>
      </c>
      <c r="K576" s="2" t="inlineStr">
        <is>
          <t>Abierto simplificado</t>
        </is>
      </c>
      <c r="L576" s="6" t="n">
        <v>4</v>
      </c>
      <c r="M576" s="2" t="n"/>
      <c r="N576" s="7" t="n">
        <v>0</v>
      </c>
      <c r="O576" s="4" t="n"/>
      <c r="P576" s="2" t="inlineStr">
        <is>
          <t>45222000</t>
        </is>
      </c>
      <c r="Q576" s="8" t="inlineStr">
        <is>
          <t>Ver</t>
        </is>
      </c>
      <c r="R576" s="8" t="inlineStr">
        <is>
          <t>PCAP</t>
        </is>
      </c>
      <c r="S576" s="9" t="n">
        <v>46317</v>
      </c>
      <c r="T576" s="3" t="n">
        <v>46316.30434027778</v>
      </c>
      <c r="U576" s="2" t="n"/>
    </row>
    <row r="577">
      <c r="A577" s="2" t="inlineStr">
        <is>
          <t>Resuelta</t>
        </is>
      </c>
      <c r="B577" s="3" t="n">
        <v>46188.99930555555</v>
      </c>
      <c r="C577" s="5" t="n">
        <v>3396211.63</v>
      </c>
      <c r="D577" s="5" t="n">
        <v>3735832.79</v>
      </c>
      <c r="E577" s="2" t="inlineStr">
        <is>
          <t>Comunitat Valenciana</t>
        </is>
      </c>
      <c r="F577" s="2" t="inlineStr">
        <is>
          <t>Valencia</t>
        </is>
      </c>
      <c r="G577" s="2" t="inlineStr">
        <is>
          <t>Picassent</t>
        </is>
      </c>
      <c r="H577" s="2" t="inlineStr">
        <is>
          <t>Pleno del Ayuntamiento de Picassent</t>
        </is>
      </c>
      <c r="I577" s="2" t="inlineStr">
        <is>
          <t>Rehabilitación energética y mejora funcional del complejo del Polideportivo Municipal.</t>
        </is>
      </c>
      <c r="J577" s="2" t="inlineStr">
        <is>
          <t>2543330D</t>
        </is>
      </c>
      <c r="K577" s="2" t="inlineStr">
        <is>
          <t>Abierto</t>
        </is>
      </c>
      <c r="L577" s="6" t="n">
        <v>12</v>
      </c>
      <c r="M577" s="2" t="inlineStr">
        <is>
          <t>I9-3; J4-3; J2-3; C4-4</t>
        </is>
      </c>
      <c r="N577" s="7" t="n">
        <v>0</v>
      </c>
      <c r="O577" s="4" t="n"/>
      <c r="P577" s="2" t="inlineStr">
        <is>
          <t>45261000; 45262700; 45262800; 45315000; 45300000; 45262650</t>
        </is>
      </c>
      <c r="Q577" s="8" t="inlineStr">
        <is>
          <t>Ver</t>
        </is>
      </c>
      <c r="R577" s="8" t="inlineStr">
        <is>
          <t>PCAP</t>
        </is>
      </c>
      <c r="S577" s="9" t="n">
        <v>46317</v>
      </c>
      <c r="T577" s="3" t="n">
        <v>46315.91356481481</v>
      </c>
      <c r="U577" s="2" t="n"/>
    </row>
    <row r="578">
      <c r="A578" s="2" t="inlineStr">
        <is>
          <t>Resuelta</t>
        </is>
      </c>
      <c r="B578" s="3" t="n">
        <v>46099.99930555555</v>
      </c>
      <c r="C578" s="5" t="n">
        <v>1166418.7</v>
      </c>
      <c r="D578" s="5" t="n">
        <v>1283060.5</v>
      </c>
      <c r="E578" s="2" t="inlineStr">
        <is>
          <t>Comunitat Valenciana</t>
        </is>
      </c>
      <c r="F578" s="2" t="inlineStr">
        <is>
          <t>Valencia</t>
        </is>
      </c>
      <c r="G578" s="2" t="n"/>
      <c r="H578" s="2" t="inlineStr">
        <is>
          <t>Alcaldía del Ayuntamiento de Picassent</t>
        </is>
      </c>
      <c r="I578" s="2" t="inlineStr">
        <is>
          <t>Construcción Pista Cubierta Deportiva en Polideportivo Municipal</t>
        </is>
      </c>
      <c r="J578" s="2" t="inlineStr">
        <is>
          <t>2694272W</t>
        </is>
      </c>
      <c r="K578" s="2" t="inlineStr">
        <is>
          <t>Abierto simplificado</t>
        </is>
      </c>
      <c r="L578" s="6" t="n">
        <v>12</v>
      </c>
      <c r="M578" s="2" t="inlineStr">
        <is>
          <t>C3-4; C7-4; C9-4; C6-4; C4-4</t>
        </is>
      </c>
      <c r="N578" s="7" t="n">
        <v>0</v>
      </c>
      <c r="O578" s="4" t="n"/>
      <c r="P578" s="2" t="inlineStr">
        <is>
          <t>45212000; 45210000</t>
        </is>
      </c>
      <c r="Q578" s="8" t="inlineStr">
        <is>
          <t>Ver</t>
        </is>
      </c>
      <c r="R578" s="8" t="inlineStr">
        <is>
          <t>PCAP</t>
        </is>
      </c>
      <c r="S578" s="9" t="n">
        <v>46317</v>
      </c>
      <c r="T578" s="3" t="n">
        <v>46315.85741898148</v>
      </c>
      <c r="U578" s="2" t="n"/>
    </row>
    <row r="579">
      <c r="A579" s="2" t="inlineStr">
        <is>
          <t>Resuelta</t>
        </is>
      </c>
      <c r="B579" s="3" t="n">
        <v>46237.99930555555</v>
      </c>
      <c r="C579" s="5" t="n">
        <v>1537591.52</v>
      </c>
      <c r="D579" s="5" t="n">
        <v>1998868.97</v>
      </c>
      <c r="E579" s="2" t="inlineStr">
        <is>
          <t>Comunitat Valenciana</t>
        </is>
      </c>
      <c r="F579" s="2" t="inlineStr">
        <is>
          <t>Valencia</t>
        </is>
      </c>
      <c r="G579" s="2" t="n"/>
      <c r="H579" s="2" t="inlineStr">
        <is>
          <t>Consorcio Hospital General Universitario de Valencia</t>
        </is>
      </c>
      <c r="I579" s="2" t="inlineStr">
        <is>
          <t>Obras, respetuosas con el medioambiente, para la reforma de las salas blancas de farmacia.</t>
        </is>
      </c>
      <c r="J579" s="2" t="inlineStr">
        <is>
          <t>CMAYOR/2026/HGUV0/1667</t>
        </is>
      </c>
      <c r="K579" s="2" t="inlineStr">
        <is>
          <t>Abierto simplificado</t>
        </is>
      </c>
      <c r="L579" s="6" t="n">
        <v>8</v>
      </c>
      <c r="M579" s="2" t="n"/>
      <c r="N579" s="7" t="n">
        <v>0.23</v>
      </c>
      <c r="O579" s="4" t="n"/>
      <c r="P579" s="2" t="inlineStr">
        <is>
          <t>45215100; 45214631; 45215140</t>
        </is>
      </c>
      <c r="Q579" s="8" t="inlineStr">
        <is>
          <t>Ver</t>
        </is>
      </c>
      <c r="R579" s="8" t="inlineStr">
        <is>
          <t>PCAP</t>
        </is>
      </c>
      <c r="S579" s="9" t="n">
        <v>46310</v>
      </c>
      <c r="T579" s="3" t="n">
        <v>46315.77202546296</v>
      </c>
      <c r="U579" s="2" t="inlineStr">
        <is>
          <t>2026-10-22: estado ADJ → RES</t>
        </is>
      </c>
    </row>
    <row r="580">
      <c r="A580" s="2" t="inlineStr">
        <is>
          <t>Resuelta</t>
        </is>
      </c>
      <c r="B580" s="3" t="n">
        <v>46282.99930555555</v>
      </c>
      <c r="C580" s="5" t="n">
        <v>765061.1800000001</v>
      </c>
      <c r="D580" s="5" t="n">
        <v>765061.1800000001</v>
      </c>
      <c r="E580" s="2" t="inlineStr">
        <is>
          <t>Andalucía</t>
        </is>
      </c>
      <c r="F580" s="2" t="inlineStr">
        <is>
          <t>Granada</t>
        </is>
      </c>
      <c r="G580" s="2" t="n"/>
      <c r="H580" s="2" t="inlineStr">
        <is>
          <t>Junta de Gobierno Local del Ayuntamiento de Guadix</t>
        </is>
      </c>
      <c r="I580" s="2" t="inlineStr">
        <is>
          <t>Obras de Acondicionamiento de Redes y Pavimentación en Carrera de las Cruces</t>
        </is>
      </c>
      <c r="J580" s="2" t="inlineStr">
        <is>
          <t>653/2025</t>
        </is>
      </c>
      <c r="K580" s="2" t="inlineStr">
        <is>
          <t>Abierto simplificado</t>
        </is>
      </c>
      <c r="L580" s="6" t="n">
        <v>7</v>
      </c>
      <c r="M580" s="2" t="inlineStr">
        <is>
          <t>G3-3</t>
        </is>
      </c>
      <c r="N580" s="7" t="n">
        <v>0.25</v>
      </c>
      <c r="O580" s="4" t="n"/>
      <c r="P580" s="2" t="inlineStr">
        <is>
          <t>45000000; 45233140; 45111100; 45233222; 45233223</t>
        </is>
      </c>
      <c r="Q580" s="8" t="inlineStr">
        <is>
          <t>Ver</t>
        </is>
      </c>
      <c r="R580" s="8" t="inlineStr">
        <is>
          <t>PCAP</t>
        </is>
      </c>
      <c r="S580" s="9" t="n">
        <v>46317</v>
      </c>
      <c r="T580" s="3" t="n">
        <v>46315.7702662037</v>
      </c>
      <c r="U580" s="2" t="n"/>
    </row>
    <row r="581">
      <c r="A581" s="2" t="inlineStr">
        <is>
          <t>En plazo</t>
        </is>
      </c>
      <c r="B581" s="3" t="n">
        <v>46335.99930555555</v>
      </c>
      <c r="C581" s="5" t="n">
        <v>122612.12</v>
      </c>
      <c r="D581" s="5" t="n">
        <v>122612.12</v>
      </c>
      <c r="E581" s="2" t="inlineStr">
        <is>
          <t>Comunitat Valenciana</t>
        </is>
      </c>
      <c r="F581" s="2" t="inlineStr">
        <is>
          <t>Valencia</t>
        </is>
      </c>
      <c r="G581" s="2" t="inlineStr">
        <is>
          <t>Almassera</t>
        </is>
      </c>
      <c r="H581" s="2" t="inlineStr">
        <is>
          <t>Junta de Gobierno del Ayuntamiento de Almàssera</t>
        </is>
      </c>
      <c r="I581" s="2" t="inlineStr">
        <is>
          <t>Derribo casa calle Cervantes nº 5 y ejecución de aparcamiento provisional en el Municipio de Almàssera</t>
        </is>
      </c>
      <c r="J581" s="2" t="inlineStr">
        <is>
          <t>2408/2025</t>
        </is>
      </c>
      <c r="K581" s="2" t="inlineStr">
        <is>
          <t>Abierto simplificado</t>
        </is>
      </c>
      <c r="L581" s="6" t="n">
        <v>6</v>
      </c>
      <c r="M581" s="2" t="n"/>
      <c r="N581" s="7" t="n">
        <v>0</v>
      </c>
      <c r="O581" s="4" t="n">
        <v>2</v>
      </c>
      <c r="P581" s="2" t="inlineStr">
        <is>
          <t>45111100; 45233222</t>
        </is>
      </c>
      <c r="Q581" s="8" t="inlineStr">
        <is>
          <t>Ver</t>
        </is>
      </c>
      <c r="R581" s="8" t="inlineStr">
        <is>
          <t>PCAP</t>
        </is>
      </c>
      <c r="S581" s="9" t="n">
        <v>46317</v>
      </c>
      <c r="T581" s="3" t="n">
        <v>46315.76638888889</v>
      </c>
      <c r="U581" s="2" t="n"/>
    </row>
    <row r="582">
      <c r="A582" s="2" t="inlineStr">
        <is>
          <t>Adjudicada</t>
        </is>
      </c>
      <c r="B582" s="3" t="n">
        <v>46237.58333333334</v>
      </c>
      <c r="C582" s="5" t="n">
        <v>281922.66</v>
      </c>
      <c r="D582" s="5" t="n">
        <v>281922.66</v>
      </c>
      <c r="E582" s="2" t="inlineStr">
        <is>
          <t>Andalucía</t>
        </is>
      </c>
      <c r="F582" s="2" t="inlineStr">
        <is>
          <t>Sevilla</t>
        </is>
      </c>
      <c r="G582" s="2" t="inlineStr">
        <is>
          <t>Tomares</t>
        </is>
      </c>
      <c r="H582" s="2" t="inlineStr">
        <is>
          <t>Alcaldía del Ayuntamiento de Tomares</t>
        </is>
      </c>
      <c r="I582" s="2" t="inlineStr">
        <is>
          <t>Reurbanización aparcamientos Néstor Almendros, Tomares (Sevilla); Plan Provincial Sevilla 107</t>
        </is>
      </c>
      <c r="J582" s="2" t="inlineStr">
        <is>
          <t>12774/2025</t>
        </is>
      </c>
      <c r="K582" s="2" t="inlineStr">
        <is>
          <t>Abierto simplificado</t>
        </is>
      </c>
      <c r="L582" s="6" t="n">
        <v>6</v>
      </c>
      <c r="M582" s="2" t="n"/>
      <c r="N582" s="7" t="n">
        <v>0</v>
      </c>
      <c r="O582" s="4" t="n"/>
      <c r="P582" s="2" t="inlineStr">
        <is>
          <t>45233200; 45233252; 45112712</t>
        </is>
      </c>
      <c r="Q582" s="8" t="inlineStr">
        <is>
          <t>Ver</t>
        </is>
      </c>
      <c r="R582" s="8" t="inlineStr">
        <is>
          <t>PCAP</t>
        </is>
      </c>
      <c r="S582" s="9" t="n">
        <v>46310</v>
      </c>
      <c r="T582" s="3" t="n">
        <v>46315.70226851852</v>
      </c>
      <c r="U582" s="2" t="inlineStr">
        <is>
          <t>2026-10-22: estado EV → ADJ</t>
        </is>
      </c>
    </row>
    <row r="583">
      <c r="A583" s="2" t="inlineStr">
        <is>
          <t>En plazo</t>
        </is>
      </c>
      <c r="B583" s="3" t="n">
        <v>46335.99930555555</v>
      </c>
      <c r="C583" s="5" t="n">
        <v>101239.67</v>
      </c>
      <c r="D583" s="5" t="n">
        <v>101239.67</v>
      </c>
      <c r="E583" s="2" t="inlineStr">
        <is>
          <t>Andalucía</t>
        </is>
      </c>
      <c r="F583" s="2" t="inlineStr">
        <is>
          <t>Cádiz</t>
        </is>
      </c>
      <c r="G583" s="2" t="inlineStr">
        <is>
          <t>GRAZALEMA</t>
        </is>
      </c>
      <c r="H583" s="2" t="inlineStr">
        <is>
          <t>Alcaldía del Ayuntamiento de Grazalema</t>
        </is>
      </c>
      <c r="I583" s="2" t="inlineStr">
        <is>
          <t>Contrato de Obra para la Construcción de Pista de Skate en Espacio Público Deportivo Los Peñascos financiada por el Plan Provincial de Cooperación a las Obras y Servicios de competencia municipal 2026-2027</t>
        </is>
      </c>
      <c r="J583" s="2" t="inlineStr">
        <is>
          <t>1193/2026</t>
        </is>
      </c>
      <c r="K583" s="2" t="inlineStr">
        <is>
          <t>Abierto simplificado</t>
        </is>
      </c>
      <c r="L583" s="6" t="n">
        <v>9</v>
      </c>
      <c r="M583" s="2" t="n"/>
      <c r="N583" s="7" t="n">
        <v>0</v>
      </c>
      <c r="O583" s="4" t="n"/>
      <c r="P583" s="2" t="inlineStr">
        <is>
          <t>45212211; 45262520; 45233200; 45330000; 45111000; 45111100; 45110000; 44411000</t>
        </is>
      </c>
      <c r="Q583" s="8" t="inlineStr">
        <is>
          <t>Ver</t>
        </is>
      </c>
      <c r="R583" s="8" t="inlineStr">
        <is>
          <t>PCAP</t>
        </is>
      </c>
      <c r="S583" s="9" t="n">
        <v>46317</v>
      </c>
      <c r="T583" s="3" t="n">
        <v>46315.69563657408</v>
      </c>
      <c r="U583" s="2" t="n"/>
    </row>
    <row r="584">
      <c r="A584" s="2" t="inlineStr">
        <is>
          <t>En plazo</t>
        </is>
      </c>
      <c r="B584" s="3" t="n">
        <v>46330.99930555555</v>
      </c>
      <c r="C584" s="5" t="n">
        <v>251820.29</v>
      </c>
      <c r="D584" s="5" t="n">
        <v>251820.29</v>
      </c>
      <c r="E584" s="2" t="inlineStr">
        <is>
          <t>Comunitat Valenciana</t>
        </is>
      </c>
      <c r="F584" s="2" t="inlineStr">
        <is>
          <t>Alicante</t>
        </is>
      </c>
      <c r="G584" s="2" t="n"/>
      <c r="H584" s="2" t="inlineStr">
        <is>
          <t>Consejo de Administración de Promociones e Iniciativas Municipales de Elche, S.A. (PIMESA)</t>
        </is>
      </c>
      <c r="I584" s="2" t="inlineStr">
        <is>
          <t>Obra Civil de la Red Subterránea de Baja Tensión - SEPARATA del Proyecto de Reurbanización del Entorno Residencial de Rehabilitación Programada (ERRP) Barrio Porfirio Pascual de Elche.</t>
        </is>
      </c>
      <c r="J584" s="2" t="inlineStr">
        <is>
          <t>2026/AS/025</t>
        </is>
      </c>
      <c r="K584" s="2" t="inlineStr">
        <is>
          <t>Abierto simplificado</t>
        </is>
      </c>
      <c r="L584" s="6" t="n">
        <v>3</v>
      </c>
      <c r="M584" s="2" t="n"/>
      <c r="N584" s="7" t="n">
        <v>0</v>
      </c>
      <c r="O584" s="4" t="n"/>
      <c r="P584" s="2" t="inlineStr">
        <is>
          <t>45220000</t>
        </is>
      </c>
      <c r="Q584" s="8" t="inlineStr">
        <is>
          <t>Ver</t>
        </is>
      </c>
      <c r="R584" s="8" t="inlineStr">
        <is>
          <t>PCAP</t>
        </is>
      </c>
      <c r="S584" s="9" t="n">
        <v>46317</v>
      </c>
      <c r="T584" s="3" t="n">
        <v>46315.68135416666</v>
      </c>
      <c r="U584" s="2" t="n"/>
    </row>
    <row r="585">
      <c r="A585" s="2" t="inlineStr">
        <is>
          <t>Pendiente de adjudicación</t>
        </is>
      </c>
      <c r="B585" s="3" t="n">
        <v>46310.99930555555</v>
      </c>
      <c r="C585" s="5" t="n">
        <v>140942.66</v>
      </c>
      <c r="D585" s="5" t="n">
        <v>169131.19</v>
      </c>
      <c r="E585" s="2" t="inlineStr">
        <is>
          <t>Comunitat Valenciana</t>
        </is>
      </c>
      <c r="F585" s="2" t="inlineStr">
        <is>
          <t>Castellón</t>
        </is>
      </c>
      <c r="G585" s="2" t="inlineStr">
        <is>
          <t>Fanzara</t>
        </is>
      </c>
      <c r="H585" s="2" t="inlineStr">
        <is>
          <t>Pleno del Ayuntamiento de Fanzara</t>
        </is>
      </c>
      <c r="I585" s="2" t="inlineStr">
        <is>
          <t>Mejora del Firme y Renovación de Redes en Calle Purísima y Avenida Constitución</t>
        </is>
      </c>
      <c r="J585" s="2" t="inlineStr">
        <is>
          <t>159/2026</t>
        </is>
      </c>
      <c r="K585" s="2" t="inlineStr">
        <is>
          <t>Abierto simplificado</t>
        </is>
      </c>
      <c r="L585" s="6" t="n">
        <v>4</v>
      </c>
      <c r="M585" s="2" t="n"/>
      <c r="N585" s="7" t="n">
        <v>0</v>
      </c>
      <c r="O585" s="4" t="n"/>
      <c r="P585" s="2" t="inlineStr">
        <is>
          <t>45000000; 45232000; 45233252</t>
        </is>
      </c>
      <c r="Q585" s="8" t="inlineStr">
        <is>
          <t>Ver</t>
        </is>
      </c>
      <c r="R585" s="8" t="inlineStr">
        <is>
          <t>PCAP</t>
        </is>
      </c>
      <c r="S585" s="9" t="n">
        <v>46317</v>
      </c>
      <c r="T585" s="3" t="n">
        <v>46315.66136574074</v>
      </c>
      <c r="U585" s="2" t="n"/>
    </row>
    <row r="586">
      <c r="A586" s="2" t="inlineStr">
        <is>
          <t>En plazo</t>
        </is>
      </c>
      <c r="B586" s="3" t="n">
        <v>46331</v>
      </c>
      <c r="C586" s="5" t="n">
        <v>255003</v>
      </c>
      <c r="D586" s="5" t="n">
        <v>255003</v>
      </c>
      <c r="E586" s="2" t="inlineStr">
        <is>
          <t>Comunitat Valenciana</t>
        </is>
      </c>
      <c r="F586" s="2" t="inlineStr">
        <is>
          <t>Valencia</t>
        </is>
      </c>
      <c r="G586" s="2" t="inlineStr">
        <is>
          <t>Gandia</t>
        </is>
      </c>
      <c r="H586" s="2" t="inlineStr">
        <is>
          <t>Presidencia de la Mancomunitat de Municipis de la Safor</t>
        </is>
      </c>
      <c r="I586" s="2" t="inlineStr">
        <is>
          <t>Adecuación local C/Pintor Sorolla para punto de encuentro familiar</t>
        </is>
      </c>
      <c r="J586" s="2" t="inlineStr">
        <is>
          <t>1528/2026</t>
        </is>
      </c>
      <c r="K586" s="2" t="inlineStr">
        <is>
          <t>Abierto simplificado</t>
        </is>
      </c>
      <c r="L586" s="6" t="n">
        <v>6</v>
      </c>
      <c r="M586" s="2" t="n"/>
      <c r="N586" s="7" t="n">
        <v>0.15</v>
      </c>
      <c r="O586" s="4" t="n"/>
      <c r="P586" s="2" t="inlineStr">
        <is>
          <t>45000000; 45210000</t>
        </is>
      </c>
      <c r="Q586" s="8" t="inlineStr">
        <is>
          <t>Ver</t>
        </is>
      </c>
      <c r="R586" s="8" t="inlineStr">
        <is>
          <t>PCAP</t>
        </is>
      </c>
      <c r="S586" s="9" t="n">
        <v>46311</v>
      </c>
      <c r="T586" s="3" t="n">
        <v>46315.64131944445</v>
      </c>
      <c r="U586" s="2" t="n"/>
    </row>
    <row r="587">
      <c r="A587" s="2" t="inlineStr">
        <is>
          <t>Pendiente de adjudicación</t>
        </is>
      </c>
      <c r="B587" s="3" t="n">
        <v>46286.99930555555</v>
      </c>
      <c r="C587" s="5" t="n">
        <v>484988.29</v>
      </c>
      <c r="D587" s="5" t="n">
        <v>484988.29</v>
      </c>
      <c r="E587" s="2" t="inlineStr">
        <is>
          <t>Comunitat Valenciana</t>
        </is>
      </c>
      <c r="F587" s="2" t="inlineStr">
        <is>
          <t>Alicante</t>
        </is>
      </c>
      <c r="G587" s="2" t="n"/>
      <c r="H587" s="2" t="inlineStr">
        <is>
          <t>Alcaldía del Ayuntamiento de Elda</t>
        </is>
      </c>
      <c r="I587" s="2" t="inlineStr">
        <is>
          <t>Obras de ejecución del proyecto de construcción para la renovación de agua potable y sustitución de aceras en varias calles del barrio Nueva Fraternidad en Elda, dentro del PLAN ELDA PARTE DE TI.</t>
        </is>
      </c>
      <c r="J587" s="2" t="inlineStr">
        <is>
          <t>2026/11570</t>
        </is>
      </c>
      <c r="K587" s="2" t="inlineStr">
        <is>
          <t>Abierto simplificado</t>
        </is>
      </c>
      <c r="L587" s="6" t="n">
        <v>6</v>
      </c>
      <c r="M587" s="2" t="n"/>
      <c r="N587" s="7" t="n">
        <v>0.25</v>
      </c>
      <c r="O587" s="4" t="n"/>
      <c r="P587" s="2" t="inlineStr">
        <is>
          <t>45232150; 44162500; 45232151; 45233222</t>
        </is>
      </c>
      <c r="Q587" s="8" t="inlineStr">
        <is>
          <t>Ver</t>
        </is>
      </c>
      <c r="R587" s="8" t="inlineStr">
        <is>
          <t>PCAP</t>
        </is>
      </c>
      <c r="S587" s="9" t="n">
        <v>46317</v>
      </c>
      <c r="T587" s="3" t="n">
        <v>46315.63792824074</v>
      </c>
      <c r="U587" s="2" t="n"/>
    </row>
    <row r="588">
      <c r="A588" s="2" t="inlineStr">
        <is>
          <t>En plazo</t>
        </is>
      </c>
      <c r="B588" s="3" t="n">
        <v>46330.79166666666</v>
      </c>
      <c r="C588" s="5" t="n">
        <v>25000</v>
      </c>
      <c r="D588" s="5" t="n">
        <v>1250000</v>
      </c>
      <c r="E588" s="2" t="inlineStr">
        <is>
          <t>Andalucía</t>
        </is>
      </c>
      <c r="F588" s="2" t="inlineStr">
        <is>
          <t>Málaga</t>
        </is>
      </c>
      <c r="G588" s="2" t="n"/>
      <c r="H588" s="2" t="inlineStr">
        <is>
          <t>Junta de Gobierno Local del Ayuntamiento de Sayalonga</t>
        </is>
      </c>
      <c r="I588" s="2" t="inlineStr">
        <is>
          <t>Trabajos con excavadoras mecánicas en Sayalonga</t>
        </is>
      </c>
      <c r="J588" s="2" t="inlineStr">
        <is>
          <t>485/2026</t>
        </is>
      </c>
      <c r="K588" s="2" t="inlineStr">
        <is>
          <t>Abierto simplificado</t>
        </is>
      </c>
      <c r="L588" s="6" t="n">
        <v>12</v>
      </c>
      <c r="M588" s="2" t="n"/>
      <c r="N588" s="7" t="n">
        <v>0</v>
      </c>
      <c r="O588" s="4" t="n"/>
      <c r="P588" s="2" t="inlineStr">
        <is>
          <t>45112000</t>
        </is>
      </c>
      <c r="Q588" s="8" t="inlineStr">
        <is>
          <t>Ver</t>
        </is>
      </c>
      <c r="R588" s="8" t="inlineStr">
        <is>
          <t>PCAP</t>
        </is>
      </c>
      <c r="S588" s="9" t="n">
        <v>46317</v>
      </c>
      <c r="T588" s="3" t="n">
        <v>46315.62574074074</v>
      </c>
      <c r="U588" s="2" t="n"/>
    </row>
    <row r="589">
      <c r="A589" s="2" t="inlineStr">
        <is>
          <t>Pendiente de adjudicación</t>
        </is>
      </c>
      <c r="B589" s="3" t="n">
        <v>46293.99930555555</v>
      </c>
      <c r="C589" s="5" t="n">
        <v>206611.57</v>
      </c>
      <c r="D589" s="5" t="n">
        <v>206611.57</v>
      </c>
      <c r="E589" s="2" t="inlineStr">
        <is>
          <t>Andalucía</t>
        </is>
      </c>
      <c r="F589" s="2" t="inlineStr">
        <is>
          <t>Cádiz</t>
        </is>
      </c>
      <c r="G589" s="2" t="n"/>
      <c r="H589" s="2" t="inlineStr">
        <is>
          <t>Alcaldía del Ayuntamiento de Trebujena</t>
        </is>
      </c>
      <c r="I589" s="2" t="inlineStr">
        <is>
          <t>Construcción de edificio funerario de nichos de titularidad municipal en el Cementerio Municipal, incluido en el Plan Provincial de Cooperación a las obras y servicios de competencia municipal 2026-2027 (PPCOS 2026-2027) de la Excma. Diputación Provincial de Cádiz</t>
        </is>
      </c>
      <c r="J589" s="2" t="inlineStr">
        <is>
          <t>2026/2363/03</t>
        </is>
      </c>
      <c r="K589" s="2" t="inlineStr">
        <is>
          <t>Abierto simplificado</t>
        </is>
      </c>
      <c r="L589" s="6" t="n">
        <v>9</v>
      </c>
      <c r="M589" s="2" t="n"/>
      <c r="N589" s="7" t="n">
        <v>0</v>
      </c>
      <c r="O589" s="4" t="n"/>
      <c r="P589" s="2" t="inlineStr">
        <is>
          <t>45000000; 45215400; 45223500</t>
        </is>
      </c>
      <c r="Q589" s="8" t="inlineStr">
        <is>
          <t>Ver</t>
        </is>
      </c>
      <c r="R589" s="8" t="inlineStr">
        <is>
          <t>PCAP</t>
        </is>
      </c>
      <c r="S589" s="9" t="n">
        <v>46317</v>
      </c>
      <c r="T589" s="3" t="n">
        <v>46315.62207175926</v>
      </c>
      <c r="U589" s="2" t="n"/>
    </row>
    <row r="590">
      <c r="A590" s="2" t="inlineStr">
        <is>
          <t>Resuelta</t>
        </is>
      </c>
      <c r="B590" s="3" t="n">
        <v>45518.99930555555</v>
      </c>
      <c r="C590" s="5" t="n">
        <v>123858.75</v>
      </c>
      <c r="D590" s="5" t="n">
        <v>123858.75</v>
      </c>
      <c r="E590" s="2" t="inlineStr">
        <is>
          <t>Andalucía</t>
        </is>
      </c>
      <c r="F590" s="2" t="inlineStr">
        <is>
          <t>Córdoba</t>
        </is>
      </c>
      <c r="G590" s="2" t="inlineStr">
        <is>
          <t>Montilla</t>
        </is>
      </c>
      <c r="H590" s="2" t="inlineStr">
        <is>
          <t>Alcaldía del Ayuntamiento de Montilla</t>
        </is>
      </c>
      <c r="I590" s="2" t="inlineStr">
        <is>
          <t>Obras proyecto de reurbanización de acerado margen derecho c/ Cuesta de la Pena. Montilla (Córdoba)</t>
        </is>
      </c>
      <c r="J590" s="2" t="inlineStr">
        <is>
          <t>19787/2024</t>
        </is>
      </c>
      <c r="K590" s="2" t="inlineStr">
        <is>
          <t>Abierto simplificado</t>
        </is>
      </c>
      <c r="L590" s="6" t="n">
        <v>3</v>
      </c>
      <c r="M590" s="2" t="n"/>
      <c r="N590" s="7" t="n">
        <v>0.25</v>
      </c>
      <c r="O590" s="4" t="n"/>
      <c r="P590" s="2" t="inlineStr">
        <is>
          <t>45233252</t>
        </is>
      </c>
      <c r="Q590" s="8" t="inlineStr">
        <is>
          <t>Ver</t>
        </is>
      </c>
      <c r="R590" s="8" t="inlineStr">
        <is>
          <t>PCAP</t>
        </is>
      </c>
      <c r="S590" s="9" t="n">
        <v>46317</v>
      </c>
      <c r="T590" s="3" t="n">
        <v>46315.62133101852</v>
      </c>
      <c r="U590" s="2" t="n"/>
    </row>
    <row r="591">
      <c r="A591" s="2" t="inlineStr">
        <is>
          <t>Pendiente de adjudicación</t>
        </is>
      </c>
      <c r="B591" s="3" t="n">
        <v>46309.99930555555</v>
      </c>
      <c r="C591" s="5" t="n">
        <v>165289.26</v>
      </c>
      <c r="D591" s="5" t="n">
        <v>165289.26</v>
      </c>
      <c r="E591" s="2" t="inlineStr">
        <is>
          <t>Andalucía</t>
        </is>
      </c>
      <c r="F591" s="2" t="inlineStr">
        <is>
          <t>Cádiz</t>
        </is>
      </c>
      <c r="G591" s="2" t="n"/>
      <c r="H591" s="2" t="inlineStr">
        <is>
          <t>Alcaldía del Ayuntamiento de Trebujena</t>
        </is>
      </c>
      <c r="I591" s="2" t="inlineStr">
        <is>
          <t>Contrato de obras consistente en la ejecución del proyecto "Adecuación del cementerio municipal mediante ejecución en el patio civil de cubierta, pasarelas accesibles, osarios y mejora de vías peatonales interiores", incluido en el nuevo Plan de Inversiones de la Diputación 2026 (PLAN + INVERSIÓN CÁDIZ 2026), de la Excma. Diputación Provincial de Cádiz.</t>
        </is>
      </c>
      <c r="J591" s="2" t="inlineStr">
        <is>
          <t>2026/2363/02</t>
        </is>
      </c>
      <c r="K591" s="2" t="inlineStr">
        <is>
          <t>Abierto simplificado</t>
        </is>
      </c>
      <c r="L591" s="6" t="n">
        <v>9</v>
      </c>
      <c r="M591" s="2" t="n"/>
      <c r="N591" s="7" t="n">
        <v>0</v>
      </c>
      <c r="O591" s="4" t="n"/>
      <c r="P591" s="2" t="inlineStr">
        <is>
          <t>45000000</t>
        </is>
      </c>
      <c r="Q591" s="8" t="inlineStr">
        <is>
          <t>Ver</t>
        </is>
      </c>
      <c r="R591" s="8" t="inlineStr">
        <is>
          <t>PCAP</t>
        </is>
      </c>
      <c r="S591" s="9" t="n">
        <v>46317</v>
      </c>
      <c r="T591" s="3" t="n">
        <v>46315.620625</v>
      </c>
      <c r="U591" s="2" t="n"/>
    </row>
    <row r="592">
      <c r="A592" s="2" t="inlineStr">
        <is>
          <t>Resuelta</t>
        </is>
      </c>
      <c r="B592" s="3" t="n">
        <v>46197.99930555555</v>
      </c>
      <c r="C592" s="5" t="n">
        <v>105887.18</v>
      </c>
      <c r="D592" s="5" t="n">
        <v>105887.18</v>
      </c>
      <c r="E592" s="2" t="inlineStr">
        <is>
          <t>Andalucía</t>
        </is>
      </c>
      <c r="F592" s="2" t="inlineStr">
        <is>
          <t>Córdoba</t>
        </is>
      </c>
      <c r="G592" s="2" t="inlineStr">
        <is>
          <t>Santaella</t>
        </is>
      </c>
      <c r="H592" s="2" t="inlineStr">
        <is>
          <t>Alcaldía de Ayuntamiento de Santaella</t>
        </is>
      </c>
      <c r="I592" s="2" t="inlineStr">
        <is>
          <t>Obras de ampliación de nichos en el cementerio municipal de Santaella (Córdoba).</t>
        </is>
      </c>
      <c r="J592" s="2" t="inlineStr">
        <is>
          <t>OB-07/26</t>
        </is>
      </c>
      <c r="K592" s="2" t="inlineStr">
        <is>
          <t>Abierto simplificado</t>
        </is>
      </c>
      <c r="L592" s="6" t="n">
        <v>3</v>
      </c>
      <c r="M592" s="2" t="n"/>
      <c r="N592" s="7" t="n">
        <v>0</v>
      </c>
      <c r="O592" s="4" t="n"/>
      <c r="P592" s="2" t="inlineStr">
        <is>
          <t>45215400; 45262800</t>
        </is>
      </c>
      <c r="Q592" s="8" t="inlineStr">
        <is>
          <t>Ver</t>
        </is>
      </c>
      <c r="R592" s="8" t="inlineStr">
        <is>
          <t>PCAP</t>
        </is>
      </c>
      <c r="S592" s="9" t="n">
        <v>46310</v>
      </c>
      <c r="T592" s="3" t="n">
        <v>46315.61792824074</v>
      </c>
      <c r="U592" s="2" t="inlineStr">
        <is>
          <t>2026-10-22: estado ADJ → RES</t>
        </is>
      </c>
    </row>
    <row r="593">
      <c r="A593" s="2" t="inlineStr">
        <is>
          <t>En plazo</t>
        </is>
      </c>
      <c r="B593" s="3" t="n">
        <v>46335.99930555555</v>
      </c>
      <c r="C593" s="5" t="n">
        <v>195233.86</v>
      </c>
      <c r="D593" s="5" t="n">
        <v>214757.25</v>
      </c>
      <c r="E593" s="2" t="inlineStr">
        <is>
          <t>Comunitat Valenciana</t>
        </is>
      </c>
      <c r="F593" s="2" t="inlineStr">
        <is>
          <t>Valencia</t>
        </is>
      </c>
      <c r="G593" s="2" t="n"/>
      <c r="H593" s="2" t="inlineStr">
        <is>
          <t>Concejalía Delegada de Contratación del Ajuntament de València</t>
        </is>
      </c>
      <c r="I593" s="2" t="inlineStr">
        <is>
          <t>Obras mejora de itinerario ciclista y peatonal en la calle Nicolás factor entre las calles María Jordán y Camino Azagador de las Monjas. Presupuestos Participativos 2022-2023.-</t>
        </is>
      </c>
      <c r="J593" s="2" t="inlineStr">
        <is>
          <t>04101/2026/199-O</t>
        </is>
      </c>
      <c r="K593" s="2" t="inlineStr">
        <is>
          <t>Abierto simplificado</t>
        </is>
      </c>
      <c r="L593" s="6" t="n">
        <v>2</v>
      </c>
      <c r="M593" s="2" t="n"/>
      <c r="N593" s="7" t="n">
        <v>0</v>
      </c>
      <c r="O593" s="4" t="n"/>
      <c r="P593" s="2" t="inlineStr">
        <is>
          <t>45200000</t>
        </is>
      </c>
      <c r="Q593" s="8" t="inlineStr">
        <is>
          <t>Ver</t>
        </is>
      </c>
      <c r="R593" s="8" t="inlineStr">
        <is>
          <t>PCAP</t>
        </is>
      </c>
      <c r="S593" s="9" t="n">
        <v>46317</v>
      </c>
      <c r="T593" s="3" t="n">
        <v>46315.61575231481</v>
      </c>
      <c r="U593" s="2" t="n"/>
    </row>
    <row r="594">
      <c r="A594" s="2" t="inlineStr">
        <is>
          <t>En plazo</t>
        </is>
      </c>
      <c r="B594" s="3" t="n">
        <v>46335.99930555555</v>
      </c>
      <c r="C594" s="5" t="n">
        <v>440141.67</v>
      </c>
      <c r="D594" s="5" t="n">
        <v>462148.75</v>
      </c>
      <c r="E594" s="2" t="inlineStr">
        <is>
          <t>Andalucía</t>
        </is>
      </c>
      <c r="F594" s="2" t="inlineStr">
        <is>
          <t>Sevilla</t>
        </is>
      </c>
      <c r="G594" s="2" t="inlineStr">
        <is>
          <t>Sevilla</t>
        </is>
      </c>
      <c r="H594" s="2" t="inlineStr">
        <is>
          <t>Junta de Gobierno del Ayuntamiento de Sevilla</t>
        </is>
      </c>
      <c r="I594" s="2" t="inlineStr">
        <is>
          <t>Obras para revitalización de zona de educación infantil en el CEIP MARTÍN DE GAINZA, ubicado en el Distrito Nervión de Sevilla.</t>
        </is>
      </c>
      <c r="J594" s="2" t="inlineStr">
        <is>
          <t>2026/000895</t>
        </is>
      </c>
      <c r="K594" s="2" t="inlineStr">
        <is>
          <t>Abierto simplificado</t>
        </is>
      </c>
      <c r="L594" s="6" t="n">
        <v>6</v>
      </c>
      <c r="M594" s="2" t="n"/>
      <c r="N594" s="7" t="n">
        <v>0</v>
      </c>
      <c r="O594" s="4" t="n"/>
      <c r="P594" s="2" t="inlineStr">
        <is>
          <t>45000000</t>
        </is>
      </c>
      <c r="Q594" s="8" t="inlineStr">
        <is>
          <t>Ver</t>
        </is>
      </c>
      <c r="R594" s="8" t="inlineStr">
        <is>
          <t>PCAP</t>
        </is>
      </c>
      <c r="S594" s="9" t="n">
        <v>46317</v>
      </c>
      <c r="T594" s="3" t="n">
        <v>46315.61510416667</v>
      </c>
      <c r="U594" s="2" t="n"/>
    </row>
    <row r="595">
      <c r="A595" s="2" t="inlineStr">
        <is>
          <t>Pendiente de adjudicación</t>
        </is>
      </c>
      <c r="B595" s="3" t="n">
        <v>46293.99930555555</v>
      </c>
      <c r="C595" s="5" t="n">
        <v>61983.47</v>
      </c>
      <c r="D595" s="5" t="n">
        <v>61983.47</v>
      </c>
      <c r="E595" s="2" t="inlineStr">
        <is>
          <t>Andalucía</t>
        </is>
      </c>
      <c r="F595" s="2" t="inlineStr">
        <is>
          <t>Cádiz</t>
        </is>
      </c>
      <c r="G595" s="2" t="n"/>
      <c r="H595" s="2" t="inlineStr">
        <is>
          <t>Alcaldía del Ayuntamiento de Trebujena</t>
        </is>
      </c>
      <c r="I595" s="2" t="inlineStr">
        <is>
          <t>Contrato de obras consistente en la ejecución del proyecto "Implantación de infraestructuras Smart-City y videovigilancia en casco urbano" incluido en el nuevo Plan de Inversiones de la Diputación 2026 (PLAN + INVERSIÓN CÁDIZ 2026), de la Excma. Diputación Provincial de Cádiz.</t>
        </is>
      </c>
      <c r="J595" s="2" t="inlineStr">
        <is>
          <t>2026/2364/01</t>
        </is>
      </c>
      <c r="K595" s="2" t="inlineStr">
        <is>
          <t>Abierto simplificado</t>
        </is>
      </c>
      <c r="L595" s="6" t="n">
        <v>9</v>
      </c>
      <c r="M595" s="2" t="n"/>
      <c r="N595" s="7" t="n">
        <v>0</v>
      </c>
      <c r="O595" s="4" t="n"/>
      <c r="P595" s="2" t="inlineStr">
        <is>
          <t>45231000; 45432100; 45312200; 45314000; 45232300; 45100000; 45111100; 45112100</t>
        </is>
      </c>
      <c r="Q595" s="8" t="inlineStr">
        <is>
          <t>Ver</t>
        </is>
      </c>
      <c r="R595" s="8" t="inlineStr">
        <is>
          <t>PCAP</t>
        </is>
      </c>
      <c r="S595" s="9" t="n">
        <v>46317</v>
      </c>
      <c r="T595" s="3" t="n">
        <v>46315.61163194444</v>
      </c>
      <c r="U595" s="2" t="n"/>
    </row>
    <row r="596">
      <c r="A596" s="2" t="inlineStr">
        <is>
          <t>En plazo</t>
        </is>
      </c>
      <c r="B596" s="3" t="n">
        <v>46330.99930555555</v>
      </c>
      <c r="C596" s="5" t="n">
        <v>70247.92999999999</v>
      </c>
      <c r="D596" s="5" t="n">
        <v>70247.92999999999</v>
      </c>
      <c r="E596" s="2" t="inlineStr">
        <is>
          <t>Andalucía</t>
        </is>
      </c>
      <c r="F596" s="2" t="inlineStr">
        <is>
          <t>Cádiz</t>
        </is>
      </c>
      <c r="G596" s="2" t="inlineStr">
        <is>
          <t>Villamartin</t>
        </is>
      </c>
      <c r="H596" s="2" t="inlineStr">
        <is>
          <t>Alcaldía del Ayuntamiento de Villamartín</t>
        </is>
      </c>
      <c r="I596" s="2" t="inlineStr">
        <is>
          <t>"Obras de Prevención Avenidas Camino de La Mediana", en el término municipal de Villamartín.</t>
        </is>
      </c>
      <c r="J596" s="2" t="inlineStr">
        <is>
          <t>2559/2026</t>
        </is>
      </c>
      <c r="K596" s="2" t="inlineStr">
        <is>
          <t>Abierto simplificado</t>
        </is>
      </c>
      <c r="L596" s="6" t="n">
        <v>3</v>
      </c>
      <c r="M596" s="2" t="n"/>
      <c r="N596" s="7" t="n">
        <v>0</v>
      </c>
      <c r="O596" s="4" t="n"/>
      <c r="P596" s="2" t="inlineStr">
        <is>
          <t>45111214; 45111220; 45112000; 45221220; 45233252; 45112100</t>
        </is>
      </c>
      <c r="Q596" s="8" t="inlineStr">
        <is>
          <t>Ver</t>
        </is>
      </c>
      <c r="R596" s="8" t="inlineStr">
        <is>
          <t>PCAP</t>
        </is>
      </c>
      <c r="S596" s="9" t="n">
        <v>46317</v>
      </c>
      <c r="T596" s="3" t="n">
        <v>46315.61130787037</v>
      </c>
      <c r="U596" s="2" t="n"/>
    </row>
    <row r="597">
      <c r="A597" s="2" t="inlineStr">
        <is>
          <t>En plazo</t>
        </is>
      </c>
      <c r="B597" s="3" t="n">
        <v>46335.99930555555</v>
      </c>
      <c r="C597" s="5" t="n">
        <v>446975.62</v>
      </c>
      <c r="D597" s="5" t="n">
        <v>469324.4</v>
      </c>
      <c r="E597" s="2" t="inlineStr">
        <is>
          <t>Andalucía</t>
        </is>
      </c>
      <c r="F597" s="2" t="inlineStr">
        <is>
          <t>Sevilla</t>
        </is>
      </c>
      <c r="G597" s="2" t="inlineStr">
        <is>
          <t>Sevilla</t>
        </is>
      </c>
      <c r="H597" s="2" t="inlineStr">
        <is>
          <t>Junta de Gobierno del Ayuntamiento de Sevilla</t>
        </is>
      </c>
      <c r="I597" s="2" t="inlineStr">
        <is>
          <t>Obras de reforma para nuevas zonas de administración y educación especial en el CEIP SOR ANGELA DE LA CRUZ, ubicado en el Distrito Casco Antiguo de Sevilla</t>
        </is>
      </c>
      <c r="J597" s="2" t="inlineStr">
        <is>
          <t>2026/000960</t>
        </is>
      </c>
      <c r="K597" s="2" t="inlineStr">
        <is>
          <t>Abierto simplificado</t>
        </is>
      </c>
      <c r="L597" s="6" t="n">
        <v>8</v>
      </c>
      <c r="M597" s="2" t="n"/>
      <c r="N597" s="7" t="n">
        <v>0</v>
      </c>
      <c r="O597" s="4" t="n"/>
      <c r="P597" s="2" t="inlineStr">
        <is>
          <t>45000000</t>
        </is>
      </c>
      <c r="Q597" s="8" t="inlineStr">
        <is>
          <t>Ver</t>
        </is>
      </c>
      <c r="R597" s="8" t="inlineStr">
        <is>
          <t>PCAP</t>
        </is>
      </c>
      <c r="S597" s="9" t="n">
        <v>46317</v>
      </c>
      <c r="T597" s="3" t="n">
        <v>46315.61047453704</v>
      </c>
      <c r="U597" s="2" t="n"/>
    </row>
    <row r="598">
      <c r="A598" s="2" t="inlineStr">
        <is>
          <t>Resuelta</t>
        </is>
      </c>
      <c r="B598" s="3" t="n">
        <v>45956.99930555555</v>
      </c>
      <c r="C598" s="5" t="n">
        <v>245911.98</v>
      </c>
      <c r="D598" s="5" t="n">
        <v>245911.98</v>
      </c>
      <c r="E598" s="2" t="inlineStr">
        <is>
          <t>Andalucía</t>
        </is>
      </c>
      <c r="F598" s="2" t="inlineStr">
        <is>
          <t>Sevilla</t>
        </is>
      </c>
      <c r="G598" s="2" t="n"/>
      <c r="H598" s="2" t="inlineStr">
        <is>
          <t>Teniente Alcalde, Delegado de Contratación del Ayuntamiento de Lebrija</t>
        </is>
      </c>
      <c r="I598" s="2" t="inlineStr">
        <is>
          <t>Contratación de las obras de ejecución del Proyecto básico y de ejecución renovación sostenible del césped artificial del campo de fútbol 11.</t>
        </is>
      </c>
      <c r="J598" s="2" t="inlineStr">
        <is>
          <t>P4105300J-2025/000194-PAA</t>
        </is>
      </c>
      <c r="K598" s="2" t="inlineStr">
        <is>
          <t>Abierto</t>
        </is>
      </c>
      <c r="L598" s="6" t="n">
        <v>2</v>
      </c>
      <c r="M598" s="2" t="n"/>
      <c r="N598" s="7" t="n">
        <v>0</v>
      </c>
      <c r="O598" s="4" t="n"/>
      <c r="P598" s="2" t="inlineStr">
        <is>
          <t>45236119; 45212290; 39293400</t>
        </is>
      </c>
      <c r="Q598" s="8" t="inlineStr">
        <is>
          <t>Ver</t>
        </is>
      </c>
      <c r="R598" s="8" t="inlineStr">
        <is>
          <t>PCAP</t>
        </is>
      </c>
      <c r="S598" s="9" t="n">
        <v>46317</v>
      </c>
      <c r="T598" s="3" t="n">
        <v>46315.61016203704</v>
      </c>
      <c r="U598" s="2" t="n"/>
    </row>
    <row r="599">
      <c r="A599" s="2" t="inlineStr">
        <is>
          <t>Anuncio previo</t>
        </is>
      </c>
      <c r="B599" s="3" t="n"/>
      <c r="C599" s="5" t="n">
        <v>495436.63</v>
      </c>
      <c r="D599" s="5" t="n">
        <v>495436.63</v>
      </c>
      <c r="E599" s="2" t="inlineStr">
        <is>
          <t>Andalucía</t>
        </is>
      </c>
      <c r="F599" s="2" t="inlineStr">
        <is>
          <t>Huelva</t>
        </is>
      </c>
      <c r="G599" s="2" t="n"/>
      <c r="H599" s="2" t="inlineStr">
        <is>
          <t>Presidencia de la Diputación Provincial de Huelva</t>
        </is>
      </c>
      <c r="I599" s="2" t="inlineStr">
        <is>
          <t>Contrato de obras de mejora de la eficiencia energética y de reducción de la contaminación lumínica en las instalaciones municipales de alumbrado exterior de municipios menores de 5000 habitantes (Villalba del Alcor - Higuera de la Sierra - Cumbres Mayores).</t>
        </is>
      </c>
      <c r="J599" s="2" t="inlineStr">
        <is>
          <t>2026/CMY_03/000102</t>
        </is>
      </c>
      <c r="K599" s="2" t="inlineStr">
        <is>
          <t>Abierto simplificado</t>
        </is>
      </c>
      <c r="L599" s="6" t="n"/>
      <c r="M599" s="2" t="n"/>
      <c r="N599" s="7" t="n">
        <v>0</v>
      </c>
      <c r="O599" s="4" t="n">
        <v>3</v>
      </c>
      <c r="P599" s="2" t="inlineStr">
        <is>
          <t>45316100; 45315600; 45310000</t>
        </is>
      </c>
      <c r="Q599" s="8" t="inlineStr">
        <is>
          <t>Ver</t>
        </is>
      </c>
      <c r="R599" s="2" t="n"/>
      <c r="S599" s="9" t="n">
        <v>46317</v>
      </c>
      <c r="T599" s="3" t="n">
        <v>46315.59474537037</v>
      </c>
      <c r="U599" s="2" t="n"/>
    </row>
    <row r="600">
      <c r="A600" s="2" t="inlineStr">
        <is>
          <t>Resuelta</t>
        </is>
      </c>
      <c r="B600" s="3" t="n">
        <v>46293.99930555555</v>
      </c>
      <c r="C600" s="5" t="n">
        <v>42926.92</v>
      </c>
      <c r="D600" s="5" t="n">
        <v>42926.92</v>
      </c>
      <c r="E600" s="2" t="inlineStr">
        <is>
          <t>Comunitat Valenciana</t>
        </is>
      </c>
      <c r="F600" s="2" t="inlineStr">
        <is>
          <t>Valencia</t>
        </is>
      </c>
      <c r="G600" s="2" t="n"/>
      <c r="H600" s="2" t="inlineStr">
        <is>
          <t>Alcaldía del Ayuntamiento de Castelló</t>
        </is>
      </c>
      <c r="I600" s="2" t="inlineStr">
        <is>
          <t>Obra de renovacio de la xarxa secundaria d aigua potable del Sector Ravalet de Castello</t>
        </is>
      </c>
      <c r="J600" s="2" t="inlineStr">
        <is>
          <t>3775/2026</t>
        </is>
      </c>
      <c r="K600" s="2" t="inlineStr">
        <is>
          <t>Abierto simplificado</t>
        </is>
      </c>
      <c r="L600" s="6" t="n">
        <v>1.2</v>
      </c>
      <c r="M600" s="2" t="n"/>
      <c r="N600" s="7" t="n">
        <v>0</v>
      </c>
      <c r="O600" s="4" t="n"/>
      <c r="P600" s="2" t="inlineStr">
        <is>
          <t>45232150; 45232151</t>
        </is>
      </c>
      <c r="Q600" s="8" t="inlineStr">
        <is>
          <t>Ver</t>
        </is>
      </c>
      <c r="R600" s="8" t="inlineStr">
        <is>
          <t>PCAP</t>
        </is>
      </c>
      <c r="S600" s="9" t="n">
        <v>46317</v>
      </c>
      <c r="T600" s="3" t="n">
        <v>46315.590625</v>
      </c>
      <c r="U600" s="2" t="n"/>
    </row>
    <row r="601">
      <c r="A601" s="2" t="inlineStr">
        <is>
          <t>En plazo</t>
        </is>
      </c>
      <c r="B601" s="3" t="n">
        <v>46329.99930555555</v>
      </c>
      <c r="C601" s="5" t="n">
        <v>563608.27</v>
      </c>
      <c r="D601" s="5" t="n">
        <v>563608.27</v>
      </c>
      <c r="E601" s="2" t="inlineStr">
        <is>
          <t>Andalucía</t>
        </is>
      </c>
      <c r="F601" s="2" t="inlineStr">
        <is>
          <t>Málaga</t>
        </is>
      </c>
      <c r="G601" s="2" t="n"/>
      <c r="H601" s="2" t="inlineStr">
        <is>
          <t>Alcaldía del Ayuntamiento de Ronda</t>
        </is>
      </c>
      <c r="I601" s="2" t="inlineStr">
        <is>
          <t>C. Obras. Proyecto de Adecuación de solar colindante a la Estación de Ferrocarril para aparcamiento de vehículos de Ronda (Málaga).</t>
        </is>
      </c>
      <c r="J601" s="2" t="inlineStr">
        <is>
          <t>17561/2026</t>
        </is>
      </c>
      <c r="K601" s="2" t="inlineStr">
        <is>
          <t>Abierto</t>
        </is>
      </c>
      <c r="L601" s="6" t="n">
        <v>10</v>
      </c>
      <c r="M601" s="2" t="inlineStr">
        <is>
          <t>G6-3</t>
        </is>
      </c>
      <c r="N601" s="7" t="n">
        <v>0</v>
      </c>
      <c r="O601" s="4" t="n"/>
      <c r="P601" s="2" t="inlineStr">
        <is>
          <t>45000000; 45233140</t>
        </is>
      </c>
      <c r="Q601" s="8" t="inlineStr">
        <is>
          <t>Ver</t>
        </is>
      </c>
      <c r="R601" s="8" t="inlineStr">
        <is>
          <t>PCAP</t>
        </is>
      </c>
      <c r="S601" s="9" t="n">
        <v>46317</v>
      </c>
      <c r="T601" s="3" t="n">
        <v>46315.5900462963</v>
      </c>
      <c r="U601" s="2" t="n"/>
    </row>
    <row r="602">
      <c r="A602" s="2" t="inlineStr">
        <is>
          <t>En plazo</t>
        </is>
      </c>
      <c r="B602" s="3" t="n">
        <v>46330.99930555555</v>
      </c>
      <c r="C602" s="5" t="n">
        <v>75288.07000000001</v>
      </c>
      <c r="D602" s="5" t="n">
        <v>75288.07000000001</v>
      </c>
      <c r="E602" s="2" t="inlineStr">
        <is>
          <t>Andalucía</t>
        </is>
      </c>
      <c r="F602" s="2" t="inlineStr">
        <is>
          <t>Málaga</t>
        </is>
      </c>
      <c r="G602" s="2" t="n"/>
      <c r="H602" s="2" t="inlineStr">
        <is>
          <t>Junta de Gobierno del Ayuntamiento de Vélez-Málaga</t>
        </is>
      </c>
      <c r="I602" s="2" t="inlineStr">
        <is>
          <t>Reparación de pavimentos de acera y calzada del viario del UE.CH-7 del PGOU de Vélez-Málaga</t>
        </is>
      </c>
      <c r="J602" s="2" t="inlineStr">
        <is>
          <t>AVM.OBR-2026000020</t>
        </is>
      </c>
      <c r="K602" s="2" t="inlineStr">
        <is>
          <t>Abierto simplificado</t>
        </is>
      </c>
      <c r="L602" s="6" t="n">
        <v>2</v>
      </c>
      <c r="M602" s="2" t="n"/>
      <c r="N602" s="7" t="n">
        <v>0</v>
      </c>
      <c r="O602" s="4" t="n"/>
      <c r="P602" s="2" t="inlineStr">
        <is>
          <t>45233140</t>
        </is>
      </c>
      <c r="Q602" s="8" t="inlineStr">
        <is>
          <t>Ver</t>
        </is>
      </c>
      <c r="R602" s="8" t="inlineStr">
        <is>
          <t>PCAP</t>
        </is>
      </c>
      <c r="S602" s="9" t="n">
        <v>46317</v>
      </c>
      <c r="T602" s="3" t="n">
        <v>46315.5893287037</v>
      </c>
      <c r="U602" s="2" t="n"/>
    </row>
    <row r="603">
      <c r="A603" s="2" t="inlineStr">
        <is>
          <t>Pendiente de adjudicación</t>
        </is>
      </c>
      <c r="B603" s="3" t="n">
        <v>46303.58333333334</v>
      </c>
      <c r="C603" s="5" t="n">
        <v>579253.0699999999</v>
      </c>
      <c r="D603" s="5" t="n">
        <v>947901.3</v>
      </c>
      <c r="E603" s="2" t="inlineStr">
        <is>
          <t>Comunitat Valenciana</t>
        </is>
      </c>
      <c r="F603" s="2" t="inlineStr">
        <is>
          <t>Alicante</t>
        </is>
      </c>
      <c r="G603" s="2" t="inlineStr">
        <is>
          <t>Alicante (Alacant)</t>
        </is>
      </c>
      <c r="H603" s="2" t="inlineStr">
        <is>
          <t>Junta de Gobierno del Ayuntamiento de Altea</t>
        </is>
      </c>
      <c r="I603" s="2" t="inlineStr">
        <is>
          <t>La ejecución de las obras de asfaltado de calles y caminos en Altea.</t>
        </is>
      </c>
      <c r="J603" s="2" t="inlineStr">
        <is>
          <t>C18/2026 (Exp. Gestiona 4628/2026)</t>
        </is>
      </c>
      <c r="K603" s="2" t="inlineStr">
        <is>
          <t>Abierto simplificado</t>
        </is>
      </c>
      <c r="L603" s="6" t="n">
        <v>2</v>
      </c>
      <c r="M603" s="2" t="inlineStr">
        <is>
          <t>G4-3</t>
        </is>
      </c>
      <c r="N603" s="7" t="n">
        <v>0.8</v>
      </c>
      <c r="O603" s="4" t="n"/>
      <c r="P603" s="2" t="inlineStr">
        <is>
          <t>45233222; 45233140</t>
        </is>
      </c>
      <c r="Q603" s="8" t="inlineStr">
        <is>
          <t>Ver</t>
        </is>
      </c>
      <c r="R603" s="8" t="inlineStr">
        <is>
          <t>PCAP</t>
        </is>
      </c>
      <c r="S603" s="9" t="n">
        <v>46311</v>
      </c>
      <c r="T603" s="3" t="n">
        <v>46315.58900462963</v>
      </c>
      <c r="U603" s="2" t="n"/>
    </row>
    <row r="604">
      <c r="A604" s="2" t="inlineStr">
        <is>
          <t>Pendiente de adjudicación</t>
        </is>
      </c>
      <c r="B604" s="3" t="n">
        <v>46308.99930555555</v>
      </c>
      <c r="C604" s="5" t="n">
        <v>181862.68</v>
      </c>
      <c r="D604" s="5" t="n">
        <v>181862.68</v>
      </c>
      <c r="E604" s="2" t="inlineStr">
        <is>
          <t>Andalucía</t>
        </is>
      </c>
      <c r="F604" s="2" t="inlineStr">
        <is>
          <t>Sevilla</t>
        </is>
      </c>
      <c r="G604" s="2" t="n"/>
      <c r="H604" s="2" t="inlineStr">
        <is>
          <t>Alcaldía del Ayuntamiento de El Viso del Alcor</t>
        </is>
      </c>
      <c r="I604" s="2" t="inlineStr">
        <is>
          <t>Obra de reparación de pavimento de varios sistemas locales</t>
        </is>
      </c>
      <c r="J604" s="2" t="inlineStr">
        <is>
          <t>1031/2026</t>
        </is>
      </c>
      <c r="K604" s="2" t="inlineStr">
        <is>
          <t>Abierto simplificado</t>
        </is>
      </c>
      <c r="L604" s="6" t="n">
        <v>2</v>
      </c>
      <c r="M604" s="2" t="n"/>
      <c r="N604" s="7" t="n">
        <v>0</v>
      </c>
      <c r="O604" s="4" t="n">
        <v>7</v>
      </c>
      <c r="P604" s="2" t="inlineStr">
        <is>
          <t>45233223</t>
        </is>
      </c>
      <c r="Q604" s="8" t="inlineStr">
        <is>
          <t>Ver</t>
        </is>
      </c>
      <c r="R604" s="8" t="inlineStr">
        <is>
          <t>PCAP</t>
        </is>
      </c>
      <c r="S604" s="9" t="n">
        <v>46310</v>
      </c>
      <c r="T604" s="3" t="n">
        <v>46315.58789351852</v>
      </c>
      <c r="U604" s="2" t="n"/>
    </row>
    <row r="605">
      <c r="A605" s="2" t="inlineStr">
        <is>
          <t>Adjudicada</t>
        </is>
      </c>
      <c r="B605" s="3" t="n">
        <v>46209.45833333334</v>
      </c>
      <c r="C605" s="5" t="n">
        <v>1088232.12</v>
      </c>
      <c r="D605" s="5" t="n">
        <v>1088232.12</v>
      </c>
      <c r="E605" s="2" t="inlineStr">
        <is>
          <t>Andalucía</t>
        </is>
      </c>
      <c r="F605" s="2" t="inlineStr">
        <is>
          <t>Sevilla</t>
        </is>
      </c>
      <c r="G605" s="2" t="n"/>
      <c r="H605" s="2" t="inlineStr">
        <is>
          <t>Comisión Ejecutiva de la Gerencia de Urbanismo de Sevilla</t>
        </is>
      </c>
      <c r="I605" s="2" t="inlineStr">
        <is>
          <t>Obras del Proyecto de reurbanización de la Avda. de Alemania</t>
        </is>
      </c>
      <c r="J605" s="2" t="inlineStr">
        <is>
          <t>37/2026</t>
        </is>
      </c>
      <c r="K605" s="2" t="inlineStr">
        <is>
          <t>Abierto</t>
        </is>
      </c>
      <c r="L605" s="6" t="n">
        <v>8</v>
      </c>
      <c r="M605" s="2" t="inlineStr">
        <is>
          <t>G6-4</t>
        </is>
      </c>
      <c r="N605" s="7" t="n">
        <v>0.4</v>
      </c>
      <c r="O605" s="4" t="n"/>
      <c r="P605" s="2" t="inlineStr">
        <is>
          <t>45111000; 45233294; 45236230; 34928470; 45111100; 45233252; 45233223; 45232150; 45232410; 45316000; 45112712; 45231400; 45233222; 45233200</t>
        </is>
      </c>
      <c r="Q605" s="8" t="inlineStr">
        <is>
          <t>Ver</t>
        </is>
      </c>
      <c r="R605" s="8" t="inlineStr">
        <is>
          <t>PCAP</t>
        </is>
      </c>
      <c r="S605" s="9" t="n">
        <v>46317</v>
      </c>
      <c r="T605" s="3" t="n">
        <v>46315.58729166666</v>
      </c>
      <c r="U605" s="2" t="n"/>
    </row>
    <row r="606">
      <c r="A606" s="2" t="inlineStr">
        <is>
          <t>Pendiente de adjudicación</t>
        </is>
      </c>
      <c r="B606" s="3" t="n">
        <v>46293.99930555555</v>
      </c>
      <c r="C606" s="5" t="n">
        <v>165256.56</v>
      </c>
      <c r="D606" s="5" t="n">
        <v>165256.66</v>
      </c>
      <c r="E606" s="2" t="inlineStr">
        <is>
          <t>Comunitat Valenciana</t>
        </is>
      </c>
      <c r="F606" s="2" t="inlineStr">
        <is>
          <t>Valencia</t>
        </is>
      </c>
      <c r="G606" s="2" t="n"/>
      <c r="H606" s="2" t="inlineStr">
        <is>
          <t>Concejalía Delegada de Hacienda del Ayuntamiento de la Pobla de Vallbona</t>
        </is>
      </c>
      <c r="I606" s="2" t="inlineStr">
        <is>
          <t>Contrato para la ejecución de las obras de renovación de la pavimentación y servicios municipales, de las calles 27 y 33 de la Urbanización de la Rascanya en la Pobla de Vallbona, incluidas en el POI 2024-2027 de la Diputación de Valencia, número 919-25.</t>
        </is>
      </c>
      <c r="J606" s="2" t="inlineStr">
        <is>
          <t>2026000021</t>
        </is>
      </c>
      <c r="K606" s="2" t="inlineStr">
        <is>
          <t>Abierto simplificado</t>
        </is>
      </c>
      <c r="L606" s="6" t="n">
        <v>5</v>
      </c>
      <c r="M606" s="2" t="n"/>
      <c r="N606" s="7" t="n">
        <v>0.25</v>
      </c>
      <c r="O606" s="4" t="n"/>
      <c r="P606" s="2" t="inlineStr">
        <is>
          <t>45233252; 45233340; 45262350</t>
        </is>
      </c>
      <c r="Q606" s="8" t="inlineStr">
        <is>
          <t>Ver</t>
        </is>
      </c>
      <c r="R606" s="8" t="inlineStr">
        <is>
          <t>PCAP</t>
        </is>
      </c>
      <c r="S606" s="9" t="n">
        <v>46310</v>
      </c>
      <c r="T606" s="3" t="n">
        <v>46315.58701388889</v>
      </c>
      <c r="U606" s="2" t="n"/>
    </row>
    <row r="607">
      <c r="A607" s="2" t="inlineStr">
        <is>
          <t>En plazo</t>
        </is>
      </c>
      <c r="B607" s="3" t="n">
        <v>46329.99930555555</v>
      </c>
      <c r="C607" s="5" t="n">
        <v>1221212.29</v>
      </c>
      <c r="D607" s="5" t="n">
        <v>1221212.29</v>
      </c>
      <c r="E607" s="2" t="inlineStr">
        <is>
          <t>Andalucía</t>
        </is>
      </c>
      <c r="F607" s="2" t="inlineStr">
        <is>
          <t>Córdoba</t>
        </is>
      </c>
      <c r="G607" s="2" t="n"/>
      <c r="H607" s="2" t="inlineStr">
        <is>
          <t>Junta de Gobierno de la Diputación Provincial de Córdoba</t>
        </is>
      </c>
      <c r="I607" s="2" t="inlineStr">
        <is>
          <t>Nuevo campo de fútbol de césped artificial en el SG-D6 y SG-V7 "LLanos de Cristo" del PGOU vigente, en Puente Genil (Córdoba). Obra incluida en el Plan Provincial de Obras y Servicios 2024-2027 (bienio 2025-2026)</t>
        </is>
      </c>
      <c r="J607" s="2" t="inlineStr">
        <is>
          <t>646/26 BIS</t>
        </is>
      </c>
      <c r="K607" s="2" t="inlineStr">
        <is>
          <t>Abierto</t>
        </is>
      </c>
      <c r="L607" s="6" t="n">
        <v>12</v>
      </c>
      <c r="M607" s="2" t="n"/>
      <c r="N607" s="7" t="n">
        <v>0</v>
      </c>
      <c r="O607" s="4" t="n"/>
      <c r="P607" s="2" t="inlineStr">
        <is>
          <t>45200000; 45212221; 45212200; 45212224; 45212213; 45212230</t>
        </is>
      </c>
      <c r="Q607" s="8" t="inlineStr">
        <is>
          <t>Ver</t>
        </is>
      </c>
      <c r="R607" s="8" t="inlineStr">
        <is>
          <t>PCAP</t>
        </is>
      </c>
      <c r="S607" s="9" t="n">
        <v>46317</v>
      </c>
      <c r="T607" s="3" t="n">
        <v>46315.58591435185</v>
      </c>
      <c r="U607" s="2" t="n"/>
    </row>
    <row r="608">
      <c r="A608" s="2" t="inlineStr">
        <is>
          <t>Pendiente de adjudicación</t>
        </is>
      </c>
      <c r="B608" s="3" t="n">
        <v>46308.99930555555</v>
      </c>
      <c r="C608" s="5" t="n">
        <v>738555.34</v>
      </c>
      <c r="D608" s="5" t="n">
        <v>738555.34</v>
      </c>
      <c r="E608" s="2" t="inlineStr">
        <is>
          <t>Andalucía</t>
        </is>
      </c>
      <c r="F608" s="2" t="inlineStr">
        <is>
          <t>Jaén</t>
        </is>
      </c>
      <c r="G608" s="2" t="inlineStr">
        <is>
          <t>JAEN</t>
        </is>
      </c>
      <c r="H608" s="2" t="inlineStr">
        <is>
          <t>Presidencia de la Diputación Provincial de Jaén</t>
        </is>
      </c>
      <c r="I608" s="2" t="inlineStr">
        <is>
          <t>JA-3308 Martos a limite de provincia por Monte Lope Álvarez, refuerzo de firme P.K. 11+510 al 17+780, a adjudicar por procedimiento abierto ordinario.</t>
        </is>
      </c>
      <c r="J608" s="2" t="inlineStr">
        <is>
          <t>CO-2026/001341</t>
        </is>
      </c>
      <c r="K608" s="2" t="inlineStr">
        <is>
          <t>Abierto</t>
        </is>
      </c>
      <c r="L608" s="6" t="n">
        <v>6</v>
      </c>
      <c r="M608" s="2" t="inlineStr">
        <is>
          <t>G4-3</t>
        </is>
      </c>
      <c r="N608" s="7" t="n">
        <v>0.4</v>
      </c>
      <c r="O608" s="4" t="n"/>
      <c r="P608" s="2" t="inlineStr">
        <is>
          <t>45233223</t>
        </is>
      </c>
      <c r="Q608" s="8" t="inlineStr">
        <is>
          <t>Ver</t>
        </is>
      </c>
      <c r="R608" s="8" t="inlineStr">
        <is>
          <t>PCAP</t>
        </is>
      </c>
      <c r="S608" s="9" t="n">
        <v>46317</v>
      </c>
      <c r="T608" s="3" t="n">
        <v>46315.58577546296</v>
      </c>
      <c r="U608" s="2" t="n"/>
    </row>
    <row r="609">
      <c r="A609" s="2" t="inlineStr">
        <is>
          <t>En plazo</t>
        </is>
      </c>
      <c r="B609" s="3" t="n">
        <v>46342.99930555555</v>
      </c>
      <c r="C609" s="5" t="n">
        <v>114049.58</v>
      </c>
      <c r="D609" s="5" t="n">
        <v>114049.58</v>
      </c>
      <c r="E609" s="2" t="inlineStr">
        <is>
          <t>Andalucía</t>
        </is>
      </c>
      <c r="F609" s="2" t="inlineStr">
        <is>
          <t>Córdoba</t>
        </is>
      </c>
      <c r="G609" s="2" t="n"/>
      <c r="H609" s="2" t="inlineStr">
        <is>
          <t>Diputado delegado de Infraestructuras, Sostenibilidad y Agricultura</t>
        </is>
      </c>
      <c r="I609" s="2" t="inlineStr">
        <is>
          <t>Contratación de las obras de Mejora en las vías Juan Sebastián Elcano y Camino Viejo de la Cuesta del Molino, en Puente Genil (Córdoba). Obra incluida en el Plan de Humanización de Entornos Urbanos y Agenda Rural 2024-2027 (Programa de Agenda Rural, bienio 26-27).</t>
        </is>
      </c>
      <c r="J609" s="2" t="inlineStr">
        <is>
          <t>916/26</t>
        </is>
      </c>
      <c r="K609" s="2" t="inlineStr">
        <is>
          <t>Abierto</t>
        </is>
      </c>
      <c r="L609" s="6" t="n">
        <v>3</v>
      </c>
      <c r="M609" s="2" t="n"/>
      <c r="N609" s="7" t="n">
        <v>0.4</v>
      </c>
      <c r="O609" s="4" t="n"/>
      <c r="P609" s="2" t="inlineStr">
        <is>
          <t>45233160</t>
        </is>
      </c>
      <c r="Q609" s="8" t="inlineStr">
        <is>
          <t>Ver</t>
        </is>
      </c>
      <c r="R609" s="8" t="inlineStr">
        <is>
          <t>PCAP</t>
        </is>
      </c>
      <c r="S609" s="9" t="n">
        <v>46317</v>
      </c>
      <c r="T609" s="3" t="n">
        <v>46315.58462962963</v>
      </c>
      <c r="U609" s="2" t="n"/>
    </row>
    <row r="610">
      <c r="A610" s="2" t="inlineStr">
        <is>
          <t>Pendiente de adjudicación</t>
        </is>
      </c>
      <c r="B610" s="3" t="n">
        <v>46286.99930555555</v>
      </c>
      <c r="C610" s="5" t="n">
        <v>389400.52</v>
      </c>
      <c r="D610" s="5" t="n">
        <v>389400.52</v>
      </c>
      <c r="E610" s="2" t="inlineStr">
        <is>
          <t>Comunitat Valenciana</t>
        </is>
      </c>
      <c r="F610" s="2" t="inlineStr">
        <is>
          <t>Valencia</t>
        </is>
      </c>
      <c r="G610" s="2" t="inlineStr">
        <is>
          <t>GESTALGAR</t>
        </is>
      </c>
      <c r="H610" s="2" t="inlineStr">
        <is>
          <t>Alcaldía del Ayuntamiento de Gestalgar</t>
        </is>
      </c>
      <c r="I610" s="2" t="inlineStr">
        <is>
          <t>Contrato de obras de reposición y reparación de elementos del antiguo polideportivo municipal para el nuevo parque de ocio para la juventud en Gestalgar (Valencia) subvencionado por el Ministerio de Política Territorial y Memoria Democrática.</t>
        </is>
      </c>
      <c r="J610" s="2" t="inlineStr">
        <is>
          <t>2993993Z</t>
        </is>
      </c>
      <c r="K610" s="2" t="inlineStr">
        <is>
          <t>Abierto simplificado</t>
        </is>
      </c>
      <c r="L610" s="6" t="n">
        <v>6</v>
      </c>
      <c r="M610" s="2" t="n"/>
      <c r="N610" s="7" t="n">
        <v>0</v>
      </c>
      <c r="O610" s="4" t="n"/>
      <c r="P610" s="2" t="inlineStr">
        <is>
          <t>45112720</t>
        </is>
      </c>
      <c r="Q610" s="8" t="inlineStr">
        <is>
          <t>Ver</t>
        </is>
      </c>
      <c r="R610" s="8" t="inlineStr">
        <is>
          <t>PCAP</t>
        </is>
      </c>
      <c r="S610" s="9" t="n">
        <v>46310</v>
      </c>
      <c r="T610" s="3" t="n">
        <v>46315.58430555555</v>
      </c>
      <c r="U610" s="2" t="n"/>
    </row>
    <row r="611">
      <c r="A611" s="2" t="inlineStr">
        <is>
          <t>Resuelta</t>
        </is>
      </c>
      <c r="B611" s="3" t="n">
        <v>46308.58333333334</v>
      </c>
      <c r="C611" s="5" t="n">
        <v>606729.4300000001</v>
      </c>
      <c r="D611" s="5" t="n">
        <v>728075.3199999999</v>
      </c>
      <c r="E611" s="2" t="inlineStr">
        <is>
          <t>Comunitat Valenciana</t>
        </is>
      </c>
      <c r="F611" s="2" t="inlineStr">
        <is>
          <t>Valencia</t>
        </is>
      </c>
      <c r="G611" s="2" t="n"/>
      <c r="H611" s="2" t="inlineStr">
        <is>
          <t>Junta de Gobierno del Ayuntamiento de Paterna</t>
        </is>
      </c>
      <c r="I611" s="2" t="inlineStr">
        <is>
          <t>Obras de construcción de una rotonda en las calles 113, 238 de la Canyada con la carretera CV-368.</t>
        </is>
      </c>
      <c r="J611" s="2" t="inlineStr">
        <is>
          <t>172/2026/135</t>
        </is>
      </c>
      <c r="K611" s="2" t="inlineStr">
        <is>
          <t>Abierto</t>
        </is>
      </c>
      <c r="L611" s="6" t="n">
        <v>4</v>
      </c>
      <c r="M611" s="2" t="inlineStr">
        <is>
          <t>G4-3</t>
        </is>
      </c>
      <c r="N611" s="7" t="n">
        <v>0</v>
      </c>
      <c r="O611" s="4" t="n"/>
      <c r="P611" s="2" t="inlineStr">
        <is>
          <t>45000000</t>
        </is>
      </c>
      <c r="Q611" s="8" t="inlineStr">
        <is>
          <t>Ver</t>
        </is>
      </c>
      <c r="R611" s="8" t="inlineStr">
        <is>
          <t>PCAP</t>
        </is>
      </c>
      <c r="S611" s="9" t="n">
        <v>46317</v>
      </c>
      <c r="T611" s="3" t="n">
        <v>46315.58402777778</v>
      </c>
      <c r="U611" s="2" t="n"/>
    </row>
    <row r="612">
      <c r="A612" s="2" t="inlineStr">
        <is>
          <t>Resuelta</t>
        </is>
      </c>
      <c r="B612" s="3" t="n">
        <v>45609.99930555555</v>
      </c>
      <c r="C612" s="5" t="n">
        <v>4384752.54</v>
      </c>
      <c r="D612" s="5" t="n">
        <v>4384752.54</v>
      </c>
      <c r="E612" s="2" t="inlineStr">
        <is>
          <t>Andalucía</t>
        </is>
      </c>
      <c r="F612" s="2" t="inlineStr">
        <is>
          <t>Sevilla</t>
        </is>
      </c>
      <c r="G612" s="2" t="n"/>
      <c r="H612" s="2" t="inlineStr">
        <is>
          <t>Gerencia de Fraternidad Muprespa - Mútua Colaboradora con la Seguridad Social nº 275</t>
        </is>
      </c>
      <c r="I612" s="2" t="inlineStr">
        <is>
          <t>Contratación de los trabajos de ejecución de las obras de nueva planta para el centro de FRATERNIDAD-MUPRESPA situado en la parcela ubicada en las Avenida de los Montes de Sierra, nº 17 de Sevilla.</t>
        </is>
      </c>
      <c r="J612" s="2" t="inlineStr">
        <is>
          <t>PIC2025_31505</t>
        </is>
      </c>
      <c r="K612" s="2" t="inlineStr">
        <is>
          <t>Abierto</t>
        </is>
      </c>
      <c r="L612" s="6" t="n">
        <v>21.3</v>
      </c>
      <c r="M612" s="2" t="inlineStr">
        <is>
          <t>C4-5; J2-3</t>
        </is>
      </c>
      <c r="N612" s="7" t="n">
        <v>0.2</v>
      </c>
      <c r="O612" s="4" t="n"/>
      <c r="P612" s="2" t="inlineStr">
        <is>
          <t>45213150</t>
        </is>
      </c>
      <c r="Q612" s="8" t="inlineStr">
        <is>
          <t>Ver</t>
        </is>
      </c>
      <c r="R612" s="8" t="inlineStr">
        <is>
          <t>PCAP</t>
        </is>
      </c>
      <c r="S612" s="9" t="n">
        <v>46317</v>
      </c>
      <c r="T612" s="3" t="n">
        <v>46315.58283564815</v>
      </c>
      <c r="U612" s="2" t="n"/>
    </row>
    <row r="613">
      <c r="A613" s="2" t="inlineStr">
        <is>
          <t>Pendiente de adjudicación</t>
        </is>
      </c>
      <c r="B613" s="3" t="n">
        <v>46202.99930555555</v>
      </c>
      <c r="C613" s="5" t="n">
        <v>2641452.25</v>
      </c>
      <c r="D613" s="5" t="n">
        <v>2641452.25</v>
      </c>
      <c r="E613" s="2" t="inlineStr">
        <is>
          <t>Comunitat Valenciana</t>
        </is>
      </c>
      <c r="F613" s="2" t="inlineStr">
        <is>
          <t>Valencia</t>
        </is>
      </c>
      <c r="G613" s="2" t="inlineStr">
        <is>
          <t>Utiel</t>
        </is>
      </c>
      <c r="H613" s="2" t="inlineStr">
        <is>
          <t>Alcaldía del Ayuntamiento de Utiel</t>
        </is>
      </c>
      <c r="I613" s="2" t="inlineStr">
        <is>
          <t>Obra denominada "Reconstrucción del Barrio de Instituto en Utiel (Valencia)".</t>
        </is>
      </c>
      <c r="J613" s="2" t="inlineStr">
        <is>
          <t>389/2026</t>
        </is>
      </c>
      <c r="K613" s="2" t="inlineStr">
        <is>
          <t>Abierto</t>
        </is>
      </c>
      <c r="L613" s="6" t="n">
        <v>12</v>
      </c>
      <c r="M613" s="2" t="inlineStr">
        <is>
          <t>G*-5</t>
        </is>
      </c>
      <c r="N613" s="7" t="n">
        <v>0.2</v>
      </c>
      <c r="O613" s="4" t="n"/>
      <c r="P613" s="2" t="inlineStr">
        <is>
          <t>45232410; 45233252</t>
        </is>
      </c>
      <c r="Q613" s="8" t="inlineStr">
        <is>
          <t>Ver</t>
        </is>
      </c>
      <c r="R613" s="8" t="inlineStr">
        <is>
          <t>PCAP</t>
        </is>
      </c>
      <c r="S613" s="9" t="n">
        <v>46315</v>
      </c>
      <c r="T613" s="3" t="n">
        <v>46315.58216435185</v>
      </c>
      <c r="U613" s="2" t="n"/>
    </row>
    <row r="614">
      <c r="A614" s="2" t="inlineStr">
        <is>
          <t>En plazo</t>
        </is>
      </c>
      <c r="B614" s="3" t="n">
        <v>46335.99930555555</v>
      </c>
      <c r="C614" s="5" t="n">
        <v>185950.41</v>
      </c>
      <c r="D614" s="5" t="n">
        <v>185950.41</v>
      </c>
      <c r="E614" s="2" t="inlineStr">
        <is>
          <t>Andalucía</t>
        </is>
      </c>
      <c r="F614" s="2" t="inlineStr">
        <is>
          <t>Almería</t>
        </is>
      </c>
      <c r="G614" s="2" t="n"/>
      <c r="H614" s="2" t="inlineStr">
        <is>
          <t>Alcaldía del Ayuntamiento de Níjar</t>
        </is>
      </c>
      <c r="I614" s="2" t="inlineStr">
        <is>
          <t>Construcción de quiosco y aseos en el Parque Los Olivicos de Campohermoso (Níjar)., con cargo al FEDER, en el marco de los PAI (NÍJAR PARA CONVIVIR).</t>
        </is>
      </c>
      <c r="J614" s="2" t="inlineStr">
        <is>
          <t>14767/2026</t>
        </is>
      </c>
      <c r="K614" s="2" t="inlineStr">
        <is>
          <t>Abierto simplificado</t>
        </is>
      </c>
      <c r="L614" s="6" t="n">
        <v>6</v>
      </c>
      <c r="M614" s="2" t="n"/>
      <c r="N614" s="7" t="n">
        <v>0.25</v>
      </c>
      <c r="O614" s="4" t="n"/>
      <c r="P614" s="2" t="inlineStr">
        <is>
          <t>45212000</t>
        </is>
      </c>
      <c r="Q614" s="8" t="inlineStr">
        <is>
          <t>Ver</t>
        </is>
      </c>
      <c r="R614" s="8" t="inlineStr">
        <is>
          <t>PCAP</t>
        </is>
      </c>
      <c r="S614" s="9" t="n">
        <v>46317</v>
      </c>
      <c r="T614" s="3" t="n">
        <v>46315.58096064815</v>
      </c>
      <c r="U614" s="2" t="n"/>
    </row>
    <row r="615">
      <c r="A615" s="2" t="inlineStr">
        <is>
          <t>Pendiente de adjudicación</t>
        </is>
      </c>
      <c r="B615" s="3" t="n">
        <v>46286.99930555555</v>
      </c>
      <c r="C615" s="5" t="n">
        <v>345942.39</v>
      </c>
      <c r="D615" s="5" t="n">
        <v>345942.39</v>
      </c>
      <c r="E615" s="2" t="inlineStr">
        <is>
          <t>Comunitat Valenciana</t>
        </is>
      </c>
      <c r="F615" s="2" t="inlineStr">
        <is>
          <t>Valencia</t>
        </is>
      </c>
      <c r="G615" s="2" t="inlineStr">
        <is>
          <t>GESTALGAR</t>
        </is>
      </c>
      <c r="H615" s="2" t="inlineStr">
        <is>
          <t>Alcaldía del Ayuntamiento de Gestalgar</t>
        </is>
      </c>
      <c r="I615" s="2" t="inlineStr">
        <is>
          <t>Contrato de obras del proyecto de emergencia de red viaria de Gestalgar (Valencia) subvencionado por el Ministerio de Política Territorial y Memoria Democrática.</t>
        </is>
      </c>
      <c r="J615" s="2" t="inlineStr">
        <is>
          <t>2998008A</t>
        </is>
      </c>
      <c r="K615" s="2" t="inlineStr">
        <is>
          <t>Abierto simplificado</t>
        </is>
      </c>
      <c r="L615" s="6" t="n">
        <v>5</v>
      </c>
      <c r="M615" s="2" t="n"/>
      <c r="N615" s="7" t="n">
        <v>0</v>
      </c>
      <c r="O615" s="4" t="n"/>
      <c r="P615" s="2" t="inlineStr">
        <is>
          <t>45233142; 45233140</t>
        </is>
      </c>
      <c r="Q615" s="8" t="inlineStr">
        <is>
          <t>Ver</t>
        </is>
      </c>
      <c r="R615" s="8" t="inlineStr">
        <is>
          <t>PCAP</t>
        </is>
      </c>
      <c r="S615" s="9" t="n">
        <v>46310</v>
      </c>
      <c r="T615" s="3" t="n">
        <v>46315.57943287037</v>
      </c>
      <c r="U615" s="2" t="n"/>
    </row>
    <row r="616">
      <c r="A616" s="2" t="inlineStr">
        <is>
          <t>Resuelta</t>
        </is>
      </c>
      <c r="B616" s="3" t="n">
        <v>45712.99930555555</v>
      </c>
      <c r="C616" s="5" t="n">
        <v>500000</v>
      </c>
      <c r="D616" s="5" t="n">
        <v>500000</v>
      </c>
      <c r="E616" s="2" t="inlineStr">
        <is>
          <t>Andalucía</t>
        </is>
      </c>
      <c r="F616" s="2" t="inlineStr">
        <is>
          <t>Sevilla</t>
        </is>
      </c>
      <c r="G616" s="2" t="n"/>
      <c r="H616" s="2" t="inlineStr">
        <is>
          <t>Junta de Gobierno del Ayuntamiento de Dos Hermanas</t>
        </is>
      </c>
      <c r="I616" s="2" t="inlineStr">
        <is>
          <t>“Casa de la Música”. Línea estratégica de Inversiones en Desarrollo Urbano del Programa Municipal “Más Sevilla” -Plan Provincial “Más Sevilla"</t>
        </is>
      </c>
      <c r="J616" s="2" t="inlineStr">
        <is>
          <t>07/2025/CON</t>
        </is>
      </c>
      <c r="K616" s="2" t="inlineStr">
        <is>
          <t>Abierto simplificado</t>
        </is>
      </c>
      <c r="L616" s="6" t="n">
        <v>9</v>
      </c>
      <c r="M616" s="2" t="inlineStr">
        <is>
          <t>C7-1; C4-2</t>
        </is>
      </c>
      <c r="N616" s="7" t="n">
        <v>0</v>
      </c>
      <c r="O616" s="4" t="n"/>
      <c r="P616" s="2" t="inlineStr">
        <is>
          <t>45262520; 45323000</t>
        </is>
      </c>
      <c r="Q616" s="8" t="inlineStr">
        <is>
          <t>Ver</t>
        </is>
      </c>
      <c r="R616" s="8" t="inlineStr">
        <is>
          <t>PCAP</t>
        </is>
      </c>
      <c r="S616" s="9" t="n">
        <v>46317</v>
      </c>
      <c r="T616" s="3" t="n">
        <v>46315.57894675926</v>
      </c>
      <c r="U616" s="2" t="n"/>
    </row>
    <row r="617">
      <c r="A617" s="2" t="inlineStr">
        <is>
          <t>Resuelta</t>
        </is>
      </c>
      <c r="B617" s="3" t="n">
        <v>46314.99930555555</v>
      </c>
      <c r="C617" s="5" t="n">
        <v>112854.41</v>
      </c>
      <c r="D617" s="5" t="n">
        <v>112854.41</v>
      </c>
      <c r="E617" s="2" t="inlineStr">
        <is>
          <t>Comunitat Valenciana</t>
        </is>
      </c>
      <c r="F617" s="2" t="inlineStr">
        <is>
          <t>Alicante</t>
        </is>
      </c>
      <c r="G617" s="2" t="inlineStr">
        <is>
          <t>Confrides</t>
        </is>
      </c>
      <c r="H617" s="2" t="inlineStr">
        <is>
          <t>Alcaldia del Ayuntamiento de Confrides</t>
        </is>
      </c>
      <c r="I617" s="2" t="inlineStr">
        <is>
          <t>Obras de adecuación y renovación de la Plaza de l'Anoguer en el Núcleo Histórico Tradicional de Confrides (Zona Norte)</t>
        </is>
      </c>
      <c r="J617" s="2" t="inlineStr">
        <is>
          <t>458/2026</t>
        </is>
      </c>
      <c r="K617" s="2" t="inlineStr">
        <is>
          <t>Abierto</t>
        </is>
      </c>
      <c r="L617" s="6" t="n">
        <v>4</v>
      </c>
      <c r="M617" s="2" t="n"/>
      <c r="N617" s="7" t="n">
        <v>0.4</v>
      </c>
      <c r="O617" s="4" t="n"/>
      <c r="P617" s="2" t="inlineStr">
        <is>
          <t>45000000</t>
        </is>
      </c>
      <c r="Q617" s="8" t="inlineStr">
        <is>
          <t>Ver</t>
        </is>
      </c>
      <c r="R617" s="8" t="inlineStr">
        <is>
          <t>PCAP</t>
        </is>
      </c>
      <c r="S617" s="9" t="n">
        <v>46317</v>
      </c>
      <c r="T617" s="3" t="n">
        <v>46315.57744212963</v>
      </c>
      <c r="U617" s="2" t="n"/>
    </row>
    <row r="618">
      <c r="A618" s="2" t="inlineStr">
        <is>
          <t>En plazo</t>
        </is>
      </c>
      <c r="B618" s="3" t="n">
        <v>46321.625</v>
      </c>
      <c r="C618" s="5" t="n">
        <v>182644.63</v>
      </c>
      <c r="D618" s="5" t="n">
        <v>219173.56</v>
      </c>
      <c r="E618" s="2" t="inlineStr">
        <is>
          <t>Andalucía</t>
        </is>
      </c>
      <c r="F618" s="2" t="inlineStr">
        <is>
          <t>Málaga</t>
        </is>
      </c>
      <c r="G618" s="2" t="inlineStr">
        <is>
          <t>La Cala del Moral, término municipal de Rincón de la Victoria</t>
        </is>
      </c>
      <c r="H618" s="2" t="inlineStr">
        <is>
          <t>Alcaldía del Ayuntamiento de Rincón de la Victoria</t>
        </is>
      </c>
      <c r="I618" s="2" t="inlineStr">
        <is>
          <t>Renovación del césped artificial y mejoras en el campo de fútbol de La Cala del Moral</t>
        </is>
      </c>
      <c r="J618" s="2" t="inlineStr">
        <is>
          <t>Contratación 54/26</t>
        </is>
      </c>
      <c r="K618" s="2" t="inlineStr">
        <is>
          <t>Abierto simplificado</t>
        </is>
      </c>
      <c r="L618" s="6" t="n">
        <v>1.5</v>
      </c>
      <c r="M618" s="2" t="n"/>
      <c r="N618" s="7" t="n">
        <v>0.25</v>
      </c>
      <c r="O618" s="4" t="n"/>
      <c r="P618" s="2" t="inlineStr">
        <is>
          <t>45000000; 45212290; 45212200</t>
        </is>
      </c>
      <c r="Q618" s="8" t="inlineStr">
        <is>
          <t>Ver</t>
        </is>
      </c>
      <c r="R618" s="8" t="inlineStr">
        <is>
          <t>PCAP</t>
        </is>
      </c>
      <c r="S618" s="9" t="n">
        <v>46317</v>
      </c>
      <c r="T618" s="3" t="n">
        <v>46315.57599537037</v>
      </c>
      <c r="U618" s="2" t="n"/>
    </row>
    <row r="619">
      <c r="A619" s="2" t="inlineStr">
        <is>
          <t>Resuelta</t>
        </is>
      </c>
      <c r="B619" s="3" t="n">
        <v>46267.58333333334</v>
      </c>
      <c r="C619" s="5" t="n">
        <v>314168.05</v>
      </c>
      <c r="D619" s="5" t="n">
        <v>314168.05</v>
      </c>
      <c r="E619" s="2" t="inlineStr">
        <is>
          <t>Comunitat Valenciana</t>
        </is>
      </c>
      <c r="F619" s="2" t="inlineStr">
        <is>
          <t>Valencia</t>
        </is>
      </c>
      <c r="G619" s="2" t="inlineStr">
        <is>
          <t>Xirivella</t>
        </is>
      </c>
      <c r="H619" s="2" t="inlineStr">
        <is>
          <t>Gerencia de Aigües de l'Horta S.A.</t>
        </is>
      </c>
      <c r="I619" s="2" t="inlineStr">
        <is>
          <t>Renovación de red hidráulica en Doctor Marañón, Xirivella (Fase I)</t>
        </is>
      </c>
      <c r="J619" s="2" t="inlineStr">
        <is>
          <t>Xir_A25004</t>
        </is>
      </c>
      <c r="K619" s="2" t="inlineStr">
        <is>
          <t>Abierto</t>
        </is>
      </c>
      <c r="L619" s="6" t="n">
        <v>4</v>
      </c>
      <c r="M619" s="2" t="n"/>
      <c r="N619" s="7" t="n">
        <v>0.24</v>
      </c>
      <c r="O619" s="4" t="n"/>
      <c r="P619" s="2" t="inlineStr">
        <is>
          <t>45231300</t>
        </is>
      </c>
      <c r="Q619" s="8" t="inlineStr">
        <is>
          <t>Ver</t>
        </is>
      </c>
      <c r="R619" s="8" t="inlineStr">
        <is>
          <t>PCAP</t>
        </is>
      </c>
      <c r="S619" s="9" t="n">
        <v>46310</v>
      </c>
      <c r="T619" s="3" t="n">
        <v>46315.57585648148</v>
      </c>
      <c r="U619" s="2" t="inlineStr">
        <is>
          <t>2026-10-22: estado ADJ → RES</t>
        </is>
      </c>
    </row>
    <row r="620">
      <c r="A620" s="2" t="inlineStr">
        <is>
          <t>En plazo</t>
        </is>
      </c>
      <c r="B620" s="3" t="n">
        <v>46336.625</v>
      </c>
      <c r="C620" s="5" t="n">
        <v>57738.03</v>
      </c>
      <c r="D620" s="5" t="n">
        <v>57738.03</v>
      </c>
      <c r="E620" s="2" t="inlineStr">
        <is>
          <t>Comunitat Valenciana</t>
        </is>
      </c>
      <c r="F620" s="2" t="inlineStr">
        <is>
          <t>Valencia</t>
        </is>
      </c>
      <c r="G620" s="2" t="n"/>
      <c r="H620" s="2" t="inlineStr">
        <is>
          <t>Alcaldía del Ayuntamiento de Losa del Obispo</t>
        </is>
      </c>
      <c r="I620" s="2" t="inlineStr">
        <is>
          <t>Depósito de agua potable</t>
        </is>
      </c>
      <c r="J620" s="2" t="inlineStr">
        <is>
          <t>3060979K</t>
        </is>
      </c>
      <c r="K620" s="2" t="inlineStr">
        <is>
          <t>Abierto simplificado</t>
        </is>
      </c>
      <c r="L620" s="6" t="n"/>
      <c r="M620" s="2" t="n"/>
      <c r="N620" s="7" t="n">
        <v>0</v>
      </c>
      <c r="O620" s="4" t="n"/>
      <c r="P620" s="2" t="inlineStr">
        <is>
          <t>45000000</t>
        </is>
      </c>
      <c r="Q620" s="8" t="inlineStr">
        <is>
          <t>Ver</t>
        </is>
      </c>
      <c r="R620" s="8" t="inlineStr">
        <is>
          <t>PCAP</t>
        </is>
      </c>
      <c r="S620" s="9" t="n">
        <v>46317</v>
      </c>
      <c r="T620" s="3" t="n">
        <v>46315.5753587963</v>
      </c>
      <c r="U620" s="2" t="n"/>
    </row>
    <row r="621">
      <c r="A621" s="2" t="inlineStr">
        <is>
          <t>Adjudicada</t>
        </is>
      </c>
      <c r="B621" s="3" t="n">
        <v>46279.99930555555</v>
      </c>
      <c r="C621" s="5" t="n">
        <v>309917.35</v>
      </c>
      <c r="D621" s="5" t="n">
        <v>309917.35</v>
      </c>
      <c r="E621" s="2" t="inlineStr">
        <is>
          <t>Andalucía</t>
        </is>
      </c>
      <c r="F621" s="2" t="inlineStr">
        <is>
          <t>Málaga</t>
        </is>
      </c>
      <c r="G621" s="2" t="n"/>
      <c r="H621" s="2" t="inlineStr">
        <is>
          <t>Concejalía de Hacienda del Ayuntamiento de Benalmádena</t>
        </is>
      </c>
      <c r="I621" s="2" t="inlineStr">
        <is>
          <t>Contrato de obras para la restauración y conservación de Torre Bermeja en Benalmádena</t>
        </is>
      </c>
      <c r="J621" s="2" t="inlineStr">
        <is>
          <t>2026/34606Y</t>
        </is>
      </c>
      <c r="K621" s="2" t="inlineStr">
        <is>
          <t>Abierto simplificado</t>
        </is>
      </c>
      <c r="L621" s="6" t="n">
        <v>8</v>
      </c>
      <c r="M621" s="2" t="n"/>
      <c r="N621" s="7" t="n">
        <v>0</v>
      </c>
      <c r="O621" s="4" t="n"/>
      <c r="P621" s="2" t="inlineStr">
        <is>
          <t>45454100; 45212350</t>
        </is>
      </c>
      <c r="Q621" s="8" t="inlineStr">
        <is>
          <t>Ver</t>
        </is>
      </c>
      <c r="R621" s="8" t="inlineStr">
        <is>
          <t>PCAP</t>
        </is>
      </c>
      <c r="S621" s="9" t="n">
        <v>46310</v>
      </c>
      <c r="T621" s="3" t="n">
        <v>46315.57284722223</v>
      </c>
      <c r="U621" s="2" t="inlineStr">
        <is>
          <t>2026-10-22: estado EV → ADJ</t>
        </is>
      </c>
    </row>
    <row r="622">
      <c r="A622" s="2" t="inlineStr">
        <is>
          <t>En plazo</t>
        </is>
      </c>
      <c r="B622" s="3" t="n">
        <v>46321.99930555555</v>
      </c>
      <c r="C622" s="5" t="n">
        <v>193141.55</v>
      </c>
      <c r="D622" s="5" t="n">
        <v>193141.55</v>
      </c>
      <c r="E622" s="2" t="inlineStr">
        <is>
          <t>Comunitat Valenciana</t>
        </is>
      </c>
      <c r="F622" s="2" t="inlineStr">
        <is>
          <t>Alicante</t>
        </is>
      </c>
      <c r="G622" s="2" t="n"/>
      <c r="H622" s="2" t="inlineStr">
        <is>
          <t>Junta de Gobierno del Ayuntamiento de Elda</t>
        </is>
      </c>
      <c r="I622" s="2" t="inlineStr">
        <is>
          <t>Obras de ampliación de la dotación en el Cementerio Municipal Virgen de los Dolores, mediante la construcción de un módulo (Fase A) de 96 nichos.</t>
        </is>
      </c>
      <c r="J622" s="2" t="inlineStr">
        <is>
          <t>2026/14058</t>
        </is>
      </c>
      <c r="K622" s="2" t="inlineStr">
        <is>
          <t>Abierto simplificado</t>
        </is>
      </c>
      <c r="L622" s="6" t="n">
        <v>2</v>
      </c>
      <c r="M622" s="2" t="n"/>
      <c r="N622" s="7" t="n">
        <v>0</v>
      </c>
      <c r="O622" s="4" t="n"/>
      <c r="P622" s="2" t="inlineStr">
        <is>
          <t>45000000; 45215400</t>
        </is>
      </c>
      <c r="Q622" s="8" t="inlineStr">
        <is>
          <t>Ver</t>
        </is>
      </c>
      <c r="R622" s="8" t="inlineStr">
        <is>
          <t>PCAP</t>
        </is>
      </c>
      <c r="S622" s="9" t="n">
        <v>46317</v>
      </c>
      <c r="T622" s="3" t="n">
        <v>46315.57174768519</v>
      </c>
      <c r="U622" s="2" t="n"/>
    </row>
    <row r="623">
      <c r="A623" s="2" t="inlineStr">
        <is>
          <t>Plazo vencido</t>
        </is>
      </c>
      <c r="B623" s="3" t="n">
        <v>46316.99930555555</v>
      </c>
      <c r="C623" s="5" t="n">
        <v>1556552.43</v>
      </c>
      <c r="D623" s="5" t="n">
        <v>1556552.43</v>
      </c>
      <c r="E623" s="2" t="inlineStr">
        <is>
          <t>Andalucía</t>
        </is>
      </c>
      <c r="F623" s="2" t="inlineStr">
        <is>
          <t>Sevilla</t>
        </is>
      </c>
      <c r="G623" s="2" t="inlineStr">
        <is>
          <t>Brenes (Sevilla)</t>
        </is>
      </c>
      <c r="H623" s="2" t="inlineStr">
        <is>
          <t>Pleno del Ayuntamiento de Brenes</t>
        </is>
      </c>
      <c r="I623" s="2" t="inlineStr">
        <is>
          <t>Obras contempladas en el proyecto de Teatro Municipal (Adecuación de salón de usos múltiples a teatro)</t>
        </is>
      </c>
      <c r="J623" s="2" t="inlineStr">
        <is>
          <t>3206/2026</t>
        </is>
      </c>
      <c r="K623" s="2" t="inlineStr">
        <is>
          <t>Abierto simplificado</t>
        </is>
      </c>
      <c r="L623" s="6" t="n">
        <v>24</v>
      </c>
      <c r="M623" s="2" t="n"/>
      <c r="N623" s="7" t="n">
        <v>0</v>
      </c>
      <c r="O623" s="4" t="n"/>
      <c r="P623" s="2" t="inlineStr">
        <is>
          <t>45212322; 45454000; 45212300</t>
        </is>
      </c>
      <c r="Q623" s="8" t="inlineStr">
        <is>
          <t>Ver</t>
        </is>
      </c>
      <c r="R623" s="8" t="inlineStr">
        <is>
          <t>PCAP</t>
        </is>
      </c>
      <c r="S623" s="9" t="n">
        <v>46310</v>
      </c>
      <c r="T623" s="3" t="n">
        <v>46315.57060185185</v>
      </c>
      <c r="U623" s="2" t="n"/>
    </row>
    <row r="624">
      <c r="A624" s="2" t="inlineStr">
        <is>
          <t>Resuelta</t>
        </is>
      </c>
      <c r="B624" s="3" t="n">
        <v>46274.75</v>
      </c>
      <c r="C624" s="5" t="n">
        <v>1498653.83</v>
      </c>
      <c r="D624" s="5" t="n">
        <v>1648519.21</v>
      </c>
      <c r="E624" s="2" t="inlineStr">
        <is>
          <t>Andalucía</t>
        </is>
      </c>
      <c r="F624" s="2" t="inlineStr">
        <is>
          <t>Cádiz</t>
        </is>
      </c>
      <c r="G624" s="2" t="inlineStr">
        <is>
          <t>Cádiz</t>
        </is>
      </c>
      <c r="H624" s="2" t="inlineStr">
        <is>
          <t>Consejo de Administración de Promoción y Gestión de Viviendas de Cádiz, S.A</t>
        </is>
      </c>
      <c r="I624" s="2" t="inlineStr">
        <is>
          <t>Contratación conjunta de elaboración de Proyecto y ejecución de obras de 3 viviendas protegidas en calle San Juan Bautista de la Salle, nº 2, y ejecución de obras de 5 viviendas protegidas en calle San Juan Bautista de la Salle, nº 17, ambas en Cádiz, con destino a alquiler social. Se ha solicitado financiación de la Unión Europea (Next Generation EU), con fondos procedentes del PRTR.</t>
        </is>
      </c>
      <c r="J624" s="2" t="inlineStr">
        <is>
          <t>741/2026</t>
        </is>
      </c>
      <c r="K624" s="2" t="inlineStr">
        <is>
          <t>Abierto simplificado</t>
        </is>
      </c>
      <c r="L624" s="6" t="n">
        <v>20</v>
      </c>
      <c r="M624" s="2" t="inlineStr">
        <is>
          <t>C*-3</t>
        </is>
      </c>
      <c r="N624" s="7" t="n"/>
      <c r="O624" s="4" t="n">
        <v>2</v>
      </c>
      <c r="P624" s="2" t="inlineStr">
        <is>
          <t>45210000; 71200000</t>
        </is>
      </c>
      <c r="Q624" s="8" t="inlineStr">
        <is>
          <t>Ver</t>
        </is>
      </c>
      <c r="R624" s="8" t="inlineStr">
        <is>
          <t>PCAP</t>
        </is>
      </c>
      <c r="S624" s="9" t="n">
        <v>46317</v>
      </c>
      <c r="T624" s="3" t="n">
        <v>46315.57002314815</v>
      </c>
      <c r="U624" s="2" t="n"/>
    </row>
    <row r="625">
      <c r="A625" s="2" t="inlineStr">
        <is>
          <t>Pendiente de adjudicación</t>
        </is>
      </c>
      <c r="B625" s="3" t="n">
        <v>46225.99930555555</v>
      </c>
      <c r="C625" s="5" t="n">
        <v>8980388.869999999</v>
      </c>
      <c r="D625" s="5" t="n">
        <v>10776466.64</v>
      </c>
      <c r="E625" s="2" t="inlineStr">
        <is>
          <t>Andalucía</t>
        </is>
      </c>
      <c r="F625" s="2" t="inlineStr">
        <is>
          <t>Cádiz</t>
        </is>
      </c>
      <c r="G625" s="2" t="n"/>
      <c r="H625" s="2" t="inlineStr">
        <is>
          <t>Presidencia del Consorcio de Aguas de la Zona Gaditana</t>
        </is>
      </c>
      <c r="I625" s="2" t="inlineStr">
        <is>
          <t>Obras del Proyecto del "Desvío de la Arteria II a salida de la ETAP Montañés, P.P.K.K. 0+000 al 3+500, T.M. Puerto Real"</t>
        </is>
      </c>
      <c r="J625" s="2" t="inlineStr">
        <is>
          <t>015-2025</t>
        </is>
      </c>
      <c r="K625" s="2" t="inlineStr">
        <is>
          <t>Abierto</t>
        </is>
      </c>
      <c r="L625" s="6" t="n">
        <v>24</v>
      </c>
      <c r="M625" s="2" t="inlineStr">
        <is>
          <t>E6-6</t>
        </is>
      </c>
      <c r="N625" s="7" t="n">
        <v>0.4</v>
      </c>
      <c r="O625" s="4" t="n"/>
      <c r="P625" s="2" t="inlineStr">
        <is>
          <t>45231100; 45232150</t>
        </is>
      </c>
      <c r="Q625" s="8" t="inlineStr">
        <is>
          <t>Ver</t>
        </is>
      </c>
      <c r="R625" s="8" t="inlineStr">
        <is>
          <t>PCAP</t>
        </is>
      </c>
      <c r="S625" s="9" t="n">
        <v>46314</v>
      </c>
      <c r="T625" s="3" t="n">
        <v>46315.56887731481</v>
      </c>
      <c r="U625" s="2" t="n"/>
    </row>
    <row r="626">
      <c r="A626" s="2" t="inlineStr">
        <is>
          <t>Resuelta</t>
        </is>
      </c>
      <c r="B626" s="3" t="n">
        <v>46272.99930555555</v>
      </c>
      <c r="C626" s="5" t="n">
        <v>413220.79</v>
      </c>
      <c r="D626" s="5" t="n">
        <v>537187.03</v>
      </c>
      <c r="E626" s="2" t="inlineStr">
        <is>
          <t>Comunitat Valenciana</t>
        </is>
      </c>
      <c r="F626" s="2" t="inlineStr">
        <is>
          <t>Alicante</t>
        </is>
      </c>
      <c r="G626" s="2" t="inlineStr">
        <is>
          <t>Alicante</t>
        </is>
      </c>
      <c r="H626" s="2" t="inlineStr">
        <is>
          <t>Departamento de Salud Alicante. Dirección Económica-Gerencia</t>
        </is>
      </c>
      <c r="I626" s="2" t="inlineStr">
        <is>
          <t>Obra de implantación de sala de preparación y manipulación de medicamentos en el Hospital General Universitario Dr. Balmis de Alicante. FASE I Sala de Peligrosos</t>
        </is>
      </c>
      <c r="J626" s="2" t="inlineStr">
        <is>
          <t>PAS 372/2026</t>
        </is>
      </c>
      <c r="K626" s="2" t="inlineStr">
        <is>
          <t>Abierto simplificado</t>
        </is>
      </c>
      <c r="L626" s="6" t="n">
        <v>5</v>
      </c>
      <c r="M626" s="2" t="inlineStr">
        <is>
          <t>C4-3; C1-3; C8-3; C6-3</t>
        </is>
      </c>
      <c r="N626" s="7" t="n">
        <v>0.25</v>
      </c>
      <c r="O626" s="4" t="n"/>
      <c r="P626" s="2" t="inlineStr">
        <is>
          <t>45215140; 45453100; 45300000</t>
        </is>
      </c>
      <c r="Q626" s="8" t="inlineStr">
        <is>
          <t>Ver</t>
        </is>
      </c>
      <c r="R626" s="8" t="inlineStr">
        <is>
          <t>PCAP</t>
        </is>
      </c>
      <c r="S626" s="9" t="n">
        <v>46317</v>
      </c>
      <c r="T626" s="3" t="n">
        <v>46315.56365740741</v>
      </c>
      <c r="U626" s="2" t="n"/>
    </row>
    <row r="627">
      <c r="A627" s="2" t="inlineStr">
        <is>
          <t>Pendiente de adjudicación</t>
        </is>
      </c>
      <c r="B627" s="3" t="n">
        <v>46300.99930555555</v>
      </c>
      <c r="C627" s="5" t="n">
        <v>89964</v>
      </c>
      <c r="D627" s="5" t="n">
        <v>89964</v>
      </c>
      <c r="E627" s="2" t="inlineStr">
        <is>
          <t>Andalucía</t>
        </is>
      </c>
      <c r="F627" s="2" t="inlineStr">
        <is>
          <t>Jaén</t>
        </is>
      </c>
      <c r="G627" s="2" t="inlineStr">
        <is>
          <t>Vilches</t>
        </is>
      </c>
      <c r="H627" s="2" t="inlineStr">
        <is>
          <t>Alcaldía del Ayuntamiento de Vilches</t>
        </is>
      </c>
      <c r="I627" s="2" t="inlineStr">
        <is>
          <t>Reparación, restitución, reconstrucción, mejora y ampliación de la Calle San Gregorio de Vilches</t>
        </is>
      </c>
      <c r="J627" s="2" t="inlineStr">
        <is>
          <t>2552/2026</t>
        </is>
      </c>
      <c r="K627" s="2" t="inlineStr">
        <is>
          <t>Abierto simplificado</t>
        </is>
      </c>
      <c r="L627" s="6" t="n">
        <v>2</v>
      </c>
      <c r="M627" s="2" t="n"/>
      <c r="N627" s="7" t="n">
        <v>0</v>
      </c>
      <c r="O627" s="4" t="n"/>
      <c r="P627" s="2" t="inlineStr">
        <is>
          <t>45233252; 45233140</t>
        </is>
      </c>
      <c r="Q627" s="8" t="inlineStr">
        <is>
          <t>Ver</t>
        </is>
      </c>
      <c r="R627" s="8" t="inlineStr">
        <is>
          <t>PCAP</t>
        </is>
      </c>
      <c r="S627" s="9" t="n">
        <v>46317</v>
      </c>
      <c r="T627" s="3" t="n">
        <v>46315.56208333333</v>
      </c>
      <c r="U627" s="2" t="n"/>
    </row>
    <row r="628">
      <c r="A628" s="2" t="inlineStr">
        <is>
          <t>Pendiente de adjudicación</t>
        </is>
      </c>
      <c r="B628" s="3" t="n">
        <v>46133.54166666666</v>
      </c>
      <c r="C628" s="5" t="n">
        <v>4358871.85</v>
      </c>
      <c r="D628" s="5" t="n">
        <v>4358871.85</v>
      </c>
      <c r="E628" s="2" t="inlineStr">
        <is>
          <t>Andalucía</t>
        </is>
      </c>
      <c r="F628" s="2" t="n"/>
      <c r="G628" s="2" t="n"/>
      <c r="H628" s="2" t="inlineStr">
        <is>
          <t>ADIF - Presidencia</t>
        </is>
      </c>
      <c r="I628" s="2" t="inlineStr">
        <is>
          <t>Ejecución de obra de los proyectos de reposición y ejecución de cerramientos en la Subdirección de Operaciones de RC Sur. Gerencia de Área de Infraestructura Sur. Jam de Córdoba. Línea 430 (P.K. 3/047 al 4/034, 77/000 al 79/116, 79/183 al 79/878, 89/200 al 89/900, 89/400 al 89/900, 90/055 al 93/100, 92/300 al 186/100) y Línea 436 (P.K. 8/490 al 8/775, 8/590 al 28/020).</t>
        </is>
      </c>
      <c r="J628" s="2" t="inlineStr">
        <is>
          <t>3.26/27507.0020</t>
        </is>
      </c>
      <c r="K628" s="2" t="inlineStr">
        <is>
          <t>Abierto</t>
        </is>
      </c>
      <c r="L628" s="6" t="n">
        <v>20</v>
      </c>
      <c r="M628" s="2" t="inlineStr">
        <is>
          <t>D5-5</t>
        </is>
      </c>
      <c r="N628" s="7" t="n">
        <v>0.49</v>
      </c>
      <c r="O628" s="4" t="n"/>
      <c r="P628" s="2" t="inlineStr">
        <is>
          <t>45234100</t>
        </is>
      </c>
      <c r="Q628" s="8" t="inlineStr">
        <is>
          <t>Ver</t>
        </is>
      </c>
      <c r="R628" s="8" t="inlineStr">
        <is>
          <t>PCAP</t>
        </is>
      </c>
      <c r="S628" s="9" t="n">
        <v>46317</v>
      </c>
      <c r="T628" s="3" t="n">
        <v>46315.5552662037</v>
      </c>
      <c r="U628" s="2" t="n"/>
    </row>
    <row r="629">
      <c r="A629" s="2" t="inlineStr">
        <is>
          <t>En plazo</t>
        </is>
      </c>
      <c r="B629" s="3" t="n">
        <v>46330.79166666666</v>
      </c>
      <c r="C629" s="5" t="n">
        <v>20000</v>
      </c>
      <c r="D629" s="5" t="n">
        <v>100000</v>
      </c>
      <c r="E629" s="2" t="inlineStr">
        <is>
          <t>Andalucía</t>
        </is>
      </c>
      <c r="F629" s="2" t="inlineStr">
        <is>
          <t>Málaga</t>
        </is>
      </c>
      <c r="G629" s="2" t="n"/>
      <c r="H629" s="2" t="inlineStr">
        <is>
          <t>Junta de Gobierno Local del Ayuntamiento de Sayalonga</t>
        </is>
      </c>
      <c r="I629" s="2" t="inlineStr">
        <is>
          <t>Trabajos con excavadoras mecánicas en Corumbela</t>
        </is>
      </c>
      <c r="J629" s="2" t="inlineStr">
        <is>
          <t>484/2026</t>
        </is>
      </c>
      <c r="K629" s="2" t="inlineStr">
        <is>
          <t>Abierto simplificado</t>
        </is>
      </c>
      <c r="L629" s="6" t="n">
        <v>12</v>
      </c>
      <c r="M629" s="2" t="n"/>
      <c r="N629" s="7" t="n">
        <v>0</v>
      </c>
      <c r="O629" s="4" t="n"/>
      <c r="P629" s="2" t="inlineStr">
        <is>
          <t>45112000</t>
        </is>
      </c>
      <c r="Q629" s="8" t="inlineStr">
        <is>
          <t>Ver</t>
        </is>
      </c>
      <c r="R629" s="8" t="inlineStr">
        <is>
          <t>PCAP</t>
        </is>
      </c>
      <c r="S629" s="9" t="n">
        <v>46317</v>
      </c>
      <c r="T629" s="3" t="n">
        <v>46315.55430555555</v>
      </c>
      <c r="U629" s="2" t="n"/>
    </row>
    <row r="630">
      <c r="A630" s="2" t="inlineStr">
        <is>
          <t>En plazo</t>
        </is>
      </c>
      <c r="B630" s="3" t="n">
        <v>46329.99930555555</v>
      </c>
      <c r="C630" s="5" t="n">
        <v>272433.83</v>
      </c>
      <c r="D630" s="5" t="n">
        <v>272433.83</v>
      </c>
      <c r="E630" s="2" t="inlineStr">
        <is>
          <t>Comunitat Valenciana</t>
        </is>
      </c>
      <c r="F630" s="2" t="inlineStr">
        <is>
          <t>Valencia</t>
        </is>
      </c>
      <c r="G630" s="2" t="n"/>
      <c r="H630" s="2" t="inlineStr">
        <is>
          <t>Junta de Gobierno del Ayuntamiento de Alzira</t>
        </is>
      </c>
      <c r="I630" s="2" t="inlineStr">
        <is>
          <t>Obras de regeneración urbana y creación de espacio público en plaza Luis Suñer de Alzira</t>
        </is>
      </c>
      <c r="J630" s="2" t="inlineStr">
        <is>
          <t>OC-6413/26</t>
        </is>
      </c>
      <c r="K630" s="2" t="inlineStr">
        <is>
          <t>Abierto simplificado</t>
        </is>
      </c>
      <c r="L630" s="6" t="n">
        <v>5</v>
      </c>
      <c r="M630" s="2" t="n"/>
      <c r="N630" s="7" t="n">
        <v>0</v>
      </c>
      <c r="O630" s="4" t="n"/>
      <c r="P630" s="2" t="inlineStr">
        <is>
          <t>45233262</t>
        </is>
      </c>
      <c r="Q630" s="8" t="inlineStr">
        <is>
          <t>Ver</t>
        </is>
      </c>
      <c r="R630" s="8" t="inlineStr">
        <is>
          <t>PCAP</t>
        </is>
      </c>
      <c r="S630" s="9" t="n">
        <v>46310</v>
      </c>
      <c r="T630" s="3" t="n">
        <v>46315.55385416667</v>
      </c>
      <c r="U630" s="2" t="n"/>
    </row>
    <row r="631">
      <c r="A631" s="2" t="inlineStr">
        <is>
          <t>Pendiente de adjudicación</t>
        </is>
      </c>
      <c r="B631" s="3" t="n">
        <v>46268.77083333334</v>
      </c>
      <c r="C631" s="5" t="n">
        <v>70951.78999999999</v>
      </c>
      <c r="D631" s="5" t="n">
        <v>70951.78999999999</v>
      </c>
      <c r="E631" s="2" t="inlineStr">
        <is>
          <t>Andalucía</t>
        </is>
      </c>
      <c r="F631" s="2" t="inlineStr">
        <is>
          <t>Málaga</t>
        </is>
      </c>
      <c r="G631" s="2" t="inlineStr">
        <is>
          <t>Periana (Málaga)</t>
        </is>
      </c>
      <c r="H631" s="2" t="inlineStr">
        <is>
          <t>Alcaldía del Ayuntamiento de Periana</t>
        </is>
      </c>
      <c r="I631" s="2" t="inlineStr">
        <is>
          <t>Construcción de vestuarios, aseos y almacén en pistas C.E.I.P. San Isidro de Periana (Málaga).</t>
        </is>
      </c>
      <c r="J631" s="2" t="inlineStr">
        <is>
          <t>2026/815</t>
        </is>
      </c>
      <c r="K631" s="2" t="inlineStr">
        <is>
          <t>Abierto simplificado</t>
        </is>
      </c>
      <c r="L631" s="6" t="n">
        <v>5</v>
      </c>
      <c r="M631" s="2" t="n"/>
      <c r="N631" s="7" t="n">
        <v>0</v>
      </c>
      <c r="O631" s="4" t="n"/>
      <c r="P631" s="2" t="inlineStr">
        <is>
          <t>45000000</t>
        </is>
      </c>
      <c r="Q631" s="8" t="inlineStr">
        <is>
          <t>Ver</t>
        </is>
      </c>
      <c r="R631" s="8" t="inlineStr">
        <is>
          <t>PCAP</t>
        </is>
      </c>
      <c r="S631" s="9" t="n">
        <v>46310</v>
      </c>
      <c r="T631" s="3" t="n">
        <v>46315.55166666667</v>
      </c>
      <c r="U631" s="2" t="n"/>
    </row>
    <row r="632">
      <c r="A632" s="2" t="inlineStr">
        <is>
          <t>En plazo</t>
        </is>
      </c>
      <c r="B632" s="3" t="n">
        <v>46324.79166666666</v>
      </c>
      <c r="C632" s="5" t="n">
        <v>45208.1</v>
      </c>
      <c r="D632" s="5" t="n">
        <v>45208.1</v>
      </c>
      <c r="E632" s="2" t="inlineStr">
        <is>
          <t>Comunitat Valenciana</t>
        </is>
      </c>
      <c r="F632" s="2" t="inlineStr">
        <is>
          <t>Valencia</t>
        </is>
      </c>
      <c r="G632" s="2" t="inlineStr">
        <is>
          <t>Algemesí</t>
        </is>
      </c>
      <c r="H632" s="2" t="inlineStr">
        <is>
          <t>Junta de Gobierno del Ayuntamiento de Algemesí</t>
        </is>
      </c>
      <c r="I632" s="2" t="inlineStr">
        <is>
          <t>Proyecto de demolición de dos viviendas entre medianeras situados en la calle San Benedicto n.º 2 y plaza San Miquel n.º 1 de Algemesí,</t>
        </is>
      </c>
      <c r="J632" s="2" t="inlineStr">
        <is>
          <t>11682/2026</t>
        </is>
      </c>
      <c r="K632" s="2" t="inlineStr">
        <is>
          <t>Abierto simplificado</t>
        </is>
      </c>
      <c r="L632" s="6" t="n">
        <v>2</v>
      </c>
      <c r="M632" s="2" t="n"/>
      <c r="N632" s="7" t="n">
        <v>0</v>
      </c>
      <c r="O632" s="4" t="n"/>
      <c r="P632" s="2" t="inlineStr">
        <is>
          <t>45111100</t>
        </is>
      </c>
      <c r="Q632" s="8" t="inlineStr">
        <is>
          <t>Ver</t>
        </is>
      </c>
      <c r="R632" s="8" t="inlineStr">
        <is>
          <t>PCAP</t>
        </is>
      </c>
      <c r="S632" s="9" t="n">
        <v>46311</v>
      </c>
      <c r="T632" s="3" t="n">
        <v>46315.5511574074</v>
      </c>
      <c r="U632" s="2" t="n"/>
    </row>
    <row r="633">
      <c r="A633" s="2" t="inlineStr">
        <is>
          <t>En plazo</t>
        </is>
      </c>
      <c r="B633" s="3" t="n">
        <v>46336.5</v>
      </c>
      <c r="C633" s="5" t="n">
        <v>826446.28</v>
      </c>
      <c r="D633" s="5" t="n">
        <v>826446.28</v>
      </c>
      <c r="E633" s="2" t="inlineStr">
        <is>
          <t>Comunitat Valenciana</t>
        </is>
      </c>
      <c r="F633" s="2" t="inlineStr">
        <is>
          <t>Alicante</t>
        </is>
      </c>
      <c r="G633" s="2" t="inlineStr">
        <is>
          <t>Almoradí</t>
        </is>
      </c>
      <c r="H633" s="2" t="inlineStr">
        <is>
          <t>Junta de Gobierno del Ayuntamiento de Almoradí</t>
        </is>
      </c>
      <c r="I633" s="2" t="inlineStr">
        <is>
          <t>Renovación de firme, señalización vial y calmado del tráfico en el término municipal de Almoradí.</t>
        </is>
      </c>
      <c r="J633" s="2" t="inlineStr">
        <is>
          <t>6799/2026</t>
        </is>
      </c>
      <c r="K633" s="2" t="inlineStr">
        <is>
          <t>Abierto simplificado</t>
        </is>
      </c>
      <c r="L633" s="6" t="n">
        <v>3</v>
      </c>
      <c r="M633" s="2" t="n"/>
      <c r="N633" s="7" t="n">
        <v>0</v>
      </c>
      <c r="O633" s="4" t="n"/>
      <c r="P633" s="2" t="inlineStr">
        <is>
          <t>45233222</t>
        </is>
      </c>
      <c r="Q633" s="8" t="inlineStr">
        <is>
          <t>Ver</t>
        </is>
      </c>
      <c r="R633" s="8" t="inlineStr">
        <is>
          <t>PCAP</t>
        </is>
      </c>
      <c r="S633" s="9" t="n">
        <v>46317</v>
      </c>
      <c r="T633" s="3" t="n">
        <v>46315.54905092593</v>
      </c>
      <c r="U633" s="2" t="n"/>
    </row>
    <row r="634">
      <c r="A634" s="2" t="inlineStr">
        <is>
          <t>Adjudicada</t>
        </is>
      </c>
      <c r="B634" s="3" t="n">
        <v>46272.58333333334</v>
      </c>
      <c r="C634" s="5" t="n">
        <v>499288.2</v>
      </c>
      <c r="D634" s="5" t="n">
        <v>499288.2</v>
      </c>
      <c r="E634" s="2" t="inlineStr">
        <is>
          <t>Comunitat Valenciana</t>
        </is>
      </c>
      <c r="F634" s="2" t="inlineStr">
        <is>
          <t>Valencia</t>
        </is>
      </c>
      <c r="G634" s="2" t="n"/>
      <c r="H634" s="2" t="inlineStr">
        <is>
          <t>Dirección General de la Ciudad de las Artes y de las Ciencias S.A.</t>
        </is>
      </c>
      <c r="I634" s="2" t="inlineStr">
        <is>
          <t>Contratación de la ejecución de las obras de modificación de acceso de mercancías este del Oceanogràfic</t>
        </is>
      </c>
      <c r="J634" s="2" t="inlineStr">
        <is>
          <t>0067-26</t>
        </is>
      </c>
      <c r="K634" s="2" t="inlineStr">
        <is>
          <t>Abierto simplificado</t>
        </is>
      </c>
      <c r="L634" s="6" t="n">
        <v>5</v>
      </c>
      <c r="M634" s="2" t="n"/>
      <c r="N634" s="7" t="n">
        <v>0</v>
      </c>
      <c r="O634" s="4" t="n"/>
      <c r="P634" s="2" t="inlineStr">
        <is>
          <t>45000000; 45233252; 45443000; 45233294</t>
        </is>
      </c>
      <c r="Q634" s="8" t="inlineStr">
        <is>
          <t>Ver</t>
        </is>
      </c>
      <c r="R634" s="8" t="inlineStr">
        <is>
          <t>PCAP</t>
        </is>
      </c>
      <c r="S634" s="9" t="n">
        <v>46314</v>
      </c>
      <c r="T634" s="3" t="n">
        <v>46315.54604166667</v>
      </c>
      <c r="U634" s="2" t="inlineStr">
        <is>
          <t>2026-10-22: estado EV → ADJ</t>
        </is>
      </c>
    </row>
    <row r="635">
      <c r="A635" s="2" t="inlineStr">
        <is>
          <t>Pendiente de adjudicación</t>
        </is>
      </c>
      <c r="B635" s="3" t="n">
        <v>46281.99930555555</v>
      </c>
      <c r="C635" s="5" t="n">
        <v>741421.08</v>
      </c>
      <c r="D635" s="5" t="n">
        <v>741421.08</v>
      </c>
      <c r="E635" s="2" t="inlineStr">
        <is>
          <t>Andalucía</t>
        </is>
      </c>
      <c r="F635" s="2" t="inlineStr">
        <is>
          <t>Jaén</t>
        </is>
      </c>
      <c r="G635" s="2" t="inlineStr">
        <is>
          <t>Jaén</t>
        </is>
      </c>
      <c r="H635" s="2" t="inlineStr">
        <is>
          <t>Presidencia de la Diputación Provincial de Jaén</t>
        </is>
      </c>
      <c r="I635" s="2" t="inlineStr">
        <is>
          <t>Contrato de obra JA-9102 Chiclana de Segura a Castellar, mejora de firme</t>
        </is>
      </c>
      <c r="J635" s="2" t="inlineStr">
        <is>
          <t>CO-2026/000605</t>
        </is>
      </c>
      <c r="K635" s="2" t="inlineStr">
        <is>
          <t>Abierto</t>
        </is>
      </c>
      <c r="L635" s="6" t="n">
        <v>4</v>
      </c>
      <c r="M635" s="2" t="inlineStr">
        <is>
          <t>G4-3</t>
        </is>
      </c>
      <c r="N635" s="7" t="n">
        <v>0.4</v>
      </c>
      <c r="O635" s="4" t="n"/>
      <c r="P635" s="2" t="inlineStr">
        <is>
          <t>45233142</t>
        </is>
      </c>
      <c r="Q635" s="8" t="inlineStr">
        <is>
          <t>Ver</t>
        </is>
      </c>
      <c r="R635" s="8" t="inlineStr">
        <is>
          <t>PCAP</t>
        </is>
      </c>
      <c r="S635" s="9" t="n">
        <v>46317</v>
      </c>
      <c r="T635" s="3" t="n">
        <v>46315.54373842593</v>
      </c>
      <c r="U635" s="2" t="n"/>
    </row>
    <row r="636">
      <c r="A636" s="2" t="inlineStr">
        <is>
          <t>Resuelta</t>
        </is>
      </c>
      <c r="B636" s="3" t="n">
        <v>46274.75</v>
      </c>
      <c r="C636" s="5" t="n">
        <v>867805.88</v>
      </c>
      <c r="D636" s="5" t="n">
        <v>954586.47</v>
      </c>
      <c r="E636" s="2" t="inlineStr">
        <is>
          <t>Andalucía</t>
        </is>
      </c>
      <c r="F636" s="2" t="inlineStr">
        <is>
          <t>Cádiz</t>
        </is>
      </c>
      <c r="G636" s="2" t="inlineStr">
        <is>
          <t>Cádiz</t>
        </is>
      </c>
      <c r="H636" s="2" t="inlineStr">
        <is>
          <t>Consejo de Administración de Promoción y Gestión de Viviendas de Cádiz, S.A</t>
        </is>
      </c>
      <c r="I636" s="2" t="inlineStr">
        <is>
          <t>Contratación conjunta de la elaboración de Proyecto de Ejecución y la ejecución de las obras de construcción de 8 viviendas protegidas con destino a alquiler social, en edificio energéticamente eficiente, en calle Merced, nº 28, en Cádiz. Solicitada financiación de la Unión Europea (Next Generation EU), con fondos procedentes del Plan de Recuperación, Transformación y Resiliencia.</t>
        </is>
      </c>
      <c r="J636" s="2" t="inlineStr">
        <is>
          <t>689/2026</t>
        </is>
      </c>
      <c r="K636" s="2" t="inlineStr">
        <is>
          <t>Abierto simplificado</t>
        </is>
      </c>
      <c r="L636" s="6" t="n">
        <v>20</v>
      </c>
      <c r="M636" s="2" t="inlineStr">
        <is>
          <t>C*-3</t>
        </is>
      </c>
      <c r="N636" s="7" t="n">
        <v>0.45</v>
      </c>
      <c r="O636" s="4" t="n"/>
      <c r="P636" s="2" t="inlineStr">
        <is>
          <t>45210000; 71200000</t>
        </is>
      </c>
      <c r="Q636" s="8" t="inlineStr">
        <is>
          <t>Ver</t>
        </is>
      </c>
      <c r="R636" s="8" t="inlineStr">
        <is>
          <t>PCAP</t>
        </is>
      </c>
      <c r="S636" s="9" t="n">
        <v>46317</v>
      </c>
      <c r="T636" s="3" t="n">
        <v>46315.5415162037</v>
      </c>
      <c r="U636" s="2" t="n"/>
    </row>
    <row r="637">
      <c r="A637" s="2" t="inlineStr">
        <is>
          <t>Pendiente de adjudicación</t>
        </is>
      </c>
      <c r="B637" s="3" t="n">
        <v>46303.99930555555</v>
      </c>
      <c r="C637" s="5" t="n">
        <v>128977.67</v>
      </c>
      <c r="D637" s="5" t="n">
        <v>128977.67</v>
      </c>
      <c r="E637" s="2" t="inlineStr">
        <is>
          <t>Andalucía</t>
        </is>
      </c>
      <c r="F637" s="2" t="inlineStr">
        <is>
          <t>Jaén</t>
        </is>
      </c>
      <c r="G637" s="2" t="inlineStr">
        <is>
          <t>JAEN</t>
        </is>
      </c>
      <c r="H637" s="2" t="inlineStr">
        <is>
          <t>Presidencia de la Diputación Provincial de Jaén</t>
        </is>
      </c>
      <c r="I637" s="2" t="inlineStr">
        <is>
          <t>Construcción de aparcamiento de vehículos en complejo deportivo de Villanueva de la Reina.</t>
        </is>
      </c>
      <c r="J637" s="2" t="inlineStr">
        <is>
          <t>CO-2025/000121</t>
        </is>
      </c>
      <c r="K637" s="2" t="inlineStr">
        <is>
          <t>Abierto simplificado</t>
        </is>
      </c>
      <c r="L637" s="6" t="n">
        <v>5</v>
      </c>
      <c r="M637" s="2" t="n"/>
      <c r="N637" s="7" t="n">
        <v>0</v>
      </c>
      <c r="O637" s="4" t="n"/>
      <c r="P637" s="2" t="inlineStr">
        <is>
          <t>45223300</t>
        </is>
      </c>
      <c r="Q637" s="8" t="inlineStr">
        <is>
          <t>Ver</t>
        </is>
      </c>
      <c r="R637" s="8" t="inlineStr">
        <is>
          <t>PCAP</t>
        </is>
      </c>
      <c r="S637" s="9" t="n">
        <v>46317</v>
      </c>
      <c r="T637" s="3" t="n">
        <v>46315.54075231482</v>
      </c>
      <c r="U637" s="2" t="n"/>
    </row>
    <row r="638">
      <c r="A638" s="2" t="inlineStr">
        <is>
          <t>Pendiente de adjudicación</t>
        </is>
      </c>
      <c r="B638" s="3" t="n">
        <v>46269.99930555555</v>
      </c>
      <c r="C638" s="5" t="n">
        <v>6892117.77</v>
      </c>
      <c r="D638" s="5" t="n">
        <v>6892117.77</v>
      </c>
      <c r="E638" s="2" t="inlineStr">
        <is>
          <t>Comunitat Valenciana</t>
        </is>
      </c>
      <c r="F638" s="2" t="inlineStr">
        <is>
          <t>Castellón</t>
        </is>
      </c>
      <c r="G638" s="2" t="n"/>
      <c r="H638" s="2" t="inlineStr">
        <is>
          <t>Pleno del Ayuntamiento de Vinarós</t>
        </is>
      </c>
      <c r="I638" s="2" t="inlineStr">
        <is>
          <t>Contratación de las Obras del Nuevo Auditorio-Teatro municipal- Lote 1 y contratación de las Obras correspondientes al montaje del Equipamiento-Maquinaria Escénica del Auditorio municipal así como su Suministro- Lote 2- Fase I, subvencionado en el Marco del Desarrollo Urbano Sostenible, con cargo al Fondo Europeo de Desarrollo Regional en el periodo de programación 2021-2027.</t>
        </is>
      </c>
      <c r="J638" s="2" t="inlineStr">
        <is>
          <t>3023/2026</t>
        </is>
      </c>
      <c r="K638" s="2" t="inlineStr">
        <is>
          <t>Abierto</t>
        </is>
      </c>
      <c r="L638" s="6" t="n">
        <v>18</v>
      </c>
      <c r="M638" s="2" t="n"/>
      <c r="N638" s="7" t="n">
        <v>0.25</v>
      </c>
      <c r="O638" s="4" t="n">
        <v>2</v>
      </c>
      <c r="P638" s="2" t="inlineStr">
        <is>
          <t>45212321; 45350000; 45310000</t>
        </is>
      </c>
      <c r="Q638" s="8" t="inlineStr">
        <is>
          <t>Ver</t>
        </is>
      </c>
      <c r="R638" s="8" t="inlineStr">
        <is>
          <t>PCAP</t>
        </is>
      </c>
      <c r="S638" s="9" t="n">
        <v>46317</v>
      </c>
      <c r="T638" s="3" t="n">
        <v>46315.54059027778</v>
      </c>
      <c r="U638" s="2" t="n"/>
    </row>
    <row r="639">
      <c r="A639" s="2" t="inlineStr">
        <is>
          <t>Resuelta</t>
        </is>
      </c>
      <c r="B639" s="3" t="n">
        <v>46238.41666666666</v>
      </c>
      <c r="C639" s="5" t="n">
        <v>42750</v>
      </c>
      <c r="D639" s="5" t="n">
        <v>42750</v>
      </c>
      <c r="E639" s="2" t="inlineStr">
        <is>
          <t>Andalucía</t>
        </is>
      </c>
      <c r="F639" s="2" t="inlineStr">
        <is>
          <t>Almería</t>
        </is>
      </c>
      <c r="G639" s="2" t="n"/>
      <c r="H639" s="2" t="inlineStr">
        <is>
          <t>Empresa de Transformación Agraria S.A.,S.M.E., M.P., (TRAGSA)</t>
        </is>
      </c>
      <c r="I639" s="2" t="inlineStr">
        <is>
          <t>Contrato derivado del "AM para el alquiler de maquinaria de obra civil, agrícola y forestal, y camiones para obras de construcción y demolición, dotada de operario, para las actuaciones del ámbito territorial de la gerencia provincial de Tragsa en Almería, incluidas las obras con fondos en el marco del PRTR, a adjudicar por procedimiento abierto, sujeto a regulación armonizada. TSA0078977"</t>
        </is>
      </c>
      <c r="J639" s="2" t="inlineStr">
        <is>
          <t>TSA0078977-315</t>
        </is>
      </c>
      <c r="K639" s="2" t="inlineStr">
        <is>
          <t>Abierto</t>
        </is>
      </c>
      <c r="L639" s="6" t="n">
        <v>6</v>
      </c>
      <c r="M639" s="2" t="n"/>
      <c r="N639" s="7" t="n">
        <v>0</v>
      </c>
      <c r="O639" s="4" t="n"/>
      <c r="P639" s="2" t="inlineStr">
        <is>
          <t>45500000</t>
        </is>
      </c>
      <c r="Q639" s="8" t="inlineStr">
        <is>
          <t>Ver</t>
        </is>
      </c>
      <c r="R639" s="8" t="inlineStr">
        <is>
          <t>PCAP</t>
        </is>
      </c>
      <c r="S639" s="9" t="n">
        <v>46317</v>
      </c>
      <c r="T639" s="3" t="n">
        <v>46315.54059027778</v>
      </c>
      <c r="U639" s="2" t="n"/>
    </row>
    <row r="640">
      <c r="A640" s="2" t="inlineStr">
        <is>
          <t>Pendiente de adjudicación</t>
        </is>
      </c>
      <c r="B640" s="3" t="n">
        <v>46251.99930555555</v>
      </c>
      <c r="C640" s="5" t="n">
        <v>1368900.87</v>
      </c>
      <c r="D640" s="5" t="n">
        <v>1368900.87</v>
      </c>
      <c r="E640" s="2" t="inlineStr">
        <is>
          <t>Andalucía</t>
        </is>
      </c>
      <c r="F640" s="2" t="inlineStr">
        <is>
          <t>Jaén</t>
        </is>
      </c>
      <c r="G640" s="2" t="inlineStr">
        <is>
          <t>Jaén</t>
        </is>
      </c>
      <c r="H640" s="2" t="inlineStr">
        <is>
          <t>Presidencia de la Diputación Provincial de Jaén</t>
        </is>
      </c>
      <c r="I640" s="2" t="inlineStr">
        <is>
          <t>Obras de mejora puntual de trazado y refuerzo de firme en la JA-7105 acceso a Chilluévar, P.K. 2+200 al 4+550.</t>
        </is>
      </c>
      <c r="J640" s="2" t="inlineStr">
        <is>
          <t>CO-2024/002194-1</t>
        </is>
      </c>
      <c r="K640" s="2" t="inlineStr">
        <is>
          <t>Abierto</t>
        </is>
      </c>
      <c r="L640" s="6" t="n">
        <v>12</v>
      </c>
      <c r="M640" s="2" t="inlineStr">
        <is>
          <t>G4-4</t>
        </is>
      </c>
      <c r="N640" s="7" t="n">
        <v>0.4</v>
      </c>
      <c r="O640" s="4" t="n"/>
      <c r="P640" s="2" t="inlineStr">
        <is>
          <t>45233140</t>
        </is>
      </c>
      <c r="Q640" s="8" t="inlineStr">
        <is>
          <t>Ver</t>
        </is>
      </c>
      <c r="R640" s="8" t="inlineStr">
        <is>
          <t>PCAP</t>
        </is>
      </c>
      <c r="S640" s="9" t="n">
        <v>46317</v>
      </c>
      <c r="T640" s="3" t="n">
        <v>46315.53888888889</v>
      </c>
      <c r="U640" s="2" t="n"/>
    </row>
    <row r="641">
      <c r="A641" s="2" t="inlineStr">
        <is>
          <t>Resuelta</t>
        </is>
      </c>
      <c r="B641" s="3" t="n">
        <v>45572.625</v>
      </c>
      <c r="C641" s="5" t="n">
        <v>3932701.03</v>
      </c>
      <c r="D641" s="5" t="n">
        <v>4719241.24</v>
      </c>
      <c r="E641" s="2" t="inlineStr">
        <is>
          <t>Andalucía</t>
        </is>
      </c>
      <c r="F641" s="2" t="inlineStr">
        <is>
          <t>Málaga</t>
        </is>
      </c>
      <c r="G641" s="2" t="n"/>
      <c r="H641" s="2" t="inlineStr">
        <is>
          <t>Alcaldía del Ayuntamiento de Rincón de la Victoria</t>
        </is>
      </c>
      <c r="I641" s="2" t="inlineStr">
        <is>
          <t>Construcción de Parque periurbano, primera fase</t>
        </is>
      </c>
      <c r="J641" s="2" t="inlineStr">
        <is>
          <t>Contratación 48/24</t>
        </is>
      </c>
      <c r="K641" s="2" t="inlineStr">
        <is>
          <t>Abierto</t>
        </is>
      </c>
      <c r="L641" s="6" t="n">
        <v>12</v>
      </c>
      <c r="M641" s="2" t="inlineStr">
        <is>
          <t>E7-5</t>
        </is>
      </c>
      <c r="N641" s="7" t="n">
        <v>0.4</v>
      </c>
      <c r="O641" s="4" t="n"/>
      <c r="P641" s="2" t="inlineStr">
        <is>
          <t>45000000</t>
        </is>
      </c>
      <c r="Q641" s="8" t="inlineStr">
        <is>
          <t>Ver</t>
        </is>
      </c>
      <c r="R641" s="8" t="inlineStr">
        <is>
          <t>PCAP</t>
        </is>
      </c>
      <c r="S641" s="9" t="n">
        <v>46317</v>
      </c>
      <c r="T641" s="3" t="n">
        <v>46315.53813657408</v>
      </c>
      <c r="U641" s="2" t="n"/>
    </row>
    <row r="642">
      <c r="A642" s="2" t="inlineStr">
        <is>
          <t>En plazo</t>
        </is>
      </c>
      <c r="B642" s="3" t="n">
        <v>46342.99930555555</v>
      </c>
      <c r="C642" s="5" t="n">
        <v>99173.53999999999</v>
      </c>
      <c r="D642" s="5" t="n">
        <v>99173.53999999999</v>
      </c>
      <c r="E642" s="2" t="inlineStr">
        <is>
          <t>Andalucía</t>
        </is>
      </c>
      <c r="F642" s="2" t="inlineStr">
        <is>
          <t>Granada</t>
        </is>
      </c>
      <c r="G642" s="2" t="n"/>
      <c r="H642" s="2" t="inlineStr">
        <is>
          <t>Alcaldia del Ayuntamiento de Motril</t>
        </is>
      </c>
      <c r="I642" s="2" t="inlineStr">
        <is>
          <t>Pista Multideportiva de fútbol playa, vóley playa y tenis playa en Playa Granada entre los hitos DZMT 12 y 15 y pista de petanca en Playa Poniente entre los hitos DZMT 17 y 18, en Motril</t>
        </is>
      </c>
      <c r="J642" s="2" t="inlineStr">
        <is>
          <t>OBR/ABR/CONTRATACION2026000049</t>
        </is>
      </c>
      <c r="K642" s="2" t="inlineStr">
        <is>
          <t>Abierto</t>
        </is>
      </c>
      <c r="L642" s="6" t="n">
        <v>2</v>
      </c>
      <c r="M642" s="2" t="inlineStr">
        <is>
          <t>A2-1</t>
        </is>
      </c>
      <c r="N642" s="7" t="n">
        <v>0</v>
      </c>
      <c r="O642" s="4" t="n"/>
      <c r="P642" s="2" t="inlineStr">
        <is>
          <t>45000000</t>
        </is>
      </c>
      <c r="Q642" s="8" t="inlineStr">
        <is>
          <t>Ver</t>
        </is>
      </c>
      <c r="R642" s="8" t="inlineStr">
        <is>
          <t>PCAP</t>
        </is>
      </c>
      <c r="S642" s="9" t="n">
        <v>46317</v>
      </c>
      <c r="T642" s="3" t="n">
        <v>46315.5369212963</v>
      </c>
      <c r="U642" s="2" t="n"/>
    </row>
    <row r="643">
      <c r="A643" s="2" t="inlineStr">
        <is>
          <t>Adjudicada</t>
        </is>
      </c>
      <c r="B643" s="3" t="n">
        <v>46289.99930555555</v>
      </c>
      <c r="C643" s="5" t="n">
        <v>83007.19</v>
      </c>
      <c r="D643" s="5" t="n">
        <v>83007.19</v>
      </c>
      <c r="E643" s="2" t="inlineStr">
        <is>
          <t>Comunitat Valenciana</t>
        </is>
      </c>
      <c r="F643" s="2" t="inlineStr">
        <is>
          <t>Castellón</t>
        </is>
      </c>
      <c r="G643" s="2" t="inlineStr">
        <is>
          <t>CABANES (RIBERA)</t>
        </is>
      </c>
      <c r="H643" s="2" t="inlineStr">
        <is>
          <t>Alcaldía del Ayuntamiento de Cabanes</t>
        </is>
      </c>
      <c r="I643" s="2" t="inlineStr">
        <is>
          <t>Climatización del centro socio-cultural de La Ribera de Cabanes</t>
        </is>
      </c>
      <c r="J643" s="2" t="inlineStr">
        <is>
          <t>2466/2026</t>
        </is>
      </c>
      <c r="K643" s="2" t="inlineStr">
        <is>
          <t>Abierto simplificado</t>
        </is>
      </c>
      <c r="L643" s="6" t="n">
        <v>2</v>
      </c>
      <c r="M643" s="2" t="n"/>
      <c r="N643" s="7" t="n">
        <v>0</v>
      </c>
      <c r="O643" s="4" t="n"/>
      <c r="P643" s="2" t="inlineStr">
        <is>
          <t>45331000</t>
        </is>
      </c>
      <c r="Q643" s="8" t="inlineStr">
        <is>
          <t>Ver</t>
        </is>
      </c>
      <c r="R643" s="8" t="inlineStr">
        <is>
          <t>PCAP</t>
        </is>
      </c>
      <c r="S643" s="9" t="n">
        <v>46310</v>
      </c>
      <c r="T643" s="3" t="n">
        <v>46315.53623842593</v>
      </c>
      <c r="U643" s="2" t="inlineStr">
        <is>
          <t>2026-10-22: estado EV → ADJ</t>
        </is>
      </c>
    </row>
    <row r="644">
      <c r="A644" s="2" t="inlineStr">
        <is>
          <t>Resuelta</t>
        </is>
      </c>
      <c r="B644" s="3" t="n">
        <v>46254.54166666666</v>
      </c>
      <c r="C644" s="5" t="n">
        <v>54360.19</v>
      </c>
      <c r="D644" s="5" t="n">
        <v>54360.19</v>
      </c>
      <c r="E644" s="2" t="inlineStr">
        <is>
          <t>Comunitat Valenciana</t>
        </is>
      </c>
      <c r="F644" s="2" t="inlineStr">
        <is>
          <t>Alicante</t>
        </is>
      </c>
      <c r="G644" s="2" t="inlineStr">
        <is>
          <t>Onil</t>
        </is>
      </c>
      <c r="H644" s="2" t="inlineStr">
        <is>
          <t>Junta de Gobierno Local del Ayuntamiento de Onil</t>
        </is>
      </c>
      <c r="I644" s="2" t="inlineStr">
        <is>
          <t>Contratación de obras contenidas en el proyecto de adecuación de estancias en CEIP Sant Jaume para ampliación de comedor escolar</t>
        </is>
      </c>
      <c r="J644" s="2" t="inlineStr">
        <is>
          <t>3125/2026</t>
        </is>
      </c>
      <c r="K644" s="2" t="inlineStr">
        <is>
          <t>Abierto simplificado</t>
        </is>
      </c>
      <c r="L644" s="6" t="n">
        <v>2</v>
      </c>
      <c r="M644" s="2" t="n"/>
      <c r="N644" s="7" t="n">
        <v>0</v>
      </c>
      <c r="O644" s="4" t="n"/>
      <c r="P644" s="2" t="inlineStr">
        <is>
          <t>45214200</t>
        </is>
      </c>
      <c r="Q644" s="8" t="inlineStr">
        <is>
          <t>Ver</t>
        </is>
      </c>
      <c r="R644" s="8" t="inlineStr">
        <is>
          <t>PCAP</t>
        </is>
      </c>
      <c r="S644" s="9" t="n">
        <v>46317</v>
      </c>
      <c r="T644" s="3" t="n">
        <v>46315.53537037037</v>
      </c>
      <c r="U644" s="2" t="n"/>
    </row>
    <row r="645">
      <c r="A645" s="2" t="inlineStr">
        <is>
          <t>Resuelta</t>
        </is>
      </c>
      <c r="B645" s="3" t="n">
        <v>46308.99930555555</v>
      </c>
      <c r="C645" s="5" t="n">
        <v>238768.97</v>
      </c>
      <c r="D645" s="5" t="n">
        <v>238768.97</v>
      </c>
      <c r="E645" s="2" t="inlineStr">
        <is>
          <t>Andalucía</t>
        </is>
      </c>
      <c r="F645" s="2" t="inlineStr">
        <is>
          <t>Sevilla</t>
        </is>
      </c>
      <c r="G645" s="2" t="n"/>
      <c r="H645" s="2" t="inlineStr">
        <is>
          <t>Alcaldía del Ayuntamiento de Espartinas</t>
        </is>
      </c>
      <c r="I645" s="2" t="inlineStr">
        <is>
          <t>Ejecución de las obras del Proyecto Constructivo de Rotondas y Mejoras de Rotondas del Viario Público, conforme a lo previsto en el Proyecto Técnico que establece las características de la actuación.</t>
        </is>
      </c>
      <c r="J645" s="2" t="inlineStr">
        <is>
          <t>2321/2026</t>
        </is>
      </c>
      <c r="K645" s="2" t="inlineStr">
        <is>
          <t>Abierto simplificado</t>
        </is>
      </c>
      <c r="L645" s="6" t="n">
        <v>1.3</v>
      </c>
      <c r="M645" s="2" t="n"/>
      <c r="N645" s="7" t="n">
        <v>0</v>
      </c>
      <c r="O645" s="4" t="n"/>
      <c r="P645" s="2" t="inlineStr">
        <is>
          <t>45233252; 45112710</t>
        </is>
      </c>
      <c r="Q645" s="8" t="inlineStr">
        <is>
          <t>Ver</t>
        </is>
      </c>
      <c r="R645" s="8" t="inlineStr">
        <is>
          <t>PCAP</t>
        </is>
      </c>
      <c r="S645" s="9" t="n">
        <v>46317</v>
      </c>
      <c r="T645" s="3" t="n">
        <v>46315.53153935185</v>
      </c>
      <c r="U645" s="2" t="n"/>
    </row>
    <row r="646">
      <c r="A646" s="2" t="inlineStr">
        <is>
          <t>Pendiente de adjudicación</t>
        </is>
      </c>
      <c r="B646" s="3" t="n">
        <v>46314.99930555555</v>
      </c>
      <c r="C646" s="5" t="n">
        <v>291065.31</v>
      </c>
      <c r="D646" s="5" t="n">
        <v>291065.31</v>
      </c>
      <c r="E646" s="2" t="inlineStr">
        <is>
          <t>Andalucía</t>
        </is>
      </c>
      <c r="F646" s="2" t="inlineStr">
        <is>
          <t>Córdoba</t>
        </is>
      </c>
      <c r="G646" s="2" t="inlineStr">
        <is>
          <t>Los Blázquez</t>
        </is>
      </c>
      <c r="H646" s="2" t="inlineStr">
        <is>
          <t>Diputado delegado de Infraestructuras, Sostenibilidad y Agricultura</t>
        </is>
      </c>
      <c r="I646" s="2" t="inlineStr">
        <is>
          <t>Contratación conjunta de la redacción de proyecto técnico constructivo y de ejecución de las obras para la Cubrición y mejora de la pista polideportiva municipal, en Los Blázquez (Córdoba), Obra incluida en los planes provinciales de obras y servicios 2024-2027 (bienio 2026-2027).</t>
        </is>
      </c>
      <c r="J646" s="2" t="inlineStr">
        <is>
          <t>649/26</t>
        </is>
      </c>
      <c r="K646" s="2" t="inlineStr">
        <is>
          <t>Abierto</t>
        </is>
      </c>
      <c r="L646" s="6" t="n">
        <v>6</v>
      </c>
      <c r="M646" s="2" t="n"/>
      <c r="N646" s="7" t="n">
        <v>0</v>
      </c>
      <c r="O646" s="4" t="n"/>
      <c r="P646" s="2" t="inlineStr">
        <is>
          <t>45261000; 45232130; 45310000; 71327000; 71245000; 45110000; 71242000</t>
        </is>
      </c>
      <c r="Q646" s="8" t="inlineStr">
        <is>
          <t>Ver</t>
        </is>
      </c>
      <c r="R646" s="8" t="inlineStr">
        <is>
          <t>PCAP</t>
        </is>
      </c>
      <c r="S646" s="9" t="n">
        <v>46317</v>
      </c>
      <c r="T646" s="3" t="n">
        <v>46315.52725694444</v>
      </c>
      <c r="U646" s="2" t="n"/>
    </row>
    <row r="647">
      <c r="A647" s="2" t="inlineStr">
        <is>
          <t>Resuelta</t>
        </is>
      </c>
      <c r="B647" s="3" t="n">
        <v>46289.99930555555</v>
      </c>
      <c r="C647" s="5" t="n">
        <v>3642602.34</v>
      </c>
      <c r="D647" s="5" t="n">
        <v>3642602.34</v>
      </c>
      <c r="E647" s="2" t="inlineStr">
        <is>
          <t>Andalucía</t>
        </is>
      </c>
      <c r="F647" s="2" t="inlineStr">
        <is>
          <t>Málaga</t>
        </is>
      </c>
      <c r="G647" s="2" t="inlineStr">
        <is>
          <t>Torrox</t>
        </is>
      </c>
      <c r="H647" s="2" t="inlineStr">
        <is>
          <t>Alcaldia del Ayuntamiento de Torrox</t>
        </is>
      </c>
      <c r="I647" s="2" t="inlineStr">
        <is>
          <t>realización de las obras de construcción de la II Fase del nuevo campo de fútbol de Torrox-Costa.</t>
        </is>
      </c>
      <c r="J647" s="2" t="inlineStr">
        <is>
          <t>5017/2026</t>
        </is>
      </c>
      <c r="K647" s="2" t="inlineStr">
        <is>
          <t>Abierto</t>
        </is>
      </c>
      <c r="L647" s="6" t="n">
        <v>12</v>
      </c>
      <c r="M647" s="2" t="n"/>
      <c r="N647" s="7" t="n">
        <v>0.333</v>
      </c>
      <c r="O647" s="4" t="n"/>
      <c r="P647" s="2" t="inlineStr">
        <is>
          <t>45212200</t>
        </is>
      </c>
      <c r="Q647" s="8" t="inlineStr">
        <is>
          <t>Ver</t>
        </is>
      </c>
      <c r="R647" s="8" t="inlineStr">
        <is>
          <t>PCAP</t>
        </is>
      </c>
      <c r="S647" s="9" t="n">
        <v>46317</v>
      </c>
      <c r="T647" s="3" t="n">
        <v>46315.52596064815</v>
      </c>
      <c r="U647" s="2" t="n"/>
    </row>
    <row r="648">
      <c r="A648" s="2" t="inlineStr">
        <is>
          <t>En plazo</t>
        </is>
      </c>
      <c r="B648" s="3" t="n">
        <v>46329.99930555555</v>
      </c>
      <c r="C648" s="5" t="n">
        <v>447072.03</v>
      </c>
      <c r="D648" s="5" t="n">
        <v>491779.23</v>
      </c>
      <c r="E648" s="2" t="inlineStr">
        <is>
          <t>Andalucía</t>
        </is>
      </c>
      <c r="F648" s="2" t="inlineStr">
        <is>
          <t>Sevilla</t>
        </is>
      </c>
      <c r="G648" s="2" t="n"/>
      <c r="H648" s="2" t="inlineStr">
        <is>
          <t>Gerencia de Sevilla Activa SAU</t>
        </is>
      </c>
      <c r="I648" s="2" t="inlineStr">
        <is>
          <t>Obras de mejoras funcionales de sendas peatonales y espacios anejos en el entorno del encauzamiento del río Guadaíra en el Cortijo de Cuarto</t>
        </is>
      </c>
      <c r="J648" s="2" t="inlineStr">
        <is>
          <t>A41420191-2026/000090-PaAS</t>
        </is>
      </c>
      <c r="K648" s="2" t="inlineStr">
        <is>
          <t>Abierto simplificado</t>
        </is>
      </c>
      <c r="L648" s="6" t="n">
        <v>4</v>
      </c>
      <c r="M648" s="2" t="n"/>
      <c r="N648" s="7" t="n">
        <v>0</v>
      </c>
      <c r="O648" s="4" t="n"/>
      <c r="P648" s="2" t="inlineStr">
        <is>
          <t>45233161</t>
        </is>
      </c>
      <c r="Q648" s="8" t="inlineStr">
        <is>
          <t>Ver</t>
        </is>
      </c>
      <c r="R648" s="8" t="inlineStr">
        <is>
          <t>PCAP</t>
        </is>
      </c>
      <c r="S648" s="9" t="n">
        <v>46310</v>
      </c>
      <c r="T648" s="3" t="n">
        <v>46315.52030092593</v>
      </c>
      <c r="U648" s="2" t="n"/>
    </row>
    <row r="649">
      <c r="A649" s="2" t="inlineStr">
        <is>
          <t>Resuelta</t>
        </is>
      </c>
      <c r="B649" s="3" t="n">
        <v>46254.625</v>
      </c>
      <c r="C649" s="5" t="n">
        <v>416397.66</v>
      </c>
      <c r="D649" s="5" t="n">
        <v>458037.43</v>
      </c>
      <c r="E649" s="2" t="inlineStr">
        <is>
          <t>Andalucía</t>
        </is>
      </c>
      <c r="F649" s="2" t="inlineStr">
        <is>
          <t>Granada</t>
        </is>
      </c>
      <c r="G649" s="2" t="n"/>
      <c r="H649" s="2" t="inlineStr">
        <is>
          <t>Junta de Gobierno Local del Ayuntamiento de Algarinejo</t>
        </is>
      </c>
      <c r="I649" s="2" t="inlineStr">
        <is>
          <t>Contratación de la ejecución de las obras incluidas en el proyecto Algarinejo: 100% luminarias led inteligentes que forma parte de la segunda convocatoria del programa de ayudas para proyectos singulares de renovación de las instalaciones de alumbrado exterior municipal, con cargo al fondo nacional de eficiencia energética; exp. fn-psamii-2025-000066</t>
        </is>
      </c>
      <c r="J649" s="2" t="inlineStr">
        <is>
          <t>GESTIONA 859/2026 RENOVACION LUMINARIAS</t>
        </is>
      </c>
      <c r="K649" s="2" t="inlineStr">
        <is>
          <t>Abierto simplificado</t>
        </is>
      </c>
      <c r="L649" s="6" t="n">
        <v>6</v>
      </c>
      <c r="M649" s="2" t="inlineStr">
        <is>
          <t>I*-3</t>
        </is>
      </c>
      <c r="N649" s="7" t="n">
        <v>0</v>
      </c>
      <c r="O649" s="4" t="n"/>
      <c r="P649" s="2" t="inlineStr">
        <is>
          <t>45316000; 45310000; 31527260; 34928530; 45300000</t>
        </is>
      </c>
      <c r="Q649" s="8" t="inlineStr">
        <is>
          <t>Ver</t>
        </is>
      </c>
      <c r="R649" s="8" t="inlineStr">
        <is>
          <t>PCAP</t>
        </is>
      </c>
      <c r="S649" s="9" t="n">
        <v>46317</v>
      </c>
      <c r="T649" s="3" t="n">
        <v>46315.51636574074</v>
      </c>
      <c r="U649" s="2" t="n"/>
    </row>
    <row r="650">
      <c r="A650" s="2" t="inlineStr">
        <is>
          <t>Pendiente de adjudicación</t>
        </is>
      </c>
      <c r="B650" s="3" t="n">
        <v>46274.99930555555</v>
      </c>
      <c r="C650" s="5" t="n">
        <v>152436.22</v>
      </c>
      <c r="D650" s="5" t="n">
        <v>182923.46</v>
      </c>
      <c r="E650" s="2" t="inlineStr">
        <is>
          <t>Andalucía</t>
        </is>
      </c>
      <c r="F650" s="2" t="inlineStr">
        <is>
          <t>Almería</t>
        </is>
      </c>
      <c r="G650" s="2" t="n"/>
      <c r="H650" s="2" t="inlineStr">
        <is>
          <t>Junta de Gobierno Local del Ayuntamiento de El Ejido</t>
        </is>
      </c>
      <c r="I650" s="2" t="inlineStr">
        <is>
          <t>Es objeto de la presente licitación por el procedimiento abierto simplificado, la contratación de la ejecución del proyecto de obras denominado Sustitución y adecuación de grupo electrógeno y cuadros eléctricos del edificio Ejidomar, conforme a las especificaciones y características expuestas en el presente pliego y en el proyecto técnico.</t>
        </is>
      </c>
      <c r="J650" s="2" t="inlineStr">
        <is>
          <t>2026 850</t>
        </is>
      </c>
      <c r="K650" s="2" t="inlineStr">
        <is>
          <t>Abierto simplificado</t>
        </is>
      </c>
      <c r="L650" s="6" t="n">
        <v>6</v>
      </c>
      <c r="M650" s="2" t="n"/>
      <c r="N650" s="7" t="n">
        <v>0.25</v>
      </c>
      <c r="O650" s="4" t="n"/>
      <c r="P650" s="2" t="inlineStr">
        <is>
          <t>45220000; 45310000; 45223000</t>
        </is>
      </c>
      <c r="Q650" s="8" t="inlineStr">
        <is>
          <t>Ver</t>
        </is>
      </c>
      <c r="R650" s="8" t="inlineStr">
        <is>
          <t>PCAP</t>
        </is>
      </c>
      <c r="S650" s="9" t="n">
        <v>46314</v>
      </c>
      <c r="T650" s="3" t="n">
        <v>46315.51428240741</v>
      </c>
      <c r="U650" s="2" t="n"/>
    </row>
    <row r="651">
      <c r="A651" s="2" t="inlineStr">
        <is>
          <t>Adjudicada</t>
        </is>
      </c>
      <c r="B651" s="3" t="n">
        <v>46259.99930555555</v>
      </c>
      <c r="C651" s="5" t="n">
        <v>142146.21</v>
      </c>
      <c r="D651" s="5" t="n">
        <v>142146.21</v>
      </c>
      <c r="E651" s="2" t="inlineStr">
        <is>
          <t>Comunitat Valenciana</t>
        </is>
      </c>
      <c r="F651" s="2" t="inlineStr">
        <is>
          <t>Castellón</t>
        </is>
      </c>
      <c r="G651" s="2" t="n"/>
      <c r="H651" s="2" t="inlineStr">
        <is>
          <t>Consejo de Administración del Aeropuerto de Castellón S.L.</t>
        </is>
      </c>
      <c r="I651" s="2" t="inlineStr">
        <is>
          <t>Contratación de la obra de adecuación de la parcela destinada a zona de prueba de motores-cohete en el Aeropuerto de Castellón S.L.</t>
        </is>
      </c>
      <c r="J651" s="2" t="inlineStr">
        <is>
          <t>CMAYOR/2026/AEROC/324</t>
        </is>
      </c>
      <c r="K651" s="2" t="inlineStr">
        <is>
          <t>Abierto simplificado</t>
        </is>
      </c>
      <c r="L651" s="6" t="n">
        <v>3</v>
      </c>
      <c r="M651" s="2" t="n"/>
      <c r="N651" s="7" t="n">
        <v>0</v>
      </c>
      <c r="O651" s="4" t="n"/>
      <c r="P651" s="2" t="inlineStr">
        <is>
          <t>45262300; 50000000</t>
        </is>
      </c>
      <c r="Q651" s="8" t="inlineStr">
        <is>
          <t>Ver</t>
        </is>
      </c>
      <c r="R651" s="8" t="inlineStr">
        <is>
          <t>PCAP</t>
        </is>
      </c>
      <c r="S651" s="9" t="n">
        <v>46317</v>
      </c>
      <c r="T651" s="3" t="n">
        <v>46315.51255787037</v>
      </c>
      <c r="U651" s="2" t="n"/>
    </row>
    <row r="652">
      <c r="A652" s="2" t="inlineStr">
        <is>
          <t>Pendiente de adjudicación</t>
        </is>
      </c>
      <c r="B652" s="3" t="n">
        <v>46314.99930555555</v>
      </c>
      <c r="C652" s="5" t="n">
        <v>11548</v>
      </c>
      <c r="D652" s="5" t="n">
        <v>11548</v>
      </c>
      <c r="E652" s="2" t="inlineStr">
        <is>
          <t>Comunitat Valenciana</t>
        </is>
      </c>
      <c r="F652" s="2" t="inlineStr">
        <is>
          <t>Alicante</t>
        </is>
      </c>
      <c r="G652" s="2" t="inlineStr">
        <is>
          <t>Pego</t>
        </is>
      </c>
      <c r="H652" s="2" t="inlineStr">
        <is>
          <t>Alcaldía del Ayuntamiento de Pego</t>
        </is>
      </c>
      <c r="I652" s="2" t="inlineStr">
        <is>
          <t>Contrato de obras para la mejora, modernización y dotación de infraestructuras y servicios en el Polígono Industrial Sector 2 de Pego.</t>
        </is>
      </c>
      <c r="J652" s="2" t="inlineStr">
        <is>
          <t>3040/2026</t>
        </is>
      </c>
      <c r="K652" s="2" t="inlineStr">
        <is>
          <t>Abierto simplificado</t>
        </is>
      </c>
      <c r="L652" s="6" t="n">
        <v>1</v>
      </c>
      <c r="M652" s="2" t="inlineStr">
        <is>
          <t>O6-2</t>
        </is>
      </c>
      <c r="N652" s="7" t="n">
        <v>0</v>
      </c>
      <c r="O652" s="4" t="n"/>
      <c r="P652" s="2" t="inlineStr">
        <is>
          <t>45000000; 34928200</t>
        </is>
      </c>
      <c r="Q652" s="8" t="inlineStr">
        <is>
          <t>Ver</t>
        </is>
      </c>
      <c r="R652" s="8" t="inlineStr">
        <is>
          <t>PCAP</t>
        </is>
      </c>
      <c r="S652" s="9" t="n">
        <v>46310</v>
      </c>
      <c r="T652" s="3" t="n">
        <v>46315.51061342593</v>
      </c>
      <c r="U652" s="2" t="inlineStr">
        <is>
          <t>2026-10-22: estado PUB → EV</t>
        </is>
      </c>
    </row>
    <row r="653">
      <c r="A653" s="2" t="inlineStr">
        <is>
          <t>Adjudicada</t>
        </is>
      </c>
      <c r="B653" s="3" t="n">
        <v>46164.99930555555</v>
      </c>
      <c r="C653" s="5" t="n">
        <v>72103.23</v>
      </c>
      <c r="D653" s="5" t="n">
        <v>72103.23</v>
      </c>
      <c r="E653" s="2" t="inlineStr">
        <is>
          <t>Comunitat Valenciana</t>
        </is>
      </c>
      <c r="F653" s="2" t="inlineStr">
        <is>
          <t>Alicante</t>
        </is>
      </c>
      <c r="G653" s="2" t="n"/>
      <c r="H653" s="2" t="inlineStr">
        <is>
          <t>Presidencia de la Diputación Provincial de Alicante</t>
        </is>
      </c>
      <c r="I653" s="2" t="inlineStr">
        <is>
          <t>Obras de almacén municipal, en el municipio de Quatretondeta (2024.PLA.218).</t>
        </is>
      </c>
      <c r="J653" s="2" t="inlineStr">
        <is>
          <t>O6SS-055/2026</t>
        </is>
      </c>
      <c r="K653" s="2" t="inlineStr">
        <is>
          <t>Abierto simplificado</t>
        </is>
      </c>
      <c r="L653" s="6" t="n">
        <v>7</v>
      </c>
      <c r="M653" s="2" t="n"/>
      <c r="N653" s="7" t="n">
        <v>0</v>
      </c>
      <c r="O653" s="4" t="n"/>
      <c r="P653" s="2" t="inlineStr">
        <is>
          <t>45200000</t>
        </is>
      </c>
      <c r="Q653" s="8" t="inlineStr">
        <is>
          <t>Ver</t>
        </is>
      </c>
      <c r="R653" s="8" t="inlineStr">
        <is>
          <t>PCAP</t>
        </is>
      </c>
      <c r="S653" s="9" t="n">
        <v>46317</v>
      </c>
      <c r="T653" s="3" t="n">
        <v>46315.50865740741</v>
      </c>
      <c r="U653" s="2" t="n"/>
    </row>
    <row r="654">
      <c r="A654" s="2" t="inlineStr">
        <is>
          <t>Resuelta</t>
        </is>
      </c>
      <c r="B654" s="3" t="n">
        <v>45516.99930555555</v>
      </c>
      <c r="C654" s="5" t="n">
        <v>217212.23</v>
      </c>
      <c r="D654" s="5" t="n">
        <v>217212.23</v>
      </c>
      <c r="E654" s="2" t="inlineStr">
        <is>
          <t>Comunitat Valenciana</t>
        </is>
      </c>
      <c r="F654" s="2" t="inlineStr">
        <is>
          <t>Alicante</t>
        </is>
      </c>
      <c r="G654" s="2" t="n"/>
      <c r="H654" s="2" t="inlineStr">
        <is>
          <t>Presidencia de la Diputación Provincial de Alicante</t>
        </is>
      </c>
      <c r="I654" s="2" t="inlineStr">
        <is>
          <t>Obras de instalación de un equipo de filtración para reducir el índice de turbidez en el agua procedente del pozo de La Solana en el Vall de Gallinera.</t>
        </is>
      </c>
      <c r="J654" s="2" t="inlineStr">
        <is>
          <t>O4S-142/2024</t>
        </is>
      </c>
      <c r="K654" s="2" t="inlineStr">
        <is>
          <t>Abierto simplificado</t>
        </is>
      </c>
      <c r="L654" s="6" t="n">
        <v>3</v>
      </c>
      <c r="M654" s="2" t="n"/>
      <c r="N654" s="7" t="n">
        <v>0.25</v>
      </c>
      <c r="O654" s="4" t="n"/>
      <c r="P654" s="2" t="inlineStr">
        <is>
          <t>45252126</t>
        </is>
      </c>
      <c r="Q654" s="8" t="inlineStr">
        <is>
          <t>Ver</t>
        </is>
      </c>
      <c r="R654" s="8" t="inlineStr">
        <is>
          <t>PCAP</t>
        </is>
      </c>
      <c r="S654" s="9" t="n">
        <v>46317</v>
      </c>
      <c r="T654" s="3" t="n">
        <v>46315.50733796296</v>
      </c>
      <c r="U654" s="2" t="n"/>
    </row>
    <row r="655">
      <c r="A655" s="2" t="inlineStr">
        <is>
          <t>En plazo</t>
        </is>
      </c>
      <c r="B655" s="3" t="n">
        <v>46336.41666666666</v>
      </c>
      <c r="C655" s="5" t="n">
        <v>99654.16</v>
      </c>
      <c r="D655" s="5" t="n">
        <v>99654.16</v>
      </c>
      <c r="E655" s="2" t="inlineStr">
        <is>
          <t>Andalucía</t>
        </is>
      </c>
      <c r="F655" s="2" t="inlineStr">
        <is>
          <t>Granada</t>
        </is>
      </c>
      <c r="G655" s="2" t="n"/>
      <c r="H655" s="2" t="inlineStr">
        <is>
          <t>Alcaldía del Ayuntamiento de Cullar Vega</t>
        </is>
      </c>
      <c r="I655" s="2" t="inlineStr">
        <is>
          <t>Pavimentación de las calles Peral y transversales sin salida y Serval de El Ventorrillo, y de las calles José María Pemán, Rosalía de Castro, Emilia Pardo Bazán y Clara Campoamor de Cúllar Vega (Proyecto PC2512)</t>
        </is>
      </c>
      <c r="J655" s="2" t="inlineStr">
        <is>
          <t>3246/2026</t>
        </is>
      </c>
      <c r="K655" s="2" t="inlineStr">
        <is>
          <t>Abierto simplificado</t>
        </is>
      </c>
      <c r="L655" s="6" t="n">
        <v>3</v>
      </c>
      <c r="M655" s="2" t="n"/>
      <c r="N655" s="7" t="n">
        <v>0</v>
      </c>
      <c r="O655" s="4" t="n"/>
      <c r="P655" s="2" t="inlineStr">
        <is>
          <t>45233252</t>
        </is>
      </c>
      <c r="Q655" s="8" t="inlineStr">
        <is>
          <t>Ver</t>
        </is>
      </c>
      <c r="R655" s="8" t="inlineStr">
        <is>
          <t>PCAP</t>
        </is>
      </c>
      <c r="S655" s="9" t="n">
        <v>46317</v>
      </c>
      <c r="T655" s="3" t="n">
        <v>46315.50701388889</v>
      </c>
      <c r="U655" s="2" t="n"/>
    </row>
    <row r="656">
      <c r="A656" s="2" t="inlineStr">
        <is>
          <t>Pendiente de adjudicación</t>
        </is>
      </c>
      <c r="B656" s="3" t="n">
        <v>46261.99930555555</v>
      </c>
      <c r="C656" s="5" t="n">
        <v>320457.44</v>
      </c>
      <c r="D656" s="5" t="n">
        <v>320457.44</v>
      </c>
      <c r="E656" s="2" t="inlineStr">
        <is>
          <t>Andalucía</t>
        </is>
      </c>
      <c r="F656" s="2" t="inlineStr">
        <is>
          <t>Huelva</t>
        </is>
      </c>
      <c r="G656" s="2" t="inlineStr">
        <is>
          <t>Aracena</t>
        </is>
      </c>
      <c r="H656" s="2" t="inlineStr">
        <is>
          <t>Junta de Gobierno Local del Ayuntamiento de Aracena</t>
        </is>
      </c>
      <c r="I656" s="2" t="inlineStr">
        <is>
          <t>Contrato para la ejecución de las obras definidas en el Proyecto de terminación de adecuación de la antigua Almazara de Aracena (Huelva).</t>
        </is>
      </c>
      <c r="J656" s="2" t="inlineStr">
        <is>
          <t>5775/2026</t>
        </is>
      </c>
      <c r="K656" s="2" t="inlineStr">
        <is>
          <t>Abierto</t>
        </is>
      </c>
      <c r="L656" s="6" t="n">
        <v>3</v>
      </c>
      <c r="M656" s="2" t="n"/>
      <c r="N656" s="7" t="n">
        <v>0.45</v>
      </c>
      <c r="O656" s="4" t="n"/>
      <c r="P656" s="2" t="inlineStr">
        <is>
          <t>45000000; 45210000</t>
        </is>
      </c>
      <c r="Q656" s="8" t="inlineStr">
        <is>
          <t>Ver</t>
        </is>
      </c>
      <c r="R656" s="8" t="inlineStr">
        <is>
          <t>PCAP</t>
        </is>
      </c>
      <c r="S656" s="9" t="n">
        <v>46317</v>
      </c>
      <c r="T656" s="3" t="n">
        <v>46315.50456018518</v>
      </c>
      <c r="U656" s="2" t="n"/>
    </row>
    <row r="657">
      <c r="A657" s="2" t="inlineStr">
        <is>
          <t>Adjudicada</t>
        </is>
      </c>
      <c r="B657" s="3" t="n">
        <v>46264.99930555555</v>
      </c>
      <c r="C657" s="5" t="n">
        <v>251090</v>
      </c>
      <c r="D657" s="5" t="n">
        <v>251090</v>
      </c>
      <c r="E657" s="2" t="inlineStr">
        <is>
          <t>Comunitat Valenciana</t>
        </is>
      </c>
      <c r="F657" s="2" t="inlineStr">
        <is>
          <t>Castellón</t>
        </is>
      </c>
      <c r="G657" s="2" t="n"/>
      <c r="H657" s="2" t="inlineStr">
        <is>
          <t>Consejo de Administración del Aeropuerto de Castellón S.L.</t>
        </is>
      </c>
      <c r="I657" s="2" t="inlineStr">
        <is>
          <t>Contratación del proyecto y obra de construcción de una nave para atender la necesidad de instalaciones preparadas para el desarrollo de la actividad industrial en el Aeropuerto de Castellón S.L</t>
        </is>
      </c>
      <c r="J657" s="2" t="inlineStr">
        <is>
          <t>CMAYOR/2026/AEROC/323</t>
        </is>
      </c>
      <c r="K657" s="2" t="inlineStr">
        <is>
          <t>Abierto</t>
        </is>
      </c>
      <c r="L657" s="6" t="n">
        <v>5</v>
      </c>
      <c r="M657" s="2" t="n"/>
      <c r="N657" s="7" t="n">
        <v>0</v>
      </c>
      <c r="O657" s="4" t="n"/>
      <c r="P657" s="2" t="inlineStr">
        <is>
          <t>45200000; 71242000; 71000000; 45112500; 45213351; 71311240</t>
        </is>
      </c>
      <c r="Q657" s="8" t="inlineStr">
        <is>
          <t>Ver</t>
        </is>
      </c>
      <c r="R657" s="8" t="inlineStr">
        <is>
          <t>PCAP</t>
        </is>
      </c>
      <c r="S657" s="9" t="n">
        <v>46317</v>
      </c>
      <c r="T657" s="3" t="n">
        <v>46315.5041087963</v>
      </c>
      <c r="U657" s="2" t="n"/>
    </row>
    <row r="658">
      <c r="A658" s="2" t="inlineStr">
        <is>
          <t>Resuelta</t>
        </is>
      </c>
      <c r="B658" s="3" t="n">
        <v>45894.41666666666</v>
      </c>
      <c r="C658" s="5" t="n">
        <v>624757.11</v>
      </c>
      <c r="D658" s="5" t="n">
        <v>624757.11</v>
      </c>
      <c r="E658" s="2" t="inlineStr">
        <is>
          <t>Comunitat Valenciana</t>
        </is>
      </c>
      <c r="F658" s="2" t="inlineStr">
        <is>
          <t>Valencia</t>
        </is>
      </c>
      <c r="G658" s="2" t="n"/>
      <c r="H658" s="2" t="inlineStr">
        <is>
          <t>Consejo de Administración de la Sociedad de Gestión de Activos procedentes de la Reestructuración Bancaria, S.A</t>
        </is>
      </c>
      <c r="I658" s="2" t="inlineStr">
        <is>
          <t>Obra de edificación Picassent – C/ Alginet 69 esq. C/ Carcaixent</t>
        </is>
      </c>
      <c r="J658" s="2" t="inlineStr">
        <is>
          <t>2025-P204</t>
        </is>
      </c>
      <c r="K658" s="2" t="inlineStr">
        <is>
          <t>Abierto</t>
        </is>
      </c>
      <c r="L658" s="6" t="n">
        <v>12</v>
      </c>
      <c r="M658" s="2" t="inlineStr">
        <is>
          <t>C4-1</t>
        </is>
      </c>
      <c r="N658" s="7" t="n">
        <v>0.15</v>
      </c>
      <c r="O658" s="4" t="n"/>
      <c r="P658" s="2" t="inlineStr">
        <is>
          <t>45200000; 45400000; 45300000</t>
        </is>
      </c>
      <c r="Q658" s="8" t="inlineStr">
        <is>
          <t>Ver</t>
        </is>
      </c>
      <c r="R658" s="8" t="inlineStr">
        <is>
          <t>PCAP</t>
        </is>
      </c>
      <c r="S658" s="9" t="n">
        <v>46317</v>
      </c>
      <c r="T658" s="3" t="n">
        <v>46315.50254629629</v>
      </c>
      <c r="U658" s="2" t="n"/>
    </row>
    <row r="659">
      <c r="A659" s="2" t="inlineStr">
        <is>
          <t>Adjudicada</t>
        </is>
      </c>
      <c r="B659" s="3" t="n">
        <v>46209.99930555555</v>
      </c>
      <c r="C659" s="5" t="n">
        <v>84074.39999999999</v>
      </c>
      <c r="D659" s="5" t="n">
        <v>84074.39999999999</v>
      </c>
      <c r="E659" s="2" t="inlineStr">
        <is>
          <t>Andalucía</t>
        </is>
      </c>
      <c r="F659" s="2" t="inlineStr">
        <is>
          <t>Sevilla</t>
        </is>
      </c>
      <c r="G659" s="2" t="inlineStr">
        <is>
          <t>Écija</t>
        </is>
      </c>
      <c r="H659" s="2" t="inlineStr">
        <is>
          <t>Junta de Gobierno del Ayuntamiento de Ecija</t>
        </is>
      </c>
      <c r="I659" s="2" t="inlineStr">
        <is>
          <t>Obras de reforma de los antiguos talleres de PRODIS para almacenes y dependencias municipales financiadas con cargo al Plan de Cooperación General "Sevilla107" de la Excma. Diputación de Sevilla.</t>
        </is>
      </c>
      <c r="J659" s="2" t="inlineStr">
        <is>
          <t>1187/2026</t>
        </is>
      </c>
      <c r="K659" s="2" t="inlineStr">
        <is>
          <t>Abierto simplificado</t>
        </is>
      </c>
      <c r="L659" s="6" t="n">
        <v>4</v>
      </c>
      <c r="M659" s="2" t="n"/>
      <c r="N659" s="7" t="n">
        <v>0</v>
      </c>
      <c r="O659" s="4" t="n"/>
      <c r="P659" s="2" t="inlineStr">
        <is>
          <t>45262690; 45312200; 45400000; 45310000; 45223100; 45343000</t>
        </is>
      </c>
      <c r="Q659" s="8" t="inlineStr">
        <is>
          <t>Ver</t>
        </is>
      </c>
      <c r="R659" s="8" t="inlineStr">
        <is>
          <t>PCAP</t>
        </is>
      </c>
      <c r="S659" s="9" t="n">
        <v>46317</v>
      </c>
      <c r="T659" s="3" t="n">
        <v>46315.49726851852</v>
      </c>
      <c r="U659" s="2" t="n"/>
    </row>
    <row r="660">
      <c r="A660" s="2" t="inlineStr">
        <is>
          <t>Resuelta</t>
        </is>
      </c>
      <c r="B660" s="3" t="n">
        <v>46136.99930555555</v>
      </c>
      <c r="C660" s="5" t="n">
        <v>56300</v>
      </c>
      <c r="D660" s="5" t="n">
        <v>56300</v>
      </c>
      <c r="E660" s="2" t="inlineStr">
        <is>
          <t>Andalucía</t>
        </is>
      </c>
      <c r="F660" s="2" t="inlineStr">
        <is>
          <t>Sevilla</t>
        </is>
      </c>
      <c r="G660" s="2" t="n"/>
      <c r="H660" s="2" t="inlineStr">
        <is>
          <t>Teniente Alcalde, Delegado de Contratación del Ayuntamiento de Lebrija</t>
        </is>
      </c>
      <c r="I660" s="2" t="inlineStr">
        <is>
          <t>contratación de equipos de obras y suministro de maquinarias para ejecución proyecto de ordenación de acerados en calle curro malena y calle huracán.</t>
        </is>
      </c>
      <c r="J660" s="2" t="inlineStr">
        <is>
          <t>P4105300J-2026/000025-PAAB</t>
        </is>
      </c>
      <c r="K660" s="2" t="inlineStr">
        <is>
          <t>Abierto simplificado</t>
        </is>
      </c>
      <c r="L660" s="6" t="n">
        <v>6</v>
      </c>
      <c r="M660" s="2" t="n"/>
      <c r="N660" s="7" t="n">
        <v>0</v>
      </c>
      <c r="O660" s="4" t="n">
        <v>10</v>
      </c>
      <c r="P660" s="2" t="inlineStr">
        <is>
          <t>45500000; 60181000; 43300000</t>
        </is>
      </c>
      <c r="Q660" s="8" t="inlineStr">
        <is>
          <t>Ver</t>
        </is>
      </c>
      <c r="R660" s="8" t="inlineStr">
        <is>
          <t>PCAP</t>
        </is>
      </c>
      <c r="S660" s="9" t="n">
        <v>46317</v>
      </c>
      <c r="T660" s="3" t="n">
        <v>46315.49412037037</v>
      </c>
      <c r="U660" s="2" t="n"/>
    </row>
    <row r="661">
      <c r="A661" s="2" t="inlineStr">
        <is>
          <t>Resuelta</t>
        </is>
      </c>
      <c r="B661" s="3" t="n">
        <v>45425.99930555555</v>
      </c>
      <c r="C661" s="5" t="n">
        <v>574797.67</v>
      </c>
      <c r="D661" s="5" t="n">
        <v>574797.67</v>
      </c>
      <c r="E661" s="2" t="inlineStr">
        <is>
          <t>Comunitat Valenciana</t>
        </is>
      </c>
      <c r="F661" s="2" t="inlineStr">
        <is>
          <t>Alicante</t>
        </is>
      </c>
      <c r="G661" s="2" t="n"/>
      <c r="H661" s="2" t="inlineStr">
        <is>
          <t>Presidencia de la Diputación Provincial de Alicante</t>
        </is>
      </c>
      <c r="I661" s="2" t="inlineStr">
        <is>
          <t>Obras de mejora de infraestructuras urbanas consistente en la instalación de un colector de saneamiento en la Avda. Rey Don Jaime I, en el municipio de Sax (2019.OYS.037)</t>
        </is>
      </c>
      <c r="J661" s="2" t="inlineStr">
        <is>
          <t>O4S-050/2024</t>
        </is>
      </c>
      <c r="K661" s="2" t="inlineStr">
        <is>
          <t>Abierto simplificado</t>
        </is>
      </c>
      <c r="L661" s="6" t="n">
        <v>5</v>
      </c>
      <c r="M661" s="2" t="n"/>
      <c r="N661" s="7" t="n">
        <v>0.25</v>
      </c>
      <c r="O661" s="4" t="n"/>
      <c r="P661" s="2" t="inlineStr">
        <is>
          <t>45200000</t>
        </is>
      </c>
      <c r="Q661" s="8" t="inlineStr">
        <is>
          <t>Ver</t>
        </is>
      </c>
      <c r="R661" s="8" t="inlineStr">
        <is>
          <t>PCAP</t>
        </is>
      </c>
      <c r="S661" s="9" t="n">
        <v>46317</v>
      </c>
      <c r="T661" s="3" t="n">
        <v>46315.48665509259</v>
      </c>
      <c r="U661" s="2" t="n"/>
    </row>
    <row r="662">
      <c r="A662" s="2" t="inlineStr">
        <is>
          <t>Pendiente de adjudicación</t>
        </is>
      </c>
      <c r="B662" s="3" t="n">
        <v>46227.75</v>
      </c>
      <c r="C662" s="5" t="n">
        <v>10301266.39</v>
      </c>
      <c r="D662" s="5" t="n">
        <v>10301266.39</v>
      </c>
      <c r="E662" s="2" t="inlineStr">
        <is>
          <t>Andalucía</t>
        </is>
      </c>
      <c r="F662" s="2" t="inlineStr">
        <is>
          <t>Córdoba</t>
        </is>
      </c>
      <c r="G662" s="2" t="inlineStr">
        <is>
          <t>Córdoba</t>
        </is>
      </c>
      <c r="H662" s="2" t="inlineStr">
        <is>
          <t>Consejo de Administración de la Empresa Provincial de Aguas de Córdoba S.A.</t>
        </is>
      </c>
      <c r="I662" s="2" t="inlineStr">
        <is>
          <t>Obra de ejecución de nueva conducción de abastecimiento Iznájar-Casilla del Monte. Tramo II Los Prietos-CP 205 (Córdoba).</t>
        </is>
      </c>
      <c r="J662" s="2" t="inlineStr">
        <is>
          <t>CC 40/2026</t>
        </is>
      </c>
      <c r="K662" s="2" t="inlineStr">
        <is>
          <t>Abierto</t>
        </is>
      </c>
      <c r="L662" s="6" t="n">
        <v>18</v>
      </c>
      <c r="M662" s="2" t="inlineStr">
        <is>
          <t>E1-6</t>
        </is>
      </c>
      <c r="N662" s="7" t="n">
        <v>0.5</v>
      </c>
      <c r="O662" s="4" t="n"/>
      <c r="P662" s="2" t="inlineStr">
        <is>
          <t>45240000</t>
        </is>
      </c>
      <c r="Q662" s="8" t="inlineStr">
        <is>
          <t>Ver</t>
        </is>
      </c>
      <c r="R662" s="8" t="inlineStr">
        <is>
          <t>PCAP</t>
        </is>
      </c>
      <c r="S662" s="9" t="n">
        <v>46310</v>
      </c>
      <c r="T662" s="3" t="n">
        <v>46315.48504629629</v>
      </c>
      <c r="U662" s="2" t="n"/>
    </row>
    <row r="663">
      <c r="A663" s="2" t="inlineStr">
        <is>
          <t>En plazo</t>
        </is>
      </c>
      <c r="B663" s="3" t="n">
        <v>46335.99930555555</v>
      </c>
      <c r="C663" s="5" t="n">
        <v>78380.96000000001</v>
      </c>
      <c r="D663" s="5" t="n">
        <v>78380.96000000001</v>
      </c>
      <c r="E663" s="2" t="inlineStr">
        <is>
          <t>Andalucía</t>
        </is>
      </c>
      <c r="F663" s="2" t="inlineStr">
        <is>
          <t>Granada</t>
        </is>
      </c>
      <c r="G663" s="2" t="inlineStr">
        <is>
          <t>Valderrubio</t>
        </is>
      </c>
      <c r="H663" s="2" t="inlineStr">
        <is>
          <t>Alcaldía del Ayuntamiento de Valderrubio</t>
        </is>
      </c>
      <c r="I663" s="2" t="inlineStr">
        <is>
          <t>Instalación de ventilación de la pista polideportiva cubierta de Valderrubio, perteneciente a la Fase 2 del Proyecto de instalaciones y actividad de pista deportiva cubierta en dos fases.</t>
        </is>
      </c>
      <c r="J663" s="2" t="inlineStr">
        <is>
          <t>1446/2026</t>
        </is>
      </c>
      <c r="K663" s="2" t="inlineStr">
        <is>
          <t>Abierto simplificado</t>
        </is>
      </c>
      <c r="L663" s="6" t="n">
        <v>1</v>
      </c>
      <c r="M663" s="2" t="n"/>
      <c r="N663" s="7" t="n">
        <v>0</v>
      </c>
      <c r="O663" s="4" t="n"/>
      <c r="P663" s="2" t="inlineStr">
        <is>
          <t>45212100; 45212200</t>
        </is>
      </c>
      <c r="Q663" s="8" t="inlineStr">
        <is>
          <t>Ver</t>
        </is>
      </c>
      <c r="R663" s="8" t="inlineStr">
        <is>
          <t>PCAP</t>
        </is>
      </c>
      <c r="S663" s="9" t="n">
        <v>46317</v>
      </c>
      <c r="T663" s="3" t="n">
        <v>46315.47155092593</v>
      </c>
      <c r="U663" s="2" t="n"/>
    </row>
    <row r="664">
      <c r="A664" s="2" t="inlineStr">
        <is>
          <t>Pendiente de adjudicación</t>
        </is>
      </c>
      <c r="B664" s="3" t="n">
        <v>46259.99930555555</v>
      </c>
      <c r="C664" s="5" t="n">
        <v>1879532.41</v>
      </c>
      <c r="D664" s="5" t="n">
        <v>1879532.41</v>
      </c>
      <c r="E664" s="2" t="inlineStr">
        <is>
          <t>Andalucía</t>
        </is>
      </c>
      <c r="F664" s="2" t="inlineStr">
        <is>
          <t>Málaga</t>
        </is>
      </c>
      <c r="G664" s="2" t="n"/>
      <c r="H664" s="2" t="inlineStr">
        <is>
          <t>Gerente de la Gerencia Municipal de Urbanismo del Ayuntamiento de Málaga</t>
        </is>
      </c>
      <c r="I664" s="2" t="inlineStr">
        <is>
          <t>Obras del proyecto de mejora y adecuación de calle Ollerías (T.M. Málaga), actuación cofinanciada por la UE a través del Fondo Europeo de Desarrollo Regional (FEDER), Programa Plurirregional de España (POPE) (2021-2027).</t>
        </is>
      </c>
      <c r="J664" s="2" t="inlineStr">
        <is>
          <t>OB-020/26</t>
        </is>
      </c>
      <c r="K664" s="2" t="inlineStr">
        <is>
          <t>Abierto simplificado</t>
        </is>
      </c>
      <c r="L664" s="6" t="n">
        <v>10</v>
      </c>
      <c r="M664" s="2" t="inlineStr">
        <is>
          <t>G6-3; E1-3</t>
        </is>
      </c>
      <c r="N664" s="7" t="n">
        <v>0.25</v>
      </c>
      <c r="O664" s="4" t="n"/>
      <c r="P664" s="2" t="inlineStr">
        <is>
          <t>45233252; 45233140; 45220000; 45232130</t>
        </is>
      </c>
      <c r="Q664" s="8" t="inlineStr">
        <is>
          <t>Ver</t>
        </is>
      </c>
      <c r="R664" s="8" t="inlineStr">
        <is>
          <t>PCAP</t>
        </is>
      </c>
      <c r="S664" s="9" t="n">
        <v>46317</v>
      </c>
      <c r="T664" s="3" t="n">
        <v>46315.47121527778</v>
      </c>
      <c r="U664" s="2" t="n"/>
    </row>
    <row r="665">
      <c r="A665" s="2" t="inlineStr">
        <is>
          <t>Resuelta</t>
        </is>
      </c>
      <c r="B665" s="3" t="n">
        <v>46294.41666666666</v>
      </c>
      <c r="C665" s="5" t="n">
        <v>49500</v>
      </c>
      <c r="D665" s="5" t="n">
        <v>49500</v>
      </c>
      <c r="E665" s="2" t="inlineStr">
        <is>
          <t>Andalucía</t>
        </is>
      </c>
      <c r="F665" s="2" t="inlineStr">
        <is>
          <t>Almería</t>
        </is>
      </c>
      <c r="G665" s="2" t="n"/>
      <c r="H665" s="2" t="inlineStr">
        <is>
          <t>Empresa de Transformación Agraria S.A.,S.M.E., M.P., (TRAGSA)</t>
        </is>
      </c>
      <c r="I665" s="2" t="inlineStr">
        <is>
          <t>Contrato derivado del "AM para el alquiler de maquinaria de obra civil, agrícola y forestal, y camiones para obras de construcción y demolición, dotada de operario, para las actuaciones del ámbito territorial de la gerencia provincial de Tragsa en Almería, incluidas las obras con fondos en el marco del PRTR, a adjudicar por procedimiento abierto, sujeto a regulación armonizada. TSA0078977"</t>
        </is>
      </c>
      <c r="J665" s="2" t="inlineStr">
        <is>
          <t>TSA0078977-360</t>
        </is>
      </c>
      <c r="K665" s="2" t="inlineStr">
        <is>
          <t>Abierto</t>
        </is>
      </c>
      <c r="L665" s="6" t="n">
        <v>6</v>
      </c>
      <c r="M665" s="2" t="n"/>
      <c r="N665" s="7" t="n">
        <v>0</v>
      </c>
      <c r="O665" s="4" t="n"/>
      <c r="P665" s="2" t="inlineStr">
        <is>
          <t>45500000</t>
        </is>
      </c>
      <c r="Q665" s="8" t="inlineStr">
        <is>
          <t>Ver</t>
        </is>
      </c>
      <c r="R665" s="8" t="inlineStr">
        <is>
          <t>PCAP</t>
        </is>
      </c>
      <c r="S665" s="9" t="n">
        <v>46317</v>
      </c>
      <c r="T665" s="3" t="n">
        <v>46315.46155092592</v>
      </c>
      <c r="U665" s="2" t="n"/>
    </row>
    <row r="666">
      <c r="A666" s="2" t="inlineStr">
        <is>
          <t>Resuelta</t>
        </is>
      </c>
      <c r="B666" s="3" t="n">
        <v>46294.41666666666</v>
      </c>
      <c r="C666" s="5" t="n">
        <v>49500</v>
      </c>
      <c r="D666" s="5" t="n">
        <v>49500</v>
      </c>
      <c r="E666" s="2" t="inlineStr">
        <is>
          <t>Andalucía</t>
        </is>
      </c>
      <c r="F666" s="2" t="inlineStr">
        <is>
          <t>Almería</t>
        </is>
      </c>
      <c r="G666" s="2" t="n"/>
      <c r="H666" s="2" t="inlineStr">
        <is>
          <t>Empresa de Transformación Agraria S.A.,S.M.E., M.P., (TRAGSA)</t>
        </is>
      </c>
      <c r="I666" s="2" t="inlineStr">
        <is>
          <t>Contrato derivado del "AM para el alquiler de maquinaria de obra civil, agrícola y forestal, y camiones para obras de construcción y demolición, dotada de operario, para las actuaciones del ámbito territorial de la gerencia provincial de Tragsa en Almería, incluidas las obras con fondos en el marco del PRTR, a adjudicar por procedimiento abierto, sujeto a regulación armonizada. TSA0078977"</t>
        </is>
      </c>
      <c r="J666" s="2" t="inlineStr">
        <is>
          <t>TSA0078977-359</t>
        </is>
      </c>
      <c r="K666" s="2" t="inlineStr">
        <is>
          <t>Abierto</t>
        </is>
      </c>
      <c r="L666" s="6" t="n">
        <v>6</v>
      </c>
      <c r="M666" s="2" t="n"/>
      <c r="N666" s="7" t="n">
        <v>0</v>
      </c>
      <c r="O666" s="4" t="n"/>
      <c r="P666" s="2" t="inlineStr">
        <is>
          <t>45500000</t>
        </is>
      </c>
      <c r="Q666" s="8" t="inlineStr">
        <is>
          <t>Ver</t>
        </is>
      </c>
      <c r="R666" s="8" t="inlineStr">
        <is>
          <t>PCAP</t>
        </is>
      </c>
      <c r="S666" s="9" t="n">
        <v>46317</v>
      </c>
      <c r="T666" s="3" t="n">
        <v>46315.46043981481</v>
      </c>
      <c r="U666" s="2" t="n"/>
    </row>
    <row r="667">
      <c r="A667" s="2" t="inlineStr">
        <is>
          <t>Pendiente de adjudicación</t>
        </is>
      </c>
      <c r="B667" s="3" t="n">
        <v>46266.99930555555</v>
      </c>
      <c r="C667" s="5" t="n">
        <v>1038436.4</v>
      </c>
      <c r="D667" s="5" t="n">
        <v>1038436.4</v>
      </c>
      <c r="E667" s="2" t="inlineStr">
        <is>
          <t>Comunitat Valenciana</t>
        </is>
      </c>
      <c r="F667" s="2" t="inlineStr">
        <is>
          <t>Castellón</t>
        </is>
      </c>
      <c r="G667" s="2" t="n"/>
      <c r="H667" s="2" t="inlineStr">
        <is>
          <t>Junta de Gobierno del Ayuntamiento de Castellón de la Plana</t>
        </is>
      </c>
      <c r="I667" s="2" t="inlineStr">
        <is>
          <t>Obras de urbanización de la calle Castellfort y pasaje Viena de Castelló de la Plana</t>
        </is>
      </c>
      <c r="J667" s="2" t="inlineStr">
        <is>
          <t>17771/2025</t>
        </is>
      </c>
      <c r="K667" s="2" t="inlineStr">
        <is>
          <t>Abierto</t>
        </is>
      </c>
      <c r="L667" s="6" t="n">
        <v>7</v>
      </c>
      <c r="M667" s="2" t="n"/>
      <c r="N667" s="7" t="n">
        <v>0.48</v>
      </c>
      <c r="O667" s="4" t="n"/>
      <c r="P667" s="2" t="inlineStr">
        <is>
          <t>45233140</t>
        </is>
      </c>
      <c r="Q667" s="8" t="inlineStr">
        <is>
          <t>Ver</t>
        </is>
      </c>
      <c r="R667" s="8" t="inlineStr">
        <is>
          <t>PCAP</t>
        </is>
      </c>
      <c r="S667" s="9" t="n">
        <v>46310</v>
      </c>
      <c r="T667" s="3" t="n">
        <v>46315.45878472222</v>
      </c>
      <c r="U667" s="2" t="n"/>
    </row>
    <row r="668">
      <c r="A668" s="2" t="inlineStr">
        <is>
          <t>Pendiente de adjudicación</t>
        </is>
      </c>
      <c r="B668" s="3" t="n">
        <v>46281.5625</v>
      </c>
      <c r="C668" s="5" t="n">
        <v>5301159.98</v>
      </c>
      <c r="D668" s="5" t="n">
        <v>5301159.98</v>
      </c>
      <c r="E668" s="2" t="inlineStr">
        <is>
          <t>Andalucía</t>
        </is>
      </c>
      <c r="F668" s="2" t="inlineStr">
        <is>
          <t>Cádiz</t>
        </is>
      </c>
      <c r="G668" s="2" t="inlineStr">
        <is>
          <t>Chiclana de la Frontera</t>
        </is>
      </c>
      <c r="H668" s="2" t="inlineStr">
        <is>
          <t>Junta de Gobierno del Ayuntamiento de Chiclana de la Frontera</t>
        </is>
      </c>
      <c r="I668" s="2" t="inlineStr">
        <is>
          <t>Obras de piscina cubierta municipal La Longuera, cofinanciada como parte del Plan de Actuación Integrado (PAI) de Chiclana de la Frontera (actuación 2.1 dentro del proyecto mejora de equipamientos para la cohesión social y la promoción económica) en el marco del Desarrollo Urbano Sostenible, con cargo al Fondo Europeo de Desarrollo Regional (FEDER) en el periodo de programación 2021-2027.</t>
        </is>
      </c>
      <c r="J668" s="2" t="inlineStr">
        <is>
          <t>54/2026</t>
        </is>
      </c>
      <c r="K668" s="2" t="inlineStr">
        <is>
          <t>Abierto</t>
        </is>
      </c>
      <c r="L668" s="6" t="n">
        <v>24</v>
      </c>
      <c r="M668" s="2" t="inlineStr">
        <is>
          <t>C2-5</t>
        </is>
      </c>
      <c r="N668" s="7" t="n">
        <v>0</v>
      </c>
      <c r="O668" s="4" t="n"/>
      <c r="P668" s="2" t="inlineStr">
        <is>
          <t>45212212; 45212200</t>
        </is>
      </c>
      <c r="Q668" s="8" t="inlineStr">
        <is>
          <t>Ver</t>
        </is>
      </c>
      <c r="R668" s="8" t="inlineStr">
        <is>
          <t>PCAP</t>
        </is>
      </c>
      <c r="S668" s="9" t="n">
        <v>46317</v>
      </c>
      <c r="T668" s="3" t="n">
        <v>46315.45567129629</v>
      </c>
      <c r="U668" s="2" t="n"/>
    </row>
    <row r="669">
      <c r="A669" s="2" t="inlineStr">
        <is>
          <t>Pendiente de adjudicación</t>
        </is>
      </c>
      <c r="B669" s="3" t="n">
        <v>46311.5625</v>
      </c>
      <c r="C669" s="5" t="n">
        <v>1197787.61</v>
      </c>
      <c r="D669" s="5" t="n">
        <v>1197787.61</v>
      </c>
      <c r="E669" s="2" t="inlineStr">
        <is>
          <t>Andalucía</t>
        </is>
      </c>
      <c r="F669" s="2" t="inlineStr">
        <is>
          <t>Cádiz</t>
        </is>
      </c>
      <c r="G669" s="2" t="n"/>
      <c r="H669" s="2" t="inlineStr">
        <is>
          <t>Junta de Gobierno del Ayuntamiento de Chiclana de la Frontera</t>
        </is>
      </c>
      <c r="I669" s="2" t="inlineStr">
        <is>
          <t>Obras de ejecución del Espacio Escénico Torre Cerro del Castillo, cofinanciadas como parte del Plan de Actuación Integrado (PAI) de Chiclana de la Frontera, en el marco del Desarrollo Urbano Sostenible, con cargo al Fondo Europeo de Desarrollo Regional en el periodo de programación 2021-2027.</t>
        </is>
      </c>
      <c r="J669" s="2" t="inlineStr">
        <is>
          <t>62/2026</t>
        </is>
      </c>
      <c r="K669" s="2" t="inlineStr">
        <is>
          <t>Abierto simplificado</t>
        </is>
      </c>
      <c r="L669" s="6" t="n">
        <v>15</v>
      </c>
      <c r="M669" s="2" t="inlineStr">
        <is>
          <t>G6-4</t>
        </is>
      </c>
      <c r="N669" s="7" t="n">
        <v>0</v>
      </c>
      <c r="O669" s="4" t="n"/>
      <c r="P669" s="2" t="inlineStr">
        <is>
          <t>45233140; 45233222; 45236200; 45233262</t>
        </is>
      </c>
      <c r="Q669" s="8" t="inlineStr">
        <is>
          <t>Ver</t>
        </is>
      </c>
      <c r="R669" s="8" t="inlineStr">
        <is>
          <t>PCAP</t>
        </is>
      </c>
      <c r="S669" s="9" t="n">
        <v>46317</v>
      </c>
      <c r="T669" s="3" t="n">
        <v>46315.45516203704</v>
      </c>
      <c r="U669" s="2" t="n"/>
    </row>
    <row r="670">
      <c r="A670" s="2" t="inlineStr">
        <is>
          <t>Pendiente de adjudicación</t>
        </is>
      </c>
      <c r="B670" s="3" t="n">
        <v>46311.5625</v>
      </c>
      <c r="C670" s="5" t="n">
        <v>481277.21</v>
      </c>
      <c r="D670" s="5" t="n">
        <v>481277.21</v>
      </c>
      <c r="E670" s="2" t="inlineStr">
        <is>
          <t>Andalucía</t>
        </is>
      </c>
      <c r="F670" s="2" t="inlineStr">
        <is>
          <t>Cádiz</t>
        </is>
      </c>
      <c r="G670" s="2" t="n"/>
      <c r="H670" s="2" t="inlineStr">
        <is>
          <t>Junta de Gobierno del Ayuntamiento de Chiclana de la Frontera</t>
        </is>
      </c>
      <c r="I670" s="2" t="inlineStr">
        <is>
          <t>Obras de reparación de daños en infraestructuras viarias municipales, subvencionadas por la Junta de Andalucía, Decreto 277/2023.</t>
        </is>
      </c>
      <c r="J670" s="2" t="inlineStr">
        <is>
          <t>58/2026</t>
        </is>
      </c>
      <c r="K670" s="2" t="inlineStr">
        <is>
          <t>Abierto simplificado</t>
        </is>
      </c>
      <c r="L670" s="6" t="n">
        <v>3</v>
      </c>
      <c r="M670" s="2" t="n"/>
      <c r="N670" s="7" t="n">
        <v>0.25</v>
      </c>
      <c r="O670" s="4" t="n"/>
      <c r="P670" s="2" t="inlineStr">
        <is>
          <t>45233140</t>
        </is>
      </c>
      <c r="Q670" s="8" t="inlineStr">
        <is>
          <t>Ver</t>
        </is>
      </c>
      <c r="R670" s="8" t="inlineStr">
        <is>
          <t>PCAP</t>
        </is>
      </c>
      <c r="S670" s="9" t="n">
        <v>46317</v>
      </c>
      <c r="T670" s="3" t="n">
        <v>46315.45460648148</v>
      </c>
      <c r="U670" s="2" t="n"/>
    </row>
    <row r="671">
      <c r="A671" s="2" t="inlineStr">
        <is>
          <t>Pendiente de adjudicación</t>
        </is>
      </c>
      <c r="B671" s="3" t="n">
        <v>46245.5625</v>
      </c>
      <c r="C671" s="5" t="n">
        <v>661641.49</v>
      </c>
      <c r="D671" s="5" t="n">
        <v>661641.49</v>
      </c>
      <c r="E671" s="2" t="inlineStr">
        <is>
          <t>Andalucía</t>
        </is>
      </c>
      <c r="F671" s="2" t="inlineStr">
        <is>
          <t>Cádiz</t>
        </is>
      </c>
      <c r="G671" s="2" t="n"/>
      <c r="H671" s="2" t="inlineStr">
        <is>
          <t>Junta de Gobierno del Ayuntamiento de Chiclana de la Frontera</t>
        </is>
      </c>
      <c r="I671" s="2" t="inlineStr">
        <is>
          <t>Obras de Plan de Barriadas Fase I.</t>
        </is>
      </c>
      <c r="J671" s="2" t="inlineStr">
        <is>
          <t>42/2026</t>
        </is>
      </c>
      <c r="K671" s="2" t="inlineStr">
        <is>
          <t>Abierto simplificado</t>
        </is>
      </c>
      <c r="L671" s="6" t="n">
        <v>7</v>
      </c>
      <c r="M671" s="2" t="inlineStr">
        <is>
          <t>C4-3; C9-3</t>
        </is>
      </c>
      <c r="N671" s="7" t="n">
        <v>0.15</v>
      </c>
      <c r="O671" s="4" t="n">
        <v>2</v>
      </c>
      <c r="P671" s="2" t="inlineStr">
        <is>
          <t>45233140; 45236290</t>
        </is>
      </c>
      <c r="Q671" s="8" t="inlineStr">
        <is>
          <t>Ver</t>
        </is>
      </c>
      <c r="R671" s="8" t="inlineStr">
        <is>
          <t>PCAP</t>
        </is>
      </c>
      <c r="S671" s="9" t="n">
        <v>46310</v>
      </c>
      <c r="T671" s="3" t="n">
        <v>46315.45270833333</v>
      </c>
      <c r="U671" s="2" t="n"/>
    </row>
    <row r="672">
      <c r="A672" s="2" t="inlineStr">
        <is>
          <t>Pendiente de adjudicación</t>
        </is>
      </c>
      <c r="B672" s="3" t="n">
        <v>46308.99930555555</v>
      </c>
      <c r="C672" s="5" t="n">
        <v>112611.18</v>
      </c>
      <c r="D672" s="5" t="n">
        <v>112611.18</v>
      </c>
      <c r="E672" s="2" t="inlineStr">
        <is>
          <t>Comunitat Valenciana</t>
        </is>
      </c>
      <c r="F672" s="2" t="inlineStr">
        <is>
          <t>Castellón</t>
        </is>
      </c>
      <c r="G672" s="2" t="inlineStr">
        <is>
          <t>Cabanes</t>
        </is>
      </c>
      <c r="H672" s="2" t="inlineStr">
        <is>
          <t>Alcaldía del Ayuntamiento de Cabanes</t>
        </is>
      </c>
      <c r="I672" s="2" t="inlineStr">
        <is>
          <t>Obras de construcción de pista de padel y mejora de la zona deportiva en La Ribera de Cabanes.</t>
        </is>
      </c>
      <c r="J672" s="2" t="inlineStr">
        <is>
          <t>2856/2026</t>
        </is>
      </c>
      <c r="K672" s="2" t="inlineStr">
        <is>
          <t>Abierto simplificado</t>
        </is>
      </c>
      <c r="L672" s="6" t="n">
        <v>3</v>
      </c>
      <c r="M672" s="2" t="n"/>
      <c r="N672" s="7" t="n">
        <v>0</v>
      </c>
      <c r="O672" s="4" t="n"/>
      <c r="P672" s="2" t="inlineStr">
        <is>
          <t>45212210</t>
        </is>
      </c>
      <c r="Q672" s="8" t="inlineStr">
        <is>
          <t>Ver</t>
        </is>
      </c>
      <c r="R672" s="8" t="inlineStr">
        <is>
          <t>PCAP</t>
        </is>
      </c>
      <c r="S672" s="9" t="n">
        <v>46311</v>
      </c>
      <c r="T672" s="3" t="n">
        <v>46315.44913194444</v>
      </c>
      <c r="U672" s="2" t="n"/>
    </row>
    <row r="673">
      <c r="A673" s="2" t="inlineStr">
        <is>
          <t>En plazo</t>
        </is>
      </c>
      <c r="B673" s="3" t="n">
        <v>46329.5</v>
      </c>
      <c r="C673" s="5" t="n">
        <v>41658023.15</v>
      </c>
      <c r="D673" s="5" t="n">
        <v>43324344.08</v>
      </c>
      <c r="E673" s="2" t="inlineStr">
        <is>
          <t>Comunitat Valenciana</t>
        </is>
      </c>
      <c r="F673" s="2" t="inlineStr">
        <is>
          <t>Valencia</t>
        </is>
      </c>
      <c r="G673" s="2" t="inlineStr">
        <is>
          <t>Valencia / València</t>
        </is>
      </c>
      <c r="H673" s="2" t="inlineStr">
        <is>
          <t>Aena. Consejo de Administración</t>
        </is>
      </c>
      <c r="I673" s="2" t="inlineStr">
        <is>
          <t>Recrecido De Pista, Adecuación De Calles De Rodaje Y Mejora Del Camino Perimetral. Aeropuerto De Valencia</t>
        </is>
      </c>
      <c r="J673" s="2" t="inlineStr">
        <is>
          <t>DIN-350/2026</t>
        </is>
      </c>
      <c r="K673" s="2" t="inlineStr">
        <is>
          <t>Licitación con negociación</t>
        </is>
      </c>
      <c r="L673" s="6" t="n">
        <v>27</v>
      </c>
      <c r="M673" s="2" t="n"/>
      <c r="N673" s="7" t="n">
        <v>0</v>
      </c>
      <c r="O673" s="4" t="n"/>
      <c r="P673" s="2" t="inlineStr">
        <is>
          <t>45235000</t>
        </is>
      </c>
      <c r="Q673" s="8" t="inlineStr">
        <is>
          <t>Ver</t>
        </is>
      </c>
      <c r="R673" s="8" t="inlineStr">
        <is>
          <t>PCAP</t>
        </is>
      </c>
      <c r="S673" s="9" t="n">
        <v>46317</v>
      </c>
      <c r="T673" s="3" t="n">
        <v>46315.44685185186</v>
      </c>
      <c r="U673" s="2" t="n"/>
    </row>
    <row r="674">
      <c r="A674" s="2" t="inlineStr">
        <is>
          <t>En plazo</t>
        </is>
      </c>
      <c r="B674" s="3" t="n">
        <v>46342.58333333334</v>
      </c>
      <c r="C674" s="5" t="n">
        <v>4299512.47</v>
      </c>
      <c r="D674" s="5" t="n">
        <v>4299512.47</v>
      </c>
      <c r="E674" s="2" t="inlineStr">
        <is>
          <t>Andalucía</t>
        </is>
      </c>
      <c r="F674" s="2" t="inlineStr">
        <is>
          <t>Córdoba</t>
        </is>
      </c>
      <c r="G674" s="2" t="n"/>
      <c r="H674" s="2" t="inlineStr">
        <is>
          <t>Viviendas Municipales de Córdoba SA</t>
        </is>
      </c>
      <c r="I674" s="2" t="inlineStr">
        <is>
          <t>Obras con suministro de materiales por ajuste o a tanto alzado y con gestión a riesgo y ventura del contratista para la construcción de dos promociones de 15 viviendas protegidas cada una en régimen de venta, trasteros y plazas de aparcamiento en las parcelas R1 y R2 del PP SRA-SUR del PGOU de córdoba.</t>
        </is>
      </c>
      <c r="J674" s="2" t="inlineStr">
        <is>
          <t>2-O/2026</t>
        </is>
      </c>
      <c r="K674" s="2" t="inlineStr">
        <is>
          <t>Abierto</t>
        </is>
      </c>
      <c r="L674" s="6" t="n">
        <v>24</v>
      </c>
      <c r="M674" s="2" t="inlineStr">
        <is>
          <t>C*-4</t>
        </is>
      </c>
      <c r="N674" s="7" t="n">
        <v>0</v>
      </c>
      <c r="O674" s="4" t="n">
        <v>2</v>
      </c>
      <c r="P674" s="2" t="inlineStr">
        <is>
          <t>45211340</t>
        </is>
      </c>
      <c r="Q674" s="8" t="inlineStr">
        <is>
          <t>Ver</t>
        </is>
      </c>
      <c r="R674" s="8" t="inlineStr">
        <is>
          <t>PCAP</t>
        </is>
      </c>
      <c r="S674" s="9" t="n">
        <v>46314</v>
      </c>
      <c r="T674" s="3" t="n">
        <v>46315.44423611111</v>
      </c>
      <c r="U674" s="2" t="n"/>
    </row>
    <row r="675">
      <c r="A675" s="2" t="inlineStr">
        <is>
          <t>Resuelta</t>
        </is>
      </c>
      <c r="B675" s="3" t="n">
        <v>46314.99930555555</v>
      </c>
      <c r="C675" s="5" t="n">
        <v>72549.41</v>
      </c>
      <c r="D675" s="5" t="n">
        <v>51289.82</v>
      </c>
      <c r="E675" s="2" t="inlineStr">
        <is>
          <t>Andalucía</t>
        </is>
      </c>
      <c r="F675" s="2" t="inlineStr">
        <is>
          <t>Málaga</t>
        </is>
      </c>
      <c r="G675" s="2" t="inlineStr">
        <is>
          <t>Cuevas Bajas</t>
        </is>
      </c>
      <c r="H675" s="2" t="inlineStr">
        <is>
          <t>Alcaldía del Ayuntamiento de Cuevas Bajas</t>
        </is>
      </c>
      <c r="I675" s="2" t="inlineStr">
        <is>
          <t>Reforma del Cementerio Municipal, 1ª Fase (POS-C 2/2024)</t>
        </is>
      </c>
      <c r="J675" s="2" t="inlineStr">
        <is>
          <t>CB CEMENTERIO 162/2026</t>
        </is>
      </c>
      <c r="K675" s="2" t="inlineStr">
        <is>
          <t>Abierto simplificado</t>
        </is>
      </c>
      <c r="L675" s="6" t="n">
        <v>2</v>
      </c>
      <c r="M675" s="2" t="n"/>
      <c r="N675" s="7" t="n">
        <v>0</v>
      </c>
      <c r="O675" s="4" t="n"/>
      <c r="P675" s="2" t="inlineStr">
        <is>
          <t>45215400</t>
        </is>
      </c>
      <c r="Q675" s="8" t="inlineStr">
        <is>
          <t>Ver</t>
        </is>
      </c>
      <c r="R675" s="8" t="inlineStr">
        <is>
          <t>PCAP</t>
        </is>
      </c>
      <c r="S675" s="9" t="n">
        <v>46311</v>
      </c>
      <c r="T675" s="3" t="n">
        <v>46315.44414351852</v>
      </c>
      <c r="U675" s="2" t="inlineStr">
        <is>
          <t>2026-10-22: estado PUB → RES</t>
        </is>
      </c>
    </row>
    <row r="676">
      <c r="A676" s="2" t="inlineStr">
        <is>
          <t>Resuelta</t>
        </is>
      </c>
      <c r="B676" s="3" t="n">
        <v>46252.41666666666</v>
      </c>
      <c r="C676" s="5" t="n">
        <v>40000</v>
      </c>
      <c r="D676" s="5" t="n">
        <v>40000</v>
      </c>
      <c r="E676" s="2" t="inlineStr">
        <is>
          <t>Andalucía</t>
        </is>
      </c>
      <c r="F676" s="2" t="inlineStr">
        <is>
          <t>Huelva</t>
        </is>
      </c>
      <c r="G676" s="2" t="n"/>
      <c r="H676" s="2" t="inlineStr">
        <is>
          <t>Empresa de Transformación Agraria S.A.,S.M.E., M.P., (TRAGSA)</t>
        </is>
      </c>
      <c r="I676"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SERVICIO CAUCES HUELVA 25-27</t>
        </is>
      </c>
      <c r="J676" s="2" t="inlineStr">
        <is>
          <t>TSA0080057-217</t>
        </is>
      </c>
      <c r="K676" s="2" t="inlineStr">
        <is>
          <t>Abierto</t>
        </is>
      </c>
      <c r="L676" s="6" t="n">
        <v>7</v>
      </c>
      <c r="M676" s="2" t="n"/>
      <c r="N676" s="7" t="n">
        <v>0</v>
      </c>
      <c r="O676" s="4" t="n"/>
      <c r="P676" s="2" t="inlineStr">
        <is>
          <t>45500000</t>
        </is>
      </c>
      <c r="Q676" s="8" t="inlineStr">
        <is>
          <t>Ver</t>
        </is>
      </c>
      <c r="R676" s="8" t="inlineStr">
        <is>
          <t>PCAP</t>
        </is>
      </c>
      <c r="S676" s="9" t="n">
        <v>46317</v>
      </c>
      <c r="T676" s="3" t="n">
        <v>46315.44112268519</v>
      </c>
      <c r="U676" s="2" t="n"/>
    </row>
    <row r="677">
      <c r="A677" s="2" t="inlineStr">
        <is>
          <t>Resuelta</t>
        </is>
      </c>
      <c r="B677" s="3" t="n">
        <v>46287.41666666666</v>
      </c>
      <c r="C677" s="5" t="n">
        <v>153680</v>
      </c>
      <c r="D677" s="5" t="n">
        <v>153680</v>
      </c>
      <c r="E677" s="2" t="inlineStr">
        <is>
          <t>Andalucía</t>
        </is>
      </c>
      <c r="F677" s="2" t="inlineStr">
        <is>
          <t>Córdoba</t>
        </is>
      </c>
      <c r="G677" s="2" t="n"/>
      <c r="H677" s="2" t="inlineStr">
        <is>
          <t>Empresa de Transformación Agraria S.A.,S.M.E., M.P., (TRAGSA)</t>
        </is>
      </c>
      <c r="I677" s="2" t="inlineStr">
        <is>
          <t>Contrato derivado del Acuerdo marco para alquiler de maquinaria de obra civil, agrícola y forestal, y camiones para obras de construcción y demolición, dotada de operario, para las actuaciones del ámbito territorial de la gerencia provincial de Tragsa en Córdoba, incluida las obras con fondos en el marco del plan de recuperación, transformación y resiliencia financiado por la unión europea</t>
        </is>
      </c>
      <c r="J677" s="2" t="inlineStr">
        <is>
          <t>TSA0079529-140</t>
        </is>
      </c>
      <c r="K677" s="2" t="inlineStr">
        <is>
          <t>Abierto</t>
        </is>
      </c>
      <c r="L677" s="6" t="n">
        <v>12</v>
      </c>
      <c r="M677" s="2" t="n"/>
      <c r="N677" s="7" t="n">
        <v>0</v>
      </c>
      <c r="O677" s="4" t="n"/>
      <c r="P677" s="2" t="inlineStr">
        <is>
          <t>45500000</t>
        </is>
      </c>
      <c r="Q677" s="8" t="inlineStr">
        <is>
          <t>Ver</t>
        </is>
      </c>
      <c r="R677" s="8" t="inlineStr">
        <is>
          <t>PCAP</t>
        </is>
      </c>
      <c r="S677" s="9" t="n">
        <v>46317</v>
      </c>
      <c r="T677" s="3" t="n">
        <v>46315.4380787037</v>
      </c>
      <c r="U677" s="2" t="n"/>
    </row>
    <row r="678">
      <c r="A678" s="2" t="inlineStr">
        <is>
          <t>Resuelta</t>
        </is>
      </c>
      <c r="B678" s="3" t="n">
        <v>46287.41666666666</v>
      </c>
      <c r="C678" s="5" t="n">
        <v>5400</v>
      </c>
      <c r="D678" s="5" t="n">
        <v>5400</v>
      </c>
      <c r="E678" s="2" t="inlineStr">
        <is>
          <t>Andalucía</t>
        </is>
      </c>
      <c r="F678" s="2" t="inlineStr">
        <is>
          <t>Granada</t>
        </is>
      </c>
      <c r="G678" s="2" t="n"/>
      <c r="H678" s="2" t="inlineStr">
        <is>
          <t>Empresa de Transformación Agraria S.A.,S.M.E., M.P., (TRAGSA)</t>
        </is>
      </c>
      <c r="I678" s="2" t="inlineStr">
        <is>
          <t>Contrato derivado del "Acuerdo Marco para el Alquiler de Maquinaria de Obra Civil, Agrícola y Forestal, y Camiones para obras de construcción y demolición, dotada de operario, para las actuaciones de la Gerencia Provincial de Tragsa en Granada, incluidas las obras con Fondos en el Marco del Plan de Recuperación, Transformación y Resiliencia financiado por Unión Europea Next-Generation EU"</t>
        </is>
      </c>
      <c r="J678" s="2" t="inlineStr">
        <is>
          <t>TSA0077561-341</t>
        </is>
      </c>
      <c r="K678" s="2" t="inlineStr">
        <is>
          <t>Abierto</t>
        </is>
      </c>
      <c r="L678" s="6" t="n">
        <v>2</v>
      </c>
      <c r="M678" s="2" t="n"/>
      <c r="N678" s="7" t="n">
        <v>0</v>
      </c>
      <c r="O678" s="4" t="n"/>
      <c r="P678" s="2" t="inlineStr">
        <is>
          <t>45500000</t>
        </is>
      </c>
      <c r="Q678" s="8" t="inlineStr">
        <is>
          <t>Ver</t>
        </is>
      </c>
      <c r="R678" s="8" t="inlineStr">
        <is>
          <t>PCAP</t>
        </is>
      </c>
      <c r="S678" s="9" t="n">
        <v>46317</v>
      </c>
      <c r="T678" s="3" t="n">
        <v>46315.43590277778</v>
      </c>
      <c r="U678" s="2" t="n"/>
    </row>
    <row r="679">
      <c r="A679" s="2" t="inlineStr">
        <is>
          <t>En plazo</t>
        </is>
      </c>
      <c r="B679" s="3" t="n">
        <v>46342.58333333334</v>
      </c>
      <c r="C679" s="5" t="n">
        <v>3884750.48</v>
      </c>
      <c r="D679" s="5" t="n">
        <v>3884750.48</v>
      </c>
      <c r="E679" s="2" t="inlineStr">
        <is>
          <t>Andalucía</t>
        </is>
      </c>
      <c r="F679" s="2" t="inlineStr">
        <is>
          <t>Córdoba</t>
        </is>
      </c>
      <c r="G679" s="2" t="inlineStr">
        <is>
          <t>Córdoba</t>
        </is>
      </c>
      <c r="H679" s="2" t="inlineStr">
        <is>
          <t>Viviendas Municipales de Córdoba SA</t>
        </is>
      </c>
      <c r="I679" s="2" t="inlineStr">
        <is>
          <t>El objeto del contrato es la construcción de 30 viviendas protegidas con trasteros y plazas de aparcamiento en régimen de venta.</t>
        </is>
      </c>
      <c r="J679" s="2" t="inlineStr">
        <is>
          <t>3-O/2026</t>
        </is>
      </c>
      <c r="K679" s="2" t="inlineStr">
        <is>
          <t>Abierto</t>
        </is>
      </c>
      <c r="L679" s="6" t="n">
        <v>20</v>
      </c>
      <c r="M679" s="2" t="inlineStr">
        <is>
          <t>C*-4</t>
        </is>
      </c>
      <c r="N679" s="7" t="n">
        <v>0</v>
      </c>
      <c r="O679" s="4" t="n"/>
      <c r="P679" s="2" t="inlineStr">
        <is>
          <t>45211340; 45211341</t>
        </is>
      </c>
      <c r="Q679" s="8" t="inlineStr">
        <is>
          <t>Ver</t>
        </is>
      </c>
      <c r="R679" s="8" t="inlineStr">
        <is>
          <t>PCAP</t>
        </is>
      </c>
      <c r="S679" s="9" t="n">
        <v>46314</v>
      </c>
      <c r="T679" s="3" t="n">
        <v>46315.43578703704</v>
      </c>
      <c r="U679" s="2" t="n"/>
    </row>
    <row r="680">
      <c r="A680" s="2" t="inlineStr">
        <is>
          <t>Resuelta</t>
        </is>
      </c>
      <c r="B680" s="3" t="n">
        <v>46287.41666666666</v>
      </c>
      <c r="C680" s="5" t="n">
        <v>8280</v>
      </c>
      <c r="D680" s="5" t="n">
        <v>8280</v>
      </c>
      <c r="E680" s="2" t="inlineStr">
        <is>
          <t>Andalucía</t>
        </is>
      </c>
      <c r="F680" s="2" t="inlineStr">
        <is>
          <t>Granada</t>
        </is>
      </c>
      <c r="G680" s="2" t="n"/>
      <c r="H680" s="2" t="inlineStr">
        <is>
          <t>Empresa de Transformación Agraria S.A.,S.M.E., M.P., (TRAGSA)</t>
        </is>
      </c>
      <c r="I680" s="2" t="inlineStr">
        <is>
          <t>Contrato derivado del "Acuerdo Marco para el Alquiler de Maquinaria de Obra Civil, Agrícola y Forestal, y Camiones para obras de construcción y demolición, dotada de operario, para las actuaciones de la Gerencia Provincial de Tragsa en Granada, incluidas las obras con Fondos en el Marco del Plan de Recuperación, Transformación y Resiliencia financiado por Unión Europea Next-Generation EU"</t>
        </is>
      </c>
      <c r="J680" s="2" t="inlineStr">
        <is>
          <t>TSA0077561-337</t>
        </is>
      </c>
      <c r="K680" s="2" t="inlineStr">
        <is>
          <t>Abierto</t>
        </is>
      </c>
      <c r="L680" s="6" t="n">
        <v>2</v>
      </c>
      <c r="M680" s="2" t="n"/>
      <c r="N680" s="7" t="n">
        <v>0</v>
      </c>
      <c r="O680" s="4" t="n"/>
      <c r="P680" s="2" t="inlineStr">
        <is>
          <t>45500000</t>
        </is>
      </c>
      <c r="Q680" s="8" t="inlineStr">
        <is>
          <t>Ver</t>
        </is>
      </c>
      <c r="R680" s="8" t="inlineStr">
        <is>
          <t>PCAP</t>
        </is>
      </c>
      <c r="S680" s="9" t="n">
        <v>46317</v>
      </c>
      <c r="T680" s="3" t="n">
        <v>46315.43483796297</v>
      </c>
      <c r="U680" s="2" t="n"/>
    </row>
    <row r="681">
      <c r="A681" s="2" t="inlineStr">
        <is>
          <t>Resuelta</t>
        </is>
      </c>
      <c r="B681" s="3" t="n">
        <v>46167.99930555555</v>
      </c>
      <c r="C681" s="5" t="n">
        <v>473584.3</v>
      </c>
      <c r="D681" s="5" t="n">
        <v>473584.3</v>
      </c>
      <c r="E681" s="2" t="inlineStr">
        <is>
          <t>Andalucía</t>
        </is>
      </c>
      <c r="F681" s="2" t="inlineStr">
        <is>
          <t>Cádiz</t>
        </is>
      </c>
      <c r="G681" s="2" t="n"/>
      <c r="H681" s="2" t="inlineStr">
        <is>
          <t>Alcaldia del Ayuntamiento de San Fernando</t>
        </is>
      </c>
      <c r="I681" s="2" t="inlineStr">
        <is>
          <t>Obras del Proyecto de remodelacion del pavimento y rasantes en la Plaza los Barcos</t>
        </is>
      </c>
      <c r="J681" s="2" t="inlineStr">
        <is>
          <t>SC 47/2026</t>
        </is>
      </c>
      <c r="K681" s="2" t="inlineStr">
        <is>
          <t>Abierto</t>
        </is>
      </c>
      <c r="L681" s="6" t="n">
        <v>6</v>
      </c>
      <c r="M681" s="2" t="n"/>
      <c r="N681" s="7" t="n">
        <v>0.3</v>
      </c>
      <c r="O681" s="4" t="n"/>
      <c r="P681" s="2" t="inlineStr">
        <is>
          <t>45233262; 45233293; 45233252; 45111100</t>
        </is>
      </c>
      <c r="Q681" s="8" t="inlineStr">
        <is>
          <t>Ver</t>
        </is>
      </c>
      <c r="R681" s="8" t="inlineStr">
        <is>
          <t>PCAP</t>
        </is>
      </c>
      <c r="S681" s="9" t="n">
        <v>46317</v>
      </c>
      <c r="T681" s="3" t="n">
        <v>46315.42677083334</v>
      </c>
      <c r="U681" s="2" t="n"/>
    </row>
    <row r="682">
      <c r="A682" s="2" t="inlineStr">
        <is>
          <t>Pendiente de adjudicación</t>
        </is>
      </c>
      <c r="B682" s="3" t="n">
        <v>46583.58333333334</v>
      </c>
      <c r="C682" s="5" t="n">
        <v>5260000</v>
      </c>
      <c r="D682" s="5" t="n">
        <v>5260000</v>
      </c>
      <c r="E682" s="2" t="inlineStr">
        <is>
          <t>Andalucía</t>
        </is>
      </c>
      <c r="F682" s="2" t="inlineStr">
        <is>
          <t>Córdoba</t>
        </is>
      </c>
      <c r="G682" s="2" t="inlineStr">
        <is>
          <t>Córdoba</t>
        </is>
      </c>
      <c r="H682" s="2" t="inlineStr">
        <is>
          <t>Rectorado de la Universidad de Córdoba</t>
        </is>
      </c>
      <c r="I682" s="2" t="inlineStr">
        <is>
          <t>Establecimiento de un sistema dinámico de adquisición para la ejecución de las obras habituales en la Universidad de Córdoba</t>
        </is>
      </c>
      <c r="J682" s="2" t="inlineStr">
        <is>
          <t>2023/00029</t>
        </is>
      </c>
      <c r="K682" s="2" t="inlineStr">
        <is>
          <t>Restringido</t>
        </is>
      </c>
      <c r="L682" s="6" t="n"/>
      <c r="M682" s="2" t="n"/>
      <c r="N682" s="7" t="n">
        <v>0.286</v>
      </c>
      <c r="O682" s="4" t="n">
        <v>14</v>
      </c>
      <c r="P682" s="2" t="inlineStr">
        <is>
          <t>45000000; 45420000; 45440000; 45450000; 45100000; 45430000; 45340000; 45210000; 45220000; 45230000; 45310000; 45320000; 45330000; 45260000; 45410000</t>
        </is>
      </c>
      <c r="Q682" s="8" t="inlineStr">
        <is>
          <t>Ver</t>
        </is>
      </c>
      <c r="R682" s="8" t="inlineStr">
        <is>
          <t>PCAP</t>
        </is>
      </c>
      <c r="S682" s="9" t="n">
        <v>46311</v>
      </c>
      <c r="T682" s="3" t="n">
        <v>46315.42527777778</v>
      </c>
      <c r="U682" s="2" t="n"/>
    </row>
    <row r="683">
      <c r="A683" s="2" t="inlineStr">
        <is>
          <t>Adjudicada</t>
        </is>
      </c>
      <c r="B683" s="3" t="n">
        <v>46219.99930555555</v>
      </c>
      <c r="C683" s="5" t="n">
        <v>316426.4</v>
      </c>
      <c r="D683" s="5" t="n">
        <v>316426.4</v>
      </c>
      <c r="E683" s="2" t="inlineStr">
        <is>
          <t>Comunitat Valenciana</t>
        </is>
      </c>
      <c r="F683" s="2" t="inlineStr">
        <is>
          <t>Alicante</t>
        </is>
      </c>
      <c r="G683" s="2" t="n"/>
      <c r="H683" s="2" t="inlineStr">
        <is>
          <t>Presidencia de la Diputación Provincial de Alicante</t>
        </is>
      </c>
      <c r="I683" s="2" t="inlineStr">
        <is>
          <t>"Obras de asfaltado y mejora de caminos rurales, en el municipio de Tollos (2024.PLA.254)"</t>
        </is>
      </c>
      <c r="J683" s="2" t="inlineStr">
        <is>
          <t>O4S-048/2026</t>
        </is>
      </c>
      <c r="K683" s="2" t="inlineStr">
        <is>
          <t>Abierto simplificado</t>
        </is>
      </c>
      <c r="L683" s="6" t="n">
        <v>3</v>
      </c>
      <c r="M683" s="2" t="n"/>
      <c r="N683" s="7" t="n">
        <v>0</v>
      </c>
      <c r="O683" s="4" t="n"/>
      <c r="P683" s="2" t="inlineStr">
        <is>
          <t>45200000</t>
        </is>
      </c>
      <c r="Q683" s="8" t="inlineStr">
        <is>
          <t>Ver</t>
        </is>
      </c>
      <c r="R683" s="8" t="inlineStr">
        <is>
          <t>PCAP</t>
        </is>
      </c>
      <c r="S683" s="9" t="n">
        <v>46317</v>
      </c>
      <c r="T683" s="3" t="n">
        <v>46315.42396990741</v>
      </c>
      <c r="U683" s="2" t="n"/>
    </row>
    <row r="684">
      <c r="A684" s="2" t="inlineStr">
        <is>
          <t>Pendiente de adjudicación</t>
        </is>
      </c>
      <c r="B684" s="3" t="n">
        <v>46248.99930555555</v>
      </c>
      <c r="C684" s="5" t="n">
        <v>6404132.22</v>
      </c>
      <c r="D684" s="5" t="n">
        <v>6404132.22</v>
      </c>
      <c r="E684" s="2" t="inlineStr">
        <is>
          <t>Andalucía</t>
        </is>
      </c>
      <c r="F684" s="2" t="inlineStr">
        <is>
          <t>Sevilla</t>
        </is>
      </c>
      <c r="G684" s="2" t="n"/>
      <c r="H684" s="2" t="inlineStr">
        <is>
          <t>Junta de Gobierno del Ayuntamiento de Dos Hermanas</t>
        </is>
      </c>
      <c r="I684" s="2" t="inlineStr">
        <is>
          <t>Ejecución de Biobulevar Rafael Escudero Rodríguez, que podrá ser cofinanciado por la Unión Europea a través del Fondo Europeo de Desarrollo Regional (FEDER) en el marco del Programa Plurirregional de España 2021-2027 dentro de la Estrategia de Desarrollo Integrado Local (PLAN EDIL)</t>
        </is>
      </c>
      <c r="J684" s="2" t="inlineStr">
        <is>
          <t>2026000016</t>
        </is>
      </c>
      <c r="K684" s="2" t="inlineStr">
        <is>
          <t>Abierto</t>
        </is>
      </c>
      <c r="L684" s="6" t="n">
        <v>12</v>
      </c>
      <c r="M684" s="2" t="inlineStr">
        <is>
          <t>G6-4; A2-4</t>
        </is>
      </c>
      <c r="N684" s="7" t="n">
        <v>0</v>
      </c>
      <c r="O684" s="4" t="n"/>
      <c r="P684" s="2" t="inlineStr">
        <is>
          <t>45233140; 45112000; 45112700; 45316000</t>
        </is>
      </c>
      <c r="Q684" s="8" t="inlineStr">
        <is>
          <t>Ver</t>
        </is>
      </c>
      <c r="R684" s="8" t="inlineStr">
        <is>
          <t>PCAP</t>
        </is>
      </c>
      <c r="S684" s="9" t="n">
        <v>46317</v>
      </c>
      <c r="T684" s="3" t="n">
        <v>46315.42388888889</v>
      </c>
      <c r="U684" s="2" t="n"/>
    </row>
    <row r="685">
      <c r="A685" s="2" t="inlineStr">
        <is>
          <t>En plazo</t>
        </is>
      </c>
      <c r="B685" s="3" t="n">
        <v>46330.99930555555</v>
      </c>
      <c r="C685" s="5" t="n">
        <v>617734.71</v>
      </c>
      <c r="D685" s="5" t="n">
        <v>617734.71</v>
      </c>
      <c r="E685" s="2" t="inlineStr">
        <is>
          <t>Andalucía</t>
        </is>
      </c>
      <c r="F685" s="2" t="inlineStr">
        <is>
          <t>Huelva</t>
        </is>
      </c>
      <c r="G685" s="2" t="inlineStr">
        <is>
          <t>BONARES</t>
        </is>
      </c>
      <c r="H685" s="2" t="inlineStr">
        <is>
          <t>Alcaldia del Ayuntamiento de Bonares</t>
        </is>
      </c>
      <c r="I685" s="2" t="inlineStr">
        <is>
          <t>Mejora de las instalaciones deportivas en el Polígono Industrial El Corchito.</t>
        </is>
      </c>
      <c r="J685" s="2" t="inlineStr">
        <is>
          <t>3624/2026</t>
        </is>
      </c>
      <c r="K685" s="2" t="inlineStr">
        <is>
          <t>Abierto simplificado</t>
        </is>
      </c>
      <c r="L685" s="6" t="n">
        <v>8</v>
      </c>
      <c r="M685" s="2" t="n"/>
      <c r="N685" s="7" t="n">
        <v>0</v>
      </c>
      <c r="O685" s="4" t="n">
        <v>3</v>
      </c>
      <c r="P685" s="2" t="inlineStr">
        <is>
          <t>45212200; 43324000; 45236119; 45315300; 45261210; 09331200; 39293400; 39522100; 45232453; 45421144; 45261215</t>
        </is>
      </c>
      <c r="Q685" s="8" t="inlineStr">
        <is>
          <t>Ver</t>
        </is>
      </c>
      <c r="R685" s="8" t="inlineStr">
        <is>
          <t>PCAP</t>
        </is>
      </c>
      <c r="S685" s="9" t="n">
        <v>46311</v>
      </c>
      <c r="T685" s="3" t="n">
        <v>46315.42299768519</v>
      </c>
      <c r="U685" s="2" t="n"/>
    </row>
    <row r="686">
      <c r="A686" s="2" t="inlineStr">
        <is>
          <t>En plazo</t>
        </is>
      </c>
      <c r="B686" s="3" t="n">
        <v>46335.58333333334</v>
      </c>
      <c r="C686" s="5" t="n">
        <v>81610.72</v>
      </c>
      <c r="D686" s="5" t="n">
        <v>81610.72</v>
      </c>
      <c r="E686" s="2" t="inlineStr">
        <is>
          <t>Comunitat Valenciana</t>
        </is>
      </c>
      <c r="F686" s="2" t="inlineStr">
        <is>
          <t>Valencia</t>
        </is>
      </c>
      <c r="G686" s="2" t="inlineStr">
        <is>
          <t>REQUENA</t>
        </is>
      </c>
      <c r="H686" s="2" t="inlineStr">
        <is>
          <t>Alcaldía del Ayuntamiento de Requena</t>
        </is>
      </c>
      <c r="I686" s="2" t="inlineStr">
        <is>
          <t>Adecuacion de espacios exteriores y construccion de una pista de padel en El Rebollar</t>
        </is>
      </c>
      <c r="J686" s="2" t="inlineStr">
        <is>
          <t>3025626J</t>
        </is>
      </c>
      <c r="K686" s="2" t="inlineStr">
        <is>
          <t>Abierto simplificado</t>
        </is>
      </c>
      <c r="L686" s="6" t="n">
        <v>2</v>
      </c>
      <c r="M686" s="2" t="n"/>
      <c r="N686" s="7" t="n">
        <v>0</v>
      </c>
      <c r="O686" s="4" t="n"/>
      <c r="P686" s="2" t="inlineStr">
        <is>
          <t>45212200</t>
        </is>
      </c>
      <c r="Q686" s="8" t="inlineStr">
        <is>
          <t>Ver</t>
        </is>
      </c>
      <c r="R686" s="8" t="inlineStr">
        <is>
          <t>PCAP</t>
        </is>
      </c>
      <c r="S686" s="9" t="n">
        <v>46317</v>
      </c>
      <c r="T686" s="3" t="n">
        <v>46315.42165509259</v>
      </c>
      <c r="U686" s="2" t="n"/>
    </row>
    <row r="687">
      <c r="A687" s="2" t="inlineStr">
        <is>
          <t>En plazo</t>
        </is>
      </c>
      <c r="B687" s="3" t="n">
        <v>46329.79166666666</v>
      </c>
      <c r="C687" s="5" t="n">
        <v>1565254.69</v>
      </c>
      <c r="D687" s="5" t="n">
        <v>1565254.69</v>
      </c>
      <c r="E687" s="2" t="inlineStr">
        <is>
          <t>Andalucía</t>
        </is>
      </c>
      <c r="F687" s="2" t="inlineStr">
        <is>
          <t>Almería</t>
        </is>
      </c>
      <c r="G687" s="2" t="inlineStr">
        <is>
          <t>Almería</t>
        </is>
      </c>
      <c r="H687" s="2" t="inlineStr">
        <is>
          <t>Presidencia de la Autoridad Portuaria de Almería</t>
        </is>
      </c>
      <c r="I687" s="2" t="inlineStr">
        <is>
          <t>Obras de reforma de Pasarelas 2 y 3 en Puerto de Almería</t>
        </is>
      </c>
      <c r="J687" s="2" t="inlineStr">
        <is>
          <t>26/O/A/AL26</t>
        </is>
      </c>
      <c r="K687" s="2" t="inlineStr">
        <is>
          <t>Abierto</t>
        </is>
      </c>
      <c r="L687" s="6" t="n">
        <v>6</v>
      </c>
      <c r="M687" s="2" t="inlineStr">
        <is>
          <t>C3-4</t>
        </is>
      </c>
      <c r="N687" s="7" t="n">
        <v>0.25</v>
      </c>
      <c r="O687" s="4" t="n"/>
      <c r="P687" s="2" t="inlineStr">
        <is>
          <t>45223210; 45223100</t>
        </is>
      </c>
      <c r="Q687" s="8" t="inlineStr">
        <is>
          <t>Ver</t>
        </is>
      </c>
      <c r="R687" s="8" t="inlineStr">
        <is>
          <t>PCAP</t>
        </is>
      </c>
      <c r="S687" s="9" t="n">
        <v>46310</v>
      </c>
      <c r="T687" s="3" t="n">
        <v>46315.41290509259</v>
      </c>
      <c r="U687" s="2" t="n"/>
    </row>
    <row r="688">
      <c r="A688" s="2" t="inlineStr">
        <is>
          <t>Adjudicada</t>
        </is>
      </c>
      <c r="B688" s="3" t="n">
        <v>46286.99930555555</v>
      </c>
      <c r="C688" s="5" t="n">
        <v>93554.67</v>
      </c>
      <c r="D688" s="5" t="n">
        <v>93554.67</v>
      </c>
      <c r="E688" s="2" t="inlineStr">
        <is>
          <t>Andalucía</t>
        </is>
      </c>
      <c r="F688" s="2" t="inlineStr">
        <is>
          <t>Málaga</t>
        </is>
      </c>
      <c r="G688" s="2" t="inlineStr">
        <is>
          <t>Villanueva del Rosario</t>
        </is>
      </c>
      <c r="H688" s="2" t="inlineStr">
        <is>
          <t>Alcaldía del Ayuntamiento de Villanueva del Rosario</t>
        </is>
      </c>
      <c r="I688" s="2" t="inlineStr">
        <is>
          <t>El objeto de la licitación es la ejecución del proyecto técnico Proyecto de sustitución de tuberías de saneamiento y abastecimiento en C/ Desengaño (PO-AD-22/2026).</t>
        </is>
      </c>
      <c r="J688" s="2" t="inlineStr">
        <is>
          <t>VR20261786</t>
        </is>
      </c>
      <c r="K688" s="2" t="inlineStr">
        <is>
          <t>Abierto simplificado</t>
        </is>
      </c>
      <c r="L688" s="6" t="n">
        <v>4</v>
      </c>
      <c r="M688" s="2" t="n"/>
      <c r="N688" s="7" t="n">
        <v>0</v>
      </c>
      <c r="O688" s="4" t="n"/>
      <c r="P688" s="2" t="inlineStr">
        <is>
          <t>45231000; 45233200</t>
        </is>
      </c>
      <c r="Q688" s="8" t="inlineStr">
        <is>
          <t>Ver</t>
        </is>
      </c>
      <c r="R688" s="8" t="inlineStr">
        <is>
          <t>PCAP</t>
        </is>
      </c>
      <c r="S688" s="9" t="n">
        <v>46311</v>
      </c>
      <c r="T688" s="3" t="n">
        <v>46315.41114583334</v>
      </c>
      <c r="U688" s="2" t="n"/>
    </row>
    <row r="689">
      <c r="A689" s="2" t="inlineStr">
        <is>
          <t>Adjudicada</t>
        </is>
      </c>
      <c r="B689" s="3" t="n">
        <v>46188.54166666666</v>
      </c>
      <c r="C689" s="5" t="n">
        <v>1453555.68</v>
      </c>
      <c r="D689" s="5" t="n">
        <v>1598911.25</v>
      </c>
      <c r="E689" s="2" t="inlineStr">
        <is>
          <t>Comunitat Valenciana</t>
        </is>
      </c>
      <c r="F689" s="2" t="inlineStr">
        <is>
          <t>Valencia</t>
        </is>
      </c>
      <c r="G689" s="2" t="inlineStr">
        <is>
          <t>Valencia</t>
        </is>
      </c>
      <c r="H689" s="2" t="inlineStr">
        <is>
          <t>Presidencia de la Autoridad Portuaria de Valencia</t>
        </is>
      </c>
      <c r="I689" s="2" t="inlineStr">
        <is>
          <t>Proyecto Renmarinas: Diseño, suministro e instalación de un sistema de evacuación de energía eléctrica desde una planta fotovoltaica flotante a la red de media tensión existente en el Puerto de Valencia (FV Flotante VLC), así como un sistema de evacuación de energía eléctrica desde una planta undimotriz a la red de media tensión existente en el Puerto de Sagunto (UNDIMOTRIZ SAG)</t>
        </is>
      </c>
      <c r="J689" s="2" t="inlineStr">
        <is>
          <t>EC25-C02-04830</t>
        </is>
      </c>
      <c r="K689" s="2" t="inlineStr">
        <is>
          <t>Abierto simplificado</t>
        </is>
      </c>
      <c r="L689" s="6" t="n">
        <v>11</v>
      </c>
      <c r="M689" s="2" t="n"/>
      <c r="N689" s="7" t="n">
        <v>0</v>
      </c>
      <c r="O689" s="4" t="n">
        <v>2</v>
      </c>
      <c r="P689" s="2" t="inlineStr">
        <is>
          <t>45231400</t>
        </is>
      </c>
      <c r="Q689" s="8" t="inlineStr">
        <is>
          <t>Ver</t>
        </is>
      </c>
      <c r="R689" s="8" t="inlineStr">
        <is>
          <t>PCAP</t>
        </is>
      </c>
      <c r="S689" s="9" t="n">
        <v>46310</v>
      </c>
      <c r="T689" s="3" t="n">
        <v>46315.40618055555</v>
      </c>
      <c r="U689" s="2" t="n"/>
    </row>
    <row r="690">
      <c r="A690" s="2" t="inlineStr">
        <is>
          <t>Pendiente de adjudicación</t>
        </is>
      </c>
      <c r="B690" s="3" t="n">
        <v>46259.99930555555</v>
      </c>
      <c r="C690" s="5" t="n">
        <v>9155275.939999999</v>
      </c>
      <c r="D690" s="5" t="n">
        <v>9155275.939999999</v>
      </c>
      <c r="E690" s="2" t="inlineStr">
        <is>
          <t>Comunitat Valenciana</t>
        </is>
      </c>
      <c r="F690" s="2" t="inlineStr">
        <is>
          <t>Alicante</t>
        </is>
      </c>
      <c r="G690" s="2" t="n"/>
      <c r="H690" s="2" t="inlineStr">
        <is>
          <t>Junta de Gobierno del Ayuntamiento de Torrevieja</t>
        </is>
      </c>
      <c r="I690" s="2" t="inlineStr">
        <is>
          <t>Contratación de las obras del Auditorio de Torrevieja, C/ Salero y Varadero completo, (exp. 21209/2021), pto de entronque en M.T. para suministro eléctrico y actualización red de A.P. y Evac. de Pluv. en el ámbito del Museo del Mar y Auditorio de Habaneras, mediante tramitación anticipada del gasto</t>
        </is>
      </c>
      <c r="J690" s="2" t="inlineStr">
        <is>
          <t>70106/2026</t>
        </is>
      </c>
      <c r="K690" s="2" t="inlineStr">
        <is>
          <t>Abierto</t>
        </is>
      </c>
      <c r="L690" s="6" t="n">
        <v>24</v>
      </c>
      <c r="M690" s="2" t="n"/>
      <c r="N690" s="7" t="n">
        <v>0.3</v>
      </c>
      <c r="O690" s="4" t="n"/>
      <c r="P690" s="2" t="inlineStr">
        <is>
          <t>45000000; 45112500; 45300000; 45400000; 43325000; 45316100; 45233140</t>
        </is>
      </c>
      <c r="Q690" s="8" t="inlineStr">
        <is>
          <t>Ver</t>
        </is>
      </c>
      <c r="R690" s="8" t="inlineStr">
        <is>
          <t>PCAP</t>
        </is>
      </c>
      <c r="S690" s="9" t="n">
        <v>46317</v>
      </c>
      <c r="T690" s="3" t="n">
        <v>46315.40474537037</v>
      </c>
      <c r="U690" s="2" t="n"/>
    </row>
    <row r="691">
      <c r="A691" s="2" t="inlineStr">
        <is>
          <t>Resuelta</t>
        </is>
      </c>
      <c r="B691" s="3" t="n">
        <v>46287.99930555555</v>
      </c>
      <c r="C691" s="5" t="n">
        <v>305785.12</v>
      </c>
      <c r="D691" s="5" t="n">
        <v>305785.12</v>
      </c>
      <c r="E691" s="2" t="inlineStr">
        <is>
          <t>Andalucía</t>
        </is>
      </c>
      <c r="F691" s="2" t="inlineStr">
        <is>
          <t>Córdoba</t>
        </is>
      </c>
      <c r="G691" s="2" t="n"/>
      <c r="H691" s="2" t="inlineStr">
        <is>
          <t>Alcaldía del Ayuntamiento de Lucena</t>
        </is>
      </c>
      <c r="I691" s="2" t="inlineStr">
        <is>
          <t>Obras de renovación del pavimento de la pista de atletismo de la Ciudad Deportiva de Lucena.</t>
        </is>
      </c>
      <c r="J691" s="2" t="inlineStr">
        <is>
          <t>OB-09/26</t>
        </is>
      </c>
      <c r="K691" s="2" t="inlineStr">
        <is>
          <t>Abierto simplificado</t>
        </is>
      </c>
      <c r="L691" s="6" t="n">
        <v>2</v>
      </c>
      <c r="M691" s="2" t="n"/>
      <c r="N691" s="7" t="n">
        <v>0</v>
      </c>
      <c r="O691" s="4" t="n"/>
      <c r="P691" s="2" t="inlineStr">
        <is>
          <t>45236119; 45212220</t>
        </is>
      </c>
      <c r="Q691" s="8" t="inlineStr">
        <is>
          <t>Ver</t>
        </is>
      </c>
      <c r="R691" s="8" t="inlineStr">
        <is>
          <t>PCAP</t>
        </is>
      </c>
      <c r="S691" s="9" t="n">
        <v>46314</v>
      </c>
      <c r="T691" s="3" t="n">
        <v>46315.40453703704</v>
      </c>
      <c r="U691" s="2" t="inlineStr">
        <is>
          <t>2026-10-22: estado ADJ → RES</t>
        </is>
      </c>
    </row>
    <row r="692">
      <c r="A692" s="2" t="inlineStr">
        <is>
          <t>Pendiente de adjudicación</t>
        </is>
      </c>
      <c r="B692" s="3" t="n">
        <v>46298.99930555555</v>
      </c>
      <c r="C692" s="5" t="n">
        <v>966884.35</v>
      </c>
      <c r="D692" s="5" t="n">
        <v>966884.35</v>
      </c>
      <c r="E692" s="2" t="inlineStr">
        <is>
          <t>Comunitat Valenciana</t>
        </is>
      </c>
      <c r="F692" s="2" t="n"/>
      <c r="G692" s="2" t="n"/>
      <c r="H692" s="2" t="inlineStr">
        <is>
          <t>Conselleria de Educación, Cultura y Universidades</t>
        </is>
      </c>
      <c r="I692" s="2" t="inlineStr">
        <is>
          <t>Rehabilitación y reparación de inmuebles en el extremo sur del Real monasterio de Santa María de la Valldigna</t>
        </is>
      </c>
      <c r="J692" s="2" t="inlineStr">
        <is>
          <t>CMAYOR/2026/17Y03/0013</t>
        </is>
      </c>
      <c r="K692" s="2" t="inlineStr">
        <is>
          <t>Abierto simplificado</t>
        </is>
      </c>
      <c r="L692" s="6" t="n">
        <v>12</v>
      </c>
      <c r="M692" s="2" t="inlineStr">
        <is>
          <t>K7-4</t>
        </is>
      </c>
      <c r="N692" s="7" t="n">
        <v>0.2</v>
      </c>
      <c r="O692" s="4" t="n"/>
      <c r="P692" s="2" t="inlineStr">
        <is>
          <t>45212350; 45262500; 45454100; 45212000; 45212300</t>
        </is>
      </c>
      <c r="Q692" s="8" t="inlineStr">
        <is>
          <t>Ver</t>
        </is>
      </c>
      <c r="R692" s="8" t="inlineStr">
        <is>
          <t>PCAP</t>
        </is>
      </c>
      <c r="S692" s="9" t="n">
        <v>46310</v>
      </c>
      <c r="T692" s="3" t="n">
        <v>46315.39725694444</v>
      </c>
      <c r="U692" s="2" t="n"/>
    </row>
    <row r="693">
      <c r="A693" s="2" t="inlineStr">
        <is>
          <t>Adjudicada</t>
        </is>
      </c>
      <c r="B693" s="3" t="n">
        <v>46205.58333333334</v>
      </c>
      <c r="C693" s="5" t="n">
        <v>1410422.58</v>
      </c>
      <c r="D693" s="5" t="n">
        <v>1410422.58</v>
      </c>
      <c r="E693" s="2" t="inlineStr">
        <is>
          <t>Comunitat Valenciana</t>
        </is>
      </c>
      <c r="F693" s="2" t="inlineStr">
        <is>
          <t>Valencia</t>
        </is>
      </c>
      <c r="G693" s="2" t="inlineStr">
        <is>
          <t>Catarroja (Valencia)</t>
        </is>
      </c>
      <c r="H693" s="2" t="inlineStr">
        <is>
          <t>Secretaria General de la Tesorería General de la Seguridad Social</t>
        </is>
      </c>
      <c r="I693" s="2" t="inlineStr">
        <is>
          <t>Obras de reforma integral del inmueble situado en la calle Manfredo Monforte nº 24, planta baja, para ubicar una Oficina Integral de la Seguridad Social en Catarroja (Valencia).</t>
        </is>
      </c>
      <c r="J693" s="2" t="inlineStr">
        <is>
          <t>2025/46546S</t>
        </is>
      </c>
      <c r="K693" s="2" t="inlineStr">
        <is>
          <t>Abierto simplificado</t>
        </is>
      </c>
      <c r="L693" s="6" t="n">
        <v>8</v>
      </c>
      <c r="M693" s="2" t="inlineStr">
        <is>
          <t>C9-2; C6-2</t>
        </is>
      </c>
      <c r="N693" s="7" t="n">
        <v>0</v>
      </c>
      <c r="O693" s="4" t="n"/>
      <c r="P693" s="2" t="inlineStr">
        <is>
          <t>45200000</t>
        </is>
      </c>
      <c r="Q693" s="8" t="inlineStr">
        <is>
          <t>Ver</t>
        </is>
      </c>
      <c r="R693" s="8" t="inlineStr">
        <is>
          <t>PCAP</t>
        </is>
      </c>
      <c r="S693" s="9" t="n">
        <v>46317</v>
      </c>
      <c r="T693" s="3" t="n">
        <v>46315.39614583334</v>
      </c>
      <c r="U693" s="2" t="n"/>
    </row>
    <row r="694">
      <c r="A694" s="2" t="inlineStr">
        <is>
          <t>Resuelta</t>
        </is>
      </c>
      <c r="B694" s="3" t="n">
        <v>46265.99930555555</v>
      </c>
      <c r="C694" s="5" t="n">
        <v>168275.55</v>
      </c>
      <c r="D694" s="5" t="n">
        <v>201930.66</v>
      </c>
      <c r="E694" s="2" t="inlineStr">
        <is>
          <t>Comunitat Valenciana</t>
        </is>
      </c>
      <c r="F694" s="2" t="inlineStr">
        <is>
          <t>Valencia</t>
        </is>
      </c>
      <c r="G694" s="2" t="n"/>
      <c r="H694" s="2" t="inlineStr">
        <is>
          <t>Apoderado Mancomunado de Aigües de Sagunt, S.A.</t>
        </is>
      </c>
      <c r="I694" s="2" t="inlineStr">
        <is>
          <t>Obras destinadas a la mejora del rendimiento hidráulico de la tubería de traída de agua potable al Puerto de Sagunto (València)</t>
        </is>
      </c>
      <c r="J694" s="2" t="inlineStr">
        <is>
          <t>EC-1787/2026</t>
        </is>
      </c>
      <c r="K694" s="2" t="inlineStr">
        <is>
          <t>Abierto</t>
        </is>
      </c>
      <c r="L694" s="6" t="n">
        <v>2</v>
      </c>
      <c r="M694" s="2" t="n"/>
      <c r="N694" s="7" t="n">
        <v>0.45</v>
      </c>
      <c r="O694" s="4" t="n"/>
      <c r="P694" s="2" t="inlineStr">
        <is>
          <t>45232150</t>
        </is>
      </c>
      <c r="Q694" s="8" t="inlineStr">
        <is>
          <t>Ver</t>
        </is>
      </c>
      <c r="R694" s="8" t="inlineStr">
        <is>
          <t>PCAP</t>
        </is>
      </c>
      <c r="S694" s="9" t="n">
        <v>46310</v>
      </c>
      <c r="T694" s="3" t="n">
        <v>46315.39293981482</v>
      </c>
      <c r="U694" s="2" t="inlineStr">
        <is>
          <t>2026-10-22: estado ADJ → RES</t>
        </is>
      </c>
    </row>
    <row r="695">
      <c r="A695" s="2" t="inlineStr">
        <is>
          <t>Pendiente de adjudicación</t>
        </is>
      </c>
      <c r="B695" s="3" t="n">
        <v>46205.99930555555</v>
      </c>
      <c r="C695" s="5" t="n">
        <v>48865.76</v>
      </c>
      <c r="D695" s="5" t="n">
        <v>48865.76</v>
      </c>
      <c r="E695" s="2" t="inlineStr">
        <is>
          <t>Comunitat Valenciana</t>
        </is>
      </c>
      <c r="F695" s="2" t="inlineStr">
        <is>
          <t>Alicante</t>
        </is>
      </c>
      <c r="G695" s="2" t="n"/>
      <c r="H695" s="2" t="inlineStr">
        <is>
          <t>Teniente de Alcalde de Contratación Pública del Ayuntamiento de Elche</t>
        </is>
      </c>
      <c r="I695" s="2" t="inlineStr">
        <is>
          <t>Trabajos necesarios de instalación (sustitución, reparación y/o adaptación) de los sistemas de alarma y detección de incendios en determinados edificios municipales y colegios públicos.</t>
        </is>
      </c>
      <c r="J695" s="2" t="inlineStr">
        <is>
          <t>OBR/ABR_SP_SMPL/2026000062</t>
        </is>
      </c>
      <c r="K695" s="2" t="inlineStr">
        <is>
          <t>Abierto simplificado</t>
        </is>
      </c>
      <c r="L695" s="6" t="n">
        <v>2.3</v>
      </c>
      <c r="M695" s="2" t="n"/>
      <c r="N695" s="7" t="n">
        <v>0</v>
      </c>
      <c r="O695" s="4" t="n"/>
      <c r="P695" s="2" t="inlineStr">
        <is>
          <t>45312100; 35121700</t>
        </is>
      </c>
      <c r="Q695" s="8" t="inlineStr">
        <is>
          <t>Ver</t>
        </is>
      </c>
      <c r="R695" s="8" t="inlineStr">
        <is>
          <t>PCAP</t>
        </is>
      </c>
      <c r="S695" s="9" t="n">
        <v>46317</v>
      </c>
      <c r="T695" s="3" t="n">
        <v>46315.38989583333</v>
      </c>
      <c r="U695" s="2" t="n"/>
    </row>
    <row r="696">
      <c r="A696" s="2" t="inlineStr">
        <is>
          <t>Resuelta</t>
        </is>
      </c>
      <c r="B696" s="3" t="n">
        <v>46288.99930555555</v>
      </c>
      <c r="C696" s="5" t="n">
        <v>10886</v>
      </c>
      <c r="D696" s="5" t="n">
        <v>10886</v>
      </c>
      <c r="E696" s="2" t="inlineStr">
        <is>
          <t>Comunitat Valenciana</t>
        </is>
      </c>
      <c r="F696" s="2" t="inlineStr">
        <is>
          <t>Valencia</t>
        </is>
      </c>
      <c r="G696" s="2" t="n"/>
      <c r="H696" s="2" t="inlineStr">
        <is>
          <t>Sexta Zona de la Guardia Civil en la Comunidad Valenciana</t>
        </is>
      </c>
      <c r="I696" s="2" t="inlineStr">
        <is>
          <t>Compartimentar garaje Acuartelamiento de la 6ª Zona en cumplimiento de las recomendaciones elaboradas por la Unidad de Prevención de Riesgos Laborales sobre prevención de Incendios.</t>
        </is>
      </c>
      <c r="J696" s="2" t="inlineStr">
        <is>
          <t>P/0158/Y/26/6</t>
        </is>
      </c>
      <c r="K696" s="2" t="inlineStr">
        <is>
          <t>Abierto simplificado</t>
        </is>
      </c>
      <c r="L696" s="6" t="n">
        <v>1</v>
      </c>
      <c r="M696" s="2" t="n"/>
      <c r="N696" s="7" t="n">
        <v>0</v>
      </c>
      <c r="O696" s="4" t="n"/>
      <c r="P696" s="2" t="inlineStr">
        <is>
          <t>45000000</t>
        </is>
      </c>
      <c r="Q696" s="8" t="inlineStr">
        <is>
          <t>Ver</t>
        </is>
      </c>
      <c r="R696" s="8" t="inlineStr">
        <is>
          <t>PCAP</t>
        </is>
      </c>
      <c r="S696" s="9" t="n">
        <v>46310</v>
      </c>
      <c r="T696" s="3" t="n">
        <v>46315.38806712963</v>
      </c>
      <c r="U696" s="2" t="inlineStr">
        <is>
          <t>2026-10-22: estado ADJ → RES</t>
        </is>
      </c>
    </row>
    <row r="697">
      <c r="A697" s="2" t="inlineStr">
        <is>
          <t>Resuelta</t>
        </is>
      </c>
      <c r="B697" s="3" t="n">
        <v>46209.99930555555</v>
      </c>
      <c r="C697" s="5" t="n">
        <v>410987.16</v>
      </c>
      <c r="D697" s="5" t="n">
        <v>493184.59</v>
      </c>
      <c r="E697" s="2" t="inlineStr">
        <is>
          <t>Comunitat Valenciana</t>
        </is>
      </c>
      <c r="F697" s="2" t="inlineStr">
        <is>
          <t>Valencia</t>
        </is>
      </c>
      <c r="G697" s="2" t="n"/>
      <c r="H697" s="2" t="inlineStr">
        <is>
          <t>Apoderado Mancomunado de Aigües de Sagunt, S.A.</t>
        </is>
      </c>
      <c r="I697" s="2" t="inlineStr">
        <is>
          <t>Obras de renovación de la red de agua potable y saneamiento de la c/ Ordoñez de Sagunto</t>
        </is>
      </c>
      <c r="J697" s="2" t="inlineStr">
        <is>
          <t>EC-1763/2026</t>
        </is>
      </c>
      <c r="K697" s="2" t="inlineStr">
        <is>
          <t>Abierto</t>
        </is>
      </c>
      <c r="L697" s="6" t="n">
        <v>4</v>
      </c>
      <c r="M697" s="2" t="n"/>
      <c r="N697" s="7" t="n">
        <v>0.45</v>
      </c>
      <c r="O697" s="4" t="n"/>
      <c r="P697" s="2" t="inlineStr">
        <is>
          <t>45232150</t>
        </is>
      </c>
      <c r="Q697" s="8" t="inlineStr">
        <is>
          <t>Ver</t>
        </is>
      </c>
      <c r="R697" s="8" t="inlineStr">
        <is>
          <t>PCAP</t>
        </is>
      </c>
      <c r="S697" s="9" t="n">
        <v>46317</v>
      </c>
      <c r="T697" s="3" t="n">
        <v>46315.38568287037</v>
      </c>
      <c r="U697" s="2" t="n"/>
    </row>
    <row r="698">
      <c r="A698" s="2" t="inlineStr">
        <is>
          <t>Resuelta</t>
        </is>
      </c>
      <c r="B698" s="3" t="n">
        <v>46313.99930555555</v>
      </c>
      <c r="C698" s="5" t="n">
        <v>30905</v>
      </c>
      <c r="D698" s="5" t="n">
        <v>37086</v>
      </c>
      <c r="E698" s="2" t="inlineStr">
        <is>
          <t>Comunitat Valenciana</t>
        </is>
      </c>
      <c r="F698" s="2" t="inlineStr">
        <is>
          <t>Valencia</t>
        </is>
      </c>
      <c r="G698" s="2" t="n"/>
      <c r="H698" s="2" t="inlineStr">
        <is>
          <t>Dirección General Societat Anonima de Gestió Sagunt Mitja Propi Municipal S.A.</t>
        </is>
      </c>
      <c r="I698" s="2" t="inlineStr">
        <is>
          <t>El presente contrato basado tiene por objeto la ejecución de los trabajos de renovación de la señalización horizontal mediante pintura acrílica blanca y amarilla en las instalaciones del aparcamiento de camiones y depósito municipal de vehículos situados en Carrer Madame Curie, 46500 Sagunt, Valencia</t>
        </is>
      </c>
      <c r="J698" s="2" t="inlineStr">
        <is>
          <t>BASADO01 AMSAG2026-01</t>
        </is>
      </c>
      <c r="K698" s="2" t="inlineStr">
        <is>
          <t>Abierto</t>
        </is>
      </c>
      <c r="L698" s="6" t="n">
        <v>0.5</v>
      </c>
      <c r="M698" s="2" t="n"/>
      <c r="N698" s="7" t="n">
        <v>0</v>
      </c>
      <c r="O698" s="4" t="n"/>
      <c r="P698" s="2" t="inlineStr">
        <is>
          <t>45233221</t>
        </is>
      </c>
      <c r="Q698" s="8" t="inlineStr">
        <is>
          <t>Ver</t>
        </is>
      </c>
      <c r="R698" s="8" t="inlineStr">
        <is>
          <t>PCAP</t>
        </is>
      </c>
      <c r="S698" s="9" t="n">
        <v>46317</v>
      </c>
      <c r="T698" s="3" t="n">
        <v>46315.38311342592</v>
      </c>
      <c r="U698" s="2" t="n"/>
    </row>
    <row r="699">
      <c r="A699" s="2" t="inlineStr">
        <is>
          <t>Resuelta</t>
        </is>
      </c>
      <c r="B699" s="3" t="n">
        <v>46225.99930555555</v>
      </c>
      <c r="C699" s="5" t="n">
        <v>345523.26</v>
      </c>
      <c r="D699" s="5" t="n">
        <v>345523.26</v>
      </c>
      <c r="E699" s="2" t="inlineStr">
        <is>
          <t>Andalucía</t>
        </is>
      </c>
      <c r="F699" s="2" t="inlineStr">
        <is>
          <t>Málaga</t>
        </is>
      </c>
      <c r="G699" s="2" t="inlineStr">
        <is>
          <t>ARDALES</t>
        </is>
      </c>
      <c r="H699" s="2" t="inlineStr">
        <is>
          <t>Pleno del Ayuntamiento de Ardales</t>
        </is>
      </c>
      <c r="I699" s="2" t="inlineStr">
        <is>
          <t>Proyectos de Obras de Urbanización de Traseras de Calle Hospital y Calle Cerrillo</t>
        </is>
      </c>
      <c r="J699" s="2" t="inlineStr">
        <is>
          <t>OBRAS-2026/655</t>
        </is>
      </c>
      <c r="K699" s="2" t="inlineStr">
        <is>
          <t>Abierto simplificado</t>
        </is>
      </c>
      <c r="L699" s="6" t="n">
        <v>9</v>
      </c>
      <c r="M699" s="2" t="n"/>
      <c r="N699" s="7" t="n">
        <v>0</v>
      </c>
      <c r="O699" s="4" t="n"/>
      <c r="P699" s="2" t="inlineStr">
        <is>
          <t>45233252; 45211360; 45232410; 45233222</t>
        </is>
      </c>
      <c r="Q699" s="8" t="inlineStr">
        <is>
          <t>Ver</t>
        </is>
      </c>
      <c r="R699" s="8" t="inlineStr">
        <is>
          <t>PCAP</t>
        </is>
      </c>
      <c r="S699" s="9" t="n">
        <v>46317</v>
      </c>
      <c r="T699" s="3" t="n">
        <v>46315.38261574074</v>
      </c>
      <c r="U699" s="2" t="n"/>
    </row>
    <row r="700">
      <c r="A700" s="2" t="inlineStr">
        <is>
          <t>Pendiente de adjudicación</t>
        </is>
      </c>
      <c r="B700" s="3" t="n">
        <v>46322.99930555555</v>
      </c>
      <c r="C700" s="5" t="n">
        <v>0</v>
      </c>
      <c r="D700" s="5" t="n">
        <v>35298</v>
      </c>
      <c r="E700" s="2" t="inlineStr">
        <is>
          <t>Comunitat Valenciana</t>
        </is>
      </c>
      <c r="F700" s="2" t="inlineStr">
        <is>
          <t>Valencia</t>
        </is>
      </c>
      <c r="G700" s="2" t="inlineStr">
        <is>
          <t>PUERTO DE SAGUNTO</t>
        </is>
      </c>
      <c r="H700" s="2" t="inlineStr">
        <is>
          <t>Dirección General Societat Anonima de Gestió Sagunt Mitja Propi Municipal S.A.</t>
        </is>
      </c>
      <c r="I700" s="2" t="inlineStr">
        <is>
          <t>Ejecucion de trabajos de renovación de la señalización horizontal con pintura acrílica blanca y amarilla, en calles del término municipal de Sagunto.</t>
        </is>
      </c>
      <c r="J700" s="2" t="inlineStr">
        <is>
          <t>BASADO02 AMSAG2026-01</t>
        </is>
      </c>
      <c r="K700" s="2" t="inlineStr">
        <is>
          <t>Abierto</t>
        </is>
      </c>
      <c r="L700" s="6" t="n">
        <v>1.2</v>
      </c>
      <c r="M700" s="2" t="n"/>
      <c r="N700" s="7" t="n">
        <v>0</v>
      </c>
      <c r="O700" s="4" t="n"/>
      <c r="P700" s="2" t="inlineStr">
        <is>
          <t>45000000; 45233221</t>
        </is>
      </c>
      <c r="Q700" s="8" t="inlineStr">
        <is>
          <t>Ver</t>
        </is>
      </c>
      <c r="R700" s="8" t="inlineStr">
        <is>
          <t>PCAP</t>
        </is>
      </c>
      <c r="S700" s="9" t="n">
        <v>46317</v>
      </c>
      <c r="T700" s="3" t="n">
        <v>46315.37413194445</v>
      </c>
      <c r="U700" s="2" t="n"/>
    </row>
    <row r="701">
      <c r="A701" s="2" t="inlineStr">
        <is>
          <t>Resuelta</t>
        </is>
      </c>
      <c r="B701" s="3" t="n">
        <v>46269.99930555555</v>
      </c>
      <c r="C701" s="5" t="n">
        <v>40082.64</v>
      </c>
      <c r="D701" s="5" t="n">
        <v>40082.64</v>
      </c>
      <c r="E701" s="2" t="inlineStr">
        <is>
          <t>Comunitat Valenciana</t>
        </is>
      </c>
      <c r="F701" s="2" t="inlineStr">
        <is>
          <t>Alicante</t>
        </is>
      </c>
      <c r="G701" s="2" t="n"/>
      <c r="H701" s="2" t="inlineStr">
        <is>
          <t>Presidencia de la Diputación Provincial de Alicante</t>
        </is>
      </c>
      <c r="I701" s="2" t="inlineStr">
        <is>
          <t>Obras de restauación de zona degradada por vertido incontrolado de residuos en parcela municipal en el entorno Casa Tejada, TM de Los Monesinos Alicante.</t>
        </is>
      </c>
      <c r="J701" s="2" t="inlineStr">
        <is>
          <t>O4SS-142/2026</t>
        </is>
      </c>
      <c r="K701" s="2" t="inlineStr">
        <is>
          <t>Abierto simplificado</t>
        </is>
      </c>
      <c r="L701" s="6" t="n">
        <v>1</v>
      </c>
      <c r="M701" s="2" t="n"/>
      <c r="N701" s="7" t="n">
        <v>0</v>
      </c>
      <c r="O701" s="4" t="n"/>
      <c r="P701" s="2" t="inlineStr">
        <is>
          <t>45111213</t>
        </is>
      </c>
      <c r="Q701" s="8" t="inlineStr">
        <is>
          <t>Ver</t>
        </is>
      </c>
      <c r="R701" s="8" t="inlineStr">
        <is>
          <t>PCAP</t>
        </is>
      </c>
      <c r="S701" s="9" t="n">
        <v>46310</v>
      </c>
      <c r="T701" s="3" t="n">
        <v>46315.37096064815</v>
      </c>
      <c r="U701" s="2" t="inlineStr">
        <is>
          <t>2026-10-22: estado ADJ → RES</t>
        </is>
      </c>
    </row>
    <row r="702">
      <c r="A702" s="2" t="inlineStr">
        <is>
          <t>Pendiente de adjudicación</t>
        </is>
      </c>
      <c r="B702" s="3" t="n">
        <v>46253.99930555555</v>
      </c>
      <c r="C702" s="5" t="n">
        <v>118181.82</v>
      </c>
      <c r="D702" s="5" t="n">
        <v>118181.82</v>
      </c>
      <c r="E702" s="2" t="inlineStr">
        <is>
          <t>Andalucía</t>
        </is>
      </c>
      <c r="F702" s="2" t="inlineStr">
        <is>
          <t>Sevilla</t>
        </is>
      </c>
      <c r="G702" s="2" t="n"/>
      <c r="H702" s="2" t="inlineStr">
        <is>
          <t>Junta de Gobierno del Ayuntamiento de Dos Hermanas</t>
        </is>
      </c>
      <c r="I702" s="2" t="inlineStr">
        <is>
          <t>Instalación de un sistema inteligente de control de tráfico en las glorietas Av. de las Universidades, Comunidad Autónoma de Andalucía, y Purísima Concepción</t>
        </is>
      </c>
      <c r="J702" s="2" t="inlineStr">
        <is>
          <t>2026000022</t>
        </is>
      </c>
      <c r="K702" s="2" t="inlineStr">
        <is>
          <t>Abierto simplificado</t>
        </is>
      </c>
      <c r="L702" s="6" t="n">
        <v>3</v>
      </c>
      <c r="M702" s="2" t="n"/>
      <c r="N702" s="7" t="n">
        <v>0</v>
      </c>
      <c r="O702" s="4" t="n"/>
      <c r="P702" s="2" t="inlineStr">
        <is>
          <t>45316210</t>
        </is>
      </c>
      <c r="Q702" s="8" t="inlineStr">
        <is>
          <t>Ver</t>
        </is>
      </c>
      <c r="R702" s="8" t="inlineStr">
        <is>
          <t>PCAP</t>
        </is>
      </c>
      <c r="S702" s="9" t="n">
        <v>46317</v>
      </c>
      <c r="T702" s="3" t="n">
        <v>46315.36651620371</v>
      </c>
      <c r="U702" s="2" t="n"/>
    </row>
    <row r="703">
      <c r="A703" s="2" t="inlineStr">
        <is>
          <t>Pendiente de adjudicación</t>
        </is>
      </c>
      <c r="B703" s="3" t="n">
        <v>46308.75</v>
      </c>
      <c r="C703" s="5" t="n">
        <v>197728.27</v>
      </c>
      <c r="D703" s="5" t="n">
        <v>197728.27</v>
      </c>
      <c r="E703" s="2" t="inlineStr">
        <is>
          <t>Comunitat Valenciana</t>
        </is>
      </c>
      <c r="F703" s="2" t="inlineStr">
        <is>
          <t>Alicante</t>
        </is>
      </c>
      <c r="G703" s="2" t="inlineStr">
        <is>
          <t>Alicante (Alacant)</t>
        </is>
      </c>
      <c r="H703" s="2" t="inlineStr">
        <is>
          <t>Junta de Gobierno del Ayuntamiento de Santa Pola</t>
        </is>
      </c>
      <c r="I703" s="2" t="inlineStr">
        <is>
          <t>Reformas en el edificio de la Jefatura de la Policía Local de Santa Pola</t>
        </is>
      </c>
      <c r="J703" s="2" t="inlineStr">
        <is>
          <t>17614/2025</t>
        </is>
      </c>
      <c r="K703" s="2" t="inlineStr">
        <is>
          <t>Abierto simplificado</t>
        </is>
      </c>
      <c r="L703" s="6" t="n">
        <v>3</v>
      </c>
      <c r="M703" s="2" t="n"/>
      <c r="N703" s="7" t="n">
        <v>0.5</v>
      </c>
      <c r="O703" s="4" t="n"/>
      <c r="P703" s="2" t="inlineStr">
        <is>
          <t>45200000; 45453100; 45450000; 45310000; 45212190; 45216111</t>
        </is>
      </c>
      <c r="Q703" s="8" t="inlineStr">
        <is>
          <t>Ver</t>
        </is>
      </c>
      <c r="R703" s="8" t="inlineStr">
        <is>
          <t>PCAP</t>
        </is>
      </c>
      <c r="S703" s="9" t="n">
        <v>46317</v>
      </c>
      <c r="T703" s="3" t="n">
        <v>46315.36614583333</v>
      </c>
      <c r="U703" s="2" t="n"/>
    </row>
    <row r="704">
      <c r="A704" s="2" t="inlineStr">
        <is>
          <t>Adjudicada</t>
        </is>
      </c>
      <c r="B704" s="3" t="n">
        <v>46268.99930555555</v>
      </c>
      <c r="C704" s="5" t="n">
        <v>238043.75</v>
      </c>
      <c r="D704" s="5" t="n">
        <v>285652.5</v>
      </c>
      <c r="E704" s="2" t="inlineStr">
        <is>
          <t>Andalucía</t>
        </is>
      </c>
      <c r="F704" s="2" t="inlineStr">
        <is>
          <t>Almería</t>
        </is>
      </c>
      <c r="G704" s="2" t="n"/>
      <c r="H704" s="2" t="inlineStr">
        <is>
          <t>Junta de Gobierno Local del Ayuntamiento de El Ejido</t>
        </is>
      </c>
      <c r="I704" s="2" t="inlineStr">
        <is>
          <t>Ejecución del proyecto de obras denominado; Regeneración y rehabilitación de la Plaza El Limonar de San Agustín y Plaza en calle Clotilde de Las Norias, Incluido en el Plan de Actuación Integrado (PAI) El Ejido 2029: +SOSTENIBLE +COHESIONADO, cofinanciado en un 85% por el Fondo Europeo de Desarrollo Regional (FEDER), en el marco del Programa Plurirregional 2021 - 2027.</t>
        </is>
      </c>
      <c r="J704" s="2" t="inlineStr">
        <is>
          <t>2026 1347</t>
        </is>
      </c>
      <c r="K704" s="2" t="inlineStr">
        <is>
          <t>Abierto simplificado</t>
        </is>
      </c>
      <c r="L704" s="6" t="n">
        <v>6</v>
      </c>
      <c r="M704" s="2" t="n"/>
      <c r="N704" s="7" t="n">
        <v>0.25</v>
      </c>
      <c r="O704" s="4" t="n"/>
      <c r="P704" s="2" t="inlineStr">
        <is>
          <t>45233260; 45236250; 45236290; 45316000</t>
        </is>
      </c>
      <c r="Q704" s="8" t="inlineStr">
        <is>
          <t>Ver</t>
        </is>
      </c>
      <c r="R704" s="8" t="inlineStr">
        <is>
          <t>PCAP</t>
        </is>
      </c>
      <c r="S704" s="9" t="n">
        <v>46317</v>
      </c>
      <c r="T704" s="3" t="n">
        <v>46315.36219907407</v>
      </c>
      <c r="U704" s="2" t="n"/>
    </row>
    <row r="705">
      <c r="A705" s="2" t="inlineStr">
        <is>
          <t>Pendiente de adjudicación</t>
        </is>
      </c>
      <c r="B705" s="3" t="n">
        <v>46308.58333333334</v>
      </c>
      <c r="C705" s="5" t="n">
        <v>356052.15</v>
      </c>
      <c r="D705" s="5" t="n">
        <v>356052.15</v>
      </c>
      <c r="E705" s="2" t="inlineStr">
        <is>
          <t>Comunitat Valenciana</t>
        </is>
      </c>
      <c r="F705" s="2" t="inlineStr">
        <is>
          <t>Valencia</t>
        </is>
      </c>
      <c r="G705" s="2" t="n"/>
      <c r="H705" s="2" t="inlineStr">
        <is>
          <t>Vicepresidente Tercero y Conseller de Medio Ambiente, Infraestructuras, Territorio y de la Recuperación</t>
        </is>
      </c>
      <c r="I705" s="2" t="inlineStr">
        <is>
          <t>Restauración ambiental del incendio de Bejís en los municipios afectados de la provincia de Valencia (montes de Utilidad Pública V109, V112, V114 de Andilla y V180 de Alcublas)</t>
        </is>
      </c>
      <c r="J705" s="2" t="inlineStr">
        <is>
          <t>CMAYOR/2026/44Y06/0004</t>
        </is>
      </c>
      <c r="K705" s="2" t="inlineStr">
        <is>
          <t>Abierto simplificado</t>
        </is>
      </c>
      <c r="L705" s="6" t="n">
        <v>12</v>
      </c>
      <c r="M705" s="2" t="n"/>
      <c r="N705" s="7" t="n">
        <v>0</v>
      </c>
      <c r="O705" s="4" t="n"/>
      <c r="P705" s="2" t="inlineStr">
        <is>
          <t>45262640</t>
        </is>
      </c>
      <c r="Q705" s="8" t="inlineStr">
        <is>
          <t>Ver</t>
        </is>
      </c>
      <c r="R705" s="8" t="inlineStr">
        <is>
          <t>PCAP</t>
        </is>
      </c>
      <c r="S705" s="9" t="n">
        <v>46317</v>
      </c>
      <c r="T705" s="3" t="n">
        <v>46315.36010416667</v>
      </c>
      <c r="U705" s="2" t="n"/>
    </row>
    <row r="706">
      <c r="A706" s="2" t="inlineStr">
        <is>
          <t>Resuelta</t>
        </is>
      </c>
      <c r="B706" s="3" t="n">
        <v>46241.99930555555</v>
      </c>
      <c r="C706" s="5" t="n">
        <v>39594.76</v>
      </c>
      <c r="D706" s="5" t="n">
        <v>39594.76</v>
      </c>
      <c r="E706" s="2" t="inlineStr">
        <is>
          <t>Comunitat Valenciana</t>
        </is>
      </c>
      <c r="F706" s="2" t="inlineStr">
        <is>
          <t>Alicante</t>
        </is>
      </c>
      <c r="G706" s="2" t="n"/>
      <c r="H706" s="2" t="inlineStr">
        <is>
          <t>Presidencia de la Diputación Provincial de Alicante</t>
        </is>
      </c>
      <c r="I706" s="2" t="inlineStr">
        <is>
          <t>Obras de restauración de zona degradada por vertido incontrolado de residuos en paraje Els Ameradors, TM de Castalla (Alicante)</t>
        </is>
      </c>
      <c r="J706" s="2" t="inlineStr">
        <is>
          <t>O4SS-136/2026</t>
        </is>
      </c>
      <c r="K706" s="2" t="inlineStr">
        <is>
          <t>Abierto simplificado</t>
        </is>
      </c>
      <c r="L706" s="6" t="n">
        <v>1</v>
      </c>
      <c r="M706" s="2" t="n"/>
      <c r="N706" s="7" t="n">
        <v>0</v>
      </c>
      <c r="O706" s="4" t="n"/>
      <c r="P706" s="2" t="inlineStr">
        <is>
          <t>45111213</t>
        </is>
      </c>
      <c r="Q706" s="8" t="inlineStr">
        <is>
          <t>Ver</t>
        </is>
      </c>
      <c r="R706" s="8" t="inlineStr">
        <is>
          <t>PCAP</t>
        </is>
      </c>
      <c r="S706" s="9" t="n">
        <v>46317</v>
      </c>
      <c r="T706" s="3" t="n">
        <v>46315.35980324074</v>
      </c>
      <c r="U706" s="2" t="n"/>
    </row>
    <row r="707">
      <c r="A707" s="2" t="inlineStr">
        <is>
          <t>Pendiente de adjudicación</t>
        </is>
      </c>
      <c r="B707" s="3" t="n">
        <v>46282.58333333334</v>
      </c>
      <c r="C707" s="5" t="n">
        <v>964851.3100000001</v>
      </c>
      <c r="D707" s="5" t="n">
        <v>964851.3100000001</v>
      </c>
      <c r="E707" s="2" t="inlineStr">
        <is>
          <t>Comunitat Valenciana</t>
        </is>
      </c>
      <c r="F707" s="2" t="inlineStr">
        <is>
          <t>Valencia</t>
        </is>
      </c>
      <c r="G707" s="2" t="n"/>
      <c r="H707" s="2" t="inlineStr">
        <is>
          <t>Alcaldía del Ayuntamiento de Riba-roja de Túria</t>
        </is>
      </c>
      <c r="I707" s="2" t="inlineStr">
        <is>
          <t>Contratación de las Obras de reurbanización y mejora de la calle Joan Martorell a la calle Sagunto por procedimiento abierto simplificado, varios criterios de adjudicación, con condición de ejecución de carácter social y medioambiental, contribuyendo al cumplimiento del ODS 11 de Ciudades y comunidades sostenibles de la Agenda 2030, por tramitación ordinaria (Ctto. 37/2026)</t>
        </is>
      </c>
      <c r="J707" s="2" t="inlineStr">
        <is>
          <t>37/2026</t>
        </is>
      </c>
      <c r="K707" s="2" t="inlineStr">
        <is>
          <t>Abierto simplificado</t>
        </is>
      </c>
      <c r="L707" s="6" t="n">
        <v>8</v>
      </c>
      <c r="M707" s="2" t="n"/>
      <c r="N707" s="7" t="n">
        <v>0</v>
      </c>
      <c r="O707" s="4" t="n"/>
      <c r="P707" s="2" t="inlineStr">
        <is>
          <t>45233140; 45112710; 45316110; 45316000; 45233222; 45232150; 34928400; 44162500; 77310000</t>
        </is>
      </c>
      <c r="Q707" s="8" t="inlineStr">
        <is>
          <t>Ver</t>
        </is>
      </c>
      <c r="R707" s="8" t="inlineStr">
        <is>
          <t>PCAP</t>
        </is>
      </c>
      <c r="S707" s="9" t="n">
        <v>46310</v>
      </c>
      <c r="T707" s="3" t="n">
        <v>46315.35855324074</v>
      </c>
      <c r="U707" s="2" t="n"/>
    </row>
    <row r="708">
      <c r="A708" s="2" t="inlineStr">
        <is>
          <t>Resuelta</t>
        </is>
      </c>
      <c r="B708" s="3" t="n">
        <v>46323.99930555555</v>
      </c>
      <c r="C708" s="5" t="n">
        <v>781690.8</v>
      </c>
      <c r="D708" s="5" t="n">
        <v>781690.8</v>
      </c>
      <c r="E708" s="2" t="inlineStr">
        <is>
          <t>Andalucía</t>
        </is>
      </c>
      <c r="F708" s="2" t="inlineStr">
        <is>
          <t>Málaga</t>
        </is>
      </c>
      <c r="G708" s="2" t="inlineStr">
        <is>
          <t>Alhaurín el Grande</t>
        </is>
      </c>
      <c r="H708" s="2" t="inlineStr">
        <is>
          <t>Alcaldía del Ayuntamiento de Alhaurín el Grande</t>
        </is>
      </c>
      <c r="I708" s="2" t="inlineStr">
        <is>
          <t>Mejora del acabado final mediante la aplicación de capa de mezcla bituminosa en caliente y mejora de la red de abastecimiento en el camino viejo de Málaga y aledaños de Alhaurín el Grande</t>
        </is>
      </c>
      <c r="J708" s="2" t="inlineStr">
        <is>
          <t>23202/2026 CAMINO VIEJO DE MALAGA</t>
        </is>
      </c>
      <c r="K708" s="2" t="inlineStr">
        <is>
          <t>Abierto</t>
        </is>
      </c>
      <c r="L708" s="6" t="n">
        <v>6</v>
      </c>
      <c r="M708" s="2" t="n"/>
      <c r="N708" s="7" t="n">
        <v>0.3</v>
      </c>
      <c r="O708" s="4" t="n"/>
      <c r="P708" s="2" t="inlineStr">
        <is>
          <t>45233140</t>
        </is>
      </c>
      <c r="Q708" s="8" t="inlineStr">
        <is>
          <t>Ver</t>
        </is>
      </c>
      <c r="R708" s="8" t="inlineStr">
        <is>
          <t>PCAP</t>
        </is>
      </c>
      <c r="S708" s="9" t="n">
        <v>46310</v>
      </c>
      <c r="T708" s="3" t="n">
        <v>46315.35851851852</v>
      </c>
      <c r="U708" s="2" t="inlineStr">
        <is>
          <t>2026-10-22: estado PUB → RES</t>
        </is>
      </c>
    </row>
    <row r="709">
      <c r="A709" s="2" t="inlineStr">
        <is>
          <t>En plazo</t>
        </is>
      </c>
      <c r="B709" s="3" t="n">
        <v>46331.75</v>
      </c>
      <c r="C709" s="5" t="n">
        <v>247933.88</v>
      </c>
      <c r="D709" s="5" t="n">
        <v>247933.88</v>
      </c>
      <c r="E709" s="2" t="inlineStr">
        <is>
          <t>Andalucía</t>
        </is>
      </c>
      <c r="F709" s="2" t="inlineStr">
        <is>
          <t>Cádiz</t>
        </is>
      </c>
      <c r="G709" s="2" t="inlineStr">
        <is>
          <t>Conil de la Frontera</t>
        </is>
      </c>
      <c r="H709" s="2" t="inlineStr">
        <is>
          <t>Alcaldia del Ayuntamiento de Conil de la Frontera</t>
        </is>
      </c>
      <c r="I709" s="2" t="inlineStr">
        <is>
          <t>Obras de rehabilitación estructural del firme de los caminos rurales municipales carril de Chana, carril de la Isleta y tramo carril Pilaito en Conil de la Frontera Plan más inversión Cádiz 2026, en Conil de la Frontera.</t>
        </is>
      </c>
      <c r="J709" s="2" t="inlineStr">
        <is>
          <t>7716/2026</t>
        </is>
      </c>
      <c r="K709" s="2" t="inlineStr">
        <is>
          <t>Abierto simplificado</t>
        </is>
      </c>
      <c r="L709" s="6" t="n">
        <v>3</v>
      </c>
      <c r="M709" s="2" t="n"/>
      <c r="N709" s="7" t="n">
        <v>0</v>
      </c>
      <c r="O709" s="4" t="n"/>
      <c r="P709" s="2" t="inlineStr">
        <is>
          <t>45100000; 45232451; 45233222</t>
        </is>
      </c>
      <c r="Q709" s="8" t="inlineStr">
        <is>
          <t>Ver</t>
        </is>
      </c>
      <c r="R709" s="8" t="inlineStr">
        <is>
          <t>PCAP</t>
        </is>
      </c>
      <c r="S709" s="9" t="n">
        <v>46314</v>
      </c>
      <c r="T709" s="3" t="n">
        <v>46315.35768518518</v>
      </c>
      <c r="U709" s="2" t="n"/>
    </row>
    <row r="710">
      <c r="A710" s="2" t="inlineStr">
        <is>
          <t>Pendiente de adjudicación</t>
        </is>
      </c>
      <c r="B710" s="3" t="n">
        <v>46308.99930555555</v>
      </c>
      <c r="C710" s="5" t="n">
        <v>157109.48</v>
      </c>
      <c r="D710" s="5" t="n">
        <v>172820.42</v>
      </c>
      <c r="E710" s="2" t="inlineStr">
        <is>
          <t>Andalucía</t>
        </is>
      </c>
      <c r="F710" s="2" t="inlineStr">
        <is>
          <t>Sevilla</t>
        </is>
      </c>
      <c r="G710" s="2" t="n"/>
      <c r="H710" s="2" t="inlineStr">
        <is>
          <t>Gerencia de la Empresa Municipal de la Vivienda, Suelo y Equipamiento de Sevilla S.A. (EMVISESA)</t>
        </is>
      </c>
      <c r="I710" s="2" t="inlineStr">
        <is>
          <t>obras con suministro de materiales de confinamiento de los recintos de ascensores de los bloques 2, 3 y 5 con carpintería metálica, en el edificio de 218 viviendas protegidas, aparcamientos y trasteros en régimen de alquiler cesión de uso en la parcela propiedad de EMVISESA R1 del SUS-DE-09 Hacienda el Rosario</t>
        </is>
      </c>
      <c r="J710" s="2" t="inlineStr">
        <is>
          <t>EMVI/2026/0065/01</t>
        </is>
      </c>
      <c r="K710" s="2" t="inlineStr">
        <is>
          <t>Abierto simplificado</t>
        </is>
      </c>
      <c r="L710" s="6" t="n">
        <v>3.5</v>
      </c>
      <c r="M710" s="2" t="n"/>
      <c r="N710" s="7" t="n">
        <v>0.25</v>
      </c>
      <c r="O710" s="4" t="n"/>
      <c r="P710" s="2" t="inlineStr">
        <is>
          <t>45220000</t>
        </is>
      </c>
      <c r="Q710" s="8" t="inlineStr">
        <is>
          <t>Ver</t>
        </is>
      </c>
      <c r="R710" s="8" t="inlineStr">
        <is>
          <t>PCAP</t>
        </is>
      </c>
      <c r="S710" s="9" t="n">
        <v>46317</v>
      </c>
      <c r="T710" s="3" t="n">
        <v>46315.35299768519</v>
      </c>
      <c r="U710" s="2" t="n"/>
    </row>
    <row r="711">
      <c r="A711" s="2" t="inlineStr">
        <is>
          <t>En plazo</t>
        </is>
      </c>
      <c r="B711" s="3" t="n">
        <v>46335.99930555555</v>
      </c>
      <c r="C711" s="5" t="n">
        <v>375087.88</v>
      </c>
      <c r="D711" s="5" t="n">
        <v>412596.67</v>
      </c>
      <c r="E711" s="2" t="inlineStr">
        <is>
          <t>Andalucía</t>
        </is>
      </c>
      <c r="F711" s="2" t="inlineStr">
        <is>
          <t>Málaga</t>
        </is>
      </c>
      <c r="G711" s="2" t="n"/>
      <c r="H711" s="2" t="inlineStr">
        <is>
          <t>Teniente de Alcalde de Contratación del Ayuntamiento de Antequera</t>
        </is>
      </c>
      <c r="I711" s="2" t="inlineStr">
        <is>
          <t>Obras de renovación superficial y el refuerzo de las capas superiores del firme en las calles afectadas, ajustándose a la dotación presupuestaria existente. Con ello se pretende mejorar de manera eficaz la funcionalidad y seguridad de los viales intervenidos, evitando la necesidad de operaciones de mantenimiento intensivas a medio plazo.</t>
        </is>
      </c>
      <c r="J711" s="2" t="inlineStr">
        <is>
          <t>2026CONTRA000090</t>
        </is>
      </c>
      <c r="K711" s="2" t="inlineStr">
        <is>
          <t>Abierto simplificado</t>
        </is>
      </c>
      <c r="L711" s="6" t="n">
        <v>2</v>
      </c>
      <c r="M711" s="2" t="n"/>
      <c r="N711" s="7" t="n">
        <v>0.25</v>
      </c>
      <c r="O711" s="4" t="n"/>
      <c r="P711" s="2" t="inlineStr">
        <is>
          <t>45233222</t>
        </is>
      </c>
      <c r="Q711" s="8" t="inlineStr">
        <is>
          <t>Ver</t>
        </is>
      </c>
      <c r="R711" s="8" t="inlineStr">
        <is>
          <t>PCAP</t>
        </is>
      </c>
      <c r="S711" s="9" t="n">
        <v>46315</v>
      </c>
      <c r="T711" s="3" t="n">
        <v>46315.34978009259</v>
      </c>
      <c r="U711" s="2" t="n"/>
    </row>
    <row r="712">
      <c r="A712" s="2" t="inlineStr">
        <is>
          <t>Adjudicada</t>
        </is>
      </c>
      <c r="B712" s="3" t="n">
        <v>46119.58333333334</v>
      </c>
      <c r="C712" s="5" t="n">
        <v>2988400</v>
      </c>
      <c r="D712" s="5" t="n">
        <v>2988400</v>
      </c>
      <c r="E712" s="2" t="inlineStr">
        <is>
          <t>Comunitat Valenciana</t>
        </is>
      </c>
      <c r="F712" s="2" t="inlineStr">
        <is>
          <t>Valencia</t>
        </is>
      </c>
      <c r="G712" s="2" t="n"/>
      <c r="H712" s="2" t="inlineStr">
        <is>
          <t>Empresa de Transformación Agraria S.A.,S.M.E., M.P., (TRAGSA)</t>
        </is>
      </c>
      <c r="I712" s="2" t="inlineStr">
        <is>
          <t>Alquiler de maquinaria con conductor en los municipios de Utiel y Requena, para el proyecto "DANA 24 - emergencia DANA 2024: actuaciones en parcelas".</t>
        </is>
      </c>
      <c r="J712" s="2" t="inlineStr">
        <is>
          <t>TSA0083005</t>
        </is>
      </c>
      <c r="K712" s="2" t="inlineStr">
        <is>
          <t>Abierto simplificado</t>
        </is>
      </c>
      <c r="L712" s="6" t="n">
        <v>5</v>
      </c>
      <c r="M712" s="2" t="n"/>
      <c r="N712" s="7" t="n">
        <v>0</v>
      </c>
      <c r="O712" s="4" t="n"/>
      <c r="P712" s="2" t="inlineStr">
        <is>
          <t>45520000</t>
        </is>
      </c>
      <c r="Q712" s="8" t="inlineStr">
        <is>
          <t>Ver</t>
        </is>
      </c>
      <c r="R712" s="8" t="inlineStr">
        <is>
          <t>PCAP</t>
        </is>
      </c>
      <c r="S712" s="9" t="n">
        <v>46314</v>
      </c>
      <c r="T712" s="3" t="n">
        <v>46315.34798611111</v>
      </c>
      <c r="U712" s="2" t="n"/>
    </row>
    <row r="713">
      <c r="A713" s="2" t="inlineStr">
        <is>
          <t>Pendiente de adjudicación</t>
        </is>
      </c>
      <c r="B713" s="3" t="n">
        <v>46231.99930555555</v>
      </c>
      <c r="C713" s="5" t="n">
        <v>227272.73</v>
      </c>
      <c r="D713" s="5" t="n">
        <v>227272.73</v>
      </c>
      <c r="E713" s="2" t="inlineStr">
        <is>
          <t>Andalucía</t>
        </is>
      </c>
      <c r="F713" s="2" t="inlineStr">
        <is>
          <t>Sevilla</t>
        </is>
      </c>
      <c r="G713" s="2" t="inlineStr">
        <is>
          <t>SANLÚCAR LA MAYOR</t>
        </is>
      </c>
      <c r="H713" s="2" t="inlineStr">
        <is>
          <t>Alcaldía del Ayuntamiento de Sanlúcar la Mayor</t>
        </is>
      </c>
      <c r="I713" s="2" t="inlineStr">
        <is>
          <t>Obras definidas en el Proyecto de mejora de asfaltado de calzada de viarios del Municipio.</t>
        </is>
      </c>
      <c r="J713" s="2" t="inlineStr">
        <is>
          <t>2026/CTT_01/000022 - 31/26.-CTOS</t>
        </is>
      </c>
      <c r="K713" s="2" t="inlineStr">
        <is>
          <t>Abierto simplificado</t>
        </is>
      </c>
      <c r="L713" s="6" t="n">
        <v>2</v>
      </c>
      <c r="M713" s="2" t="n"/>
      <c r="N713" s="7" t="n">
        <v>0</v>
      </c>
      <c r="O713" s="4" t="n"/>
      <c r="P713" s="2" t="inlineStr">
        <is>
          <t>45233222</t>
        </is>
      </c>
      <c r="Q713" s="8" t="inlineStr">
        <is>
          <t>Ver</t>
        </is>
      </c>
      <c r="R713" s="8" t="inlineStr">
        <is>
          <t>PCAP</t>
        </is>
      </c>
      <c r="S713" s="9" t="n">
        <v>46310</v>
      </c>
      <c r="T713" s="3" t="n">
        <v>46315.34729166667</v>
      </c>
      <c r="U713" s="2" t="n"/>
    </row>
    <row r="714">
      <c r="A714" s="2" t="inlineStr">
        <is>
          <t>Resuelta</t>
        </is>
      </c>
      <c r="B714" s="3" t="n">
        <v>46295.5</v>
      </c>
      <c r="C714" s="5" t="n">
        <v>289830.46</v>
      </c>
      <c r="D714" s="5" t="n">
        <v>289830.46</v>
      </c>
      <c r="E714" s="2" t="inlineStr">
        <is>
          <t>Andalucía</t>
        </is>
      </c>
      <c r="F714" s="2" t="inlineStr">
        <is>
          <t>Sevilla</t>
        </is>
      </c>
      <c r="G714" s="2" t="n"/>
      <c r="H714" s="2" t="inlineStr">
        <is>
          <t>Consejería Delegada de la Empresa Metropolitana de Abastecimiento y Saneamiento de Aguas de Sevilla S.A. (EMASESA)</t>
        </is>
      </c>
      <c r="I714" s="2" t="inlineStr">
        <is>
          <t>Contratación de redacción de proyecto y ejecución de las obras de renovación de las redes de abastecimiento y saneamiento en la Calle Virgen de la Estrella por necesidades de conservación. Distrito Los Remedios, Sevilla</t>
        </is>
      </c>
      <c r="J714" s="2" t="inlineStr">
        <is>
          <t>0054/26</t>
        </is>
      </c>
      <c r="K714" s="2" t="inlineStr">
        <is>
          <t>Restringido</t>
        </is>
      </c>
      <c r="L714" s="6" t="n">
        <v>4.2</v>
      </c>
      <c r="M714" s="2" t="n"/>
      <c r="N714" s="7" t="n">
        <v>0</v>
      </c>
      <c r="O714" s="4" t="n">
        <v>1</v>
      </c>
      <c r="P714" s="2" t="inlineStr">
        <is>
          <t>45232440</t>
        </is>
      </c>
      <c r="Q714" s="8" t="inlineStr">
        <is>
          <t>Ver</t>
        </is>
      </c>
      <c r="R714" s="8" t="inlineStr">
        <is>
          <t>PCAP</t>
        </is>
      </c>
      <c r="S714" s="9" t="n">
        <v>46317</v>
      </c>
      <c r="T714" s="3" t="n">
        <v>46315.34646990741</v>
      </c>
      <c r="U714" s="2" t="n"/>
    </row>
    <row r="715">
      <c r="A715" s="2" t="inlineStr">
        <is>
          <t>Adjudicada</t>
        </is>
      </c>
      <c r="B715" s="3" t="n">
        <v>46119.58333333334</v>
      </c>
      <c r="C715" s="5" t="n">
        <v>2988400</v>
      </c>
      <c r="D715" s="5" t="n">
        <v>2988400</v>
      </c>
      <c r="E715" s="2" t="inlineStr">
        <is>
          <t>Comunitat Valenciana</t>
        </is>
      </c>
      <c r="F715" s="2" t="inlineStr">
        <is>
          <t>Valencia</t>
        </is>
      </c>
      <c r="G715" s="2" t="n"/>
      <c r="H715" s="2" t="inlineStr">
        <is>
          <t>Empresa de Transformación Agraria S.A.,S.M.E., M.P., (TRAGSA)</t>
        </is>
      </c>
      <c r="I715" s="2" t="inlineStr">
        <is>
          <t>Alquiler de maquinaria con conductor en los municipios de Chiva y Quart de Poblet, para el proyecto "DANA 24 - emergencia DANA 2024: actuaciones en parcelas".</t>
        </is>
      </c>
      <c r="J715" s="2" t="inlineStr">
        <is>
          <t>TSA0083004</t>
        </is>
      </c>
      <c r="K715" s="2" t="inlineStr">
        <is>
          <t>Abierto simplificado</t>
        </is>
      </c>
      <c r="L715" s="6" t="n">
        <v>5</v>
      </c>
      <c r="M715" s="2" t="n"/>
      <c r="N715" s="7" t="n">
        <v>0</v>
      </c>
      <c r="O715" s="4" t="n"/>
      <c r="P715" s="2" t="inlineStr">
        <is>
          <t>45520000</t>
        </is>
      </c>
      <c r="Q715" s="8" t="inlineStr">
        <is>
          <t>Ver</t>
        </is>
      </c>
      <c r="R715" s="8" t="inlineStr">
        <is>
          <t>PCAP</t>
        </is>
      </c>
      <c r="S715" s="9" t="n">
        <v>46314</v>
      </c>
      <c r="T715" s="3" t="n">
        <v>46315.34643518519</v>
      </c>
      <c r="U715" s="2" t="n"/>
    </row>
    <row r="716">
      <c r="A716" s="2" t="inlineStr">
        <is>
          <t>Pendiente de adjudicación</t>
        </is>
      </c>
      <c r="B716" s="3" t="n">
        <v>46176.99930555555</v>
      </c>
      <c r="C716" s="5" t="n">
        <v>659392.26</v>
      </c>
      <c r="D716" s="5" t="n">
        <v>791270.72</v>
      </c>
      <c r="E716" s="2" t="inlineStr">
        <is>
          <t>Andalucía</t>
        </is>
      </c>
      <c r="F716" s="2" t="inlineStr">
        <is>
          <t>Almería</t>
        </is>
      </c>
      <c r="G716" s="2" t="n"/>
      <c r="H716" s="2" t="inlineStr">
        <is>
          <t>Junta de Gobierno del Ayuntamiento de Almería</t>
        </is>
      </c>
      <c r="I716" s="2" t="inlineStr">
        <is>
          <t>Contrato de Obras del Proyecto de obras de adecuación de las instalaciones de alumbrado público - Fase I.</t>
        </is>
      </c>
      <c r="J716" s="2" t="inlineStr">
        <is>
          <t>AYAL-2026000098</t>
        </is>
      </c>
      <c r="K716" s="2" t="inlineStr">
        <is>
          <t>Abierto simplificado</t>
        </is>
      </c>
      <c r="L716" s="6" t="n">
        <v>6</v>
      </c>
      <c r="M716" s="2" t="n"/>
      <c r="N716" s="7" t="n">
        <v>0.238</v>
      </c>
      <c r="O716" s="4" t="n">
        <v>2</v>
      </c>
      <c r="P716" s="2" t="inlineStr">
        <is>
          <t>45310000; 45316000</t>
        </is>
      </c>
      <c r="Q716" s="8" t="inlineStr">
        <is>
          <t>Ver</t>
        </is>
      </c>
      <c r="R716" s="8" t="inlineStr">
        <is>
          <t>PCAP</t>
        </is>
      </c>
      <c r="S716" s="9" t="n">
        <v>46317</v>
      </c>
      <c r="T716" s="3" t="n">
        <v>46315.34622685185</v>
      </c>
      <c r="U716" s="2" t="n"/>
    </row>
    <row r="717">
      <c r="A717" s="2" t="inlineStr">
        <is>
          <t>Resuelta</t>
        </is>
      </c>
      <c r="B717" s="3" t="n">
        <v>46240.79166666666</v>
      </c>
      <c r="C717" s="5" t="n">
        <v>72042.59</v>
      </c>
      <c r="D717" s="5" t="n">
        <v>72042.59</v>
      </c>
      <c r="E717" s="2" t="inlineStr">
        <is>
          <t>Andalucía</t>
        </is>
      </c>
      <c r="F717" s="2" t="inlineStr">
        <is>
          <t>Cádiz</t>
        </is>
      </c>
      <c r="G717" s="2" t="inlineStr">
        <is>
          <t>TARIFA</t>
        </is>
      </c>
      <c r="H717" s="2" t="inlineStr">
        <is>
          <t>Alcaldía del Ayuntamiento de Tarifa</t>
        </is>
      </c>
      <c r="I717" s="2" t="inlineStr">
        <is>
          <t>PBE reformado de obras de consolidación de la espadaña de la Iglesia de Santiago</t>
        </is>
      </c>
      <c r="J717" s="2" t="inlineStr">
        <is>
          <t>2025/7514</t>
        </is>
      </c>
      <c r="K717" s="2" t="inlineStr">
        <is>
          <t>Abierto simplificado</t>
        </is>
      </c>
      <c r="L717" s="6" t="n">
        <v>2</v>
      </c>
      <c r="M717" s="2" t="n"/>
      <c r="N717" s="7" t="n">
        <v>0</v>
      </c>
      <c r="O717" s="4" t="n"/>
      <c r="P717" s="2" t="inlineStr">
        <is>
          <t>45000000</t>
        </is>
      </c>
      <c r="Q717" s="8" t="inlineStr">
        <is>
          <t>Ver</t>
        </is>
      </c>
      <c r="R717" s="8" t="inlineStr">
        <is>
          <t>PCAP</t>
        </is>
      </c>
      <c r="S717" s="9" t="n">
        <v>46317</v>
      </c>
      <c r="T717" s="3" t="n">
        <v>46315.34349537037</v>
      </c>
      <c r="U717" s="2" t="n"/>
    </row>
    <row r="718">
      <c r="A718" s="2" t="inlineStr">
        <is>
          <t>Pendiente de adjudicación</t>
        </is>
      </c>
      <c r="B718" s="3" t="n">
        <v>46300.99930555555</v>
      </c>
      <c r="C718" s="5" t="n">
        <v>199449.23</v>
      </c>
      <c r="D718" s="5" t="n">
        <v>199449.23</v>
      </c>
      <c r="E718" s="2" t="inlineStr">
        <is>
          <t>Andalucía</t>
        </is>
      </c>
      <c r="F718" s="2" t="inlineStr">
        <is>
          <t>Sevilla</t>
        </is>
      </c>
      <c r="G718" s="2" t="inlineStr">
        <is>
          <t>Alcalá de Guadaíra</t>
        </is>
      </c>
      <c r="H718" s="2" t="inlineStr">
        <is>
          <t>Junta de Gobierno Local del Ayuntamiento de Alcalá de Guadaíra</t>
        </is>
      </c>
      <c r="I718" s="2" t="inlineStr">
        <is>
          <t>obras de instalación de sistema de alimentación ininterrumpida (SAI) en la Casa Consistorial (C-2025/089)</t>
        </is>
      </c>
      <c r="J718" s="2" t="inlineStr">
        <is>
          <t>12936/2025</t>
        </is>
      </c>
      <c r="K718" s="2" t="inlineStr">
        <is>
          <t>Abierto simplificado</t>
        </is>
      </c>
      <c r="L718" s="6" t="n">
        <v>4</v>
      </c>
      <c r="M718" s="2" t="n"/>
      <c r="N718" s="7" t="n">
        <v>0.25</v>
      </c>
      <c r="O718" s="4" t="n"/>
      <c r="P718" s="2" t="inlineStr">
        <is>
          <t>45315300; 31682500; 31154000; 31682530; 31682510</t>
        </is>
      </c>
      <c r="Q718" s="8" t="inlineStr">
        <is>
          <t>Ver</t>
        </is>
      </c>
      <c r="R718" s="8" t="inlineStr">
        <is>
          <t>PCAP</t>
        </is>
      </c>
      <c r="S718" s="9" t="n">
        <v>46310</v>
      </c>
      <c r="T718" s="3" t="n">
        <v>46315.32987268519</v>
      </c>
      <c r="U718" s="2" t="n"/>
    </row>
    <row r="719">
      <c r="A719" s="2" t="inlineStr">
        <is>
          <t>Pendiente de adjudicación</t>
        </is>
      </c>
      <c r="B719" s="3" t="n">
        <v>46309.54166666666</v>
      </c>
      <c r="C719" s="5" t="n">
        <v>50000</v>
      </c>
      <c r="D719" s="5" t="n">
        <v>250000</v>
      </c>
      <c r="E719" s="2" t="inlineStr">
        <is>
          <t>Andalucía</t>
        </is>
      </c>
      <c r="F719" s="2" t="inlineStr">
        <is>
          <t>Sevilla</t>
        </is>
      </c>
      <c r="G719" s="2" t="n"/>
      <c r="H719" s="2" t="inlineStr">
        <is>
          <t>Autoridad Portuaria de Sevilla</t>
        </is>
      </c>
      <c r="I719" s="2" t="inlineStr">
        <is>
          <t>Trabajos de bacheo y reasfaltado de los viales de la Autoridad Portuaria de Sevilla</t>
        </is>
      </c>
      <c r="J719" s="2" t="inlineStr">
        <is>
          <t>CONT26079</t>
        </is>
      </c>
      <c r="K719" s="2" t="inlineStr">
        <is>
          <t>Abierto</t>
        </is>
      </c>
      <c r="L719" s="6" t="n">
        <v>12</v>
      </c>
      <c r="M719" s="2" t="n"/>
      <c r="N719" s="7" t="n">
        <v>0.51</v>
      </c>
      <c r="O719" s="4" t="n"/>
      <c r="P719" s="2" t="inlineStr">
        <is>
          <t>45233200</t>
        </is>
      </c>
      <c r="Q719" s="8" t="inlineStr">
        <is>
          <t>Ver</t>
        </is>
      </c>
      <c r="R719" s="8" t="inlineStr">
        <is>
          <t>PCAP</t>
        </is>
      </c>
      <c r="S719" s="9" t="n">
        <v>46317</v>
      </c>
      <c r="T719" s="3" t="n">
        <v>46315.32513888889</v>
      </c>
      <c r="U719" s="2" t="n"/>
    </row>
    <row r="720">
      <c r="A720" s="2" t="inlineStr">
        <is>
          <t>En plazo</t>
        </is>
      </c>
      <c r="B720" s="3" t="n">
        <v>46330.99930555555</v>
      </c>
      <c r="C720" s="5" t="n">
        <v>434051.26</v>
      </c>
      <c r="D720" s="5" t="n">
        <v>434051.26</v>
      </c>
      <c r="E720" s="2" t="inlineStr">
        <is>
          <t>Comunitat Valenciana</t>
        </is>
      </c>
      <c r="F720" s="2" t="inlineStr">
        <is>
          <t>Valencia</t>
        </is>
      </c>
      <c r="G720" s="2" t="inlineStr">
        <is>
          <t>Bétera</t>
        </is>
      </c>
      <c r="H720" s="2" t="inlineStr">
        <is>
          <t>Junta de Gobierno del Ayuntamiento de Bétera</t>
        </is>
      </c>
      <c r="I720" s="2" t="inlineStr">
        <is>
          <t>Mejora de accesibilidad en vías públicas del municipio de Bétera</t>
        </is>
      </c>
      <c r="J720" s="2" t="inlineStr">
        <is>
          <t>11601/2026</t>
        </is>
      </c>
      <c r="K720" s="2" t="inlineStr">
        <is>
          <t>Abierto simplificado</t>
        </is>
      </c>
      <c r="L720" s="6" t="n">
        <v>4</v>
      </c>
      <c r="M720" s="2" t="inlineStr">
        <is>
          <t>G6-3</t>
        </is>
      </c>
      <c r="N720" s="7" t="n">
        <v>0</v>
      </c>
      <c r="O720" s="4" t="n"/>
      <c r="P720" s="2" t="inlineStr">
        <is>
          <t>45233252; 45233260</t>
        </is>
      </c>
      <c r="Q720" s="8" t="inlineStr">
        <is>
          <t>Ver</t>
        </is>
      </c>
      <c r="R720" s="8" t="inlineStr">
        <is>
          <t>PCAP</t>
        </is>
      </c>
      <c r="S720" s="9" t="n">
        <v>46311</v>
      </c>
      <c r="T720" s="3" t="n">
        <v>46315.32414351852</v>
      </c>
      <c r="U720" s="2" t="n"/>
    </row>
    <row r="721">
      <c r="A721" s="2" t="inlineStr">
        <is>
          <t>En plazo</t>
        </is>
      </c>
      <c r="B721" s="3" t="n">
        <v>46331.99930555555</v>
      </c>
      <c r="C721" s="5" t="n">
        <v>413223.14</v>
      </c>
      <c r="D721" s="5" t="n">
        <v>413223.14</v>
      </c>
      <c r="E721" s="2" t="inlineStr">
        <is>
          <t>Andalucía</t>
        </is>
      </c>
      <c r="F721" s="2" t="inlineStr">
        <is>
          <t>Almería</t>
        </is>
      </c>
      <c r="G721" s="2" t="inlineStr">
        <is>
          <t>Huércal de Almería</t>
        </is>
      </c>
      <c r="H721" s="2" t="inlineStr">
        <is>
          <t>Junta de Gobierno Local del Ayuntamiento de Huércal de Almería</t>
        </is>
      </c>
      <c r="I721" s="2" t="inlineStr">
        <is>
          <t>Obras de parques infantiles en El Potro y en calle Erasmo de Rotterdam</t>
        </is>
      </c>
      <c r="J721" s="2" t="inlineStr">
        <is>
          <t>4163/2026</t>
        </is>
      </c>
      <c r="K721" s="2" t="inlineStr">
        <is>
          <t>Abierto simplificado</t>
        </is>
      </c>
      <c r="L721" s="6" t="n">
        <v>3</v>
      </c>
      <c r="M721" s="2" t="n"/>
      <c r="N721" s="7" t="n">
        <v>0.25</v>
      </c>
      <c r="O721" s="4" t="n"/>
      <c r="P721" s="2" t="inlineStr">
        <is>
          <t>45236290; 37535220; 37535210; 43325000; 37535200</t>
        </is>
      </c>
      <c r="Q721" s="8" t="inlineStr">
        <is>
          <t>Ver</t>
        </is>
      </c>
      <c r="R721" s="8" t="inlineStr">
        <is>
          <t>PCAP</t>
        </is>
      </c>
      <c r="S721" s="9" t="n">
        <v>46314</v>
      </c>
      <c r="T721" s="3" t="n">
        <v>46315.31986111111</v>
      </c>
      <c r="U721" s="2" t="inlineStr">
        <is>
          <t>2026-10-22: plazo 2026-10-30 23:59 → 2026-11-05 23:59</t>
        </is>
      </c>
    </row>
    <row r="722">
      <c r="A722" s="2" t="inlineStr">
        <is>
          <t>En plazo</t>
        </is>
      </c>
      <c r="B722" s="3" t="n">
        <v>46342.99930555555</v>
      </c>
      <c r="C722" s="5" t="n">
        <v>661157.03</v>
      </c>
      <c r="D722" s="5" t="n">
        <v>661157.03</v>
      </c>
      <c r="E722" s="2" t="inlineStr">
        <is>
          <t>Andalucía</t>
        </is>
      </c>
      <c r="F722" s="2" t="inlineStr">
        <is>
          <t>Córdoba</t>
        </is>
      </c>
      <c r="G722" s="2" t="n"/>
      <c r="H722" s="2" t="inlineStr">
        <is>
          <t>Junta de Gobierno de la Diputación Provincial de Córdoba</t>
        </is>
      </c>
      <c r="I722" s="2" t="inlineStr">
        <is>
          <t>Obras de mejora del acceso a Priego de Córdoba, en un tramo de 1,64 Km semiurbanizados de la CO-8209 "de Priego de Córdoba a Luque por Fuente Alhama (Priego de Córdoba), Córdoba</t>
        </is>
      </c>
      <c r="J722" s="2" t="inlineStr">
        <is>
          <t>776/26</t>
        </is>
      </c>
      <c r="K722" s="2" t="inlineStr">
        <is>
          <t>Abierto</t>
        </is>
      </c>
      <c r="L722" s="6" t="n">
        <v>6</v>
      </c>
      <c r="M722" s="2" t="inlineStr">
        <is>
          <t>G4-3</t>
        </is>
      </c>
      <c r="N722" s="7" t="n">
        <v>0.4</v>
      </c>
      <c r="O722" s="4" t="n"/>
      <c r="P722" s="2" t="inlineStr">
        <is>
          <t>45233000</t>
        </is>
      </c>
      <c r="Q722" s="8" t="inlineStr">
        <is>
          <t>Ver</t>
        </is>
      </c>
      <c r="R722" s="8" t="inlineStr">
        <is>
          <t>PCAP</t>
        </is>
      </c>
      <c r="S722" s="9" t="n">
        <v>46317</v>
      </c>
      <c r="T722" s="3" t="n">
        <v>46315.30284722222</v>
      </c>
      <c r="U722" s="2" t="n"/>
    </row>
    <row r="723">
      <c r="A723" s="2" t="inlineStr">
        <is>
          <t>En plazo</t>
        </is>
      </c>
      <c r="B723" s="3" t="n">
        <v>46332.54166666666</v>
      </c>
      <c r="C723" s="5" t="n">
        <v>3949255.46</v>
      </c>
      <c r="D723" s="5" t="n">
        <v>4344181.01</v>
      </c>
      <c r="E723" s="2" t="inlineStr">
        <is>
          <t>Comunitat Valenciana</t>
        </is>
      </c>
      <c r="F723" s="2" t="inlineStr">
        <is>
          <t>Valencia</t>
        </is>
      </c>
      <c r="G723" s="2" t="n"/>
      <c r="H723" s="2" t="inlineStr">
        <is>
          <t>Presidencia de la Diputación Provincial de Valencia</t>
        </is>
      </c>
      <c r="I723" s="2" t="inlineStr">
        <is>
          <t>Ac-576A/O. Ampliación de plataforma y mejora del drenaje de la carretera CV-598 de Autovía A35 a Canals en los términos municipales de Montesa y Canals.</t>
        </is>
      </c>
      <c r="J723" s="2" t="inlineStr">
        <is>
          <t>59/19/CAR</t>
        </is>
      </c>
      <c r="K723" s="2" t="inlineStr">
        <is>
          <t>Abierto</t>
        </is>
      </c>
      <c r="L723" s="6" t="n">
        <v>15</v>
      </c>
      <c r="M723" s="2" t="inlineStr">
        <is>
          <t>G4-5</t>
        </is>
      </c>
      <c r="N723" s="7" t="n">
        <v>0.46</v>
      </c>
      <c r="O723" s="4" t="n"/>
      <c r="P723" s="2" t="inlineStr">
        <is>
          <t>45233120</t>
        </is>
      </c>
      <c r="Q723" s="8" t="inlineStr">
        <is>
          <t>Ver</t>
        </is>
      </c>
      <c r="R723" s="8" t="inlineStr">
        <is>
          <t>PCAP</t>
        </is>
      </c>
      <c r="S723" s="9" t="n">
        <v>46317</v>
      </c>
      <c r="T723" s="3" t="n">
        <v>46314.91854166667</v>
      </c>
      <c r="U723" s="2" t="n"/>
    </row>
    <row r="724">
      <c r="A724" s="2" t="inlineStr">
        <is>
          <t>Adjudicada</t>
        </is>
      </c>
      <c r="B724" s="3" t="n">
        <v>46289.99930555555</v>
      </c>
      <c r="C724" s="5" t="n">
        <v>96015.91</v>
      </c>
      <c r="D724" s="5" t="n">
        <v>96015.91</v>
      </c>
      <c r="E724" s="2" t="inlineStr">
        <is>
          <t>Andalucía</t>
        </is>
      </c>
      <c r="F724" s="2" t="inlineStr">
        <is>
          <t>Córdoba</t>
        </is>
      </c>
      <c r="G724" s="2" t="n"/>
      <c r="H724" s="2" t="inlineStr">
        <is>
          <t>Alcaldía del Ayuntamiento de Rute</t>
        </is>
      </c>
      <c r="I724" s="2" t="inlineStr">
        <is>
          <t>Ejecución del Proyecto de Construcción de Depósito Metálico de Almacenamiento de Agua para Uso Agrícola en el Término Municipal de Rute (Córdoba).</t>
        </is>
      </c>
      <c r="J724" s="2" t="inlineStr">
        <is>
          <t>8017_26 OBRAS DEPOSITO AGUA AGRICOLA</t>
        </is>
      </c>
      <c r="K724" s="2" t="inlineStr">
        <is>
          <t>Abierto simplificado</t>
        </is>
      </c>
      <c r="L724" s="6" t="n">
        <v>2.5</v>
      </c>
      <c r="M724" s="2" t="n"/>
      <c r="N724" s="7" t="n">
        <v>0</v>
      </c>
      <c r="O724" s="4" t="n"/>
      <c r="P724" s="2" t="inlineStr">
        <is>
          <t>45000000; 45247270</t>
        </is>
      </c>
      <c r="Q724" s="8" t="inlineStr">
        <is>
          <t>Ver</t>
        </is>
      </c>
      <c r="R724" s="8" t="inlineStr">
        <is>
          <t>PCAP</t>
        </is>
      </c>
      <c r="S724" s="9" t="n">
        <v>46310</v>
      </c>
      <c r="T724" s="3" t="n">
        <v>46314.791875</v>
      </c>
      <c r="U724" s="2" t="inlineStr">
        <is>
          <t>2026-10-20: estado EV → ADJ</t>
        </is>
      </c>
    </row>
    <row r="725">
      <c r="A725" s="2" t="inlineStr">
        <is>
          <t>En plazo</t>
        </is>
      </c>
      <c r="B725" s="3" t="n">
        <v>46323.99930555555</v>
      </c>
      <c r="C725" s="5" t="n">
        <v>255023.39</v>
      </c>
      <c r="D725" s="5" t="n">
        <v>255023.39</v>
      </c>
      <c r="E725" s="2" t="inlineStr">
        <is>
          <t>Andalucía</t>
        </is>
      </c>
      <c r="F725" s="2" t="inlineStr">
        <is>
          <t>Granada</t>
        </is>
      </c>
      <c r="G725" s="2" t="inlineStr">
        <is>
          <t>POLOPOS MAMOLA</t>
        </is>
      </c>
      <c r="H725" s="2" t="inlineStr">
        <is>
          <t>Alcaldía del Ayuntamiento de Polopos - La Mamola</t>
        </is>
      </c>
      <c r="I725" s="2" t="inlineStr">
        <is>
          <t>Ejecución de las obras del Proyecto de Pavimentación y alumbrado público del Camino de Acceso al Haza del Trigo, T.M. Polopos-La Mamola (Granada).</t>
        </is>
      </c>
      <c r="J725" s="2" t="inlineStr">
        <is>
          <t>267/2025</t>
        </is>
      </c>
      <c r="K725" s="2" t="inlineStr">
        <is>
          <t>Abierto simplificado</t>
        </is>
      </c>
      <c r="L725" s="6" t="n">
        <v>4</v>
      </c>
      <c r="M725" s="2" t="n"/>
      <c r="N725" s="7" t="n">
        <v>0.1</v>
      </c>
      <c r="O725" s="4" t="n"/>
      <c r="P725" s="2" t="inlineStr">
        <is>
          <t>45233222; 45316110</t>
        </is>
      </c>
      <c r="Q725" s="8" t="inlineStr">
        <is>
          <t>Ver</t>
        </is>
      </c>
      <c r="R725" s="8" t="inlineStr">
        <is>
          <t>PCAP</t>
        </is>
      </c>
      <c r="S725" s="9" t="n">
        <v>46310</v>
      </c>
      <c r="T725" s="3" t="n">
        <v>46314.79087962963</v>
      </c>
      <c r="U725" s="2" t="n"/>
    </row>
    <row r="726">
      <c r="A726" s="2" t="inlineStr">
        <is>
          <t>Plazo vencido</t>
        </is>
      </c>
      <c r="B726" s="3" t="n">
        <v>46316.54166666666</v>
      </c>
      <c r="C726" s="5" t="n">
        <v>79337.55</v>
      </c>
      <c r="D726" s="5" t="n">
        <v>79337.55</v>
      </c>
      <c r="E726" s="2" t="inlineStr">
        <is>
          <t>Andalucía</t>
        </is>
      </c>
      <c r="F726" s="2" t="inlineStr">
        <is>
          <t>Málaga</t>
        </is>
      </c>
      <c r="G726" s="2" t="n"/>
      <c r="H726" s="2" t="inlineStr">
        <is>
          <t>Concejala Delegada de Sostenibilidad Medioambiental del Excmo. Ayuntamiento de Málaga</t>
        </is>
      </c>
      <c r="I726" s="2" t="inlineStr">
        <is>
          <t>Obras de construcción de jardineras en Puente de Tetuán</t>
        </is>
      </c>
      <c r="J726" s="2" t="inlineStr">
        <is>
          <t>PASA 26/21/1112</t>
        </is>
      </c>
      <c r="K726" s="2" t="inlineStr">
        <is>
          <t>Abierto simplificado</t>
        </is>
      </c>
      <c r="L726" s="6" t="n">
        <v>2</v>
      </c>
      <c r="M726" s="2" t="n"/>
      <c r="N726" s="7" t="n">
        <v>0</v>
      </c>
      <c r="O726" s="4" t="n"/>
      <c r="P726" s="2" t="inlineStr">
        <is>
          <t>45112712</t>
        </is>
      </c>
      <c r="Q726" s="8" t="inlineStr">
        <is>
          <t>Ver</t>
        </is>
      </c>
      <c r="R726" s="8" t="inlineStr">
        <is>
          <t>PCAP</t>
        </is>
      </c>
      <c r="S726" s="9" t="n">
        <v>46310</v>
      </c>
      <c r="T726" s="3" t="n">
        <v>46314.73990740741</v>
      </c>
      <c r="U726" s="2" t="n"/>
    </row>
    <row r="727">
      <c r="A727" s="2" t="inlineStr">
        <is>
          <t>Pendiente de adjudicación</t>
        </is>
      </c>
      <c r="B727" s="3" t="n">
        <v>46300.99930555555</v>
      </c>
      <c r="C727" s="5" t="n">
        <v>167914.51</v>
      </c>
      <c r="D727" s="5" t="n">
        <v>167914.51</v>
      </c>
      <c r="E727" s="2" t="inlineStr">
        <is>
          <t>Andalucía</t>
        </is>
      </c>
      <c r="F727" s="2" t="inlineStr">
        <is>
          <t>Málaga</t>
        </is>
      </c>
      <c r="G727" s="2" t="n"/>
      <c r="H727" s="2" t="inlineStr">
        <is>
          <t>Empresa de Transformación Agraria S.A.,S.M.E., M.P., (TRAGSA)</t>
        </is>
      </c>
      <c r="I727" s="2" t="inlineStr">
        <is>
          <t>Suministro e instalación de nuevos elementos de carpintería metálica para la actuación denominada "Servicio de Actuaciones Prioritarias en Materia de Seguridad y Salud de las Presas Competencia de la Comunidad Autónoma de Andalucía"</t>
        </is>
      </c>
      <c r="J727" s="2" t="inlineStr">
        <is>
          <t>TSA0083839</t>
        </is>
      </c>
      <c r="K727" s="2" t="inlineStr">
        <is>
          <t>Abierto simplificado</t>
        </is>
      </c>
      <c r="L727" s="6" t="n">
        <v>3</v>
      </c>
      <c r="M727" s="2" t="inlineStr">
        <is>
          <t>C9-2</t>
        </is>
      </c>
      <c r="N727" s="7" t="n">
        <v>0</v>
      </c>
      <c r="O727" s="4" t="n"/>
      <c r="P727" s="2" t="inlineStr">
        <is>
          <t>45421140; 45340000</t>
        </is>
      </c>
      <c r="Q727" s="8" t="inlineStr">
        <is>
          <t>Ver</t>
        </is>
      </c>
      <c r="R727" s="8" t="inlineStr">
        <is>
          <t>PCAP</t>
        </is>
      </c>
      <c r="S727" s="9" t="n">
        <v>46310</v>
      </c>
      <c r="T727" s="3" t="n">
        <v>46314.72856481482</v>
      </c>
      <c r="U727" s="2" t="n"/>
    </row>
    <row r="728">
      <c r="A728" s="2" t="inlineStr">
        <is>
          <t>Pendiente de adjudicación</t>
        </is>
      </c>
      <c r="B728" s="3" t="n">
        <v>46146.41666666666</v>
      </c>
      <c r="C728" s="5" t="n">
        <v>121655.76</v>
      </c>
      <c r="D728" s="5" t="n">
        <v>121655.76</v>
      </c>
      <c r="E728" s="2" t="inlineStr">
        <is>
          <t>Andalucía</t>
        </is>
      </c>
      <c r="F728" s="2" t="inlineStr">
        <is>
          <t>Sevilla</t>
        </is>
      </c>
      <c r="G728" s="2" t="n"/>
      <c r="H728" s="2" t="inlineStr">
        <is>
          <t>Empresa de Transformación Agraria S.A.,S.M.E., M.P., (TRAGSA)</t>
        </is>
      </c>
      <c r="I728" s="2" t="inlineStr">
        <is>
          <t>Reparación de calderería para el proyecto de Reacondicionamiento y Puesta en Servicio de las Balsas de Regulación y de las Estaciones de Bombeo para la Modernización de la CR de las Marismas del Guadalquivir. TT.MM Uttera y Los Palacios y Villafranca (Sevilla). En el marco del Plan de Recuperación, Transformación y Resiliencia, financiado por la Unión Europea-NEXTGENRATIONEU.</t>
        </is>
      </c>
      <c r="J728" s="2" t="inlineStr">
        <is>
          <t>TSA0083257</t>
        </is>
      </c>
      <c r="K728" s="2" t="inlineStr">
        <is>
          <t>Abierto simplificado</t>
        </is>
      </c>
      <c r="L728" s="6" t="n">
        <v>2</v>
      </c>
      <c r="M728" s="2" t="n"/>
      <c r="N728" s="7" t="n">
        <v>0</v>
      </c>
      <c r="O728" s="4" t="n"/>
      <c r="P728" s="2" t="inlineStr">
        <is>
          <t>45240000</t>
        </is>
      </c>
      <c r="Q728" s="8" t="inlineStr">
        <is>
          <t>Ver</t>
        </is>
      </c>
      <c r="R728" s="8" t="inlineStr">
        <is>
          <t>PCAP</t>
        </is>
      </c>
      <c r="S728" s="9" t="n">
        <v>46310</v>
      </c>
      <c r="T728" s="3" t="n">
        <v>46314.7145949074</v>
      </c>
      <c r="U728" s="2" t="n"/>
    </row>
    <row r="729">
      <c r="A729" s="2" t="inlineStr">
        <is>
          <t>En plazo</t>
        </is>
      </c>
      <c r="B729" s="3" t="n">
        <v>46342.54166666666</v>
      </c>
      <c r="C729" s="5" t="n">
        <v>420785.03</v>
      </c>
      <c r="D729" s="5" t="n">
        <v>420785.03</v>
      </c>
      <c r="E729" s="2" t="inlineStr">
        <is>
          <t>Comunitat Valenciana</t>
        </is>
      </c>
      <c r="F729" s="2" t="inlineStr">
        <is>
          <t>Alicante</t>
        </is>
      </c>
      <c r="G729" s="2" t="n"/>
      <c r="H729" s="2" t="inlineStr">
        <is>
          <t>Consejo de Administración de Aigües i Sanejament d'Elx S.A.</t>
        </is>
      </c>
      <c r="I729" s="2" t="inlineStr">
        <is>
          <t>Obras de la Red de Abastecimiento de Agua Potable a la Paritda de Llano de San José, Fase II</t>
        </is>
      </c>
      <c r="J729" s="2" t="inlineStr">
        <is>
          <t>2026/0022/OB</t>
        </is>
      </c>
      <c r="K729" s="2" t="inlineStr">
        <is>
          <t>Abierto</t>
        </is>
      </c>
      <c r="L729" s="6" t="n">
        <v>5</v>
      </c>
      <c r="M729" s="2" t="n"/>
      <c r="N729" s="7" t="n">
        <v>0.45</v>
      </c>
      <c r="O729" s="4" t="n"/>
      <c r="P729" s="2" t="inlineStr">
        <is>
          <t>45231300</t>
        </is>
      </c>
      <c r="Q729" s="8" t="inlineStr">
        <is>
          <t>Ver</t>
        </is>
      </c>
      <c r="R729" s="8" t="inlineStr">
        <is>
          <t>PCAP</t>
        </is>
      </c>
      <c r="S729" s="9" t="n">
        <v>46315</v>
      </c>
      <c r="T729" s="3" t="n">
        <v>46314.67834490741</v>
      </c>
      <c r="U729" s="2" t="n"/>
    </row>
    <row r="730">
      <c r="A730" s="2" t="inlineStr">
        <is>
          <t>Resuelta</t>
        </is>
      </c>
      <c r="B730" s="3" t="n"/>
      <c r="C730" s="5" t="n">
        <v>3422575.24</v>
      </c>
      <c r="D730" s="5" t="n">
        <v>4141316.05</v>
      </c>
      <c r="E730" s="2" t="inlineStr">
        <is>
          <t>Andalucía</t>
        </is>
      </c>
      <c r="F730" s="2" t="inlineStr">
        <is>
          <t>Granada</t>
        </is>
      </c>
      <c r="G730" s="2" t="n"/>
      <c r="H730" s="2" t="inlineStr">
        <is>
          <t>Demarcación de Carreteras del Estado en Andalucía Oriental</t>
        </is>
      </c>
      <c r="I730" s="2" t="inlineStr">
        <is>
          <t>Reparación de firme en la autovía A-45 entre los PP.KK. 81+260 límite con la provincia de Córdoba y 120+000, provincia de Málaga. LOTE 3</t>
        </is>
      </c>
      <c r="J730" s="2" t="inlineStr">
        <is>
          <t>EM32-MA-260001.L3</t>
        </is>
      </c>
      <c r="K730" s="2" t="inlineStr">
        <is>
          <t>Negociado sin publicidad</t>
        </is>
      </c>
      <c r="L730" s="6" t="n">
        <v>5</v>
      </c>
      <c r="M730" s="2" t="n"/>
      <c r="N730" s="7" t="n"/>
      <c r="O730" s="4" t="n"/>
      <c r="P730" s="2" t="inlineStr">
        <is>
          <t>45000000</t>
        </is>
      </c>
      <c r="Q730" s="8" t="inlineStr">
        <is>
          <t>Ver</t>
        </is>
      </c>
      <c r="R730" s="2" t="n"/>
      <c r="S730" s="9" t="n">
        <v>46315</v>
      </c>
      <c r="T730" s="3" t="n">
        <v>46314.66555555556</v>
      </c>
      <c r="U730" s="2" t="n"/>
    </row>
    <row r="731">
      <c r="A731" s="2" t="inlineStr">
        <is>
          <t>Resuelta</t>
        </is>
      </c>
      <c r="B731" s="3" t="n">
        <v>46269.41666666666</v>
      </c>
      <c r="C731" s="5" t="n">
        <v>191958.54</v>
      </c>
      <c r="D731" s="5" t="n">
        <v>191958.54</v>
      </c>
      <c r="E731" s="2" t="inlineStr">
        <is>
          <t>Andalucía</t>
        </is>
      </c>
      <c r="F731" s="2" t="inlineStr">
        <is>
          <t>Huelva</t>
        </is>
      </c>
      <c r="G731" s="2" t="n"/>
      <c r="H731" s="2" t="inlineStr">
        <is>
          <t>Empresa de Transformación Agraria S.A.,S.M.E., M.P., (TRAGSA)</t>
        </is>
      </c>
      <c r="I731" s="2" t="inlineStr">
        <is>
          <t>Ejecución de asfaltado y triple tratamiento superficial para la obra: Proyecto de mejora de los caminos de acceso a la presa del Andévalo, en los TTMM de El Almendro, El Granado y Puebla de Guzmán (Huelva)</t>
        </is>
      </c>
      <c r="J731" s="2" t="inlineStr">
        <is>
          <t>TSA0083941</t>
        </is>
      </c>
      <c r="K731" s="2" t="inlineStr">
        <is>
          <t>Abierto simplificado</t>
        </is>
      </c>
      <c r="L731" s="6" t="n">
        <v>4</v>
      </c>
      <c r="M731" s="2" t="n"/>
      <c r="N731" s="7" t="n">
        <v>0</v>
      </c>
      <c r="O731" s="4" t="n">
        <v>2</v>
      </c>
      <c r="P731" s="2" t="inlineStr">
        <is>
          <t>45233222</t>
        </is>
      </c>
      <c r="Q731" s="8" t="inlineStr">
        <is>
          <t>Ver</t>
        </is>
      </c>
      <c r="R731" s="8" t="inlineStr">
        <is>
          <t>PCAP</t>
        </is>
      </c>
      <c r="S731" s="9" t="n">
        <v>46315</v>
      </c>
      <c r="T731" s="3" t="n">
        <v>46314.66417824074</v>
      </c>
      <c r="U731" s="2" t="n"/>
    </row>
    <row r="732">
      <c r="A732" s="2" t="inlineStr">
        <is>
          <t>Resuelta</t>
        </is>
      </c>
      <c r="B732" s="3" t="n"/>
      <c r="C732" s="5" t="n">
        <v>2921121.84</v>
      </c>
      <c r="D732" s="5" t="n">
        <v>3534557.43</v>
      </c>
      <c r="E732" s="2" t="inlineStr">
        <is>
          <t>Andalucía</t>
        </is>
      </c>
      <c r="F732" s="2" t="inlineStr">
        <is>
          <t>Granada</t>
        </is>
      </c>
      <c r="G732" s="2" t="n"/>
      <c r="H732" s="2" t="inlineStr">
        <is>
          <t>Demarcación de Carreteras del Estado en Andalucía Oriental</t>
        </is>
      </c>
      <c r="I732" s="2" t="inlineStr">
        <is>
          <t>Reparación de firme en la autovía A-7 entre los PP.KK. 1067+000 (inicio variante Estepona) y 1087+300 (límite con la provincia de Cádiz), provincia de Málaga. LOTE 2, subsanando la situación de grave peligro existente</t>
        </is>
      </c>
      <c r="J732" s="2" t="inlineStr">
        <is>
          <t>EM32-MA-260001.L2</t>
        </is>
      </c>
      <c r="K732" s="2" t="inlineStr">
        <is>
          <t>Negociado sin publicidad</t>
        </is>
      </c>
      <c r="L732" s="6" t="n">
        <v>5</v>
      </c>
      <c r="M732" s="2" t="n"/>
      <c r="N732" s="7" t="n"/>
      <c r="O732" s="4" t="n"/>
      <c r="P732" s="2" t="inlineStr">
        <is>
          <t>45000000</t>
        </is>
      </c>
      <c r="Q732" s="8" t="inlineStr">
        <is>
          <t>Ver</t>
        </is>
      </c>
      <c r="R732" s="2" t="n"/>
      <c r="S732" s="9" t="n">
        <v>46315</v>
      </c>
      <c r="T732" s="3" t="n">
        <v>46314.66262731481</v>
      </c>
      <c r="U732" s="2" t="n"/>
    </row>
    <row r="733">
      <c r="A733" s="2" t="inlineStr">
        <is>
          <t>Resuelta</t>
        </is>
      </c>
      <c r="B733" s="3" t="n"/>
      <c r="C733" s="5" t="n">
        <v>3574126.27</v>
      </c>
      <c r="D733" s="5" t="n">
        <v>4324692.79</v>
      </c>
      <c r="E733" s="2" t="inlineStr">
        <is>
          <t>Andalucía</t>
        </is>
      </c>
      <c r="F733" s="2" t="inlineStr">
        <is>
          <t>Granada</t>
        </is>
      </c>
      <c r="G733" s="2" t="n"/>
      <c r="H733" s="2" t="inlineStr">
        <is>
          <t>Demarcación de Carreteras del Estado en Andalucía Oriental</t>
        </is>
      </c>
      <c r="I733" s="2" t="inlineStr">
        <is>
          <t>Reparación de firme en la autovía A-7 entre los PP.KK. 1049+479 ,final de la variante de Marbella, y 1067+000 ,inicio variante Estepona ,provincia de Málaga. LOTE 1</t>
        </is>
      </c>
      <c r="J733" s="2" t="inlineStr">
        <is>
          <t>EM32-MA-260001.L1</t>
        </is>
      </c>
      <c r="K733" s="2" t="inlineStr">
        <is>
          <t>Negociado sin publicidad</t>
        </is>
      </c>
      <c r="L733" s="6" t="n">
        <v>5</v>
      </c>
      <c r="M733" s="2" t="n"/>
      <c r="N733" s="7" t="n"/>
      <c r="O733" s="4" t="n"/>
      <c r="P733" s="2" t="inlineStr">
        <is>
          <t>45000000</t>
        </is>
      </c>
      <c r="Q733" s="8" t="inlineStr">
        <is>
          <t>Ver</t>
        </is>
      </c>
      <c r="R733" s="2" t="n"/>
      <c r="S733" s="9" t="n">
        <v>46315</v>
      </c>
      <c r="T733" s="3" t="n">
        <v>46314.65951388889</v>
      </c>
      <c r="U733" s="2" t="n"/>
    </row>
    <row r="734">
      <c r="A734" s="2" t="inlineStr">
        <is>
          <t>Resuelta</t>
        </is>
      </c>
      <c r="B734" s="3" t="n">
        <v>45951.41666666666</v>
      </c>
      <c r="C734" s="5" t="n">
        <v>85000</v>
      </c>
      <c r="D734" s="5" t="n">
        <v>85000</v>
      </c>
      <c r="E734" s="2" t="inlineStr">
        <is>
          <t>Andalucía</t>
        </is>
      </c>
      <c r="F734" s="2" t="inlineStr">
        <is>
          <t>Sevilla</t>
        </is>
      </c>
      <c r="G734" s="2" t="n"/>
      <c r="H734" s="2" t="inlineStr">
        <is>
          <t>Empresa de Transformación Agraria S.A.,S.M.E., M.P., (TRAGSA)</t>
        </is>
      </c>
      <c r="I734" s="2" t="inlineStr">
        <is>
          <t>Contrato derivado del "Acuerdo Marco para alquiler de maquinaria de obra civil, agrícola y forestal, y camiones para obras de construcción y demolición, dotada de operario, para las actuaciones del ámbito territorial de la Gerencia provincial de Tragsa en Sevilla, en el marco del Plan de Recuperación, Transformación y Resiliencia, financiado por la Unión Europea - NEXTGENERATION EU.</t>
        </is>
      </c>
      <c r="J734" s="2" t="inlineStr">
        <is>
          <t>TSA0076787-121</t>
        </is>
      </c>
      <c r="K734" s="2" t="inlineStr">
        <is>
          <t>Abierto</t>
        </is>
      </c>
      <c r="L734" s="6" t="n">
        <v>12</v>
      </c>
      <c r="M734" s="2" t="n"/>
      <c r="N734" s="7" t="n">
        <v>0</v>
      </c>
      <c r="O734" s="4" t="n"/>
      <c r="P734" s="2" t="inlineStr">
        <is>
          <t>45500000</t>
        </is>
      </c>
      <c r="Q734" s="8" t="inlineStr">
        <is>
          <t>Ver</t>
        </is>
      </c>
      <c r="R734" s="8" t="inlineStr">
        <is>
          <t>PCAP</t>
        </is>
      </c>
      <c r="S734" s="9" t="n">
        <v>46315</v>
      </c>
      <c r="T734" s="3" t="n">
        <v>46314.65902777778</v>
      </c>
      <c r="U734" s="2" t="n"/>
    </row>
    <row r="735">
      <c r="A735" s="2" t="inlineStr">
        <is>
          <t>Resuelta</t>
        </is>
      </c>
      <c r="B735" s="3" t="n"/>
      <c r="C735" s="5" t="n">
        <v>2057959.08</v>
      </c>
      <c r="D735" s="5" t="n">
        <v>2490130.49</v>
      </c>
      <c r="E735" s="2" t="inlineStr">
        <is>
          <t>Andalucía</t>
        </is>
      </c>
      <c r="F735" s="2" t="inlineStr">
        <is>
          <t>Granada</t>
        </is>
      </c>
      <c r="G735" s="2" t="n"/>
      <c r="H735" s="2" t="inlineStr">
        <is>
          <t>Demarcación de Carreteras del Estado en Andalucía Oriental</t>
        </is>
      </c>
      <c r="I735" s="2" t="inlineStr">
        <is>
          <t>Reparación de firme En la provincia de Jaén, Autovía A-44 desde el P.K. 0+000 al 78+000 para garantizar la seguridad viaria, subsanando la situación de grave peligro existente Lote4-Clave 260004</t>
        </is>
      </c>
      <c r="J735" s="2" t="inlineStr">
        <is>
          <t>EM32-J-260004.L4</t>
        </is>
      </c>
      <c r="K735" s="2" t="inlineStr">
        <is>
          <t>Negociado sin publicidad</t>
        </is>
      </c>
      <c r="L735" s="6" t="n">
        <v>60</v>
      </c>
      <c r="M735" s="2" t="n"/>
      <c r="N735" s="7" t="n"/>
      <c r="O735" s="4" t="n"/>
      <c r="P735" s="2" t="inlineStr">
        <is>
          <t>45000000</t>
        </is>
      </c>
      <c r="Q735" s="8" t="inlineStr">
        <is>
          <t>Ver</t>
        </is>
      </c>
      <c r="R735" s="2" t="n"/>
      <c r="S735" s="9" t="n">
        <v>46315</v>
      </c>
      <c r="T735" s="3" t="n">
        <v>46314.64761574074</v>
      </c>
      <c r="U735" s="2" t="n"/>
    </row>
    <row r="736">
      <c r="A736" s="2" t="inlineStr">
        <is>
          <t>En plazo</t>
        </is>
      </c>
      <c r="B736" s="3" t="n">
        <v>46335.99930555555</v>
      </c>
      <c r="C736" s="5" t="n">
        <v>709293.76</v>
      </c>
      <c r="D736" s="5" t="n">
        <v>709293.76</v>
      </c>
      <c r="E736" s="2" t="inlineStr">
        <is>
          <t>Comunitat Valenciana</t>
        </is>
      </c>
      <c r="F736" s="2" t="inlineStr">
        <is>
          <t>Valencia</t>
        </is>
      </c>
      <c r="G736" s="2" t="n"/>
      <c r="H736" s="2" t="inlineStr">
        <is>
          <t>Alcaldía del Ayuntamiento de Quart de Poblet</t>
        </is>
      </c>
      <c r="I736" s="2" t="inlineStr">
        <is>
          <t>Obra Proyecto de Mejora de la accesibilidad y de parte de las infraestructuras de la calle Jaume Balmes de Quart de Poblet, actuación incluida dentro del Plan Obert d´Inversions 24-27 de la Diputación Provincial de Valencia</t>
        </is>
      </c>
      <c r="J736" s="2" t="inlineStr">
        <is>
          <t>2287483K</t>
        </is>
      </c>
      <c r="K736" s="2" t="inlineStr">
        <is>
          <t>Abierto simplificado</t>
        </is>
      </c>
      <c r="L736" s="6" t="n">
        <v>6</v>
      </c>
      <c r="M736" s="2" t="inlineStr">
        <is>
          <t>G6-2</t>
        </is>
      </c>
      <c r="N736" s="7" t="n">
        <v>0.25</v>
      </c>
      <c r="O736" s="4" t="n"/>
      <c r="P736" s="2" t="inlineStr">
        <is>
          <t>45233140</t>
        </is>
      </c>
      <c r="Q736" s="8" t="inlineStr">
        <is>
          <t>Ver</t>
        </is>
      </c>
      <c r="R736" s="8" t="inlineStr">
        <is>
          <t>PCAP</t>
        </is>
      </c>
      <c r="S736" s="9" t="n">
        <v>46315</v>
      </c>
      <c r="T736" s="3" t="n">
        <v>46314.64677083334</v>
      </c>
      <c r="U736" s="2" t="n"/>
    </row>
    <row r="737">
      <c r="A737" s="2" t="inlineStr">
        <is>
          <t>Anulada</t>
        </is>
      </c>
      <c r="B737" s="3" t="n">
        <v>46321.79166666666</v>
      </c>
      <c r="C737" s="5" t="n">
        <v>826265.8100000001</v>
      </c>
      <c r="D737" s="5" t="n">
        <v>826265.8100000001</v>
      </c>
      <c r="E737" s="2" t="inlineStr">
        <is>
          <t>Comunitat Valenciana</t>
        </is>
      </c>
      <c r="F737" s="2" t="inlineStr">
        <is>
          <t>Valencia</t>
        </is>
      </c>
      <c r="G737" s="2" t="n"/>
      <c r="H737" s="2" t="inlineStr">
        <is>
          <t>Conselleria de Servicios Sociales, Familia e Infancia</t>
        </is>
      </c>
      <c r="I737" s="2" t="inlineStr">
        <is>
          <t>Obras de reparación y mantenimiento del Centro de Envejecimiento Activo (CEA) de Crevillent.</t>
        </is>
      </c>
      <c r="J737" s="2" t="inlineStr">
        <is>
          <t>CMAYOR/2026/30Y09/0121</t>
        </is>
      </c>
      <c r="K737" s="2" t="inlineStr">
        <is>
          <t>Abierto simplificado</t>
        </is>
      </c>
      <c r="L737" s="6" t="n">
        <v>6</v>
      </c>
      <c r="M737" s="2" t="n"/>
      <c r="N737" s="7" t="n">
        <v>0.222</v>
      </c>
      <c r="O737" s="4" t="n"/>
      <c r="P737" s="2" t="inlineStr">
        <is>
          <t>45450000</t>
        </is>
      </c>
      <c r="Q737" s="8" t="inlineStr">
        <is>
          <t>Ver</t>
        </is>
      </c>
      <c r="R737" s="8" t="inlineStr">
        <is>
          <t>PCAP</t>
        </is>
      </c>
      <c r="S737" s="9" t="n">
        <v>46315</v>
      </c>
      <c r="T737" s="3" t="n">
        <v>46314.64394675926</v>
      </c>
      <c r="U737" s="2" t="inlineStr">
        <is>
          <t>2026-10-20: anulada en la Plataforma</t>
        </is>
      </c>
    </row>
    <row r="738">
      <c r="A738" s="2" t="inlineStr">
        <is>
          <t>Adjudicada</t>
        </is>
      </c>
      <c r="B738" s="3" t="n"/>
      <c r="C738" s="5" t="n">
        <v>25923.78</v>
      </c>
      <c r="D738" s="5" t="n">
        <v>25923.78</v>
      </c>
      <c r="E738" s="2" t="inlineStr">
        <is>
          <t>Comunitat Valenciana</t>
        </is>
      </c>
      <c r="F738" s="2" t="inlineStr">
        <is>
          <t>Alicante</t>
        </is>
      </c>
      <c r="G738" s="2" t="n"/>
      <c r="H738" s="2" t="inlineStr">
        <is>
          <t>Consejo de Administración de Promociones e Iniciativas Municipales de Elche, S.A. (PIMESA)</t>
        </is>
      </c>
      <c r="I738" s="2" t="inlineStr">
        <is>
          <t>Obras para dotar de suministro eléctrico al Edificio El Araceli, de 76 viviendas, 2 locales comerciales y garaje para 75 aparcamientos en la calle Maestro Ángel Llorca, nº 6 de Elche.</t>
        </is>
      </c>
      <c r="J738" s="2" t="inlineStr">
        <is>
          <t>2025/NSP/026</t>
        </is>
      </c>
      <c r="K738" s="2" t="inlineStr">
        <is>
          <t>Negociado sin publicidad</t>
        </is>
      </c>
      <c r="L738" s="6" t="n">
        <v>3.5</v>
      </c>
      <c r="M738" s="2" t="n"/>
      <c r="N738" s="7" t="n"/>
      <c r="O738" s="4" t="n"/>
      <c r="P738" s="2" t="inlineStr">
        <is>
          <t>45310000</t>
        </is>
      </c>
      <c r="Q738" s="8" t="inlineStr">
        <is>
          <t>Ver</t>
        </is>
      </c>
      <c r="R738" s="2" t="n"/>
      <c r="S738" s="9" t="n">
        <v>46315</v>
      </c>
      <c r="T738" s="3" t="n">
        <v>46314.63226851852</v>
      </c>
      <c r="U738" s="2" t="n"/>
    </row>
    <row r="739">
      <c r="A739" s="2" t="inlineStr">
        <is>
          <t>Pendiente de adjudicación</t>
        </is>
      </c>
      <c r="B739" s="3" t="n">
        <v>46268.99930555555</v>
      </c>
      <c r="C739" s="5" t="n">
        <v>796831.67</v>
      </c>
      <c r="D739" s="5" t="n">
        <v>796831.67</v>
      </c>
      <c r="E739" s="2" t="inlineStr">
        <is>
          <t>Comunitat Valenciana</t>
        </is>
      </c>
      <c r="F739" s="2" t="inlineStr">
        <is>
          <t>Alicante</t>
        </is>
      </c>
      <c r="G739" s="2" t="n"/>
      <c r="H739" s="2" t="inlineStr">
        <is>
          <t>Presidencia de la Diputación Provincial de Alicante</t>
        </is>
      </c>
      <c r="I739" s="2" t="inlineStr">
        <is>
          <t>Obra de reforma de las instalaciones de detección y extinción de incendios del Museo Arqueológico MARQ</t>
        </is>
      </c>
      <c r="J739" s="2" t="inlineStr">
        <is>
          <t>O4S-137/2026</t>
        </is>
      </c>
      <c r="K739" s="2" t="inlineStr">
        <is>
          <t>Abierto simplificado</t>
        </is>
      </c>
      <c r="L739" s="6" t="n">
        <v>3</v>
      </c>
      <c r="M739" s="2" t="n"/>
      <c r="N739" s="7" t="n">
        <v>0.25</v>
      </c>
      <c r="O739" s="4" t="n"/>
      <c r="P739" s="2" t="inlineStr">
        <is>
          <t>45312100; 45343000</t>
        </is>
      </c>
      <c r="Q739" s="8" t="inlineStr">
        <is>
          <t>Ver</t>
        </is>
      </c>
      <c r="R739" s="8" t="inlineStr">
        <is>
          <t>PCAP</t>
        </is>
      </c>
      <c r="S739" s="9" t="n">
        <v>46315</v>
      </c>
      <c r="T739" s="3" t="n">
        <v>46314.62560185185</v>
      </c>
      <c r="U739" s="2" t="n"/>
    </row>
    <row r="740">
      <c r="A740" s="2" t="inlineStr">
        <is>
          <t>En plazo</t>
        </is>
      </c>
      <c r="B740" s="3" t="n">
        <v>46339.58333333334</v>
      </c>
      <c r="C740" s="5" t="n">
        <v>392087954.71</v>
      </c>
      <c r="D740" s="5" t="n">
        <v>431296750.18</v>
      </c>
      <c r="E740" s="2" t="inlineStr">
        <is>
          <t>Comunitat Valenciana</t>
        </is>
      </c>
      <c r="F740" s="2" t="inlineStr">
        <is>
          <t>Castellón</t>
        </is>
      </c>
      <c r="G740" s="2" t="inlineStr">
        <is>
          <t>Castelló de la Plana</t>
        </is>
      </c>
      <c r="H740" s="2" t="inlineStr">
        <is>
          <t>Dirección General de Gestión Económica, Contratación e Infraestructuras de la Conselleria de Sanidad</t>
        </is>
      </c>
      <c r="I740" s="2" t="inlineStr">
        <is>
          <t>Obras del Nuevo Hospital General Universitario de Castellón.</t>
        </is>
      </c>
      <c r="J740" s="2" t="inlineStr">
        <is>
          <t>31/2027</t>
        </is>
      </c>
      <c r="K740" s="2" t="inlineStr">
        <is>
          <t>Abierto</t>
        </is>
      </c>
      <c r="L740" s="6" t="n">
        <v>60</v>
      </c>
      <c r="M740" s="2" t="inlineStr">
        <is>
          <t>C*-6</t>
        </is>
      </c>
      <c r="N740" s="7" t="n">
        <v>0.3</v>
      </c>
      <c r="O740" s="4" t="n"/>
      <c r="P740" s="2" t="inlineStr">
        <is>
          <t>45215100</t>
        </is>
      </c>
      <c r="Q740" s="8" t="inlineStr">
        <is>
          <t>Ver</t>
        </is>
      </c>
      <c r="R740" s="8" t="inlineStr">
        <is>
          <t>PCAP</t>
        </is>
      </c>
      <c r="S740" s="9" t="n">
        <v>46310</v>
      </c>
      <c r="T740" s="3" t="n">
        <v>46314.62078703703</v>
      </c>
      <c r="U740" s="2" t="inlineStr">
        <is>
          <t>2026-10-20: plazo 2026-11-03 14:00 → 2026-11-13 14:00</t>
        </is>
      </c>
    </row>
    <row r="741">
      <c r="A741" s="2" t="inlineStr">
        <is>
          <t>Resuelta</t>
        </is>
      </c>
      <c r="B741" s="3" t="n"/>
      <c r="C741" s="5" t="n">
        <v>3568913.46</v>
      </c>
      <c r="D741" s="5" t="n">
        <v>4318385.29</v>
      </c>
      <c r="E741" s="2" t="inlineStr">
        <is>
          <t>Andalucía</t>
        </is>
      </c>
      <c r="F741" s="2" t="inlineStr">
        <is>
          <t>Granada</t>
        </is>
      </c>
      <c r="G741" s="2" t="n"/>
      <c r="H741" s="2" t="inlineStr">
        <is>
          <t>Demarcación de Carreteras del Estado en Andalucía Oriental</t>
        </is>
      </c>
      <c r="I741" s="2" t="inlineStr">
        <is>
          <t>Reparación de firme EN LA provincia de Jaén, Autovía A-4 desde el P.K. 300+000 al 347+500 para garantizar la seguridad viaria, subsanando la situación de grave peligro existente Lote2-Clave 260004</t>
        </is>
      </c>
      <c r="J741" s="2" t="inlineStr">
        <is>
          <t>EM32-J-260004.L2</t>
        </is>
      </c>
      <c r="K741" s="2" t="inlineStr">
        <is>
          <t>Negociado sin publicidad</t>
        </is>
      </c>
      <c r="L741" s="6" t="n">
        <v>5</v>
      </c>
      <c r="M741" s="2" t="n"/>
      <c r="N741" s="7" t="n"/>
      <c r="O741" s="4" t="n"/>
      <c r="P741" s="2" t="inlineStr">
        <is>
          <t>45000000</t>
        </is>
      </c>
      <c r="Q741" s="8" t="inlineStr">
        <is>
          <t>Ver</t>
        </is>
      </c>
      <c r="R741" s="2" t="n"/>
      <c r="S741" s="9" t="n">
        <v>46315</v>
      </c>
      <c r="T741" s="3" t="n">
        <v>46314.62056712963</v>
      </c>
      <c r="U741" s="2" t="n"/>
    </row>
    <row r="742">
      <c r="A742" s="2" t="inlineStr">
        <is>
          <t>En plazo</t>
        </is>
      </c>
      <c r="B742" s="3" t="n">
        <v>46335.99930555555</v>
      </c>
      <c r="C742" s="5" t="n">
        <v>242770.61</v>
      </c>
      <c r="D742" s="5" t="n">
        <v>242770.61</v>
      </c>
      <c r="E742" s="2" t="inlineStr">
        <is>
          <t>Andalucía</t>
        </is>
      </c>
      <c r="F742" s="2" t="inlineStr">
        <is>
          <t>Huelva</t>
        </is>
      </c>
      <c r="G742" s="2" t="inlineStr">
        <is>
          <t>VILLALBA DEL ALCOR</t>
        </is>
      </c>
      <c r="H742" s="2" t="inlineStr">
        <is>
          <t>Presidencia de la Diputación Provincial de Huelva</t>
        </is>
      </c>
      <c r="I742" s="2" t="inlineStr">
        <is>
          <t>Contrato de Obras para la sustitución de equipamiento municipal: piscina infantil y edificio anexo, en Villalba del Alcor (Huelva)</t>
        </is>
      </c>
      <c r="J742" s="2" t="inlineStr">
        <is>
          <t>2026/CMY_03/000132</t>
        </is>
      </c>
      <c r="K742" s="2" t="inlineStr">
        <is>
          <t>Abierto simplificado</t>
        </is>
      </c>
      <c r="L742" s="6" t="n">
        <v>8</v>
      </c>
      <c r="M742" s="2" t="n"/>
      <c r="N742" s="7" t="n">
        <v>0</v>
      </c>
      <c r="O742" s="4" t="n"/>
      <c r="P742" s="2" t="inlineStr">
        <is>
          <t>45212212; 45212000; 45000000; 45210000; 45200000; 45212200</t>
        </is>
      </c>
      <c r="Q742" s="8" t="inlineStr">
        <is>
          <t>Ver</t>
        </is>
      </c>
      <c r="R742" s="8" t="inlineStr">
        <is>
          <t>PCAP</t>
        </is>
      </c>
      <c r="S742" s="9" t="n">
        <v>46315</v>
      </c>
      <c r="T742" s="3" t="n">
        <v>46314.62055555556</v>
      </c>
      <c r="U742" s="2" t="n"/>
    </row>
    <row r="743">
      <c r="A743" s="2" t="inlineStr">
        <is>
          <t>Pendiente de adjudicación</t>
        </is>
      </c>
      <c r="B743" s="3" t="n">
        <v>46286.99930555555</v>
      </c>
      <c r="C743" s="5" t="n">
        <v>734906.9</v>
      </c>
      <c r="D743" s="5" t="n">
        <v>734906.9</v>
      </c>
      <c r="E743" s="2" t="inlineStr">
        <is>
          <t>Andalucía</t>
        </is>
      </c>
      <c r="F743" s="2" t="inlineStr">
        <is>
          <t>Granada</t>
        </is>
      </c>
      <c r="G743" s="2" t="inlineStr">
        <is>
          <t>Granada</t>
        </is>
      </c>
      <c r="H743" s="2" t="inlineStr">
        <is>
          <t>Junta de Gobierno Local del Ayuntamiento de Baza</t>
        </is>
      </c>
      <c r="I743" s="2" t="inlineStr">
        <is>
          <t>Obras de los proyectos para la instalación de plantas fotovoltaicas en pozos de la Atalaya y Edar de Baza, incluido en el proyecto 2: Transición medioambiental y movilidad sostenible para una ciudad más eficiente, financiado en el marco del Plan de Actuación Integrado PAI Baza 2030, cofinanciado por fondos FEDER en el marco del programa plurirregional de España 2021-2027</t>
        </is>
      </c>
      <c r="J743" s="2" t="inlineStr">
        <is>
          <t>5186/2026</t>
        </is>
      </c>
      <c r="K743" s="2" t="inlineStr">
        <is>
          <t>Abierto simplificado</t>
        </is>
      </c>
      <c r="L743" s="6" t="n">
        <v>3.3</v>
      </c>
      <c r="M743" s="2" t="n"/>
      <c r="N743" s="7" t="n">
        <v>0</v>
      </c>
      <c r="O743" s="4" t="n">
        <v>2</v>
      </c>
      <c r="P743" s="2" t="inlineStr">
        <is>
          <t>45310000; 09332000; 09331000; 45000000; 09331200; 09330000</t>
        </is>
      </c>
      <c r="Q743" s="8" t="inlineStr">
        <is>
          <t>Ver</t>
        </is>
      </c>
      <c r="R743" s="8" t="inlineStr">
        <is>
          <t>PCAP</t>
        </is>
      </c>
      <c r="S743" s="9" t="n">
        <v>46315</v>
      </c>
      <c r="T743" s="3" t="n">
        <v>46314.61989583333</v>
      </c>
      <c r="U743" s="2" t="n"/>
    </row>
    <row r="744">
      <c r="A744" s="2" t="inlineStr">
        <is>
          <t>En plazo</t>
        </is>
      </c>
      <c r="B744" s="3" t="n">
        <v>46334.99930555555</v>
      </c>
      <c r="C744" s="5" t="n">
        <v>85303.67999999999</v>
      </c>
      <c r="D744" s="5" t="n">
        <v>85303.67999999999</v>
      </c>
      <c r="E744" s="2" t="inlineStr">
        <is>
          <t>Andalucía</t>
        </is>
      </c>
      <c r="F744" s="2" t="inlineStr">
        <is>
          <t>Córdoba</t>
        </is>
      </c>
      <c r="G744" s="2" t="inlineStr">
        <is>
          <t>Montalbán de Córdoba</t>
        </is>
      </c>
      <c r="H744" s="2" t="inlineStr">
        <is>
          <t>Alcaldía de Ayuntamiento de Montalban de Cordoba</t>
        </is>
      </c>
      <c r="I744" s="2" t="inlineStr">
        <is>
          <t>Expediente para la contratación de obras de mejora de la transabilidad en caminos varios, en el término municipal de Montalbán de Córdoba, financiados con el PLAN DE HUMANIZACIÓN DE ENTORNOS URBANOS Y AGENDA RURAL 2024-2027</t>
        </is>
      </c>
      <c r="J744" s="2" t="inlineStr">
        <is>
          <t>GEX 2026/3815 Montalban</t>
        </is>
      </c>
      <c r="K744" s="2" t="inlineStr">
        <is>
          <t>Abierto simplificado</t>
        </is>
      </c>
      <c r="L744" s="6" t="n">
        <v>2</v>
      </c>
      <c r="M744" s="2" t="n"/>
      <c r="N744" s="7" t="n">
        <v>0</v>
      </c>
      <c r="O744" s="4" t="n"/>
      <c r="P744" s="2" t="inlineStr">
        <is>
          <t>45000000; 45233250; 45233160</t>
        </is>
      </c>
      <c r="Q744" s="8" t="inlineStr">
        <is>
          <t>Ver</t>
        </is>
      </c>
      <c r="R744" s="8" t="inlineStr">
        <is>
          <t>PCAP</t>
        </is>
      </c>
      <c r="S744" s="9" t="n">
        <v>46315</v>
      </c>
      <c r="T744" s="3" t="n">
        <v>46314.61763888889</v>
      </c>
      <c r="U744" s="2" t="n"/>
    </row>
    <row r="745">
      <c r="A745" s="2" t="inlineStr">
        <is>
          <t>Resuelta</t>
        </is>
      </c>
      <c r="B745" s="3" t="n"/>
      <c r="C745" s="5" t="n">
        <v>3150042.06</v>
      </c>
      <c r="D745" s="5" t="n">
        <v>3811550.9</v>
      </c>
      <c r="E745" s="2" t="inlineStr">
        <is>
          <t>Andalucía</t>
        </is>
      </c>
      <c r="F745" s="2" t="inlineStr">
        <is>
          <t>Granada</t>
        </is>
      </c>
      <c r="G745" s="2" t="n"/>
      <c r="H745" s="2" t="inlineStr">
        <is>
          <t>Demarcación de Carreteras del Estado en Andalucía Oriental</t>
        </is>
      </c>
      <c r="I745" s="2" t="inlineStr">
        <is>
          <t>Reparación de firme EN LA provincia de Jaén, Autovía A-4 desde el P.K. 245+000 al 300+000 para garantizar la seguridad viaria, subsanando la situación de grave peligro existente Lote1-Clave 260004</t>
        </is>
      </c>
      <c r="J745" s="2" t="inlineStr">
        <is>
          <t>EM32-J-260004.L1</t>
        </is>
      </c>
      <c r="K745" s="2" t="inlineStr">
        <is>
          <t>Negociado sin publicidad</t>
        </is>
      </c>
      <c r="L745" s="6" t="n">
        <v>5</v>
      </c>
      <c r="M745" s="2" t="n"/>
      <c r="N745" s="7" t="n"/>
      <c r="O745" s="4" t="n"/>
      <c r="P745" s="2" t="inlineStr">
        <is>
          <t>45000000</t>
        </is>
      </c>
      <c r="Q745" s="8" t="inlineStr">
        <is>
          <t>Ver</t>
        </is>
      </c>
      <c r="R745" s="2" t="n"/>
      <c r="S745" s="9" t="n">
        <v>46315</v>
      </c>
      <c r="T745" s="3" t="n">
        <v>46314.61746527778</v>
      </c>
      <c r="U745" s="2" t="n"/>
    </row>
    <row r="746">
      <c r="A746" s="2" t="inlineStr">
        <is>
          <t>Anuncio previo</t>
        </is>
      </c>
      <c r="B746" s="3" t="n"/>
      <c r="C746" s="5" t="n">
        <v>218030</v>
      </c>
      <c r="D746" s="5" t="n">
        <v>218030</v>
      </c>
      <c r="E746" s="2" t="inlineStr">
        <is>
          <t>Comunitat Valenciana</t>
        </is>
      </c>
      <c r="F746" s="2" t="inlineStr">
        <is>
          <t>Valencia</t>
        </is>
      </c>
      <c r="G746" s="2" t="n"/>
      <c r="H746" s="2" t="inlineStr">
        <is>
          <t>Junta de Gobierno del Ajuntament de Moncada</t>
        </is>
      </c>
      <c r="I746" s="2" t="inlineStr">
        <is>
          <t>OBRAS: Derribo edificio SP 604. C/ Mayor, nº 76. Obra perteneciente al plan de inversiones 2024-2027 de la Diputación de Valencia.</t>
        </is>
      </c>
      <c r="J746" s="2" t="inlineStr">
        <is>
          <t>2949872W DERRIBO EDIFICIO SP-604</t>
        </is>
      </c>
      <c r="K746" s="2" t="inlineStr">
        <is>
          <t>Abierto simplificado</t>
        </is>
      </c>
      <c r="L746" s="6" t="n">
        <v>2</v>
      </c>
      <c r="M746" s="2" t="n"/>
      <c r="N746" s="7" t="n">
        <v>0</v>
      </c>
      <c r="O746" s="4" t="n"/>
      <c r="P746" s="2" t="inlineStr">
        <is>
          <t>45111100</t>
        </is>
      </c>
      <c r="Q746" s="8" t="inlineStr">
        <is>
          <t>Ver</t>
        </is>
      </c>
      <c r="R746" s="8" t="inlineStr">
        <is>
          <t>PCAP</t>
        </is>
      </c>
      <c r="S746" s="9" t="n">
        <v>46315</v>
      </c>
      <c r="T746" s="3" t="n">
        <v>46314.61346064815</v>
      </c>
      <c r="U746" s="2" t="n"/>
    </row>
    <row r="747">
      <c r="A747" s="2" t="inlineStr">
        <is>
          <t>Resuelta</t>
        </is>
      </c>
      <c r="B747" s="3" t="n">
        <v>46293.41666666666</v>
      </c>
      <c r="C747" s="5" t="n">
        <v>3277323.33</v>
      </c>
      <c r="D747" s="5" t="n">
        <v>3277323.33</v>
      </c>
      <c r="E747" s="2" t="inlineStr">
        <is>
          <t>Comunitat Valenciana</t>
        </is>
      </c>
      <c r="F747" s="2" t="inlineStr">
        <is>
          <t>Valencia</t>
        </is>
      </c>
      <c r="G747" s="2" t="inlineStr">
        <is>
          <t>Término municipal de Massanassa (Valencia).</t>
        </is>
      </c>
      <c r="H747" s="2" t="inlineStr">
        <is>
          <t>Empresa de Transformación Agraria S.A.,S.M.E., M.P., (TRAGSA)</t>
        </is>
      </c>
      <c r="I747" s="2" t="inlineStr">
        <is>
          <t>Contrato derivado de acuerdo marco para la contratación de los trabajos para la restauración y reposición de los daños a instalaciones y limpieza y reparación de infraestructuras de los daños causados por la DANA entre el 28 de octubre y 4 de noviembre de 2024, Nº 0796062-DANA24 PARCELAS MAPA FINAL</t>
        </is>
      </c>
      <c r="J747" s="2" t="inlineStr">
        <is>
          <t>TSA0079986-074</t>
        </is>
      </c>
      <c r="K747" s="2" t="inlineStr">
        <is>
          <t>Abierto</t>
        </is>
      </c>
      <c r="L747" s="6" t="n">
        <v>2</v>
      </c>
      <c r="M747" s="2" t="n"/>
      <c r="N747" s="7" t="n">
        <v>0</v>
      </c>
      <c r="O747" s="4" t="n"/>
      <c r="P747" s="2" t="inlineStr">
        <is>
          <t>45111200</t>
        </is>
      </c>
      <c r="Q747" s="8" t="inlineStr">
        <is>
          <t>Ver</t>
        </is>
      </c>
      <c r="R747" s="8" t="inlineStr">
        <is>
          <t>PCAP</t>
        </is>
      </c>
      <c r="S747" s="9" t="n">
        <v>46310</v>
      </c>
      <c r="T747" s="3" t="n">
        <v>46314.61278935185</v>
      </c>
      <c r="U747" s="2" t="n"/>
    </row>
    <row r="748">
      <c r="A748" s="2" t="inlineStr">
        <is>
          <t>En plazo</t>
        </is>
      </c>
      <c r="B748" s="3" t="n">
        <v>46337.625</v>
      </c>
      <c r="C748" s="5" t="n">
        <v>243455.16</v>
      </c>
      <c r="D748" s="5" t="n">
        <v>243455.16</v>
      </c>
      <c r="E748" s="2" t="inlineStr">
        <is>
          <t>Andalucía</t>
        </is>
      </c>
      <c r="F748" s="2" t="inlineStr">
        <is>
          <t>Cádiz</t>
        </is>
      </c>
      <c r="G748" s="2" t="inlineStr">
        <is>
          <t>Cádiz</t>
        </is>
      </c>
      <c r="H748" s="2" t="inlineStr">
        <is>
          <t>Junta de Gobierno del Ayuntamiento de Cádiz</t>
        </is>
      </c>
      <c r="I748" s="2" t="inlineStr">
        <is>
          <t>Proyecto de sustitución de carpinterías exteriores de las fachadas sur y oeste del colegio público San Rafael</t>
        </is>
      </c>
      <c r="J748" s="2" t="inlineStr">
        <is>
          <t>2026/160</t>
        </is>
      </c>
      <c r="K748" s="2" t="inlineStr">
        <is>
          <t>Abierto simplificado</t>
        </is>
      </c>
      <c r="L748" s="6" t="n">
        <v>4</v>
      </c>
      <c r="M748" s="2" t="n"/>
      <c r="N748" s="7" t="n">
        <v>0</v>
      </c>
      <c r="O748" s="4" t="n"/>
      <c r="P748" s="2" t="inlineStr">
        <is>
          <t>45000000; 45421130; 45420000</t>
        </is>
      </c>
      <c r="Q748" s="8" t="inlineStr">
        <is>
          <t>Ver</t>
        </is>
      </c>
      <c r="R748" s="8" t="inlineStr">
        <is>
          <t>PCAP</t>
        </is>
      </c>
      <c r="S748" s="9" t="n">
        <v>46315</v>
      </c>
      <c r="T748" s="3" t="n">
        <v>46314.60429398148</v>
      </c>
      <c r="U748" s="2" t="n"/>
    </row>
    <row r="749">
      <c r="A749" s="2" t="inlineStr">
        <is>
          <t>Resuelta</t>
        </is>
      </c>
      <c r="B749" s="3" t="n">
        <v>46269.99930555555</v>
      </c>
      <c r="C749" s="5" t="n">
        <v>98192.49000000001</v>
      </c>
      <c r="D749" s="5" t="n">
        <v>127650.24</v>
      </c>
      <c r="E749" s="2" t="inlineStr">
        <is>
          <t>Comunitat Valenciana</t>
        </is>
      </c>
      <c r="F749" s="2" t="inlineStr">
        <is>
          <t>Valencia</t>
        </is>
      </c>
      <c r="G749" s="2" t="n"/>
      <c r="H749" s="2" t="inlineStr">
        <is>
          <t>Departamento de Salud de Manises. Dirección Económica-Gerencia</t>
        </is>
      </c>
      <c r="I749" s="2" t="inlineStr">
        <is>
          <t>Obra e instalaciones de nuevas consultas en el Centro de Salud de Aldaia, perteneciente al Departamento de Salud de Manises.</t>
        </is>
      </c>
      <c r="J749" s="2" t="inlineStr">
        <is>
          <t>PA OB 1385/2026</t>
        </is>
      </c>
      <c r="K749" s="2" t="inlineStr">
        <is>
          <t>Abierto</t>
        </is>
      </c>
      <c r="L749" s="6" t="n">
        <v>6</v>
      </c>
      <c r="M749" s="2" t="n"/>
      <c r="N749" s="7" t="n">
        <v>0.45</v>
      </c>
      <c r="O749" s="4" t="n"/>
      <c r="P749" s="2" t="inlineStr">
        <is>
          <t>45215100; 45200000; 45450000</t>
        </is>
      </c>
      <c r="Q749" s="8" t="inlineStr">
        <is>
          <t>Ver</t>
        </is>
      </c>
      <c r="R749" s="8" t="inlineStr">
        <is>
          <t>PCAP</t>
        </is>
      </c>
      <c r="S749" s="9" t="n">
        <v>46310</v>
      </c>
      <c r="T749" s="3" t="n">
        <v>46314.6025</v>
      </c>
      <c r="U749" s="2" t="inlineStr">
        <is>
          <t>2026-10-20: estado ADJ → RES</t>
        </is>
      </c>
    </row>
    <row r="750">
      <c r="A750" s="2" t="inlineStr">
        <is>
          <t>Pendiente de adjudicación</t>
        </is>
      </c>
      <c r="B750" s="3" t="n">
        <v>46296.54166666666</v>
      </c>
      <c r="C750" s="5" t="n">
        <v>123966.94</v>
      </c>
      <c r="D750" s="5" t="n">
        <v>123966.94</v>
      </c>
      <c r="E750" s="2" t="inlineStr">
        <is>
          <t>Andalucía</t>
        </is>
      </c>
      <c r="F750" s="2" t="inlineStr">
        <is>
          <t>Cádiz</t>
        </is>
      </c>
      <c r="G750" s="2" t="n"/>
      <c r="H750" s="2" t="inlineStr">
        <is>
          <t>Alcaldía del Ayuntamiento de Algeciras</t>
        </is>
      </c>
      <c r="I750" s="2" t="inlineStr">
        <is>
          <t>Obras de reparación de la pista deportiva juan arrabal del Ceip Santa Teresa.</t>
        </is>
      </c>
      <c r="J750" s="2" t="inlineStr">
        <is>
          <t>40955/2026</t>
        </is>
      </c>
      <c r="K750" s="2" t="inlineStr">
        <is>
          <t>Negociado sin publicidad</t>
        </is>
      </c>
      <c r="L750" s="6" t="n">
        <v>3</v>
      </c>
      <c r="M750" s="2" t="n"/>
      <c r="N750" s="7" t="n">
        <v>0</v>
      </c>
      <c r="O750" s="4" t="n"/>
      <c r="P750" s="2" t="inlineStr">
        <is>
          <t>45000000</t>
        </is>
      </c>
      <c r="Q750" s="8" t="inlineStr">
        <is>
          <t>Ver</t>
        </is>
      </c>
      <c r="R750" s="8" t="inlineStr">
        <is>
          <t>PCAP</t>
        </is>
      </c>
      <c r="S750" s="9" t="n">
        <v>46315</v>
      </c>
      <c r="T750" s="3" t="n">
        <v>46314.59998842593</v>
      </c>
      <c r="U750" s="2" t="n"/>
    </row>
    <row r="751">
      <c r="A751" s="2" t="inlineStr">
        <is>
          <t>Adjudicada</t>
        </is>
      </c>
      <c r="B751" s="3" t="n">
        <v>46244.99930555555</v>
      </c>
      <c r="C751" s="5" t="n">
        <v>487485.43</v>
      </c>
      <c r="D751" s="5" t="n">
        <v>487485.43</v>
      </c>
      <c r="E751" s="2" t="inlineStr">
        <is>
          <t>Andalucía</t>
        </is>
      </c>
      <c r="F751" s="2" t="inlineStr">
        <is>
          <t>Sevilla</t>
        </is>
      </c>
      <c r="G751" s="2" t="n"/>
      <c r="H751" s="2" t="inlineStr">
        <is>
          <t>Director Gerente de FISEVI</t>
        </is>
      </c>
      <c r="I751" s="2" t="inlineStr">
        <is>
          <t>Contrato de obras de adecuación del Aula Magna del Hospital Universitario Virgen del Rocío para crear un espacio para la difusión del conocimiento y la investigación.</t>
        </is>
      </c>
      <c r="J751" s="2" t="inlineStr">
        <is>
          <t>31/2026</t>
        </is>
      </c>
      <c r="K751" s="2" t="inlineStr">
        <is>
          <t>Abierto</t>
        </is>
      </c>
      <c r="L751" s="6" t="n">
        <v>4</v>
      </c>
      <c r="M751" s="2" t="n"/>
      <c r="N751" s="7" t="n">
        <v>0.25</v>
      </c>
      <c r="O751" s="4" t="n"/>
      <c r="P751" s="2" t="inlineStr">
        <is>
          <t>45453100</t>
        </is>
      </c>
      <c r="Q751" s="8" t="inlineStr">
        <is>
          <t>Ver</t>
        </is>
      </c>
      <c r="R751" s="8" t="inlineStr">
        <is>
          <t>PCAP</t>
        </is>
      </c>
      <c r="S751" s="9" t="n">
        <v>46315</v>
      </c>
      <c r="T751" s="3" t="n">
        <v>46314.59935185185</v>
      </c>
      <c r="U751" s="2" t="n"/>
    </row>
    <row r="752">
      <c r="A752" s="2" t="inlineStr">
        <is>
          <t>En plazo</t>
        </is>
      </c>
      <c r="B752" s="3" t="n">
        <v>46329.99930555555</v>
      </c>
      <c r="C752" s="5" t="n">
        <v>176395.44</v>
      </c>
      <c r="D752" s="5" t="n">
        <v>176395.44</v>
      </c>
      <c r="E752" s="2" t="inlineStr">
        <is>
          <t>Comunitat Valenciana</t>
        </is>
      </c>
      <c r="F752" s="2" t="inlineStr">
        <is>
          <t>Valencia</t>
        </is>
      </c>
      <c r="G752" s="2" t="inlineStr">
        <is>
          <t>La Font de la Figuera</t>
        </is>
      </c>
      <c r="H752" s="2" t="inlineStr">
        <is>
          <t>Alcaldía del Ayuntamiento de La Font de la Figuera</t>
        </is>
      </c>
      <c r="I752" s="2" t="inlineStr">
        <is>
          <t>Obras de ampliación del pabellón municipal de La Font de la Figuera</t>
        </is>
      </c>
      <c r="J752" s="2" t="inlineStr">
        <is>
          <t>458/2026</t>
        </is>
      </c>
      <c r="K752" s="2" t="inlineStr">
        <is>
          <t>Abierto simplificado</t>
        </is>
      </c>
      <c r="L752" s="6" t="n">
        <v>4</v>
      </c>
      <c r="M752" s="2" t="n"/>
      <c r="N752" s="7" t="n">
        <v>0</v>
      </c>
      <c r="O752" s="4" t="n"/>
      <c r="P752" s="2" t="inlineStr">
        <is>
          <t>45212600; 45212200</t>
        </is>
      </c>
      <c r="Q752" s="8" t="inlineStr">
        <is>
          <t>Ver</t>
        </is>
      </c>
      <c r="R752" s="8" t="inlineStr">
        <is>
          <t>PCAP</t>
        </is>
      </c>
      <c r="S752" s="9" t="n">
        <v>46310</v>
      </c>
      <c r="T752" s="3" t="n">
        <v>46314.59311342592</v>
      </c>
      <c r="U752" s="2" t="n"/>
    </row>
    <row r="753">
      <c r="A753" s="2" t="inlineStr">
        <is>
          <t>Resuelta</t>
        </is>
      </c>
      <c r="B753" s="3" t="n">
        <v>46239.99930555555</v>
      </c>
      <c r="C753" s="5" t="n">
        <v>76564.00999999999</v>
      </c>
      <c r="D753" s="5" t="n">
        <v>76564.00999999999</v>
      </c>
      <c r="E753" s="2" t="inlineStr">
        <is>
          <t>Andalucía</t>
        </is>
      </c>
      <c r="F753" s="2" t="inlineStr">
        <is>
          <t>Cádiz</t>
        </is>
      </c>
      <c r="G753" s="2" t="inlineStr">
        <is>
          <t>MEDINA SIDONIA</t>
        </is>
      </c>
      <c r="H753" s="2" t="inlineStr">
        <is>
          <t>Junta de Gobierno Local del Ayuntamiento de Medina Sidonia</t>
        </is>
      </c>
      <c r="I753" s="2" t="inlineStr">
        <is>
          <t>Reparaciones en el CEIP Santiago el Mayor (Medina Sidonia) como consecuencia de daños relacionados con el enjambre de borrascas durante el 2026</t>
        </is>
      </c>
      <c r="J753" s="2" t="inlineStr">
        <is>
          <t>2026_11023_CCOAS_00002</t>
        </is>
      </c>
      <c r="K753" s="2" t="inlineStr">
        <is>
          <t>Abierto simplificado</t>
        </is>
      </c>
      <c r="L753" s="6" t="n">
        <v>2</v>
      </c>
      <c r="M753" s="2" t="n"/>
      <c r="N753" s="7" t="n">
        <v>0</v>
      </c>
      <c r="O753" s="4" t="n"/>
      <c r="P753" s="2" t="inlineStr">
        <is>
          <t>45453000</t>
        </is>
      </c>
      <c r="Q753" s="8" t="inlineStr">
        <is>
          <t>Ver</t>
        </is>
      </c>
      <c r="R753" s="8" t="inlineStr">
        <is>
          <t>PCAP</t>
        </is>
      </c>
      <c r="S753" s="9" t="n">
        <v>46315</v>
      </c>
      <c r="T753" s="3" t="n">
        <v>46314.5896412037</v>
      </c>
      <c r="U753" s="2" t="n"/>
    </row>
    <row r="754">
      <c r="A754" s="2" t="inlineStr">
        <is>
          <t>Resuelta</t>
        </is>
      </c>
      <c r="B754" s="3" t="n">
        <v>46133.99930555555</v>
      </c>
      <c r="C754" s="5" t="n">
        <v>400823.14</v>
      </c>
      <c r="D754" s="5" t="n">
        <v>400823.14</v>
      </c>
      <c r="E754" s="2" t="inlineStr">
        <is>
          <t>Comunitat Valenciana</t>
        </is>
      </c>
      <c r="F754" s="2" t="inlineStr">
        <is>
          <t>Alicante</t>
        </is>
      </c>
      <c r="G754" s="2" t="n"/>
      <c r="H754" s="2" t="inlineStr">
        <is>
          <t>Junta de Gobierno del Ayuntamiento de Orihuela</t>
        </is>
      </c>
      <c r="I754" s="2" t="inlineStr">
        <is>
          <t>Renovación de parque ingeniero Juan Garcia en Orihuela</t>
        </is>
      </c>
      <c r="J754" s="2" t="inlineStr">
        <is>
          <t>47379/2025</t>
        </is>
      </c>
      <c r="K754" s="2" t="inlineStr">
        <is>
          <t>Abierto simplificado</t>
        </is>
      </c>
      <c r="L754" s="6" t="n">
        <v>6</v>
      </c>
      <c r="M754" s="2" t="n"/>
      <c r="N754" s="7" t="n">
        <v>0.25</v>
      </c>
      <c r="O754" s="4" t="n"/>
      <c r="P754" s="2" t="inlineStr">
        <is>
          <t>45000000; 45232000; 45310000; 45220000; 39000000</t>
        </is>
      </c>
      <c r="Q754" s="8" t="inlineStr">
        <is>
          <t>Ver</t>
        </is>
      </c>
      <c r="R754" s="8" t="inlineStr">
        <is>
          <t>PCAP</t>
        </is>
      </c>
      <c r="S754" s="9" t="n">
        <v>46310</v>
      </c>
      <c r="T754" s="3" t="n">
        <v>46314.58662037037</v>
      </c>
      <c r="U754" s="2" t="inlineStr">
        <is>
          <t>2026-10-20: estado ADJ → RES</t>
        </is>
      </c>
    </row>
    <row r="755">
      <c r="A755" s="2" t="inlineStr">
        <is>
          <t>Pendiente de adjudicación</t>
        </is>
      </c>
      <c r="B755" s="3" t="n">
        <v>46293.625</v>
      </c>
      <c r="C755" s="5" t="n">
        <v>137114.62</v>
      </c>
      <c r="D755" s="5" t="n">
        <v>164537.54</v>
      </c>
      <c r="E755" s="2" t="inlineStr">
        <is>
          <t>Andalucía</t>
        </is>
      </c>
      <c r="F755" s="2" t="inlineStr">
        <is>
          <t>Huelva</t>
        </is>
      </c>
      <c r="G755" s="2" t="n"/>
      <c r="H755" s="2" t="inlineStr">
        <is>
          <t>Comisión Ejecutiva de Gestión Integral del Agua de Huelva</t>
        </is>
      </c>
      <c r="I755" s="2" t="inlineStr">
        <is>
          <t>1742/2026 "Obras del proyecto de ejecución de módulos de vestuarios y edificación auxiliar destinada a despacho en la planta de selección de envases ligueros. Termino Municipal de Trigueros (Huelva)"</t>
        </is>
      </c>
      <c r="J755" s="2" t="inlineStr">
        <is>
          <t>1742/2026</t>
        </is>
      </c>
      <c r="K755" s="2" t="inlineStr">
        <is>
          <t>Abierto simplificado</t>
        </is>
      </c>
      <c r="L755" s="6" t="n">
        <v>3</v>
      </c>
      <c r="M755" s="2" t="n"/>
      <c r="N755" s="7" t="n">
        <v>0</v>
      </c>
      <c r="O755" s="4" t="n"/>
      <c r="P755" s="2" t="inlineStr">
        <is>
          <t>45000000; 45212230</t>
        </is>
      </c>
      <c r="Q755" s="8" t="inlineStr">
        <is>
          <t>Ver</t>
        </is>
      </c>
      <c r="R755" s="8" t="inlineStr">
        <is>
          <t>PCAP</t>
        </is>
      </c>
      <c r="S755" s="9" t="n">
        <v>46315</v>
      </c>
      <c r="T755" s="3" t="n">
        <v>46314.58659722222</v>
      </c>
      <c r="U755" s="2" t="n"/>
    </row>
    <row r="756">
      <c r="A756" s="2" t="inlineStr">
        <is>
          <t>Resuelta</t>
        </is>
      </c>
      <c r="B756" s="3" t="n">
        <v>46301.41666666666</v>
      </c>
      <c r="C756" s="5" t="n">
        <v>382729</v>
      </c>
      <c r="D756" s="5" t="n">
        <v>382729</v>
      </c>
      <c r="E756" s="2" t="inlineStr">
        <is>
          <t>Comunitat Valenciana</t>
        </is>
      </c>
      <c r="F756" s="2" t="inlineStr">
        <is>
          <t>Valencia</t>
        </is>
      </c>
      <c r="G756" s="2" t="inlineStr">
        <is>
          <t>Términos municipales (Valencia).</t>
        </is>
      </c>
      <c r="H756" s="2" t="inlineStr">
        <is>
          <t>Empresa de Transformación Agraria S.A.,S.M.E., M.P., (TRAGSA)</t>
        </is>
      </c>
      <c r="I756" s="2" t="inlineStr">
        <is>
          <t>Contrato derivado de acuerdo marco para la contratación de los trabajos para la restauración y reposición de los daños a instalaciones y limpieza y reparación de infraestructuras de los daños causados por la DANA entre el 28 de octubre y 4 de noviembre de 2024, Nº 0794092 DANA24 Construcción de losas de Hormigón en TM de Valencia.</t>
        </is>
      </c>
      <c r="J756" s="2" t="inlineStr">
        <is>
          <t>TSA0079986-077</t>
        </is>
      </c>
      <c r="K756" s="2" t="inlineStr">
        <is>
          <t>Abierto</t>
        </is>
      </c>
      <c r="L756" s="6" t="n">
        <v>2</v>
      </c>
      <c r="M756" s="2" t="n"/>
      <c r="N756" s="7" t="n">
        <v>0</v>
      </c>
      <c r="O756" s="4" t="n"/>
      <c r="P756" s="2" t="inlineStr">
        <is>
          <t>45233200</t>
        </is>
      </c>
      <c r="Q756" s="8" t="inlineStr">
        <is>
          <t>Ver</t>
        </is>
      </c>
      <c r="R756" s="8" t="inlineStr">
        <is>
          <t>PCAP</t>
        </is>
      </c>
      <c r="S756" s="9" t="n">
        <v>46315</v>
      </c>
      <c r="T756" s="3" t="n">
        <v>46314.58306712963</v>
      </c>
      <c r="U756" s="2" t="n"/>
    </row>
    <row r="757">
      <c r="A757" s="2" t="inlineStr">
        <is>
          <t>En plazo</t>
        </is>
      </c>
      <c r="B757" s="3" t="n">
        <v>46329.99930555555</v>
      </c>
      <c r="C757" s="5" t="n">
        <v>79897.78</v>
      </c>
      <c r="D757" s="5" t="n">
        <v>79897.78</v>
      </c>
      <c r="E757" s="2" t="inlineStr">
        <is>
          <t>Comunitat Valenciana</t>
        </is>
      </c>
      <c r="F757" s="2" t="inlineStr">
        <is>
          <t>Valencia</t>
        </is>
      </c>
      <c r="G757" s="2" t="inlineStr">
        <is>
          <t>Utiel</t>
        </is>
      </c>
      <c r="H757" s="2" t="inlineStr">
        <is>
          <t>Alcaldía del Ayuntamiento de Utiel</t>
        </is>
      </c>
      <c r="I757" s="2" t="inlineStr">
        <is>
          <t>Rehabilitación parcial de la Plaza de Toros de Utiel.</t>
        </is>
      </c>
      <c r="J757" s="2" t="inlineStr">
        <is>
          <t>5355/2026</t>
        </is>
      </c>
      <c r="K757" s="2" t="inlineStr">
        <is>
          <t>Abierto simplificado</t>
        </is>
      </c>
      <c r="L757" s="6" t="n">
        <v>2</v>
      </c>
      <c r="M757" s="2" t="n"/>
      <c r="N757" s="7" t="n">
        <v>0</v>
      </c>
      <c r="O757" s="4" t="n"/>
      <c r="P757" s="2" t="inlineStr">
        <is>
          <t>45210000</t>
        </is>
      </c>
      <c r="Q757" s="8" t="inlineStr">
        <is>
          <t>Ver</t>
        </is>
      </c>
      <c r="R757" s="8" t="inlineStr">
        <is>
          <t>PCAP</t>
        </is>
      </c>
      <c r="S757" s="9" t="n">
        <v>46314</v>
      </c>
      <c r="T757" s="3" t="n">
        <v>46314.58297453704</v>
      </c>
      <c r="U757" s="2" t="inlineStr">
        <is>
          <t>2026-10-20: estado PRE → PUB; plazo 2026-10-30 23:59 → 2026-11-03 23:59</t>
        </is>
      </c>
    </row>
    <row r="758">
      <c r="A758" s="2" t="inlineStr">
        <is>
          <t>Resuelta</t>
        </is>
      </c>
      <c r="B758" s="3" t="n">
        <v>46244.99930555555</v>
      </c>
      <c r="C758" s="5" t="n">
        <v>2010610.57</v>
      </c>
      <c r="D758" s="5" t="n">
        <v>2010610.57</v>
      </c>
      <c r="E758" s="2" t="inlineStr">
        <is>
          <t>Andalucía</t>
        </is>
      </c>
      <c r="F758" s="2" t="inlineStr">
        <is>
          <t>Cádiz</t>
        </is>
      </c>
      <c r="G758" s="2" t="n"/>
      <c r="H758" s="2" t="inlineStr">
        <is>
          <t>Junta de Gobierno Local del Ayuntamiento de Jerez</t>
        </is>
      </c>
      <c r="I758" s="2" t="inlineStr">
        <is>
          <t>Reasfaltado de diversas calles de Jerez Urbano, zona - 2.</t>
        </is>
      </c>
      <c r="J758" s="2" t="inlineStr">
        <is>
          <t>48/2026</t>
        </is>
      </c>
      <c r="K758" s="2" t="inlineStr">
        <is>
          <t>Abierto</t>
        </is>
      </c>
      <c r="L758" s="6" t="n">
        <v>5</v>
      </c>
      <c r="M758" s="2" t="inlineStr">
        <is>
          <t>A*-1</t>
        </is>
      </c>
      <c r="N758" s="7" t="n">
        <v>0</v>
      </c>
      <c r="O758" s="4" t="n"/>
      <c r="P758" s="2" t="inlineStr">
        <is>
          <t>45220000</t>
        </is>
      </c>
      <c r="Q758" s="8" t="inlineStr">
        <is>
          <t>Ver</t>
        </is>
      </c>
      <c r="R758" s="8" t="inlineStr">
        <is>
          <t>PCAP</t>
        </is>
      </c>
      <c r="S758" s="9" t="n">
        <v>46310</v>
      </c>
      <c r="T758" s="3" t="n">
        <v>46314.58011574074</v>
      </c>
      <c r="U758" s="2" t="inlineStr">
        <is>
          <t>2026-10-20: estado ADJ → RES</t>
        </is>
      </c>
    </row>
    <row r="759">
      <c r="A759" s="2" t="inlineStr">
        <is>
          <t>Resuelta</t>
        </is>
      </c>
      <c r="B759" s="3" t="n">
        <v>46238.99930555555</v>
      </c>
      <c r="C759" s="5" t="n">
        <v>41322.31</v>
      </c>
      <c r="D759" s="5" t="n">
        <v>41322.31</v>
      </c>
      <c r="E759" s="2" t="inlineStr">
        <is>
          <t>Andalucía</t>
        </is>
      </c>
      <c r="F759" s="2" t="inlineStr">
        <is>
          <t>Granada</t>
        </is>
      </c>
      <c r="G759" s="2" t="inlineStr">
        <is>
          <t>Armilla (Granada)</t>
        </is>
      </c>
      <c r="H759" s="2" t="inlineStr">
        <is>
          <t>Alcaldía del Ayuntamiento de Armilla</t>
        </is>
      </c>
      <c r="I759" s="2" t="inlineStr">
        <is>
          <t>Obra con redacción de proyecto, estudio de seguridad y salud y estudio de gestión de residuos para la ejecución de estructura artificial de escala deportiva con colchonetas de autoprotección (Boulder) en el edificio Reina Sofía de Armilla.</t>
        </is>
      </c>
      <c r="J759" s="2" t="inlineStr">
        <is>
          <t>2026-7625</t>
        </is>
      </c>
      <c r="K759" s="2" t="inlineStr">
        <is>
          <t>Abierto simplificado</t>
        </is>
      </c>
      <c r="L759" s="6" t="n">
        <v>3.1</v>
      </c>
      <c r="M759" s="2" t="n"/>
      <c r="N759" s="7" t="n">
        <v>0.25</v>
      </c>
      <c r="O759" s="4" t="n"/>
      <c r="P759" s="2" t="inlineStr">
        <is>
          <t>45212100; 71240000; 45212140; 71000000</t>
        </is>
      </c>
      <c r="Q759" s="8" t="inlineStr">
        <is>
          <t>Ver</t>
        </is>
      </c>
      <c r="R759" s="8" t="inlineStr">
        <is>
          <t>PCAP</t>
        </is>
      </c>
      <c r="S759" s="9" t="n">
        <v>46315</v>
      </c>
      <c r="T759" s="3" t="n">
        <v>46314.57910879629</v>
      </c>
      <c r="U759" s="2" t="n"/>
    </row>
    <row r="760">
      <c r="A760" s="2" t="inlineStr">
        <is>
          <t>Pendiente de adjudicación</t>
        </is>
      </c>
      <c r="B760" s="3" t="n">
        <v>46279.99930555555</v>
      </c>
      <c r="C760" s="5" t="n">
        <v>2067028.57</v>
      </c>
      <c r="D760" s="5" t="n">
        <v>2067028.57</v>
      </c>
      <c r="E760" s="2" t="inlineStr">
        <is>
          <t>Andalucía</t>
        </is>
      </c>
      <c r="F760" s="2" t="inlineStr">
        <is>
          <t>Almería</t>
        </is>
      </c>
      <c r="G760" s="2" t="inlineStr">
        <is>
          <t>CAMPOHERMOSO</t>
        </is>
      </c>
      <c r="H760" s="2" t="inlineStr">
        <is>
          <t>Alcaldía del Ayuntamiento de Níjar</t>
        </is>
      </c>
      <c r="I760" s="2" t="inlineStr">
        <is>
          <t>Obras de mejora de equipamientos deportivos para la integración social en Campohermoso, T.M. de Níjar, Almería, con cargo al FEDER, en el marco de los PAI (NÍJAR PARA CONVIVIR), FASE 1.</t>
        </is>
      </c>
      <c r="J760" s="2" t="inlineStr">
        <is>
          <t>6477/2026</t>
        </is>
      </c>
      <c r="K760" s="2" t="inlineStr">
        <is>
          <t>Abierto</t>
        </is>
      </c>
      <c r="L760" s="6" t="n">
        <v>12</v>
      </c>
      <c r="M760" s="2" t="inlineStr">
        <is>
          <t>G6-2; C2-3</t>
        </is>
      </c>
      <c r="N760" s="7" t="n">
        <v>0.45</v>
      </c>
      <c r="O760" s="4" t="n"/>
      <c r="P760" s="2" t="inlineStr">
        <is>
          <t>45212200; 45212220</t>
        </is>
      </c>
      <c r="Q760" s="8" t="inlineStr">
        <is>
          <t>Ver</t>
        </is>
      </c>
      <c r="R760" s="8" t="inlineStr">
        <is>
          <t>PCAP</t>
        </is>
      </c>
      <c r="S760" s="9" t="n">
        <v>46315</v>
      </c>
      <c r="T760" s="3" t="n">
        <v>46314.57818287037</v>
      </c>
      <c r="U760" s="2" t="n"/>
    </row>
    <row r="761">
      <c r="A761" s="2" t="inlineStr">
        <is>
          <t>Pendiente de adjudicación</t>
        </is>
      </c>
      <c r="B761" s="3" t="n">
        <v>46303.99930555555</v>
      </c>
      <c r="C761" s="5" t="n">
        <v>74380.16</v>
      </c>
      <c r="D761" s="5" t="n">
        <v>74380.16</v>
      </c>
      <c r="E761" s="2" t="inlineStr">
        <is>
          <t>Andalucía</t>
        </is>
      </c>
      <c r="F761" s="2" t="inlineStr">
        <is>
          <t>Granada</t>
        </is>
      </c>
      <c r="G761" s="2" t="n"/>
      <c r="H761" s="2" t="inlineStr">
        <is>
          <t>Alcaldía del Ayuntamiento de Padul</t>
        </is>
      </c>
      <c r="I761" s="2" t="inlineStr">
        <is>
          <t>Mejora de la pavimentación de varias calles del casco urbano de Padul</t>
        </is>
      </c>
      <c r="J761" s="2" t="inlineStr">
        <is>
          <t>1406/2026</t>
        </is>
      </c>
      <c r="K761" s="2" t="inlineStr">
        <is>
          <t>Abierto simplificado</t>
        </is>
      </c>
      <c r="L761" s="6" t="n">
        <v>1</v>
      </c>
      <c r="M761" s="2" t="n"/>
      <c r="N761" s="7" t="n">
        <v>0</v>
      </c>
      <c r="O761" s="4" t="n"/>
      <c r="P761" s="2" t="inlineStr">
        <is>
          <t>45233222</t>
        </is>
      </c>
      <c r="Q761" s="8" t="inlineStr">
        <is>
          <t>Ver</t>
        </is>
      </c>
      <c r="R761" s="8" t="inlineStr">
        <is>
          <t>PCAP</t>
        </is>
      </c>
      <c r="S761" s="9" t="n">
        <v>46315</v>
      </c>
      <c r="T761" s="3" t="n">
        <v>46314.57697916667</v>
      </c>
      <c r="U761" s="2" t="n"/>
    </row>
    <row r="762">
      <c r="A762" s="2" t="inlineStr">
        <is>
          <t>Pendiente de adjudicación</t>
        </is>
      </c>
      <c r="B762" s="3" t="n">
        <v>46273.99930555555</v>
      </c>
      <c r="C762" s="5" t="n">
        <v>162803.26</v>
      </c>
      <c r="D762" s="5" t="n">
        <v>162803.26</v>
      </c>
      <c r="E762" s="2" t="inlineStr">
        <is>
          <t>Comunitat Valenciana</t>
        </is>
      </c>
      <c r="F762" s="2" t="inlineStr">
        <is>
          <t>Valencia</t>
        </is>
      </c>
      <c r="G762" s="2" t="n"/>
      <c r="H762" s="2" t="inlineStr">
        <is>
          <t>Alcaldía del Ayuntamiento de Sellent</t>
        </is>
      </c>
      <c r="I762" s="2" t="inlineStr">
        <is>
          <t>Reforma y urbanización de la plaza Llevant de Sellent</t>
        </is>
      </c>
      <c r="J762" s="2" t="inlineStr">
        <is>
          <t>238/2026</t>
        </is>
      </c>
      <c r="K762" s="2" t="inlineStr">
        <is>
          <t>Abierto simplificado</t>
        </is>
      </c>
      <c r="L762" s="6" t="n">
        <v>4</v>
      </c>
      <c r="M762" s="2" t="n"/>
      <c r="N762" s="7" t="n">
        <v>0</v>
      </c>
      <c r="O762" s="4" t="n"/>
      <c r="P762" s="2" t="inlineStr">
        <is>
          <t>45233262; 45233293; 45112712; 45200000; 45000000; 45233252; 45233253</t>
        </is>
      </c>
      <c r="Q762" s="8" t="inlineStr">
        <is>
          <t>Ver</t>
        </is>
      </c>
      <c r="R762" s="8" t="inlineStr">
        <is>
          <t>PCAP</t>
        </is>
      </c>
      <c r="S762" s="9" t="n">
        <v>46315</v>
      </c>
      <c r="T762" s="3" t="n">
        <v>46314.57605324074</v>
      </c>
      <c r="U762" s="2" t="n"/>
    </row>
    <row r="763">
      <c r="A763" s="2" t="inlineStr">
        <is>
          <t>Pendiente de adjudicación</t>
        </is>
      </c>
      <c r="B763" s="3" t="n">
        <v>46267.99930555555</v>
      </c>
      <c r="C763" s="5" t="n">
        <v>129040.61</v>
      </c>
      <c r="D763" s="5" t="n">
        <v>129040.61</v>
      </c>
      <c r="E763" s="2" t="inlineStr">
        <is>
          <t>Andalucía</t>
        </is>
      </c>
      <c r="F763" s="2" t="inlineStr">
        <is>
          <t>Almería</t>
        </is>
      </c>
      <c r="G763" s="2" t="n"/>
      <c r="H763" s="2" t="inlineStr">
        <is>
          <t>Alcaldía del Ayuntamiento de Níjar</t>
        </is>
      </c>
      <c r="I763" s="2" t="inlineStr">
        <is>
          <t>Obras de regeneración urbana y puesta en valor turístico - cultural del acceso al casco histórico y artesano de la Villa de Níjar (Almería). Financiado con cargo a la subvención MUNITUR de la Consejería de Turismo y Andalucía Exterior de la Junta de Andalucía.</t>
        </is>
      </c>
      <c r="J763" s="2" t="inlineStr">
        <is>
          <t>2923/2026</t>
        </is>
      </c>
      <c r="K763" s="2" t="inlineStr">
        <is>
          <t>Abierto simplificado</t>
        </is>
      </c>
      <c r="L763" s="6" t="n">
        <v>4</v>
      </c>
      <c r="M763" s="2" t="n"/>
      <c r="N763" s="7" t="n">
        <v>0.25</v>
      </c>
      <c r="O763" s="4" t="n"/>
      <c r="P763" s="2" t="inlineStr">
        <is>
          <t>45233140</t>
        </is>
      </c>
      <c r="Q763" s="8" t="inlineStr">
        <is>
          <t>Ver</t>
        </is>
      </c>
      <c r="R763" s="8" t="inlineStr">
        <is>
          <t>PCAP</t>
        </is>
      </c>
      <c r="S763" s="9" t="n">
        <v>46315</v>
      </c>
      <c r="T763" s="3" t="n">
        <v>46314.57577546296</v>
      </c>
      <c r="U763" s="2" t="n"/>
    </row>
    <row r="764">
      <c r="A764" s="2" t="inlineStr">
        <is>
          <t>Pendiente de adjudicación</t>
        </is>
      </c>
      <c r="B764" s="3" t="n">
        <v>46240.99930555555</v>
      </c>
      <c r="C764" s="5" t="n">
        <v>63929.52</v>
      </c>
      <c r="D764" s="5" t="n">
        <v>63929.52</v>
      </c>
      <c r="E764" s="2" t="inlineStr">
        <is>
          <t>Andalucía</t>
        </is>
      </c>
      <c r="F764" s="2" t="inlineStr">
        <is>
          <t>Huelva</t>
        </is>
      </c>
      <c r="G764" s="2" t="inlineStr">
        <is>
          <t>Huelva</t>
        </is>
      </c>
      <c r="H764" s="2" t="inlineStr">
        <is>
          <t>Rectorado de la Universidad de Huelva</t>
        </is>
      </c>
      <c r="I764" s="2" t="inlineStr">
        <is>
          <t>Sustitución de equipos de climatización en el Campus de La Merced de la Universidad de Huelva</t>
        </is>
      </c>
      <c r="J764" s="2" t="inlineStr">
        <is>
          <t>O-13-26</t>
        </is>
      </c>
      <c r="K764" s="2" t="inlineStr">
        <is>
          <t>Abierto simplificado</t>
        </is>
      </c>
      <c r="L764" s="6" t="n">
        <v>2</v>
      </c>
      <c r="M764" s="2" t="n"/>
      <c r="N764" s="7" t="n">
        <v>0.25</v>
      </c>
      <c r="O764" s="4" t="n"/>
      <c r="P764" s="2" t="inlineStr">
        <is>
          <t>45331000; 42500000</t>
        </is>
      </c>
      <c r="Q764" s="8" t="inlineStr">
        <is>
          <t>Ver</t>
        </is>
      </c>
      <c r="R764" s="8" t="inlineStr">
        <is>
          <t>PCAP</t>
        </is>
      </c>
      <c r="S764" s="9" t="n">
        <v>46315</v>
      </c>
      <c r="T764" s="3" t="n">
        <v>46314.57388888889</v>
      </c>
      <c r="U764" s="2" t="n"/>
    </row>
    <row r="765">
      <c r="A765" s="2" t="inlineStr">
        <is>
          <t>Resuelta</t>
        </is>
      </c>
      <c r="B765" s="3" t="n">
        <v>46203.41666666666</v>
      </c>
      <c r="C765" s="5" t="n">
        <v>184800</v>
      </c>
      <c r="D765" s="5" t="n">
        <v>184800</v>
      </c>
      <c r="E765" s="2" t="inlineStr">
        <is>
          <t>Andalucía</t>
        </is>
      </c>
      <c r="F765" s="2" t="inlineStr">
        <is>
          <t>Córdoba</t>
        </is>
      </c>
      <c r="G765" s="2" t="n"/>
      <c r="H765" s="2" t="inlineStr">
        <is>
          <t>Empresa de Transformación Agraria S.A.,S.M.E., M.P., (TRAGSA)</t>
        </is>
      </c>
      <c r="I765" s="2" t="inlineStr">
        <is>
          <t>Contrato derivado del Acuerdo marco para alquiler de maquinaria de obra civil, agrícola y forestal, y camiones para obras de construcción y demolición, dotada de operario, para las actuaciones del ámbito territorial de la gerencia provincial de Tragsa en Córdoba, incluida las obras con fondos en el marco del plan de recuperación, transformación y resiliencia–financiado por la unión europea</t>
        </is>
      </c>
      <c r="J765" s="2" t="inlineStr">
        <is>
          <t>TSA0079529-126</t>
        </is>
      </c>
      <c r="K765" s="2" t="inlineStr">
        <is>
          <t>Abierto</t>
        </is>
      </c>
      <c r="L765" s="6" t="n">
        <v>7</v>
      </c>
      <c r="M765" s="2" t="n"/>
      <c r="N765" s="7" t="n">
        <v>0</v>
      </c>
      <c r="O765" s="4" t="n"/>
      <c r="P765" s="2" t="inlineStr">
        <is>
          <t>45500000</t>
        </is>
      </c>
      <c r="Q765" s="8" t="inlineStr">
        <is>
          <t>Ver</t>
        </is>
      </c>
      <c r="R765" s="8" t="inlineStr">
        <is>
          <t>PCAP</t>
        </is>
      </c>
      <c r="S765" s="9" t="n">
        <v>46315</v>
      </c>
      <c r="T765" s="3" t="n">
        <v>46314.57164351852</v>
      </c>
      <c r="U765" s="2" t="n"/>
    </row>
    <row r="766">
      <c r="A766" s="2" t="inlineStr">
        <is>
          <t>Adjudicada</t>
        </is>
      </c>
      <c r="B766" s="3" t="n">
        <v>46272.99930555555</v>
      </c>
      <c r="C766" s="5" t="n">
        <v>347107.44</v>
      </c>
      <c r="D766" s="5" t="n">
        <v>347107.44</v>
      </c>
      <c r="E766" s="2" t="inlineStr">
        <is>
          <t>Andalucía</t>
        </is>
      </c>
      <c r="F766" s="2" t="inlineStr">
        <is>
          <t>Córdoba</t>
        </is>
      </c>
      <c r="G766" s="2" t="n"/>
      <c r="H766" s="2" t="inlineStr">
        <is>
          <t>Junta de Gobierno de la Diputación Provincial de Córdoba</t>
        </is>
      </c>
      <c r="I766" s="2" t="inlineStr">
        <is>
          <t>Contratación de las obras de mejora de los accesos a Zuheros desde la carretera CO-6203, en Córdoba</t>
        </is>
      </c>
      <c r="J766" s="2" t="inlineStr">
        <is>
          <t>544/26</t>
        </is>
      </c>
      <c r="K766" s="2" t="inlineStr">
        <is>
          <t>Abierto</t>
        </is>
      </c>
      <c r="L766" s="6" t="n">
        <v>5</v>
      </c>
      <c r="M766" s="2" t="n"/>
      <c r="N766" s="7" t="n">
        <v>0</v>
      </c>
      <c r="O766" s="4" t="n"/>
      <c r="P766" s="2" t="inlineStr">
        <is>
          <t>45233000</t>
        </is>
      </c>
      <c r="Q766" s="8" t="inlineStr">
        <is>
          <t>Ver</t>
        </is>
      </c>
      <c r="R766" s="8" t="inlineStr">
        <is>
          <t>PCAP</t>
        </is>
      </c>
      <c r="S766" s="9" t="n">
        <v>46315</v>
      </c>
      <c r="T766" s="3" t="n">
        <v>46314.56965277778</v>
      </c>
      <c r="U766" s="2" t="n"/>
    </row>
    <row r="767">
      <c r="A767" s="2" t="inlineStr">
        <is>
          <t>Pendiente de adjudicación</t>
        </is>
      </c>
      <c r="B767" s="3" t="n">
        <v>46255.41666666666</v>
      </c>
      <c r="C767" s="5" t="n">
        <v>289645.7</v>
      </c>
      <c r="D767" s="5" t="n">
        <v>289645.7</v>
      </c>
      <c r="E767" s="2" t="inlineStr">
        <is>
          <t>Andalucía</t>
        </is>
      </c>
      <c r="F767" s="2" t="inlineStr">
        <is>
          <t>Huelva</t>
        </is>
      </c>
      <c r="G767" s="2" t="n"/>
      <c r="H767" s="2" t="inlineStr">
        <is>
          <t>Empresa de Transformación Agraria S.A.,S.M.E., M.P., (TRAGSA)</t>
        </is>
      </c>
      <c r="I767" s="2" t="inlineStr">
        <is>
          <t>Suministro, instalación y puesta en marcha de cuadros eléctricos, acometidas, sistemas de tierra, iluminación, automatización, control e instrumentación en la EDAR de Matalascañas T.M. Almonte (Huelva), financiado con fondos FEDER</t>
        </is>
      </c>
      <c r="J767" s="2" t="inlineStr">
        <is>
          <t>TSA0083732</t>
        </is>
      </c>
      <c r="K767" s="2" t="inlineStr">
        <is>
          <t>Abierto simplificado</t>
        </is>
      </c>
      <c r="L767" s="6" t="n">
        <v>4</v>
      </c>
      <c r="M767" s="2" t="inlineStr">
        <is>
          <t>I6-2</t>
        </is>
      </c>
      <c r="N767" s="7" t="n">
        <v>0</v>
      </c>
      <c r="O767" s="4" t="n"/>
      <c r="P767" s="2" t="inlineStr">
        <is>
          <t>45315600</t>
        </is>
      </c>
      <c r="Q767" s="8" t="inlineStr">
        <is>
          <t>Ver</t>
        </is>
      </c>
      <c r="R767" s="8" t="inlineStr">
        <is>
          <t>PCAP</t>
        </is>
      </c>
      <c r="S767" s="9" t="n">
        <v>46315</v>
      </c>
      <c r="T767" s="3" t="n">
        <v>46314.56795138889</v>
      </c>
      <c r="U767" s="2" t="n"/>
    </row>
    <row r="768">
      <c r="A768" s="2" t="inlineStr">
        <is>
          <t>En plazo</t>
        </is>
      </c>
      <c r="B768" s="3" t="n">
        <v>46335.99930555555</v>
      </c>
      <c r="C768" s="5" t="n">
        <v>56961.09</v>
      </c>
      <c r="D768" s="5" t="n">
        <v>56961.09</v>
      </c>
      <c r="E768" s="2" t="inlineStr">
        <is>
          <t>Andalucía</t>
        </is>
      </c>
      <c r="F768" s="2" t="inlineStr">
        <is>
          <t>Granada</t>
        </is>
      </c>
      <c r="G768" s="2" t="n"/>
      <c r="H768" s="2" t="inlineStr">
        <is>
          <t>Junta de Gobierno del Ayuntamiento de Moraleda de Zafayona</t>
        </is>
      </c>
      <c r="I768" s="2" t="inlineStr">
        <is>
          <t>Reparación de cubierta y apertura de espacios interiores en casa del guarda del agua, dentro del conjunto de las edificaciones de la casa del ingeniero</t>
        </is>
      </c>
      <c r="J768" s="2" t="inlineStr">
        <is>
          <t>946/2026</t>
        </is>
      </c>
      <c r="K768" s="2" t="inlineStr">
        <is>
          <t>Abierto simplificado</t>
        </is>
      </c>
      <c r="L768" s="6" t="n"/>
      <c r="M768" s="2" t="inlineStr">
        <is>
          <t>C*-1</t>
        </is>
      </c>
      <c r="N768" s="7" t="n">
        <v>0</v>
      </c>
      <c r="O768" s="4" t="n"/>
      <c r="P768" s="2" t="inlineStr">
        <is>
          <t>45450000</t>
        </is>
      </c>
      <c r="Q768" s="8" t="inlineStr">
        <is>
          <t>Ver</t>
        </is>
      </c>
      <c r="R768" s="8" t="inlineStr">
        <is>
          <t>PCAP</t>
        </is>
      </c>
      <c r="S768" s="9" t="n">
        <v>46315</v>
      </c>
      <c r="T768" s="3" t="n">
        <v>46314.56710648148</v>
      </c>
      <c r="U768" s="2" t="n"/>
    </row>
    <row r="769">
      <c r="A769" s="2" t="inlineStr">
        <is>
          <t>Resuelta</t>
        </is>
      </c>
      <c r="B769" s="3" t="n">
        <v>46286.79166666666</v>
      </c>
      <c r="C769" s="5" t="n">
        <v>4484474.32</v>
      </c>
      <c r="D769" s="5" t="n">
        <v>4484474.32</v>
      </c>
      <c r="E769" s="2" t="inlineStr">
        <is>
          <t>Andalucía</t>
        </is>
      </c>
      <c r="F769" s="2" t="inlineStr">
        <is>
          <t>Cádiz</t>
        </is>
      </c>
      <c r="G769" s="2" t="inlineStr">
        <is>
          <t>TARIFA</t>
        </is>
      </c>
      <c r="H769" s="2" t="inlineStr">
        <is>
          <t>Pleno del Ayuntamiento de Tarifa</t>
        </is>
      </c>
      <c r="I769" s="2" t="inlineStr">
        <is>
          <t>construcción de 59 viviendas en alquiler social en edificios energéticamente eficientes</t>
        </is>
      </c>
      <c r="J769" s="2" t="inlineStr">
        <is>
          <t>2026/7384</t>
        </is>
      </c>
      <c r="K769" s="2" t="inlineStr">
        <is>
          <t>Abierto simplificado</t>
        </is>
      </c>
      <c r="L769" s="6" t="n">
        <v>18</v>
      </c>
      <c r="M769" s="2" t="inlineStr">
        <is>
          <t>C*-5</t>
        </is>
      </c>
      <c r="N769" s="7" t="n">
        <v>0</v>
      </c>
      <c r="O769" s="4" t="n"/>
      <c r="P769" s="2" t="inlineStr">
        <is>
          <t>45211000</t>
        </is>
      </c>
      <c r="Q769" s="8" t="inlineStr">
        <is>
          <t>Ver</t>
        </is>
      </c>
      <c r="R769" s="8" t="inlineStr">
        <is>
          <t>PCAP</t>
        </is>
      </c>
      <c r="S769" s="9" t="n">
        <v>46315</v>
      </c>
      <c r="T769" s="3" t="n">
        <v>46314.56415509259</v>
      </c>
      <c r="U769" s="2" t="n"/>
    </row>
    <row r="770">
      <c r="A770" s="2" t="inlineStr">
        <is>
          <t>Resuelta</t>
        </is>
      </c>
      <c r="B770" s="3" t="n">
        <v>46272.99930555555</v>
      </c>
      <c r="C770" s="5" t="n">
        <v>1359506.51</v>
      </c>
      <c r="D770" s="5" t="n">
        <v>1359506.51</v>
      </c>
      <c r="E770" s="2" t="inlineStr">
        <is>
          <t>Andalucía</t>
        </is>
      </c>
      <c r="F770" s="2" t="inlineStr">
        <is>
          <t>Málaga</t>
        </is>
      </c>
      <c r="G770" s="2" t="n"/>
      <c r="H770" s="2" t="inlineStr">
        <is>
          <t>Alcaldía del Ayuntamiento de Estepona</t>
        </is>
      </c>
      <c r="I770" s="2" t="inlineStr">
        <is>
          <t>Obras de remodelación calle Independencia y jardinería, mobiliario urbano, iluminación y fuentes ornamentales de plaza Fuerzas Armadas y su entorno, en Estepona.</t>
        </is>
      </c>
      <c r="J770" s="2" t="inlineStr">
        <is>
          <t>29881/2026</t>
        </is>
      </c>
      <c r="K770" s="2" t="inlineStr">
        <is>
          <t>Abierto</t>
        </is>
      </c>
      <c r="L770" s="6" t="n">
        <v>4</v>
      </c>
      <c r="M770" s="2" t="inlineStr">
        <is>
          <t>G6-4</t>
        </is>
      </c>
      <c r="N770" s="7" t="n">
        <v>0</v>
      </c>
      <c r="O770" s="4" t="n"/>
      <c r="P770" s="2" t="inlineStr">
        <is>
          <t>45233200; 45112710; 45316110</t>
        </is>
      </c>
      <c r="Q770" s="8" t="inlineStr">
        <is>
          <t>Ver</t>
        </is>
      </c>
      <c r="R770" s="8" t="inlineStr">
        <is>
          <t>PCAP</t>
        </is>
      </c>
      <c r="S770" s="9" t="n">
        <v>46310</v>
      </c>
      <c r="T770" s="3" t="n">
        <v>46314.56390046296</v>
      </c>
      <c r="U770" s="2" t="inlineStr">
        <is>
          <t>2026-10-20: estado ADJ → RES</t>
        </is>
      </c>
    </row>
    <row r="771">
      <c r="A771" s="2" t="inlineStr">
        <is>
          <t>Pendiente de adjudicación</t>
        </is>
      </c>
      <c r="B771" s="3" t="n">
        <v>46281.58333333334</v>
      </c>
      <c r="C771" s="5" t="n">
        <v>1267156.31</v>
      </c>
      <c r="D771" s="5" t="n">
        <v>1393871.94</v>
      </c>
      <c r="E771" s="2" t="inlineStr">
        <is>
          <t>Comunitat Valenciana</t>
        </is>
      </c>
      <c r="F771" s="2" t="inlineStr">
        <is>
          <t>Alicante</t>
        </is>
      </c>
      <c r="G771" s="2" t="n"/>
      <c r="H771" s="2" t="inlineStr">
        <is>
          <t>Autoridad Portuaria de Alicante</t>
        </is>
      </c>
      <c r="I771" s="2" t="inlineStr">
        <is>
          <t>Urbanización de zona de poniente (Fase I)</t>
        </is>
      </c>
      <c r="J771" s="2" t="inlineStr">
        <is>
          <t>352/2026</t>
        </is>
      </c>
      <c r="K771" s="2" t="inlineStr">
        <is>
          <t>Abierto</t>
        </is>
      </c>
      <c r="L771" s="6" t="n">
        <v>5</v>
      </c>
      <c r="M771" s="2" t="inlineStr">
        <is>
          <t>C1-4</t>
        </is>
      </c>
      <c r="N771" s="7" t="n">
        <v>0.4</v>
      </c>
      <c r="O771" s="4" t="n"/>
      <c r="P771" s="2" t="inlineStr">
        <is>
          <t>45262660; 45111000; 45233222; 45110000</t>
        </is>
      </c>
      <c r="Q771" s="8" t="inlineStr">
        <is>
          <t>Ver</t>
        </is>
      </c>
      <c r="R771" s="8" t="inlineStr">
        <is>
          <t>PCAP</t>
        </is>
      </c>
      <c r="S771" s="9" t="n">
        <v>46315</v>
      </c>
      <c r="T771" s="3" t="n">
        <v>46314.56388888889</v>
      </c>
      <c r="U771" s="2" t="n"/>
    </row>
    <row r="772">
      <c r="A772" s="2" t="inlineStr">
        <is>
          <t>Resuelta</t>
        </is>
      </c>
      <c r="B772" s="3" t="n">
        <v>46202.99930555555</v>
      </c>
      <c r="C772" s="5" t="n">
        <v>2892469.99</v>
      </c>
      <c r="D772" s="5" t="n">
        <v>2892469.99</v>
      </c>
      <c r="E772" s="2" t="inlineStr">
        <is>
          <t>Andalucía</t>
        </is>
      </c>
      <c r="F772" s="2" t="inlineStr">
        <is>
          <t>Sevilla</t>
        </is>
      </c>
      <c r="G772" s="2" t="inlineStr">
        <is>
          <t>La Algaba</t>
        </is>
      </c>
      <c r="H772" s="2" t="inlineStr">
        <is>
          <t>Alcaldía del Ayuntamiento de La Algaba</t>
        </is>
      </c>
      <c r="I772" s="2" t="inlineStr">
        <is>
          <t>Contrato de obras de construcción y terminación del "teatro municipal, en avenida de la libertad, 7 de La Algaba (Sevilla)", financiado por la Diputación de Sevilla y el Ayuntamiento de La Algaba.</t>
        </is>
      </c>
      <c r="J772" s="2" t="inlineStr">
        <is>
          <t>966/2026</t>
        </is>
      </c>
      <c r="K772" s="2" t="inlineStr">
        <is>
          <t>Abierto</t>
        </is>
      </c>
      <c r="L772" s="6" t="n">
        <v>12</v>
      </c>
      <c r="M772" s="2" t="inlineStr">
        <is>
          <t>C4-5</t>
        </is>
      </c>
      <c r="N772" s="7" t="n">
        <v>0</v>
      </c>
      <c r="O772" s="4" t="n"/>
      <c r="P772" s="2" t="inlineStr">
        <is>
          <t>45200000; 45300000; 45400000; 45212322</t>
        </is>
      </c>
      <c r="Q772" s="8" t="inlineStr">
        <is>
          <t>Ver</t>
        </is>
      </c>
      <c r="R772" s="8" t="inlineStr">
        <is>
          <t>PCAP</t>
        </is>
      </c>
      <c r="S772" s="9" t="n">
        <v>46315</v>
      </c>
      <c r="T772" s="3" t="n">
        <v>46314.55871527778</v>
      </c>
      <c r="U772" s="2" t="n"/>
    </row>
    <row r="773">
      <c r="A773" s="2" t="inlineStr">
        <is>
          <t>Pendiente de adjudicación</t>
        </is>
      </c>
      <c r="B773" s="3" t="n">
        <v>46302.99930555555</v>
      </c>
      <c r="C773" s="5" t="n">
        <v>74380.16</v>
      </c>
      <c r="D773" s="5" t="n">
        <v>74380.16</v>
      </c>
      <c r="E773" s="2" t="inlineStr">
        <is>
          <t>Andalucía</t>
        </is>
      </c>
      <c r="F773" s="2" t="inlineStr">
        <is>
          <t>Sevilla</t>
        </is>
      </c>
      <c r="G773" s="2" t="inlineStr">
        <is>
          <t>MAIRENA DEL ALCOR</t>
        </is>
      </c>
      <c r="H773" s="2" t="inlineStr">
        <is>
          <t>Concejal Delegado con Delegación Genérica de Urbanismo, Vivienda, Ordenación del Territorio, Digitalización Urbana, Fondos Europeos, Servicios, Parques y Jardines, Limpieza, Coordinación de barrios, Obras, Disciplina, Patrimonio, Medio Ambiente y Movilidad del Ayuntamiento de Mairena del Alcor</t>
        </is>
      </c>
      <c r="I773" s="2" t="inlineStr">
        <is>
          <t>Obras de Mejora de Eficiencia Energética en la Villa del Conocimiento y Las Artes de Mairena del Alcor para la Instalación de Planta Solar Fotovoltaica-Plan +Sevilla</t>
        </is>
      </c>
      <c r="J773" s="2" t="inlineStr">
        <is>
          <t>1280/2026</t>
        </is>
      </c>
      <c r="K773" s="2" t="inlineStr">
        <is>
          <t>Abierto simplificado</t>
        </is>
      </c>
      <c r="L773" s="6" t="n">
        <v>3</v>
      </c>
      <c r="M773" s="2" t="n"/>
      <c r="N773" s="7" t="n">
        <v>0</v>
      </c>
      <c r="O773" s="4" t="n"/>
      <c r="P773" s="2" t="inlineStr">
        <is>
          <t>45261215</t>
        </is>
      </c>
      <c r="Q773" s="8" t="inlineStr">
        <is>
          <t>Ver</t>
        </is>
      </c>
      <c r="R773" s="8" t="inlineStr">
        <is>
          <t>PCAP</t>
        </is>
      </c>
      <c r="S773" s="9" t="n">
        <v>46310</v>
      </c>
      <c r="T773" s="3" t="n">
        <v>46314.55811342593</v>
      </c>
      <c r="U773" s="2" t="n"/>
    </row>
    <row r="774">
      <c r="A774" s="2" t="inlineStr">
        <is>
          <t>Adjudicada</t>
        </is>
      </c>
      <c r="B774" s="3" t="n">
        <v>46294.79166666666</v>
      </c>
      <c r="C774" s="5" t="n">
        <v>172999.74</v>
      </c>
      <c r="D774" s="5" t="n">
        <v>142974.99</v>
      </c>
      <c r="E774" s="2" t="inlineStr">
        <is>
          <t>Andalucía</t>
        </is>
      </c>
      <c r="F774" s="2" t="inlineStr">
        <is>
          <t>Granada</t>
        </is>
      </c>
      <c r="G774" s="2" t="n"/>
      <c r="H774" s="2" t="inlineStr">
        <is>
          <t>Junta de Gobierno Local del Ayuntamiento de Ogíjares</t>
        </is>
      </c>
      <c r="I774" s="2" t="inlineStr">
        <is>
          <t>Contrato de obras de implantación de un punto limpio en C/Sol esquina C/ Polo en Ogíjares (Granada). Fase 1.</t>
        </is>
      </c>
      <c r="J774" s="2" t="inlineStr">
        <is>
          <t>4974/2026</t>
        </is>
      </c>
      <c r="K774" s="2" t="inlineStr">
        <is>
          <t>Abierto simplificado</t>
        </is>
      </c>
      <c r="L774" s="6" t="n">
        <v>3</v>
      </c>
      <c r="M774" s="2" t="n"/>
      <c r="N774" s="7" t="n">
        <v>0</v>
      </c>
      <c r="O774" s="4" t="n"/>
      <c r="P774" s="2" t="inlineStr">
        <is>
          <t>45222100; 45213250</t>
        </is>
      </c>
      <c r="Q774" s="8" t="inlineStr">
        <is>
          <t>Ver</t>
        </is>
      </c>
      <c r="R774" s="8" t="inlineStr">
        <is>
          <t>PCAP</t>
        </is>
      </c>
      <c r="S774" s="9" t="n">
        <v>46310</v>
      </c>
      <c r="T774" s="3" t="n">
        <v>46314.55774305556</v>
      </c>
      <c r="U774" s="2" t="inlineStr">
        <is>
          <t>2026-10-20: estado EV → ADJ</t>
        </is>
      </c>
    </row>
    <row r="775">
      <c r="A775" s="2" t="inlineStr">
        <is>
          <t>En plazo</t>
        </is>
      </c>
      <c r="B775" s="3" t="n">
        <v>46335.99930555555</v>
      </c>
      <c r="C775" s="5" t="n">
        <v>169587.54</v>
      </c>
      <c r="D775" s="5" t="n">
        <v>169587.54</v>
      </c>
      <c r="E775" s="2" t="inlineStr">
        <is>
          <t>Andalucía</t>
        </is>
      </c>
      <c r="F775" s="2" t="inlineStr">
        <is>
          <t>Almería</t>
        </is>
      </c>
      <c r="G775" s="2" t="n"/>
      <c r="H775" s="2" t="inlineStr">
        <is>
          <t>Junta de Gobierno de la Diputación Provincial de Almería</t>
        </is>
      </c>
      <c r="I775" s="2" t="inlineStr">
        <is>
          <t>Finalización Plaza Mirador De La Cruz En Canjáyar 15PPOS24-27BI</t>
        </is>
      </c>
      <c r="J775" s="2" t="inlineStr">
        <is>
          <t>2026/D31000/006-013/00116</t>
        </is>
      </c>
      <c r="K775" s="2" t="inlineStr">
        <is>
          <t>Abierto simplificado</t>
        </is>
      </c>
      <c r="L775" s="6" t="n">
        <v>6</v>
      </c>
      <c r="M775" s="2" t="n"/>
      <c r="N775" s="7" t="n">
        <v>0.25</v>
      </c>
      <c r="O775" s="4" t="n"/>
      <c r="P775" s="2" t="inlineStr">
        <is>
          <t>45233262</t>
        </is>
      </c>
      <c r="Q775" s="8" t="inlineStr">
        <is>
          <t>Ver</t>
        </is>
      </c>
      <c r="R775" s="8" t="inlineStr">
        <is>
          <t>PCAP</t>
        </is>
      </c>
      <c r="S775" s="9" t="n">
        <v>46315</v>
      </c>
      <c r="T775" s="3" t="n">
        <v>46314.5555787037</v>
      </c>
      <c r="U775" s="2" t="n"/>
    </row>
    <row r="776">
      <c r="A776" s="2" t="inlineStr">
        <is>
          <t>En plazo</t>
        </is>
      </c>
      <c r="B776" s="3" t="n">
        <v>46335.99930555555</v>
      </c>
      <c r="C776" s="5" t="n">
        <v>115702.48</v>
      </c>
      <c r="D776" s="5" t="n">
        <v>115702.48</v>
      </c>
      <c r="E776" s="2" t="inlineStr">
        <is>
          <t>Andalucía</t>
        </is>
      </c>
      <c r="F776" s="2" t="inlineStr">
        <is>
          <t>Jaén</t>
        </is>
      </c>
      <c r="G776" s="2" t="inlineStr">
        <is>
          <t>Santisteban del Puerto</t>
        </is>
      </c>
      <c r="H776" s="2" t="inlineStr">
        <is>
          <t>Alcaldía del Ayuntamiento de Santisteban del Puerto</t>
        </is>
      </c>
      <c r="I776" s="2" t="inlineStr">
        <is>
          <t>IV fase construcción sala de usos múltiples - polideportivo C/ la Vega s/n en el municipio de Santisteban del Puerto (Jaén)</t>
        </is>
      </c>
      <c r="J776" s="2" t="inlineStr">
        <is>
          <t>546/2026</t>
        </is>
      </c>
      <c r="K776" s="2" t="inlineStr">
        <is>
          <t>Abierto simplificado</t>
        </is>
      </c>
      <c r="L776" s="6" t="n">
        <v>4</v>
      </c>
      <c r="M776" s="2" t="inlineStr">
        <is>
          <t>C4-1; C7-1</t>
        </is>
      </c>
      <c r="N776" s="7" t="n">
        <v>0</v>
      </c>
      <c r="O776" s="4" t="n"/>
      <c r="P776" s="2" t="inlineStr">
        <is>
          <t>45212300</t>
        </is>
      </c>
      <c r="Q776" s="8" t="inlineStr">
        <is>
          <t>Ver</t>
        </is>
      </c>
      <c r="R776" s="8" t="inlineStr">
        <is>
          <t>PCAP</t>
        </is>
      </c>
      <c r="S776" s="9" t="n">
        <v>46315</v>
      </c>
      <c r="T776" s="3" t="n">
        <v>46314.55494212963</v>
      </c>
      <c r="U776" s="2" t="n"/>
    </row>
    <row r="777">
      <c r="A777" s="2" t="inlineStr">
        <is>
          <t>En plazo</t>
        </is>
      </c>
      <c r="B777" s="3" t="n">
        <v>46335.99930555555</v>
      </c>
      <c r="C777" s="5" t="n">
        <v>527483.73</v>
      </c>
      <c r="D777" s="5" t="n">
        <v>527483.73</v>
      </c>
      <c r="E777" s="2" t="inlineStr">
        <is>
          <t>Andalucía</t>
        </is>
      </c>
      <c r="F777" s="2" t="inlineStr">
        <is>
          <t>Jaén</t>
        </is>
      </c>
      <c r="G777" s="2" t="inlineStr">
        <is>
          <t>Santisteban del Puerto</t>
        </is>
      </c>
      <c r="H777" s="2" t="inlineStr">
        <is>
          <t>Pleno del Ayuntamiento de Santisteban del Puerto</t>
        </is>
      </c>
      <c r="I777" s="2" t="inlineStr">
        <is>
          <t>Actuaciones de estabilización en el cerro de la Guaría en Santisteban del Puerto (Jaén).</t>
        </is>
      </c>
      <c r="J777" s="2" t="inlineStr">
        <is>
          <t>611/2026</t>
        </is>
      </c>
      <c r="K777" s="2" t="inlineStr">
        <is>
          <t>Abierto simplificado</t>
        </is>
      </c>
      <c r="L777" s="6" t="n">
        <v>6</v>
      </c>
      <c r="M777" s="2" t="inlineStr">
        <is>
          <t>K3-3; K2-3</t>
        </is>
      </c>
      <c r="N777" s="7" t="n">
        <v>0</v>
      </c>
      <c r="O777" s="4" t="n"/>
      <c r="P777" s="2" t="inlineStr">
        <is>
          <t>45111230; 45222000</t>
        </is>
      </c>
      <c r="Q777" s="8" t="inlineStr">
        <is>
          <t>Ver</t>
        </is>
      </c>
      <c r="R777" s="8" t="inlineStr">
        <is>
          <t>PCAP</t>
        </is>
      </c>
      <c r="S777" s="9" t="n">
        <v>46315</v>
      </c>
      <c r="T777" s="3" t="n">
        <v>46314.55214120371</v>
      </c>
      <c r="U777" s="2" t="n"/>
    </row>
    <row r="778">
      <c r="A778" s="2" t="inlineStr">
        <is>
          <t>Resuelta</t>
        </is>
      </c>
      <c r="B778" s="3" t="n">
        <v>46164.99930555555</v>
      </c>
      <c r="C778" s="5" t="n">
        <v>54854.63</v>
      </c>
      <c r="D778" s="5" t="n">
        <v>54854.63</v>
      </c>
      <c r="E778" s="2" t="inlineStr">
        <is>
          <t>Comunitat Valenciana</t>
        </is>
      </c>
      <c r="F778" s="2" t="inlineStr">
        <is>
          <t>Alicante</t>
        </is>
      </c>
      <c r="G778" s="2" t="n"/>
      <c r="H778" s="2" t="inlineStr">
        <is>
          <t>Presidencia de la Diputación Provincial de Alicante</t>
        </is>
      </c>
      <c r="I778" s="2" t="inlineStr">
        <is>
          <t>Obras de instalaciones deportivas, en el municipio de Quatretondeta (2024.PLA.219)</t>
        </is>
      </c>
      <c r="J778" s="2" t="inlineStr">
        <is>
          <t>O4SS-070/2026</t>
        </is>
      </c>
      <c r="K778" s="2" t="inlineStr">
        <is>
          <t>Abierto simplificado</t>
        </is>
      </c>
      <c r="L778" s="6" t="n">
        <v>3</v>
      </c>
      <c r="M778" s="2" t="n"/>
      <c r="N778" s="7" t="n">
        <v>0</v>
      </c>
      <c r="O778" s="4" t="n"/>
      <c r="P778" s="2" t="inlineStr">
        <is>
          <t>45200000</t>
        </is>
      </c>
      <c r="Q778" s="8" t="inlineStr">
        <is>
          <t>Ver</t>
        </is>
      </c>
      <c r="R778" s="8" t="inlineStr">
        <is>
          <t>PCAP</t>
        </is>
      </c>
      <c r="S778" s="9" t="n">
        <v>46315</v>
      </c>
      <c r="T778" s="3" t="n">
        <v>46314.55076388889</v>
      </c>
      <c r="U778" s="2" t="n"/>
    </row>
    <row r="779">
      <c r="A779" s="2" t="inlineStr">
        <is>
          <t>En plazo</t>
        </is>
      </c>
      <c r="B779" s="3" t="n">
        <v>46335.79166666666</v>
      </c>
      <c r="C779" s="5" t="n">
        <v>96355.37</v>
      </c>
      <c r="D779" s="5" t="n">
        <v>96355.37</v>
      </c>
      <c r="E779" s="2" t="inlineStr">
        <is>
          <t>Andalucía</t>
        </is>
      </c>
      <c r="F779" s="2" t="inlineStr">
        <is>
          <t>Granada</t>
        </is>
      </c>
      <c r="G779" s="2" t="n"/>
      <c r="H779" s="2" t="inlineStr">
        <is>
          <t>Junta de Gobierno Local del Ayuntamiento de La Zubia</t>
        </is>
      </c>
      <c r="I779" s="2" t="inlineStr">
        <is>
          <t>Obras de actuaciones en Camino de los Agramazones y Barranco Hondo del municipio de La Zubia, subvencionada por la Diputación Provincial de Granada. Subvención para inversiones de reparación de daños producidos por el temporal e inversiones de carácter preventivo. Línea 1.</t>
        </is>
      </c>
      <c r="J779" s="2" t="inlineStr">
        <is>
          <t>5943/2026</t>
        </is>
      </c>
      <c r="K779" s="2" t="inlineStr">
        <is>
          <t>Abierto simplificado</t>
        </is>
      </c>
      <c r="L779" s="6" t="n">
        <v>1</v>
      </c>
      <c r="M779" s="2" t="n"/>
      <c r="N779" s="7" t="n">
        <v>0.25</v>
      </c>
      <c r="O779" s="4" t="n"/>
      <c r="P779" s="2" t="inlineStr">
        <is>
          <t>45233222; 45233223; 45247230</t>
        </is>
      </c>
      <c r="Q779" s="8" t="inlineStr">
        <is>
          <t>Ver</t>
        </is>
      </c>
      <c r="R779" s="8" t="inlineStr">
        <is>
          <t>PCAP</t>
        </is>
      </c>
      <c r="S779" s="9" t="n">
        <v>46315</v>
      </c>
      <c r="T779" s="3" t="n">
        <v>46314.55054398148</v>
      </c>
      <c r="U779" s="2" t="n"/>
    </row>
    <row r="780">
      <c r="A780" s="2" t="inlineStr">
        <is>
          <t>En plazo</t>
        </is>
      </c>
      <c r="B780" s="3" t="n">
        <v>46335.99930555555</v>
      </c>
      <c r="C780" s="5" t="n">
        <v>394031.69</v>
      </c>
      <c r="D780" s="5" t="n">
        <v>433434.86</v>
      </c>
      <c r="E780" s="2" t="inlineStr">
        <is>
          <t>Comunitat Valenciana</t>
        </is>
      </c>
      <c r="F780" s="2" t="inlineStr">
        <is>
          <t>Valencia</t>
        </is>
      </c>
      <c r="G780" s="2" t="n"/>
      <c r="H780" s="2" t="inlineStr">
        <is>
          <t>Junta de Gobierno del Ajuntament de València</t>
        </is>
      </c>
      <c r="I780" s="2" t="inlineStr">
        <is>
          <t>Obras de modificación del carril bici del Paseo Alameda, en el tramo Puente del Reino Puente de Monteolivete, en el distrito Camins al Grau.-</t>
        </is>
      </c>
      <c r="J780" s="2" t="inlineStr">
        <is>
          <t>04101/2026/198-O</t>
        </is>
      </c>
      <c r="K780" s="2" t="inlineStr">
        <is>
          <t>Abierto simplificado</t>
        </is>
      </c>
      <c r="L780" s="6" t="n">
        <v>3</v>
      </c>
      <c r="M780" s="2" t="n"/>
      <c r="N780" s="7" t="n">
        <v>0</v>
      </c>
      <c r="O780" s="4" t="n"/>
      <c r="P780" s="2" t="inlineStr">
        <is>
          <t>45200000</t>
        </is>
      </c>
      <c r="Q780" s="8" t="inlineStr">
        <is>
          <t>Ver</t>
        </is>
      </c>
      <c r="R780" s="8" t="inlineStr">
        <is>
          <t>PCAP</t>
        </is>
      </c>
      <c r="S780" s="9" t="n">
        <v>46315</v>
      </c>
      <c r="T780" s="3" t="n">
        <v>46314.54459490741</v>
      </c>
      <c r="U780" s="2" t="n"/>
    </row>
    <row r="781">
      <c r="A781" s="2" t="inlineStr">
        <is>
          <t>Resuelta</t>
        </is>
      </c>
      <c r="B781" s="3" t="n">
        <v>46274.99930555555</v>
      </c>
      <c r="C781" s="5" t="n">
        <v>142338.54</v>
      </c>
      <c r="D781" s="5" t="n">
        <v>117635.16</v>
      </c>
      <c r="E781" s="2" t="inlineStr">
        <is>
          <t>Andalucía</t>
        </is>
      </c>
      <c r="F781" s="2" t="inlineStr">
        <is>
          <t>Cádiz</t>
        </is>
      </c>
      <c r="G781" s="2" t="inlineStr">
        <is>
          <t>MEDINA SIDONIA</t>
        </is>
      </c>
      <c r="H781" s="2" t="inlineStr">
        <is>
          <t>Junta de Gobierno Local del Ayuntamiento de Medina Sidonia</t>
        </is>
      </c>
      <c r="I781" s="2" t="inlineStr">
        <is>
          <t>Contrato de obras para reparaciones en el CEIP Doctor Thebussem de Medina Sidonia (Cádiz) financiado con cargo a las ayudas de la Administración General del Estado, a través del Ministerio de Política Territorial y Memoria Democrática, previstas en el artículo 7 del Real Decreto-Ley 5/2026, de 17 de febrero</t>
        </is>
      </c>
      <c r="J781" s="2" t="inlineStr">
        <is>
          <t>2026_11023_CCOAS_00004</t>
        </is>
      </c>
      <c r="K781" s="2" t="inlineStr">
        <is>
          <t>Abierto simplificado</t>
        </is>
      </c>
      <c r="L781" s="6" t="n">
        <v>4</v>
      </c>
      <c r="M781" s="2" t="n"/>
      <c r="N781" s="7" t="n">
        <v>0</v>
      </c>
      <c r="O781" s="4" t="n"/>
      <c r="P781" s="2" t="inlineStr">
        <is>
          <t>45261400; 45261420; 45261900</t>
        </is>
      </c>
      <c r="Q781" s="8" t="inlineStr">
        <is>
          <t>Ver</t>
        </is>
      </c>
      <c r="R781" s="8" t="inlineStr">
        <is>
          <t>PCAP</t>
        </is>
      </c>
      <c r="S781" s="9" t="n">
        <v>46310</v>
      </c>
      <c r="T781" s="3" t="n">
        <v>46314.54126157407</v>
      </c>
      <c r="U781" s="2" t="n"/>
    </row>
    <row r="782">
      <c r="A782" s="2" t="inlineStr">
        <is>
          <t>Pendiente de adjudicación</t>
        </is>
      </c>
      <c r="B782" s="3" t="n">
        <v>46295.99930555555</v>
      </c>
      <c r="C782" s="5" t="n">
        <v>102618.36</v>
      </c>
      <c r="D782" s="5" t="n">
        <v>102618.36</v>
      </c>
      <c r="E782" s="2" t="inlineStr">
        <is>
          <t>Andalucía</t>
        </is>
      </c>
      <c r="F782" s="2" t="inlineStr">
        <is>
          <t>Granada</t>
        </is>
      </c>
      <c r="G782" s="2" t="n"/>
      <c r="H782" s="2" t="inlineStr">
        <is>
          <t>Dirección de la Empresa Municipal de Cementerios y Servicios Funerarios de Granada SA (EMUCESA)</t>
        </is>
      </c>
      <c r="I782" s="2" t="inlineStr">
        <is>
          <t>Suministro, montaje, instalación, legalización y mantenimiento de producción eléctrica fotovoltaica para autoconsumo con vertido de excedentes en EMUCESA.</t>
        </is>
      </c>
      <c r="J782" s="2" t="inlineStr">
        <is>
          <t>03/2026</t>
        </is>
      </c>
      <c r="K782" s="2" t="inlineStr">
        <is>
          <t>Abierto simplificado</t>
        </is>
      </c>
      <c r="L782" s="6" t="n">
        <v>3</v>
      </c>
      <c r="M782" s="2" t="n"/>
      <c r="N782" s="7" t="n">
        <v>0.15</v>
      </c>
      <c r="O782" s="4" t="n"/>
      <c r="P782" s="2" t="inlineStr">
        <is>
          <t>45315300; 09330000; 09331200; 09332000; 45261215</t>
        </is>
      </c>
      <c r="Q782" s="8" t="inlineStr">
        <is>
          <t>Ver</t>
        </is>
      </c>
      <c r="R782" s="8" t="inlineStr">
        <is>
          <t>PCAP</t>
        </is>
      </c>
      <c r="S782" s="9" t="n">
        <v>46315</v>
      </c>
      <c r="T782" s="3" t="n">
        <v>46314.53931712963</v>
      </c>
      <c r="U782" s="2" t="n"/>
    </row>
    <row r="783">
      <c r="A783" s="2" t="inlineStr">
        <is>
          <t>Adjudicada</t>
        </is>
      </c>
      <c r="B783" s="3" t="n">
        <v>46202.5</v>
      </c>
      <c r="C783" s="5" t="n">
        <v>400000</v>
      </c>
      <c r="D783" s="5" t="n">
        <v>400000</v>
      </c>
      <c r="E783" s="2" t="inlineStr">
        <is>
          <t>Comunitat Valenciana</t>
        </is>
      </c>
      <c r="F783" s="2" t="inlineStr">
        <is>
          <t>Valencia</t>
        </is>
      </c>
      <c r="G783" s="2" t="n"/>
      <c r="H783" s="2" t="inlineStr">
        <is>
          <t>Dirección General de Renfe Ingeniería y Mantenimiento Sociedad Mercantil Estatal, S.A.</t>
        </is>
      </c>
      <c r="I783" s="2" t="inlineStr">
        <is>
          <t>Obras de renovacion de fachadas y de adecuacion interior de edificio auxiliar implantacion nuevo comedor laboral bm valencia</t>
        </is>
      </c>
      <c r="J783" s="2" t="inlineStr">
        <is>
          <t>2026-01648</t>
        </is>
      </c>
      <c r="K783" s="2" t="inlineStr">
        <is>
          <t>Normas internas</t>
        </is>
      </c>
      <c r="L783" s="6" t="n">
        <v>4</v>
      </c>
      <c r="M783" s="2" t="n"/>
      <c r="N783" s="7" t="n">
        <v>0.4</v>
      </c>
      <c r="O783" s="4" t="n"/>
      <c r="P783" s="2" t="inlineStr">
        <is>
          <t>45213200</t>
        </is>
      </c>
      <c r="Q783" s="8" t="inlineStr">
        <is>
          <t>Ver</t>
        </is>
      </c>
      <c r="R783" s="8" t="inlineStr">
        <is>
          <t>PCAP</t>
        </is>
      </c>
      <c r="S783" s="9" t="n">
        <v>46315</v>
      </c>
      <c r="T783" s="3" t="n">
        <v>46314.53753472222</v>
      </c>
      <c r="U783" s="2" t="n"/>
    </row>
    <row r="784">
      <c r="A784" s="2" t="inlineStr">
        <is>
          <t>En plazo</t>
        </is>
      </c>
      <c r="B784" s="3" t="n">
        <v>46342.99930555555</v>
      </c>
      <c r="C784" s="5" t="n">
        <v>171764.85</v>
      </c>
      <c r="D784" s="5" t="n">
        <v>171764.85</v>
      </c>
      <c r="E784" s="2" t="inlineStr">
        <is>
          <t>Andalucía</t>
        </is>
      </c>
      <c r="F784" s="2" t="inlineStr">
        <is>
          <t>Córdoba</t>
        </is>
      </c>
      <c r="G784" s="2" t="inlineStr">
        <is>
          <t>Villaralto</t>
        </is>
      </c>
      <c r="H784" s="2" t="inlineStr">
        <is>
          <t>Diputado delegado de Infraestructuras, Sostenibilidad y Agricultura</t>
        </is>
      </c>
      <c r="I784" s="2" t="inlineStr">
        <is>
          <t>Contratación de la obra Rehabilitación Casa Peñas, 1ª fase, Villaralto (Córdoba). Obra incluida en los planes provinciales de obras y servicios 2024-2027 (bienio 2026-2027).</t>
        </is>
      </c>
      <c r="J784" s="2" t="inlineStr">
        <is>
          <t>859/26</t>
        </is>
      </c>
      <c r="K784" s="2" t="inlineStr">
        <is>
          <t>Abierto</t>
        </is>
      </c>
      <c r="L784" s="6" t="n">
        <v>7</v>
      </c>
      <c r="M784" s="2" t="n"/>
      <c r="N784" s="7" t="n">
        <v>0.25</v>
      </c>
      <c r="O784" s="4" t="n"/>
      <c r="P784" s="2" t="inlineStr">
        <is>
          <t>45210000</t>
        </is>
      </c>
      <c r="Q784" s="8" t="inlineStr">
        <is>
          <t>Ver</t>
        </is>
      </c>
      <c r="R784" s="8" t="inlineStr">
        <is>
          <t>PCAP</t>
        </is>
      </c>
      <c r="S784" s="9" t="n">
        <v>46315</v>
      </c>
      <c r="T784" s="3" t="n">
        <v>46314.53605324074</v>
      </c>
      <c r="U784" s="2" t="n"/>
    </row>
    <row r="785">
      <c r="A785" s="2" t="inlineStr">
        <is>
          <t>Resuelta</t>
        </is>
      </c>
      <c r="B785" s="3" t="n">
        <v>46269.99930555555</v>
      </c>
      <c r="C785" s="5" t="n">
        <v>160284.85</v>
      </c>
      <c r="D785" s="5" t="n">
        <v>160284.85</v>
      </c>
      <c r="E785" s="2" t="inlineStr">
        <is>
          <t>Comunitat Valenciana</t>
        </is>
      </c>
      <c r="F785" s="2" t="inlineStr">
        <is>
          <t>Alicante</t>
        </is>
      </c>
      <c r="G785" s="2" t="inlineStr">
        <is>
          <t>Redován</t>
        </is>
      </c>
      <c r="H785" s="2" t="inlineStr">
        <is>
          <t>Junta de Gobierno de Redován</t>
        </is>
      </c>
      <c r="I785" s="2" t="inlineStr">
        <is>
          <t>Ejecución de las obras de reconstrucción de muro perimetral y ampliación y renovación de aseos del campo de fútbol municipal de Redován.</t>
        </is>
      </c>
      <c r="J785" s="2" t="inlineStr">
        <is>
          <t>267/2026</t>
        </is>
      </c>
      <c r="K785" s="2" t="inlineStr">
        <is>
          <t>Abierto simplificado</t>
        </is>
      </c>
      <c r="L785" s="6" t="n">
        <v>4</v>
      </c>
      <c r="M785" s="2" t="inlineStr">
        <is>
          <t>C*-2</t>
        </is>
      </c>
      <c r="N785" s="7" t="n">
        <v>0</v>
      </c>
      <c r="O785" s="4" t="n"/>
      <c r="P785" s="2" t="inlineStr">
        <is>
          <t>45212220; 45212290</t>
        </is>
      </c>
      <c r="Q785" s="8" t="inlineStr">
        <is>
          <t>Ver</t>
        </is>
      </c>
      <c r="R785" s="8" t="inlineStr">
        <is>
          <t>PCAP</t>
        </is>
      </c>
      <c r="S785" s="9" t="n">
        <v>46315</v>
      </c>
      <c r="T785" s="3" t="n">
        <v>46314.53583333334</v>
      </c>
      <c r="U785" s="2" t="n"/>
    </row>
    <row r="786">
      <c r="A786" s="2" t="inlineStr">
        <is>
          <t>Adjudicada</t>
        </is>
      </c>
      <c r="B786" s="3" t="n">
        <v>46260.99930555555</v>
      </c>
      <c r="C786" s="5" t="n">
        <v>463937.62</v>
      </c>
      <c r="D786" s="5" t="n">
        <v>472311.43</v>
      </c>
      <c r="E786" s="2" t="inlineStr">
        <is>
          <t>Andalucía</t>
        </is>
      </c>
      <c r="F786" s="2" t="inlineStr">
        <is>
          <t>Sevilla</t>
        </is>
      </c>
      <c r="G786" s="2" t="inlineStr">
        <is>
          <t>Utrera (Sevilla)</t>
        </is>
      </c>
      <c r="H786" s="2" t="inlineStr">
        <is>
          <t>Alcaldía del Ayuntamiento de Utrera</t>
        </is>
      </c>
      <c r="I786" s="2" t="inlineStr">
        <is>
          <t>Ejecución de las obras del proyecto básico y de ejecución de ampliación y renovación del horno crematorio municipal de Utrera (Sevilla) -OP49/25-, financiado por la Diputación Provincial de Sevilla con cargo a la línea de inversiones del Programa de Cooperación General del Plan Provincial Más Sevilla.</t>
        </is>
      </c>
      <c r="J786" s="2" t="inlineStr">
        <is>
          <t>OB39/2026</t>
        </is>
      </c>
      <c r="K786" s="2" t="inlineStr">
        <is>
          <t>Abierto simplificado</t>
        </is>
      </c>
      <c r="L786" s="6" t="n">
        <v>7</v>
      </c>
      <c r="M786" s="2" t="n"/>
      <c r="N786" s="7" t="n">
        <v>0</v>
      </c>
      <c r="O786" s="4" t="n"/>
      <c r="P786" s="2" t="inlineStr">
        <is>
          <t>45215300; 45223100; 45111100; 45223500; 45000000; 51135000</t>
        </is>
      </c>
      <c r="Q786" s="8" t="inlineStr">
        <is>
          <t>Ver</t>
        </is>
      </c>
      <c r="R786" s="8" t="inlineStr">
        <is>
          <t>PCAP</t>
        </is>
      </c>
      <c r="S786" s="9" t="n">
        <v>46315</v>
      </c>
      <c r="T786" s="3" t="n">
        <v>46314.53320601852</v>
      </c>
      <c r="U786" s="2" t="n"/>
    </row>
    <row r="787">
      <c r="A787" s="2" t="inlineStr">
        <is>
          <t>Adjudicada</t>
        </is>
      </c>
      <c r="B787" s="3" t="n">
        <v>46295.99930555555</v>
      </c>
      <c r="C787" s="5" t="n">
        <v>62850.11</v>
      </c>
      <c r="D787" s="5" t="n">
        <v>76048.63</v>
      </c>
      <c r="E787" s="2" t="inlineStr">
        <is>
          <t>Comunitat Valenciana</t>
        </is>
      </c>
      <c r="F787" s="2" t="inlineStr">
        <is>
          <t>Valencia</t>
        </is>
      </c>
      <c r="G787" s="2" t="n"/>
      <c r="H787" s="2" t="inlineStr">
        <is>
          <t>Presidencia de la Mancomunitat de Municipis La Costera - Canal</t>
        </is>
      </c>
      <c r="I787" s="2" t="inlineStr">
        <is>
          <t>Restauración del muro de la capilla gótica que limita al este el núcleo de comunicación vertical de las oficinas sede de la Mancomunidad.</t>
        </is>
      </c>
      <c r="J787" s="2" t="inlineStr">
        <is>
          <t>3028323E</t>
        </is>
      </c>
      <c r="K787" s="2" t="inlineStr">
        <is>
          <t>Abierto simplificado</t>
        </is>
      </c>
      <c r="L787" s="6" t="n">
        <v>3</v>
      </c>
      <c r="M787" s="2" t="inlineStr">
        <is>
          <t>K7-1</t>
        </is>
      </c>
      <c r="N787" s="7" t="n">
        <v>0</v>
      </c>
      <c r="O787" s="4" t="n"/>
      <c r="P787" s="2" t="inlineStr">
        <is>
          <t>45400000; 45350000; 45410000; 45450000; 45430000; 45320000; 45340000; 45420000; 45310000; 45330000; 45440000</t>
        </is>
      </c>
      <c r="Q787" s="8" t="inlineStr">
        <is>
          <t>Ver</t>
        </is>
      </c>
      <c r="R787" s="8" t="inlineStr">
        <is>
          <t>PCAP</t>
        </is>
      </c>
      <c r="S787" s="9" t="n">
        <v>46315</v>
      </c>
      <c r="T787" s="3" t="n">
        <v>46314.53061342592</v>
      </c>
      <c r="U787" s="2" t="n"/>
    </row>
    <row r="788">
      <c r="A788" s="2" t="inlineStr">
        <is>
          <t>Pendiente de adjudicación</t>
        </is>
      </c>
      <c r="B788" s="3" t="n">
        <v>46308.33333333334</v>
      </c>
      <c r="C788" s="5" t="n">
        <v>124712.35</v>
      </c>
      <c r="D788" s="5" t="n">
        <v>137183.58</v>
      </c>
      <c r="E788" s="2" t="inlineStr">
        <is>
          <t>Andalucía</t>
        </is>
      </c>
      <c r="F788" s="2" t="inlineStr">
        <is>
          <t>Sevilla</t>
        </is>
      </c>
      <c r="G788" s="2" t="n"/>
      <c r="H788" s="2" t="inlineStr">
        <is>
          <t>Instituto de Vivienda, Infraestructura y Equipamiento de la Defensa</t>
        </is>
      </c>
      <c r="I788" s="2" t="inlineStr">
        <is>
          <t>Obras de reforma del desdoblamiento de una vivienda en edificio plurifamiliar situado en Calle Brasil 25, Bajo Izquierda, Sevilla</t>
        </is>
      </c>
      <c r="J788" s="2" t="inlineStr">
        <is>
          <t>202600000226</t>
        </is>
      </c>
      <c r="K788" s="2" t="inlineStr">
        <is>
          <t>Abierto simplificado</t>
        </is>
      </c>
      <c r="L788" s="6" t="n">
        <v>4</v>
      </c>
      <c r="M788" s="2" t="n"/>
      <c r="N788" s="7" t="n">
        <v>0</v>
      </c>
      <c r="O788" s="4" t="n"/>
      <c r="P788" s="2" t="inlineStr">
        <is>
          <t>45259900; 45262520; 45300000</t>
        </is>
      </c>
      <c r="Q788" s="8" t="inlineStr">
        <is>
          <t>Ver</t>
        </is>
      </c>
      <c r="R788" s="8" t="inlineStr">
        <is>
          <t>PCAP</t>
        </is>
      </c>
      <c r="S788" s="9" t="n">
        <v>46315</v>
      </c>
      <c r="T788" s="3" t="n">
        <v>46314.52949074074</v>
      </c>
      <c r="U788" s="2" t="n"/>
    </row>
    <row r="789">
      <c r="A789" s="2" t="inlineStr">
        <is>
          <t>Pendiente de adjudicación</t>
        </is>
      </c>
      <c r="B789" s="3" t="n">
        <v>46308.33333333334</v>
      </c>
      <c r="C789" s="5" t="n">
        <v>158819.26</v>
      </c>
      <c r="D789" s="5" t="n">
        <v>174701.18</v>
      </c>
      <c r="E789" s="2" t="inlineStr">
        <is>
          <t>Andalucía</t>
        </is>
      </c>
      <c r="F789" s="2" t="inlineStr">
        <is>
          <t>Sevilla</t>
        </is>
      </c>
      <c r="G789" s="2" t="n"/>
      <c r="H789" s="2" t="inlineStr">
        <is>
          <t>Instituto de Vivienda, Infraestructura y Equipamiento de la Defensa</t>
        </is>
      </c>
      <c r="I789" s="2" t="inlineStr">
        <is>
          <t>Obras de reforma del desdoblamiento de una vivienda en edificio plurifamiliar situado en Avenida de la Borbolla 13, 2º, Sevilla</t>
        </is>
      </c>
      <c r="J789" s="2" t="inlineStr">
        <is>
          <t>202600000217</t>
        </is>
      </c>
      <c r="K789" s="2" t="inlineStr">
        <is>
          <t>Abierto simplificado</t>
        </is>
      </c>
      <c r="L789" s="6" t="n">
        <v>4</v>
      </c>
      <c r="M789" s="2" t="n"/>
      <c r="N789" s="7" t="n">
        <v>0</v>
      </c>
      <c r="O789" s="4" t="n"/>
      <c r="P789" s="2" t="inlineStr">
        <is>
          <t>45259900; 45262520; 45300000</t>
        </is>
      </c>
      <c r="Q789" s="8" t="inlineStr">
        <is>
          <t>Ver</t>
        </is>
      </c>
      <c r="R789" s="8" t="inlineStr">
        <is>
          <t>PCAP</t>
        </is>
      </c>
      <c r="S789" s="9" t="n">
        <v>46315</v>
      </c>
      <c r="T789" s="3" t="n">
        <v>46314.52885416667</v>
      </c>
      <c r="U789" s="2" t="n"/>
    </row>
    <row r="790">
      <c r="A790" s="2" t="inlineStr">
        <is>
          <t>En plazo</t>
        </is>
      </c>
      <c r="B790" s="3" t="n">
        <v>46342.54166666666</v>
      </c>
      <c r="C790" s="5" t="n">
        <v>118737.89</v>
      </c>
      <c r="D790" s="5" t="n">
        <v>118737.89</v>
      </c>
      <c r="E790" s="2" t="inlineStr">
        <is>
          <t>Comunitat Valenciana</t>
        </is>
      </c>
      <c r="F790" s="2" t="inlineStr">
        <is>
          <t>Alicante</t>
        </is>
      </c>
      <c r="G790" s="2" t="n"/>
      <c r="H790" s="2" t="inlineStr">
        <is>
          <t>Junta de Gobierno Local del Ayuntamiento de Alicante</t>
        </is>
      </c>
      <c r="I790" s="2" t="inlineStr">
        <is>
          <t>Obras comprendidas en el proyecto de intervención en el foso del Albacar d¿Enmig, castillo de Santa Bárbara de Alicante</t>
        </is>
      </c>
      <c r="J790" s="2" t="inlineStr">
        <is>
          <t>18/26</t>
        </is>
      </c>
      <c r="K790" s="2" t="inlineStr">
        <is>
          <t>Abierto</t>
        </is>
      </c>
      <c r="L790" s="6" t="n">
        <v>5</v>
      </c>
      <c r="M790" s="2" t="n"/>
      <c r="N790" s="7" t="n">
        <v>0.4</v>
      </c>
      <c r="O790" s="4" t="n"/>
      <c r="P790" s="2" t="inlineStr">
        <is>
          <t>45454100; 45212350</t>
        </is>
      </c>
      <c r="Q790" s="8" t="inlineStr">
        <is>
          <t>Ver</t>
        </is>
      </c>
      <c r="R790" s="8" t="inlineStr">
        <is>
          <t>PCAP</t>
        </is>
      </c>
      <c r="S790" s="9" t="n">
        <v>46315</v>
      </c>
      <c r="T790" s="3" t="n">
        <v>46314.52305555555</v>
      </c>
      <c r="U790" s="2" t="n"/>
    </row>
    <row r="791">
      <c r="A791" s="2" t="inlineStr">
        <is>
          <t>Resuelta</t>
        </is>
      </c>
      <c r="B791" s="3" t="n">
        <v>46240.99930555555</v>
      </c>
      <c r="C791" s="5" t="n">
        <v>1403184.29</v>
      </c>
      <c r="D791" s="5" t="n">
        <v>1403184.29</v>
      </c>
      <c r="E791" s="2" t="inlineStr">
        <is>
          <t>Andalucía</t>
        </is>
      </c>
      <c r="F791" s="2" t="inlineStr">
        <is>
          <t>Málaga</t>
        </is>
      </c>
      <c r="G791" s="2" t="inlineStr">
        <is>
          <t>Coín</t>
        </is>
      </c>
      <c r="H791" s="2" t="inlineStr">
        <is>
          <t>Alcaldía del Ayuntamiento de Coín</t>
        </is>
      </c>
      <c r="I791" s="2" t="inlineStr">
        <is>
          <t>Contrato de obras del Parque S.G.A.L.-5 "Cuartel de la Guardia Civil"</t>
        </is>
      </c>
      <c r="J791" s="2" t="inlineStr">
        <is>
          <t>968/2026</t>
        </is>
      </c>
      <c r="K791" s="2" t="inlineStr">
        <is>
          <t>Abierto simplificado</t>
        </is>
      </c>
      <c r="L791" s="6" t="n">
        <v>6</v>
      </c>
      <c r="M791" s="2" t="inlineStr">
        <is>
          <t>A1-4</t>
        </is>
      </c>
      <c r="N791" s="7" t="n">
        <v>0.25</v>
      </c>
      <c r="O791" s="4" t="n"/>
      <c r="P791" s="2" t="inlineStr">
        <is>
          <t>45231300; 45232150; 45232440; 45232130; 45432112; 45233253; 45232410</t>
        </is>
      </c>
      <c r="Q791" s="8" t="inlineStr">
        <is>
          <t>Ver</t>
        </is>
      </c>
      <c r="R791" s="8" t="inlineStr">
        <is>
          <t>PCAP</t>
        </is>
      </c>
      <c r="S791" s="9" t="n">
        <v>46310</v>
      </c>
      <c r="T791" s="3" t="n">
        <v>46314.52258101852</v>
      </c>
      <c r="U791" s="2" t="inlineStr">
        <is>
          <t>2026-10-20: estado ADJ → RES</t>
        </is>
      </c>
    </row>
    <row r="792">
      <c r="A792" s="2" t="inlineStr">
        <is>
          <t>Pendiente de adjudicación</t>
        </is>
      </c>
      <c r="B792" s="3" t="n">
        <v>46308.5</v>
      </c>
      <c r="C792" s="5" t="n">
        <v>232207.42</v>
      </c>
      <c r="D792" s="5" t="n">
        <v>232207.42</v>
      </c>
      <c r="E792" s="2" t="inlineStr">
        <is>
          <t>Comunitat Valenciana</t>
        </is>
      </c>
      <c r="F792" s="2" t="inlineStr">
        <is>
          <t>Valencia</t>
        </is>
      </c>
      <c r="G792" s="2" t="inlineStr">
        <is>
          <t>Montaverner</t>
        </is>
      </c>
      <c r="H792" s="2" t="inlineStr">
        <is>
          <t>Alcaldía del Ayuntamiento de Montaverner</t>
        </is>
      </c>
      <c r="I792" s="2" t="inlineStr">
        <is>
          <t>reforma del paque primero de mayo: pavimentación, jardinería, instalaciones, mobiliario y área de juegos.</t>
        </is>
      </c>
      <c r="J792" s="2" t="inlineStr">
        <is>
          <t>387/2026</t>
        </is>
      </c>
      <c r="K792" s="2" t="inlineStr">
        <is>
          <t>Abierto simplificado</t>
        </is>
      </c>
      <c r="L792" s="6" t="n">
        <v>6</v>
      </c>
      <c r="M792" s="2" t="n"/>
      <c r="N792" s="7" t="n">
        <v>0</v>
      </c>
      <c r="O792" s="4" t="n"/>
      <c r="P792" s="2" t="inlineStr">
        <is>
          <t>45112700; 45233200; 45316100; 43325000</t>
        </is>
      </c>
      <c r="Q792" s="8" t="inlineStr">
        <is>
          <t>Ver</t>
        </is>
      </c>
      <c r="R792" s="8" t="inlineStr">
        <is>
          <t>PCAP</t>
        </is>
      </c>
      <c r="S792" s="9" t="n">
        <v>46315</v>
      </c>
      <c r="T792" s="3" t="n">
        <v>46314.51909722222</v>
      </c>
      <c r="U792" s="2" t="n"/>
    </row>
    <row r="793">
      <c r="A793" s="2" t="inlineStr">
        <is>
          <t>En plazo</t>
        </is>
      </c>
      <c r="B793" s="3" t="n">
        <v>46321.58333333334</v>
      </c>
      <c r="C793" s="5" t="n">
        <v>297520.66</v>
      </c>
      <c r="D793" s="5" t="n">
        <v>297520.66</v>
      </c>
      <c r="E793" s="2" t="inlineStr">
        <is>
          <t>Andalucía</t>
        </is>
      </c>
      <c r="F793" s="2" t="inlineStr">
        <is>
          <t>Cádiz</t>
        </is>
      </c>
      <c r="G793" s="2" t="inlineStr">
        <is>
          <t>Castellar de la Frontera</t>
        </is>
      </c>
      <c r="H793" s="2" t="inlineStr">
        <is>
          <t>Alcaldía del Ayuntamiento de Castellar de la Frontera</t>
        </is>
      </c>
      <c r="I793" s="2" t="inlineStr">
        <is>
          <t>El objeto del contrato es la ejecución de obras correspondientes al proyecto OBRAS DE CONSTRUCCIÓN DE UN NUEVO EDIFICIO MUNICIPAL PARA LA PRESTACIÓN DE SERVICIOS DE COMPETENCIA MUNICIPAL, financiado a cargo del Plan Extraordinario de Inversiones de la Excma. Diputación Provincial de Cádiz (Plan Cádiz-Marcha 2024).</t>
        </is>
      </c>
      <c r="J793" s="2" t="inlineStr">
        <is>
          <t>757/2026</t>
        </is>
      </c>
      <c r="K793" s="2" t="inlineStr">
        <is>
          <t>Abierto simplificado</t>
        </is>
      </c>
      <c r="L793" s="6" t="n">
        <v>12</v>
      </c>
      <c r="M793" s="2" t="n"/>
      <c r="N793" s="7" t="n">
        <v>0</v>
      </c>
      <c r="O793" s="4" t="n"/>
      <c r="P793" s="2" t="inlineStr">
        <is>
          <t>45211350</t>
        </is>
      </c>
      <c r="Q793" s="8" t="inlineStr">
        <is>
          <t>Ver</t>
        </is>
      </c>
      <c r="R793" s="8" t="inlineStr">
        <is>
          <t>PCAP</t>
        </is>
      </c>
      <c r="S793" s="9" t="n">
        <v>46315</v>
      </c>
      <c r="T793" s="3" t="n">
        <v>46314.51297453704</v>
      </c>
      <c r="U793" s="2" t="n"/>
    </row>
    <row r="794">
      <c r="A794" s="2" t="inlineStr">
        <is>
          <t>Resuelta</t>
        </is>
      </c>
      <c r="B794" s="3" t="n">
        <v>45698.58333333334</v>
      </c>
      <c r="C794" s="5" t="n">
        <v>5501407.79</v>
      </c>
      <c r="D794" s="5" t="n">
        <v>6656703.43</v>
      </c>
      <c r="E794" s="2" t="inlineStr">
        <is>
          <t>Andalucía</t>
        </is>
      </c>
      <c r="F794" s="2" t="inlineStr">
        <is>
          <t>Córdoba</t>
        </is>
      </c>
      <c r="G794" s="2" t="inlineStr">
        <is>
          <t>Córdoba</t>
        </is>
      </c>
      <c r="H794" s="2" t="inlineStr">
        <is>
          <t>Consejo de Administración de la Empresa Municipal de Aguas de Córdoba, S.A. (EMACSA)</t>
        </is>
      </c>
      <c r="I794" s="2" t="inlineStr">
        <is>
          <t>Obra de modernización y mejora de la primera conducción de abastecimiento a Córdoba. Fase 2</t>
        </is>
      </c>
      <c r="J794" s="2" t="inlineStr">
        <is>
          <t>73/2024</t>
        </is>
      </c>
      <c r="K794" s="2" t="inlineStr">
        <is>
          <t>Abierto</t>
        </is>
      </c>
      <c r="L794" s="6" t="n">
        <v>20</v>
      </c>
      <c r="M794" s="2" t="inlineStr">
        <is>
          <t>E6-5</t>
        </is>
      </c>
      <c r="N794" s="7" t="n">
        <v>0.4</v>
      </c>
      <c r="O794" s="4" t="n"/>
      <c r="P794" s="2" t="inlineStr">
        <is>
          <t>45231100</t>
        </is>
      </c>
      <c r="Q794" s="8" t="inlineStr">
        <is>
          <t>Ver</t>
        </is>
      </c>
      <c r="R794" s="2" t="n"/>
      <c r="S794" s="9" t="n">
        <v>46315</v>
      </c>
      <c r="T794" s="3" t="n">
        <v>46314.51269675926</v>
      </c>
      <c r="U794" s="2" t="n"/>
    </row>
    <row r="795">
      <c r="A795" s="2" t="inlineStr">
        <is>
          <t>Resuelta</t>
        </is>
      </c>
      <c r="B795" s="3" t="n">
        <v>46204.60416666666</v>
      </c>
      <c r="C795" s="5" t="n">
        <v>79611.06</v>
      </c>
      <c r="D795" s="5" t="n">
        <v>79611.06</v>
      </c>
      <c r="E795" s="2" t="inlineStr">
        <is>
          <t>Andalucía</t>
        </is>
      </c>
      <c r="F795" s="2" t="inlineStr">
        <is>
          <t>Cádiz</t>
        </is>
      </c>
      <c r="G795" s="2" t="n"/>
      <c r="H795" s="2" t="inlineStr">
        <is>
          <t>Dirección de Chiclana Natural S.A.</t>
        </is>
      </c>
      <c r="I795" s="2" t="inlineStr">
        <is>
          <t>Ejecución de las obras de instalación de encamisado en el pozo de La Espartosa, en el término municipal de Chiclana de la Frontera (Cádiz).</t>
        </is>
      </c>
      <c r="J795" s="2" t="inlineStr">
        <is>
          <t>DEA-CON 18/2026</t>
        </is>
      </c>
      <c r="K795" s="2" t="inlineStr">
        <is>
          <t>Abierto simplificado</t>
        </is>
      </c>
      <c r="L795" s="6" t="n">
        <v>0.7</v>
      </c>
      <c r="M795" s="2" t="n"/>
      <c r="N795" s="7" t="n">
        <v>0</v>
      </c>
      <c r="O795" s="4" t="n"/>
      <c r="P795" s="2" t="inlineStr">
        <is>
          <t>45262220</t>
        </is>
      </c>
      <c r="Q795" s="8" t="inlineStr">
        <is>
          <t>Ver</t>
        </is>
      </c>
      <c r="R795" s="8" t="inlineStr">
        <is>
          <t>PCAP</t>
        </is>
      </c>
      <c r="S795" s="9" t="n">
        <v>46315</v>
      </c>
      <c r="T795" s="3" t="n">
        <v>46314.51199074074</v>
      </c>
      <c r="U795" s="2" t="n"/>
    </row>
    <row r="796">
      <c r="A796" s="2" t="inlineStr">
        <is>
          <t>Resuelta</t>
        </is>
      </c>
      <c r="B796" s="3" t="n">
        <v>46272.99930555555</v>
      </c>
      <c r="C796" s="5" t="n">
        <v>1488218.63</v>
      </c>
      <c r="D796" s="5" t="n">
        <v>1488218.63</v>
      </c>
      <c r="E796" s="2" t="inlineStr">
        <is>
          <t>Andalucía</t>
        </is>
      </c>
      <c r="F796" s="2" t="inlineStr">
        <is>
          <t>Huelva</t>
        </is>
      </c>
      <c r="G796" s="2" t="n"/>
      <c r="H796" s="2" t="inlineStr">
        <is>
          <t>Junta de Gobierno de la Diputación Provincial de Huelva</t>
        </is>
      </c>
      <c r="I796" s="2" t="inlineStr">
        <is>
          <t>El presente contrato tiene por objeto la ejecución de las obras consistentes en la reposición de firmes en viales de carreteras pertenecientes a la red provincial, en varios tramos entre los PP KK -0+274 de la C.P. HU-3110, Moguer a El Rocío.</t>
        </is>
      </c>
      <c r="J796" s="2" t="inlineStr">
        <is>
          <t>2025/CMY_03/000089 NSP</t>
        </is>
      </c>
      <c r="K796" s="2" t="inlineStr">
        <is>
          <t>Negociado sin publicidad</t>
        </is>
      </c>
      <c r="L796" s="6" t="n">
        <v>6</v>
      </c>
      <c r="M796" s="2" t="n"/>
      <c r="N796" s="7" t="n">
        <v>0.45</v>
      </c>
      <c r="O796" s="4" t="n"/>
      <c r="P796" s="2" t="inlineStr">
        <is>
          <t>45233000</t>
        </is>
      </c>
      <c r="Q796" s="8" t="inlineStr">
        <is>
          <t>Ver</t>
        </is>
      </c>
      <c r="R796" s="2" t="n"/>
      <c r="S796" s="9" t="n">
        <v>46311</v>
      </c>
      <c r="T796" s="3" t="n">
        <v>46314.50869212963</v>
      </c>
      <c r="U796" s="2" t="inlineStr">
        <is>
          <t>2026-10-20: estado ADJ → RES</t>
        </is>
      </c>
    </row>
    <row r="797">
      <c r="A797" s="2" t="inlineStr">
        <is>
          <t>Pendiente de adjudicación</t>
        </is>
      </c>
      <c r="B797" s="3" t="n">
        <v>46304.41666666666</v>
      </c>
      <c r="C797" s="5" t="n">
        <v>149707.4</v>
      </c>
      <c r="D797" s="5" t="n">
        <v>149707.4</v>
      </c>
      <c r="E797" s="2" t="inlineStr">
        <is>
          <t>Andalucía</t>
        </is>
      </c>
      <c r="F797" s="2" t="inlineStr">
        <is>
          <t>Sevilla</t>
        </is>
      </c>
      <c r="G797" s="2" t="n"/>
      <c r="H797" s="2" t="inlineStr">
        <is>
          <t>Empresa de Transformación Agraria S.A.,S.M.E., M.P., (TRAGSA)</t>
        </is>
      </c>
      <c r="I797" s="2" t="inlineStr">
        <is>
          <t>Trabajos de acometida en media tensión para el Centro de Protección y Medida de 400 KVA del proyecto de Agrupación de Vertidos y EDAR de Burguillos (Sevilla). Desglosado NO 1. Agrupación de Vertidos y Conexiones Exteriores.</t>
        </is>
      </c>
      <c r="J797" s="2" t="inlineStr">
        <is>
          <t>TSA0083959</t>
        </is>
      </c>
      <c r="K797" s="2" t="inlineStr">
        <is>
          <t>Abierto simplificado</t>
        </is>
      </c>
      <c r="L797" s="6" t="n">
        <v>4</v>
      </c>
      <c r="M797" s="2" t="inlineStr">
        <is>
          <t>I5-1</t>
        </is>
      </c>
      <c r="N797" s="7" t="n">
        <v>0</v>
      </c>
      <c r="O797" s="4" t="n"/>
      <c r="P797" s="2" t="inlineStr">
        <is>
          <t>45315500</t>
        </is>
      </c>
      <c r="Q797" s="8" t="inlineStr">
        <is>
          <t>Ver</t>
        </is>
      </c>
      <c r="R797" s="8" t="inlineStr">
        <is>
          <t>PCAP</t>
        </is>
      </c>
      <c r="S797" s="9" t="n">
        <v>46315</v>
      </c>
      <c r="T797" s="3" t="n">
        <v>46314.5075462963</v>
      </c>
      <c r="U797" s="2" t="n"/>
    </row>
    <row r="798">
      <c r="A798" s="2" t="inlineStr">
        <is>
          <t>Pendiente de adjudicación</t>
        </is>
      </c>
      <c r="B798" s="3" t="n">
        <v>46269.99930555555</v>
      </c>
      <c r="C798" s="5" t="n">
        <v>286340.66</v>
      </c>
      <c r="D798" s="5" t="n">
        <v>286340.66</v>
      </c>
      <c r="E798" s="2" t="inlineStr">
        <is>
          <t>Andalucía</t>
        </is>
      </c>
      <c r="F798" s="2" t="inlineStr">
        <is>
          <t>Sevilla</t>
        </is>
      </c>
      <c r="G798" s="2" t="n"/>
      <c r="H798" s="2" t="inlineStr">
        <is>
          <t>Presidencia de la Diputación Provincial de Sevilla</t>
        </is>
      </c>
      <c r="I798" s="2" t="inlineStr">
        <is>
          <t>Obras para mejora del puente sobre el Rio Yeguas en Casariche, Sevilla.</t>
        </is>
      </c>
      <c r="J798" s="2" t="inlineStr">
        <is>
          <t>2026/000583-PAAS</t>
        </is>
      </c>
      <c r="K798" s="2" t="inlineStr">
        <is>
          <t>Abierto simplificado</t>
        </is>
      </c>
      <c r="L798" s="6" t="n">
        <v>5</v>
      </c>
      <c r="M798" s="2" t="n"/>
      <c r="N798" s="7" t="n">
        <v>0.25</v>
      </c>
      <c r="O798" s="4" t="n"/>
      <c r="P798" s="2" t="inlineStr">
        <is>
          <t>45221119; 45262211; 45223200; 45262210</t>
        </is>
      </c>
      <c r="Q798" s="8" t="inlineStr">
        <is>
          <t>Ver</t>
        </is>
      </c>
      <c r="R798" s="8" t="inlineStr">
        <is>
          <t>PCAP</t>
        </is>
      </c>
      <c r="S798" s="9" t="n">
        <v>46310</v>
      </c>
      <c r="T798" s="3" t="n">
        <v>46314.5038425926</v>
      </c>
      <c r="U798" s="2" t="n"/>
    </row>
    <row r="799">
      <c r="A799" s="2" t="inlineStr">
        <is>
          <t>Pendiente de adjudicación</t>
        </is>
      </c>
      <c r="B799" s="3" t="n">
        <v>46309.99930555555</v>
      </c>
      <c r="C799" s="5" t="n">
        <v>328251.09</v>
      </c>
      <c r="D799" s="5" t="n">
        <v>328251.09</v>
      </c>
      <c r="E799" s="2" t="inlineStr">
        <is>
          <t>Andalucía</t>
        </is>
      </c>
      <c r="F799" s="2" t="inlineStr">
        <is>
          <t>Málaga</t>
        </is>
      </c>
      <c r="G799" s="2" t="n"/>
      <c r="H799" s="2" t="inlineStr">
        <is>
          <t>Concejalía de Hacienda del Ayuntamiento de Benalmádena</t>
        </is>
      </c>
      <c r="I799" s="2" t="inlineStr">
        <is>
          <t>Obras de Adecuación de Tanatosala, Tanatoestética, Servicios higiénicos Públicos, Servicios Generales y de Intraurbanización, en el cementerio de Arroyo de la Miel.</t>
        </is>
      </c>
      <c r="J799" s="2" t="inlineStr">
        <is>
          <t>2026/41048P</t>
        </is>
      </c>
      <c r="K799" s="2" t="inlineStr">
        <is>
          <t>Abierto simplificado</t>
        </is>
      </c>
      <c r="L799" s="6" t="n">
        <v>5</v>
      </c>
      <c r="M799" s="2" t="n"/>
      <c r="N799" s="7" t="n">
        <v>0</v>
      </c>
      <c r="O799" s="4" t="n"/>
      <c r="P799" s="2" t="inlineStr">
        <is>
          <t>45215400</t>
        </is>
      </c>
      <c r="Q799" s="8" t="inlineStr">
        <is>
          <t>Ver</t>
        </is>
      </c>
      <c r="R799" s="8" t="inlineStr">
        <is>
          <t>PCAP</t>
        </is>
      </c>
      <c r="S799" s="9" t="n">
        <v>46311</v>
      </c>
      <c r="T799" s="3" t="n">
        <v>46314.5028587963</v>
      </c>
      <c r="U799" s="2" t="n"/>
    </row>
    <row r="800">
      <c r="A800" s="2" t="inlineStr">
        <is>
          <t>Pendiente de adjudicación</t>
        </is>
      </c>
      <c r="B800" s="3" t="n">
        <v>46268.58333333334</v>
      </c>
      <c r="C800" s="5" t="n">
        <v>82363.53999999999</v>
      </c>
      <c r="D800" s="5" t="n">
        <v>82363.53999999999</v>
      </c>
      <c r="E800" s="2" t="inlineStr">
        <is>
          <t>Comunitat Valenciana</t>
        </is>
      </c>
      <c r="F800" s="2" t="inlineStr">
        <is>
          <t>Valencia</t>
        </is>
      </c>
      <c r="G800" s="2" t="inlineStr">
        <is>
          <t>Torrebaja</t>
        </is>
      </c>
      <c r="H800" s="2" t="inlineStr">
        <is>
          <t>Pleno del Ayuntamiento de Torrebaja</t>
        </is>
      </c>
      <c r="I800" s="2" t="inlineStr">
        <is>
          <t>Pavimentación y Mejora de la Accesibilidad de La Calle Fuente y Cantón</t>
        </is>
      </c>
      <c r="J800" s="2" t="inlineStr">
        <is>
          <t>1/2026</t>
        </is>
      </c>
      <c r="K800" s="2" t="inlineStr">
        <is>
          <t>Abierto simplificado</t>
        </is>
      </c>
      <c r="L800" s="6" t="n">
        <v>3</v>
      </c>
      <c r="M800" s="2" t="n"/>
      <c r="N800" s="7" t="n">
        <v>0</v>
      </c>
      <c r="O800" s="4" t="n"/>
      <c r="P800" s="2" t="inlineStr">
        <is>
          <t>45233252</t>
        </is>
      </c>
      <c r="Q800" s="8" t="inlineStr">
        <is>
          <t>Ver</t>
        </is>
      </c>
      <c r="R800" s="8" t="inlineStr">
        <is>
          <t>PCAP</t>
        </is>
      </c>
      <c r="S800" s="9" t="n">
        <v>46315</v>
      </c>
      <c r="T800" s="3" t="n">
        <v>46314.50193287037</v>
      </c>
      <c r="U800" s="2" t="n"/>
    </row>
    <row r="801">
      <c r="A801" s="2" t="inlineStr">
        <is>
          <t>Pendiente de adjudicación</t>
        </is>
      </c>
      <c r="B801" s="3" t="n">
        <v>46301.99930555555</v>
      </c>
      <c r="C801" s="5" t="n">
        <v>152892.56</v>
      </c>
      <c r="D801" s="5" t="n">
        <v>152892.56</v>
      </c>
      <c r="E801" s="2" t="inlineStr">
        <is>
          <t>Andalucía</t>
        </is>
      </c>
      <c r="F801" s="2" t="inlineStr">
        <is>
          <t>Almería</t>
        </is>
      </c>
      <c r="G801" s="2" t="n"/>
      <c r="H801" s="2" t="inlineStr">
        <is>
          <t>Junta de Gobierno de la Diputación Provincial de Almería</t>
        </is>
      </c>
      <c r="I801" s="2" t="inlineStr">
        <is>
          <t>Urbanizaciones Con Abastecimiento.illar 88PPOS24-27BI</t>
        </is>
      </c>
      <c r="J801" s="2" t="inlineStr">
        <is>
          <t>2025/D31000/006-013/00208</t>
        </is>
      </c>
      <c r="K801" s="2" t="inlineStr">
        <is>
          <t>Abierto simplificado</t>
        </is>
      </c>
      <c r="L801" s="6" t="n">
        <v>4</v>
      </c>
      <c r="M801" s="2" t="n"/>
      <c r="N801" s="7" t="n">
        <v>0.25</v>
      </c>
      <c r="O801" s="4" t="n"/>
      <c r="P801" s="2" t="inlineStr">
        <is>
          <t>45233252</t>
        </is>
      </c>
      <c r="Q801" s="8" t="inlineStr">
        <is>
          <t>Ver</t>
        </is>
      </c>
      <c r="R801" s="8" t="inlineStr">
        <is>
          <t>PCAP</t>
        </is>
      </c>
      <c r="S801" s="9" t="n">
        <v>46315</v>
      </c>
      <c r="T801" s="3" t="n">
        <v>46314.5</v>
      </c>
      <c r="U801" s="2" t="n"/>
    </row>
    <row r="802">
      <c r="A802" s="2" t="inlineStr">
        <is>
          <t>Resuelta</t>
        </is>
      </c>
      <c r="B802" s="3" t="n">
        <v>46310.99930555555</v>
      </c>
      <c r="C802" s="5" t="n">
        <v>999311.25</v>
      </c>
      <c r="D802" s="5" t="n">
        <v>999311.25</v>
      </c>
      <c r="E802" s="2" t="inlineStr">
        <is>
          <t>Andalucía</t>
        </is>
      </c>
      <c r="F802" s="2" t="inlineStr">
        <is>
          <t>Sevilla</t>
        </is>
      </c>
      <c r="G802" s="2" t="n"/>
      <c r="H802" s="2" t="inlineStr">
        <is>
          <t>Alcaldía del Ayuntamiento de Espartinas</t>
        </is>
      </c>
      <c r="I802" s="2" t="inlineStr">
        <is>
          <t>Constituye el objeto del contrato la ejecución de las obras de Reasfaltado de Infraestructura Viaria Municipal 2026 conforme a lo previsto en el Proyecto Técnico que establece las características de la actuación, aprobado por Resolución del Órgano de Contratación n.º 1243/2026 de fecha 11/09/26.</t>
        </is>
      </c>
      <c r="J802" s="2" t="inlineStr">
        <is>
          <t>2346/2026</t>
        </is>
      </c>
      <c r="K802" s="2" t="inlineStr">
        <is>
          <t>Abierto simplificado</t>
        </is>
      </c>
      <c r="L802" s="6" t="n">
        <v>4</v>
      </c>
      <c r="M802" s="2" t="inlineStr">
        <is>
          <t>G*-4</t>
        </is>
      </c>
      <c r="N802" s="7" t="n">
        <v>0</v>
      </c>
      <c r="O802" s="4" t="n"/>
      <c r="P802" s="2" t="inlineStr">
        <is>
          <t>45233222; 45233252</t>
        </is>
      </c>
      <c r="Q802" s="8" t="inlineStr">
        <is>
          <t>Ver</t>
        </is>
      </c>
      <c r="R802" s="8" t="inlineStr">
        <is>
          <t>PCAP</t>
        </is>
      </c>
      <c r="S802" s="9" t="n">
        <v>46314</v>
      </c>
      <c r="T802" s="3" t="n">
        <v>46314.49949074074</v>
      </c>
      <c r="U802" s="2" t="inlineStr">
        <is>
          <t>2026-10-20: estado EV → RES</t>
        </is>
      </c>
    </row>
    <row r="803">
      <c r="A803" s="2" t="inlineStr">
        <is>
          <t>Pendiente de adjudicación</t>
        </is>
      </c>
      <c r="B803" s="3" t="n">
        <v>46301.99930555555</v>
      </c>
      <c r="C803" s="5" t="n">
        <v>37190.09</v>
      </c>
      <c r="D803" s="5" t="n">
        <v>37190.09</v>
      </c>
      <c r="E803" s="2" t="inlineStr">
        <is>
          <t>Andalucía</t>
        </is>
      </c>
      <c r="F803" s="2" t="inlineStr">
        <is>
          <t>Almería</t>
        </is>
      </c>
      <c r="G803" s="2" t="n"/>
      <c r="H803" s="2" t="inlineStr">
        <is>
          <t>Junta de Gobierno de la Diputación Provincial de Almería</t>
        </is>
      </c>
      <c r="I803" s="2" t="inlineStr">
        <is>
          <t>Actuaciones De Tala Y Retirada De Arbolado En Las C.c.p.p. Al-3407 Ricaveral, Al-5404 Abrucena Y Al-9104 Velez-rubio 19PG2026</t>
        </is>
      </c>
      <c r="J803" s="2" t="inlineStr">
        <is>
          <t>2026/D31000/006-013/00050</t>
        </is>
      </c>
      <c r="K803" s="2" t="inlineStr">
        <is>
          <t>Abierto simplificado</t>
        </is>
      </c>
      <c r="L803" s="6" t="n">
        <v>2</v>
      </c>
      <c r="M803" s="2" t="n"/>
      <c r="N803" s="7" t="n">
        <v>0.25</v>
      </c>
      <c r="O803" s="4" t="n"/>
      <c r="P803" s="2" t="inlineStr">
        <is>
          <t>45111220</t>
        </is>
      </c>
      <c r="Q803" s="8" t="inlineStr">
        <is>
          <t>Ver</t>
        </is>
      </c>
      <c r="R803" s="8" t="inlineStr">
        <is>
          <t>PCAP</t>
        </is>
      </c>
      <c r="S803" s="9" t="n">
        <v>46315</v>
      </c>
      <c r="T803" s="3" t="n">
        <v>46314.49927083333</v>
      </c>
      <c r="U803" s="2" t="n"/>
    </row>
    <row r="804">
      <c r="A804" s="2" t="inlineStr">
        <is>
          <t>Pendiente de adjudicación</t>
        </is>
      </c>
      <c r="B804" s="3" t="n">
        <v>46301.99930555555</v>
      </c>
      <c r="C804" s="5" t="n">
        <v>198347.11</v>
      </c>
      <c r="D804" s="5" t="n">
        <v>198347.11</v>
      </c>
      <c r="E804" s="2" t="inlineStr">
        <is>
          <t>Andalucía</t>
        </is>
      </c>
      <c r="F804" s="2" t="inlineStr">
        <is>
          <t>Almería</t>
        </is>
      </c>
      <c r="G804" s="2" t="n"/>
      <c r="H804" s="2" t="inlineStr">
        <is>
          <t>Junta de Gobierno de la Diputación Provincial de Almería</t>
        </is>
      </c>
      <c r="I804" s="2" t="inlineStr">
        <is>
          <t>Proyecto De Implantación De Nuevo Pretil Urbano Y Mantenimiento De Barandillas Existentes En El Puente De La Carretera Provincial Al-3202 Sobre El Río Andarax. 25PG2026</t>
        </is>
      </c>
      <c r="J804" s="2" t="inlineStr">
        <is>
          <t>2026/D31000/006-013/00068</t>
        </is>
      </c>
      <c r="K804" s="2" t="inlineStr">
        <is>
          <t>Abierto simplificado</t>
        </is>
      </c>
      <c r="L804" s="6" t="n">
        <v>3</v>
      </c>
      <c r="M804" s="2" t="n"/>
      <c r="N804" s="7" t="n">
        <v>0.118</v>
      </c>
      <c r="O804" s="4" t="n"/>
      <c r="P804" s="2" t="inlineStr">
        <is>
          <t>45233280</t>
        </is>
      </c>
      <c r="Q804" s="8" t="inlineStr">
        <is>
          <t>Ver</t>
        </is>
      </c>
      <c r="R804" s="8" t="inlineStr">
        <is>
          <t>PCAP</t>
        </is>
      </c>
      <c r="S804" s="9" t="n">
        <v>46315</v>
      </c>
      <c r="T804" s="3" t="n">
        <v>46314.49888888889</v>
      </c>
      <c r="U804" s="2" t="n"/>
    </row>
    <row r="805">
      <c r="A805" s="2" t="inlineStr">
        <is>
          <t>Adjudicada</t>
        </is>
      </c>
      <c r="B805" s="3" t="n">
        <v>46252.99930555555</v>
      </c>
      <c r="C805" s="5" t="n">
        <v>41322.31</v>
      </c>
      <c r="D805" s="5" t="n">
        <v>41322.31</v>
      </c>
      <c r="E805" s="2" t="inlineStr">
        <is>
          <t>Andalucía</t>
        </is>
      </c>
      <c r="F805" s="2" t="inlineStr">
        <is>
          <t>Cádiz</t>
        </is>
      </c>
      <c r="G805" s="2" t="n"/>
      <c r="H805" s="2" t="inlineStr">
        <is>
          <t>Junta de Gobierno del Ayuntamiento de Espera</t>
        </is>
      </c>
      <c r="I805" s="2" t="inlineStr">
        <is>
          <t>Ejecución de las obras de reurbanización de la Calle Cardenal Cisneros</t>
        </is>
      </c>
      <c r="J805" s="2" t="inlineStr">
        <is>
          <t>2026/ASU_08/000001</t>
        </is>
      </c>
      <c r="K805" s="2" t="inlineStr">
        <is>
          <t>Abierto simplificado</t>
        </is>
      </c>
      <c r="L805" s="6" t="n">
        <v>4</v>
      </c>
      <c r="M805" s="2" t="n"/>
      <c r="N805" s="7" t="n">
        <v>0</v>
      </c>
      <c r="O805" s="4" t="n"/>
      <c r="P805" s="2" t="inlineStr">
        <is>
          <t>45000000</t>
        </is>
      </c>
      <c r="Q805" s="8" t="inlineStr">
        <is>
          <t>Ver</t>
        </is>
      </c>
      <c r="R805" s="8" t="inlineStr">
        <is>
          <t>PCAP</t>
        </is>
      </c>
      <c r="S805" s="9" t="n">
        <v>46315</v>
      </c>
      <c r="T805" s="3" t="n">
        <v>46314.4967824074</v>
      </c>
      <c r="U805" s="2" t="n"/>
    </row>
    <row r="806">
      <c r="A806" s="2" t="inlineStr">
        <is>
          <t>Pendiente de adjudicación</t>
        </is>
      </c>
      <c r="B806" s="3" t="n">
        <v>46302.99930555555</v>
      </c>
      <c r="C806" s="5" t="n">
        <v>74194.21000000001</v>
      </c>
      <c r="D806" s="5" t="n">
        <v>74194.21000000001</v>
      </c>
      <c r="E806" s="2" t="inlineStr">
        <is>
          <t>Andalucía</t>
        </is>
      </c>
      <c r="F806" s="2" t="inlineStr">
        <is>
          <t>Almería</t>
        </is>
      </c>
      <c r="G806" s="2" t="n"/>
      <c r="H806" s="2" t="inlineStr">
        <is>
          <t>Junta de Gobierno de la Diputación Provincial de Almería</t>
        </is>
      </c>
      <c r="I806" s="2" t="inlineStr">
        <is>
          <t>Caminos Municipales, Chirivel 31PCAM24-27BII</t>
        </is>
      </c>
      <c r="J806" s="2" t="inlineStr">
        <is>
          <t>2025/D31000/006-013/00184</t>
        </is>
      </c>
      <c r="K806" s="2" t="inlineStr">
        <is>
          <t>Abierto simplificado</t>
        </is>
      </c>
      <c r="L806" s="6" t="n">
        <v>1.2</v>
      </c>
      <c r="M806" s="2" t="n"/>
      <c r="N806" s="7" t="n">
        <v>0.25</v>
      </c>
      <c r="O806" s="4" t="n"/>
      <c r="P806" s="2" t="inlineStr">
        <is>
          <t>45233222</t>
        </is>
      </c>
      <c r="Q806" s="8" t="inlineStr">
        <is>
          <t>Ver</t>
        </is>
      </c>
      <c r="R806" s="8" t="inlineStr">
        <is>
          <t>PCAP</t>
        </is>
      </c>
      <c r="S806" s="9" t="n">
        <v>46315</v>
      </c>
      <c r="T806" s="3" t="n">
        <v>46314.49546296296</v>
      </c>
      <c r="U806" s="2" t="n"/>
    </row>
    <row r="807">
      <c r="A807" s="2" t="inlineStr">
        <is>
          <t>Pendiente de adjudicación</t>
        </is>
      </c>
      <c r="B807" s="3" t="n">
        <v>46294.99930555555</v>
      </c>
      <c r="C807" s="5" t="n">
        <v>306813.22</v>
      </c>
      <c r="D807" s="5" t="n">
        <v>306813.22</v>
      </c>
      <c r="E807" s="2" t="inlineStr">
        <is>
          <t>Andalucía</t>
        </is>
      </c>
      <c r="F807" s="2" t="inlineStr">
        <is>
          <t>Córdoba</t>
        </is>
      </c>
      <c r="G807" s="2" t="n"/>
      <c r="H807" s="2" t="inlineStr">
        <is>
          <t>Junta de Gobierno de la Diputación Provincial de Córdoba</t>
        </is>
      </c>
      <c r="I807" s="2" t="inlineStr">
        <is>
          <t>Contrato de Construcción de espacio deportivo municipal, en Valsequillo (Córdoba). Obra incluida en los Planes provinciales de obras y servicios 2024-2027 (bienio 2026-2027).</t>
        </is>
      </c>
      <c r="J807" s="2" t="inlineStr">
        <is>
          <t>609/26</t>
        </is>
      </c>
      <c r="K807" s="2" t="inlineStr">
        <is>
          <t>Abierto</t>
        </is>
      </c>
      <c r="L807" s="6" t="n">
        <v>10</v>
      </c>
      <c r="M807" s="2" t="n"/>
      <c r="N807" s="7" t="n">
        <v>0.25</v>
      </c>
      <c r="O807" s="4" t="n"/>
      <c r="P807" s="2" t="inlineStr">
        <is>
          <t>45210000; 45212000</t>
        </is>
      </c>
      <c r="Q807" s="8" t="inlineStr">
        <is>
          <t>Ver</t>
        </is>
      </c>
      <c r="R807" s="8" t="inlineStr">
        <is>
          <t>PCAP</t>
        </is>
      </c>
      <c r="S807" s="9" t="n">
        <v>46310</v>
      </c>
      <c r="T807" s="3" t="n">
        <v>46314.4953125</v>
      </c>
      <c r="U807" s="2" t="n"/>
    </row>
    <row r="808">
      <c r="A808" s="2" t="inlineStr">
        <is>
          <t>Pendiente de adjudicación</t>
        </is>
      </c>
      <c r="B808" s="3" t="n">
        <v>46302.99930555555</v>
      </c>
      <c r="C808" s="5" t="n">
        <v>66115.7</v>
      </c>
      <c r="D808" s="5" t="n">
        <v>66115.7</v>
      </c>
      <c r="E808" s="2" t="inlineStr">
        <is>
          <t>Andalucía</t>
        </is>
      </c>
      <c r="F808" s="2" t="inlineStr">
        <is>
          <t>Almería</t>
        </is>
      </c>
      <c r="G808" s="2" t="n"/>
      <c r="H808" s="2" t="inlineStr">
        <is>
          <t>Junta de Gobierno de la Diputación Provincial de Almería</t>
        </is>
      </c>
      <c r="I808" s="2" t="inlineStr">
        <is>
          <t>Caminos Municipales, Felix 35PCAM24-27BII</t>
        </is>
      </c>
      <c r="J808" s="2" t="inlineStr">
        <is>
          <t>2025/D31000/006-013/00285</t>
        </is>
      </c>
      <c r="K808" s="2" t="inlineStr">
        <is>
          <t>Abierto simplificado</t>
        </is>
      </c>
      <c r="L808" s="6" t="n">
        <v>2</v>
      </c>
      <c r="M808" s="2" t="n"/>
      <c r="N808" s="7" t="n">
        <v>0.25</v>
      </c>
      <c r="O808" s="4" t="n"/>
      <c r="P808" s="2" t="inlineStr">
        <is>
          <t>45233222</t>
        </is>
      </c>
      <c r="Q808" s="8" t="inlineStr">
        <is>
          <t>Ver</t>
        </is>
      </c>
      <c r="R808" s="8" t="inlineStr">
        <is>
          <t>PCAP</t>
        </is>
      </c>
      <c r="S808" s="9" t="n">
        <v>46315</v>
      </c>
      <c r="T808" s="3" t="n">
        <v>46314.49465277778</v>
      </c>
      <c r="U808" s="2" t="n"/>
    </row>
    <row r="809">
      <c r="A809" s="2" t="inlineStr">
        <is>
          <t>Pendiente de adjudicación</t>
        </is>
      </c>
      <c r="B809" s="3" t="n">
        <v>46308.99930555555</v>
      </c>
      <c r="C809" s="5" t="n">
        <v>123966.94</v>
      </c>
      <c r="D809" s="5" t="n">
        <v>123966.94</v>
      </c>
      <c r="E809" s="2" t="inlineStr">
        <is>
          <t>Andalucía</t>
        </is>
      </c>
      <c r="F809" s="2" t="inlineStr">
        <is>
          <t>Almería</t>
        </is>
      </c>
      <c r="G809" s="2" t="n"/>
      <c r="H809" s="2" t="inlineStr">
        <is>
          <t>Junta de Gobierno de la Diputación Provincial de Almería</t>
        </is>
      </c>
      <c r="I809" s="2" t="inlineStr">
        <is>
          <t>Pavimentación De Calles En El Núcleo Urbano De Albox (almería) 15PG2026</t>
        </is>
      </c>
      <c r="J809" s="2" t="inlineStr">
        <is>
          <t>2026/D31000/006-013/00026</t>
        </is>
      </c>
      <c r="K809" s="2" t="inlineStr">
        <is>
          <t>Abierto simplificado</t>
        </is>
      </c>
      <c r="L809" s="6" t="n">
        <v>0.5</v>
      </c>
      <c r="M809" s="2" t="n"/>
      <c r="N809" s="7" t="n">
        <v>0.25</v>
      </c>
      <c r="O809" s="4" t="n"/>
      <c r="P809" s="2" t="inlineStr">
        <is>
          <t>45233200</t>
        </is>
      </c>
      <c r="Q809" s="8" t="inlineStr">
        <is>
          <t>Ver</t>
        </is>
      </c>
      <c r="R809" s="8" t="inlineStr">
        <is>
          <t>PCAP</t>
        </is>
      </c>
      <c r="S809" s="9" t="n">
        <v>46315</v>
      </c>
      <c r="T809" s="3" t="n">
        <v>46314.49365740741</v>
      </c>
      <c r="U809" s="2" t="n"/>
    </row>
    <row r="810">
      <c r="A810" s="2" t="inlineStr">
        <is>
          <t>Pendiente de adjudicación</t>
        </is>
      </c>
      <c r="B810" s="3" t="n">
        <v>46308.99930555555</v>
      </c>
      <c r="C810" s="5" t="n">
        <v>130165.29</v>
      </c>
      <c r="D810" s="5" t="n">
        <v>130165.29</v>
      </c>
      <c r="E810" s="2" t="inlineStr">
        <is>
          <t>Andalucía</t>
        </is>
      </c>
      <c r="F810" s="2" t="inlineStr">
        <is>
          <t>Almería</t>
        </is>
      </c>
      <c r="G810" s="2" t="n"/>
      <c r="H810" s="2" t="inlineStr">
        <is>
          <t>Junta de Gobierno de la Diputación Provincial de Almería</t>
        </is>
      </c>
      <c r="I810" s="2" t="inlineStr">
        <is>
          <t>Renovación De Red De Abastecimiento De Agua Y Contadores En Santa Cruz De Marchena 40PPOS24-27BI</t>
        </is>
      </c>
      <c r="J810" s="2" t="inlineStr">
        <is>
          <t>2025/D31000/006-013/00039</t>
        </is>
      </c>
      <c r="K810" s="2" t="inlineStr">
        <is>
          <t>Abierto simplificado</t>
        </is>
      </c>
      <c r="L810" s="6" t="n">
        <v>4</v>
      </c>
      <c r="M810" s="2" t="n"/>
      <c r="N810" s="7" t="n">
        <v>0.25</v>
      </c>
      <c r="O810" s="4" t="n"/>
      <c r="P810" s="2" t="inlineStr">
        <is>
          <t>45232150</t>
        </is>
      </c>
      <c r="Q810" s="8" t="inlineStr">
        <is>
          <t>Ver</t>
        </is>
      </c>
      <c r="R810" s="8" t="inlineStr">
        <is>
          <t>PCAP</t>
        </is>
      </c>
      <c r="S810" s="9" t="n">
        <v>46315</v>
      </c>
      <c r="T810" s="3" t="n">
        <v>46314.4928125</v>
      </c>
      <c r="U810" s="2" t="n"/>
    </row>
    <row r="811">
      <c r="A811" s="2" t="inlineStr">
        <is>
          <t>Pendiente de adjudicación</t>
        </is>
      </c>
      <c r="B811" s="3" t="n">
        <v>46308.99930555555</v>
      </c>
      <c r="C811" s="5" t="n">
        <v>427768.6</v>
      </c>
      <c r="D811" s="5" t="n">
        <v>427768.6</v>
      </c>
      <c r="E811" s="2" t="inlineStr">
        <is>
          <t>Andalucía</t>
        </is>
      </c>
      <c r="F811" s="2" t="inlineStr">
        <is>
          <t>Almería</t>
        </is>
      </c>
      <c r="G811" s="2" t="n"/>
      <c r="H811" s="2" t="inlineStr">
        <is>
          <t>Junta de Gobierno de la Diputación Provincial de Almería</t>
        </is>
      </c>
      <c r="I811" s="2" t="inlineStr">
        <is>
          <t>Pavimentaciones Y Mejoras De Espacios Públicos En Fines 49PPOS24-27BI</t>
        </is>
      </c>
      <c r="J811" s="2" t="inlineStr">
        <is>
          <t>2025/D31000/006-013/00083</t>
        </is>
      </c>
      <c r="K811" s="2" t="inlineStr">
        <is>
          <t>Abierto simplificado</t>
        </is>
      </c>
      <c r="L811" s="6" t="n">
        <v>6</v>
      </c>
      <c r="M811" s="2" t="n"/>
      <c r="N811" s="7" t="n">
        <v>0.25</v>
      </c>
      <c r="O811" s="4" t="n"/>
      <c r="P811" s="2" t="inlineStr">
        <is>
          <t>45233200</t>
        </is>
      </c>
      <c r="Q811" s="8" t="inlineStr">
        <is>
          <t>Ver</t>
        </is>
      </c>
      <c r="R811" s="8" t="inlineStr">
        <is>
          <t>PCAP</t>
        </is>
      </c>
      <c r="S811" s="9" t="n">
        <v>46315</v>
      </c>
      <c r="T811" s="3" t="n">
        <v>46314.49201388889</v>
      </c>
      <c r="U811" s="2" t="n"/>
    </row>
    <row r="812">
      <c r="A812" s="2" t="inlineStr">
        <is>
          <t>Adjudicada</t>
        </is>
      </c>
      <c r="B812" s="3" t="n">
        <v>46258.99930555555</v>
      </c>
      <c r="C812" s="5" t="n">
        <v>206611.57</v>
      </c>
      <c r="D812" s="5" t="n">
        <v>206611.57</v>
      </c>
      <c r="E812" s="2" t="inlineStr">
        <is>
          <t>Andalucía</t>
        </is>
      </c>
      <c r="F812" s="2" t="inlineStr">
        <is>
          <t>Cádiz</t>
        </is>
      </c>
      <c r="G812" s="2" t="n"/>
      <c r="H812" s="2" t="inlineStr">
        <is>
          <t>Junta de Gobierno del Ayuntamiento de Espera</t>
        </is>
      </c>
      <c r="I812" s="2" t="inlineStr">
        <is>
          <t>Obras de urbanización y sustitución de nichos en el recinto del Cementerio Municipal del municipio de Espera</t>
        </is>
      </c>
      <c r="J812" s="2" t="inlineStr">
        <is>
          <t>2026/ASI_08/000001</t>
        </is>
      </c>
      <c r="K812" s="2" t="inlineStr">
        <is>
          <t>Abierto simplificado</t>
        </is>
      </c>
      <c r="L812" s="6" t="n">
        <v>9</v>
      </c>
      <c r="M812" s="2" t="n"/>
      <c r="N812" s="7" t="n">
        <v>0</v>
      </c>
      <c r="O812" s="4" t="n"/>
      <c r="P812" s="2" t="inlineStr">
        <is>
          <t>45000000</t>
        </is>
      </c>
      <c r="Q812" s="8" t="inlineStr">
        <is>
          <t>Ver</t>
        </is>
      </c>
      <c r="R812" s="8" t="inlineStr">
        <is>
          <t>PCAP</t>
        </is>
      </c>
      <c r="S812" s="9" t="n">
        <v>46315</v>
      </c>
      <c r="T812" s="3" t="n">
        <v>46314.49054398148</v>
      </c>
      <c r="U812" s="2" t="n"/>
    </row>
    <row r="813">
      <c r="A813" s="2" t="inlineStr">
        <is>
          <t>Pendiente de adjudicación</t>
        </is>
      </c>
      <c r="B813" s="3" t="n">
        <v>46308.99930555555</v>
      </c>
      <c r="C813" s="5" t="n">
        <v>330742.15</v>
      </c>
      <c r="D813" s="5" t="n">
        <v>330742.15</v>
      </c>
      <c r="E813" s="2" t="inlineStr">
        <is>
          <t>Andalucía</t>
        </is>
      </c>
      <c r="F813" s="2" t="inlineStr">
        <is>
          <t>Córdoba</t>
        </is>
      </c>
      <c r="G813" s="2" t="n"/>
      <c r="H813" s="2" t="inlineStr">
        <is>
          <t>Junta de Gobierno de la Diputación Provincial de Córdoba</t>
        </is>
      </c>
      <c r="I813" s="2" t="inlineStr">
        <is>
          <t>Remodelación viaria calle Gran Capitán entorno Plaza Andalucía y calle La Plata, en Monturque (Córdoba) obra incluida en el Plan Provincial de Obras y Servicios 2024-2027</t>
        </is>
      </c>
      <c r="J813" s="2" t="inlineStr">
        <is>
          <t>665/26</t>
        </is>
      </c>
      <c r="K813" s="2" t="inlineStr">
        <is>
          <t>Abierto</t>
        </is>
      </c>
      <c r="L813" s="6" t="n">
        <v>10</v>
      </c>
      <c r="M813" s="2" t="n"/>
      <c r="N813" s="7" t="n">
        <v>0.4</v>
      </c>
      <c r="O813" s="4" t="n"/>
      <c r="P813" s="2" t="inlineStr">
        <is>
          <t>45233252</t>
        </is>
      </c>
      <c r="Q813" s="8" t="inlineStr">
        <is>
          <t>Ver</t>
        </is>
      </c>
      <c r="R813" s="8" t="inlineStr">
        <is>
          <t>PCAP</t>
        </is>
      </c>
      <c r="S813" s="9" t="n">
        <v>46310</v>
      </c>
      <c r="T813" s="3" t="n">
        <v>46314.48511574074</v>
      </c>
      <c r="U813" s="2" t="n"/>
    </row>
    <row r="814">
      <c r="A814" s="2" t="inlineStr">
        <is>
          <t>Pendiente de adjudicación</t>
        </is>
      </c>
      <c r="B814" s="3" t="n">
        <v>46301.99930555555</v>
      </c>
      <c r="C814" s="5" t="n">
        <v>289256.2</v>
      </c>
      <c r="D814" s="5" t="n">
        <v>289256.2</v>
      </c>
      <c r="E814" s="2" t="inlineStr">
        <is>
          <t>Andalucía</t>
        </is>
      </c>
      <c r="F814" s="2" t="inlineStr">
        <is>
          <t>Córdoba</t>
        </is>
      </c>
      <c r="G814" s="2" t="n"/>
      <c r="H814" s="2" t="inlineStr">
        <is>
          <t>Diputada delegada de Presidencia, Gobierno Interior y Vivienda</t>
        </is>
      </c>
      <c r="I814" s="2" t="inlineStr">
        <is>
          <t>Contratación de las obras de Nueva sede local del Instituto Provincial de Bienestar Social, 1ª fase, en Peñarroya-Pueblonuevo (Córdoba)</t>
        </is>
      </c>
      <c r="J814" s="2" t="inlineStr">
        <is>
          <t>712/26</t>
        </is>
      </c>
      <c r="K814" s="2" t="inlineStr">
        <is>
          <t>Abierto</t>
        </is>
      </c>
      <c r="L814" s="6" t="n">
        <v>8</v>
      </c>
      <c r="M814" s="2" t="n"/>
      <c r="N814" s="7" t="n">
        <v>0.25</v>
      </c>
      <c r="O814" s="4" t="n"/>
      <c r="P814" s="2" t="inlineStr">
        <is>
          <t>45000000</t>
        </is>
      </c>
      <c r="Q814" s="8" t="inlineStr">
        <is>
          <t>Ver</t>
        </is>
      </c>
      <c r="R814" s="8" t="inlineStr">
        <is>
          <t>PCAP</t>
        </is>
      </c>
      <c r="S814" s="9" t="n">
        <v>46315</v>
      </c>
      <c r="T814" s="3" t="n">
        <v>46314.48498842592</v>
      </c>
      <c r="U814" s="2" t="n"/>
    </row>
    <row r="815">
      <c r="A815" s="2" t="inlineStr">
        <is>
          <t>Pendiente de adjudicación</t>
        </is>
      </c>
      <c r="B815" s="3" t="n">
        <v>46274.99930555555</v>
      </c>
      <c r="C815" s="5" t="n">
        <v>577242.79</v>
      </c>
      <c r="D815" s="5" t="n">
        <v>577242.79</v>
      </c>
      <c r="E815" s="2" t="inlineStr">
        <is>
          <t>Andalucía</t>
        </is>
      </c>
      <c r="F815" s="2" t="inlineStr">
        <is>
          <t>Almería</t>
        </is>
      </c>
      <c r="G815" s="2" t="n"/>
      <c r="H815" s="2" t="inlineStr">
        <is>
          <t>Junta de Gobierno de la Diputación Provincial de Almería</t>
        </is>
      </c>
      <c r="I815" s="2" t="inlineStr">
        <is>
          <t>Urbanización De Calles En Adra 95PPOS24-27BI</t>
        </is>
      </c>
      <c r="J815" s="2" t="inlineStr">
        <is>
          <t>2026/D31000/006-013/00025</t>
        </is>
      </c>
      <c r="K815" s="2" t="inlineStr">
        <is>
          <t>Abierto simplificado</t>
        </is>
      </c>
      <c r="L815" s="6" t="n">
        <v>4</v>
      </c>
      <c r="M815" s="2" t="inlineStr">
        <is>
          <t>G6-2; G4-2</t>
        </is>
      </c>
      <c r="N815" s="7" t="n">
        <v>0.25</v>
      </c>
      <c r="O815" s="4" t="n"/>
      <c r="P815" s="2" t="inlineStr">
        <is>
          <t>45233252</t>
        </is>
      </c>
      <c r="Q815" s="8" t="inlineStr">
        <is>
          <t>Ver</t>
        </is>
      </c>
      <c r="R815" s="8" t="inlineStr">
        <is>
          <t>PCAP</t>
        </is>
      </c>
      <c r="S815" s="9" t="n">
        <v>46315</v>
      </c>
      <c r="T815" s="3" t="n">
        <v>46314.48453703704</v>
      </c>
      <c r="U815" s="2" t="n"/>
    </row>
    <row r="816">
      <c r="A816" s="2" t="inlineStr">
        <is>
          <t>Pendiente de adjudicación</t>
        </is>
      </c>
      <c r="B816" s="3" t="n">
        <v>46259.99930555555</v>
      </c>
      <c r="C816" s="5" t="n">
        <v>2314049.59</v>
      </c>
      <c r="D816" s="5" t="n">
        <v>2314049.59</v>
      </c>
      <c r="E816" s="2" t="inlineStr">
        <is>
          <t>Andalucía</t>
        </is>
      </c>
      <c r="F816" s="2" t="inlineStr">
        <is>
          <t>Almería</t>
        </is>
      </c>
      <c r="G816" s="2" t="n"/>
      <c r="H816" s="2" t="inlineStr">
        <is>
          <t>Junta de Gobierno de la Diputación Provincial de Almería</t>
        </is>
      </c>
      <c r="I816" s="2" t="inlineStr">
        <is>
          <t>Adecuación Y Mejora Del Parque-paseo Virgen Del Socorro En Tíjola. Este Proyecto Podrá Ser Cofinanciado Por La Unión Europea A Través Del Fondo Europeo De Desarrollo Regional (feder) En El Marco Del P 9PAI-ALMANZORA30</t>
        </is>
      </c>
      <c r="J816" s="2" t="inlineStr">
        <is>
          <t>2026/D31000/006-002/00003</t>
        </is>
      </c>
      <c r="K816" s="2" t="inlineStr">
        <is>
          <t>Abierto</t>
        </is>
      </c>
      <c r="L816" s="6" t="n">
        <v>20</v>
      </c>
      <c r="M816" s="2" t="inlineStr">
        <is>
          <t>C2-4</t>
        </is>
      </c>
      <c r="N816" s="7" t="n">
        <v>0.25</v>
      </c>
      <c r="O816" s="4" t="n"/>
      <c r="P816" s="2" t="inlineStr">
        <is>
          <t>45223500</t>
        </is>
      </c>
      <c r="Q816" s="8" t="inlineStr">
        <is>
          <t>Ver</t>
        </is>
      </c>
      <c r="R816" s="8" t="inlineStr">
        <is>
          <t>PCAP</t>
        </is>
      </c>
      <c r="S816" s="9" t="n">
        <v>46315</v>
      </c>
      <c r="T816" s="3" t="n">
        <v>46314.4828125</v>
      </c>
      <c r="U816" s="2" t="n"/>
    </row>
    <row r="817">
      <c r="A817" s="2" t="inlineStr">
        <is>
          <t>Pendiente de adjudicación</t>
        </is>
      </c>
      <c r="B817" s="3" t="n">
        <v>46297.99930555555</v>
      </c>
      <c r="C817" s="5" t="n">
        <v>62128.71</v>
      </c>
      <c r="D817" s="5" t="n">
        <v>62128.71</v>
      </c>
      <c r="E817" s="2" t="inlineStr">
        <is>
          <t>Andalucía</t>
        </is>
      </c>
      <c r="F817" s="2" t="inlineStr">
        <is>
          <t>Córdoba</t>
        </is>
      </c>
      <c r="G817" s="2" t="inlineStr">
        <is>
          <t>Conquista</t>
        </is>
      </c>
      <c r="H817" s="2" t="inlineStr">
        <is>
          <t>Alcaldía del Ayuntamiento de Conquista</t>
        </is>
      </c>
      <c r="I817" s="2" t="inlineStr">
        <is>
          <t>El presente contrato tiene por objeto acometer las obras necesarias para la construcción de una pista de pádel en el término municipal de Conquista</t>
        </is>
      </c>
      <c r="J817" s="2" t="inlineStr">
        <is>
          <t>1623/2026</t>
        </is>
      </c>
      <c r="K817" s="2" t="inlineStr">
        <is>
          <t>Abierto simplificado</t>
        </is>
      </c>
      <c r="L817" s="6" t="n">
        <v>1</v>
      </c>
      <c r="M817" s="2" t="n"/>
      <c r="N817" s="7" t="n">
        <v>0</v>
      </c>
      <c r="O817" s="4" t="n"/>
      <c r="P817" s="2" t="inlineStr">
        <is>
          <t>45212210; 45000000</t>
        </is>
      </c>
      <c r="Q817" s="8" t="inlineStr">
        <is>
          <t>Ver</t>
        </is>
      </c>
      <c r="R817" s="8" t="inlineStr">
        <is>
          <t>PCAP</t>
        </is>
      </c>
      <c r="S817" s="9" t="n">
        <v>46315</v>
      </c>
      <c r="T817" s="3" t="n">
        <v>46314.48017361111</v>
      </c>
      <c r="U817" s="2" t="n"/>
    </row>
    <row r="818">
      <c r="A818" s="2" t="inlineStr">
        <is>
          <t>En plazo</t>
        </is>
      </c>
      <c r="B818" s="3" t="n">
        <v>46334.99930555555</v>
      </c>
      <c r="C818" s="5" t="n">
        <v>192497.98</v>
      </c>
      <c r="D818" s="5" t="n">
        <v>192497.98</v>
      </c>
      <c r="E818" s="2" t="inlineStr">
        <is>
          <t>Comunitat Valenciana</t>
        </is>
      </c>
      <c r="F818" s="2" t="inlineStr">
        <is>
          <t>Valencia</t>
        </is>
      </c>
      <c r="G818" s="2" t="inlineStr">
        <is>
          <t>MONCADA</t>
        </is>
      </c>
      <c r="H818" s="2" t="inlineStr">
        <is>
          <t>Junta de Gobierno del Ajuntament de Moncada</t>
        </is>
      </c>
      <c r="I818" s="2" t="inlineStr">
        <is>
          <t>Contratación de las obras: Sustitución del sistema de climatización y ventilación en el Edificio Social Pouacho, en el Marco del Plan Abierto de Inversiones de la Diputación de Valencia 2024-2027.</t>
        </is>
      </c>
      <c r="J818" s="2" t="inlineStr">
        <is>
          <t>2715465E Climatización y Ventilación Pouacho</t>
        </is>
      </c>
      <c r="K818" s="2" t="inlineStr">
        <is>
          <t>Abierto simplificado</t>
        </is>
      </c>
      <c r="L818" s="6" t="n">
        <v>2</v>
      </c>
      <c r="M818" s="2" t="n"/>
      <c r="N818" s="7" t="n">
        <v>0</v>
      </c>
      <c r="O818" s="4" t="n"/>
      <c r="P818" s="2" t="inlineStr">
        <is>
          <t>45331000; 45331200</t>
        </is>
      </c>
      <c r="Q818" s="8" t="inlineStr">
        <is>
          <t>Ver</t>
        </is>
      </c>
      <c r="R818" s="8" t="inlineStr">
        <is>
          <t>PCAP</t>
        </is>
      </c>
      <c r="S818" s="9" t="n">
        <v>46315</v>
      </c>
      <c r="T818" s="3" t="n">
        <v>46314.47980324074</v>
      </c>
      <c r="U818" s="2" t="n"/>
    </row>
    <row r="819">
      <c r="A819" s="2" t="inlineStr">
        <is>
          <t>Resuelta</t>
        </is>
      </c>
      <c r="B819" s="3" t="n">
        <v>46216.99930555555</v>
      </c>
      <c r="C819" s="5" t="n">
        <v>17678</v>
      </c>
      <c r="D819" s="5" t="n">
        <v>17678</v>
      </c>
      <c r="E819" s="2" t="inlineStr">
        <is>
          <t>Comunitat Valenciana</t>
        </is>
      </c>
      <c r="F819" s="2" t="inlineStr">
        <is>
          <t>Valencia</t>
        </is>
      </c>
      <c r="G819" s="2" t="n"/>
      <c r="H819" s="2" t="inlineStr">
        <is>
          <t>Junta de Gobierno del Ayuntamiento de Llosa de Ranes</t>
        </is>
      </c>
      <c r="I819" s="2" t="inlineStr">
        <is>
          <t>Sustitución de placas acs y intalacion actual de acs en pabellon municipal de La Llosa de Ranes por equipos de aerotermia, para la producción de agua caliente sanitaria</t>
        </is>
      </c>
      <c r="J819" s="2" t="inlineStr">
        <is>
          <t>139/2026</t>
        </is>
      </c>
      <c r="K819" s="2" t="inlineStr">
        <is>
          <t>Abierto</t>
        </is>
      </c>
      <c r="L819" s="6" t="n">
        <v>3</v>
      </c>
      <c r="M819" s="2" t="n"/>
      <c r="N819" s="7" t="n">
        <v>0</v>
      </c>
      <c r="O819" s="4" t="n"/>
      <c r="P819" s="2" t="inlineStr">
        <is>
          <t>45331000; 39715000</t>
        </is>
      </c>
      <c r="Q819" s="8" t="inlineStr">
        <is>
          <t>Ver</t>
        </is>
      </c>
      <c r="R819" s="8" t="inlineStr">
        <is>
          <t>PCAP</t>
        </is>
      </c>
      <c r="S819" s="9" t="n">
        <v>46315</v>
      </c>
      <c r="T819" s="3" t="n">
        <v>46314.47861111111</v>
      </c>
      <c r="U819" s="2" t="n"/>
    </row>
    <row r="820">
      <c r="A820" s="2" t="inlineStr">
        <is>
          <t>Resuelta</t>
        </is>
      </c>
      <c r="B820" s="3" t="n">
        <v>46216.99930555555</v>
      </c>
      <c r="C820" s="5" t="n">
        <v>4640484.65</v>
      </c>
      <c r="D820" s="5" t="n">
        <v>4640484.65</v>
      </c>
      <c r="E820" s="2" t="inlineStr">
        <is>
          <t>Comunitat Valenciana</t>
        </is>
      </c>
      <c r="F820" s="2" t="inlineStr">
        <is>
          <t>Valencia</t>
        </is>
      </c>
      <c r="G820" s="2" t="n"/>
      <c r="H820" s="2" t="inlineStr">
        <is>
          <t>Pleno del Ayuntamiento de Godelleta</t>
        </is>
      </c>
      <c r="I820" s="2" t="inlineStr">
        <is>
          <t>Redacción del proyecto de ejecución y del estudio de seguridad y salud, así como la ejecución material de las obras de reposición y adecuación de puntos singulares y caminos Fase 1 en Godelleta, daños DANA 2024</t>
        </is>
      </c>
      <c r="J820" s="2" t="inlineStr">
        <is>
          <t>551/2026</t>
        </is>
      </c>
      <c r="K820" s="2" t="inlineStr">
        <is>
          <t>Abierto</t>
        </is>
      </c>
      <c r="L820" s="6" t="n">
        <v>8</v>
      </c>
      <c r="M820" s="2" t="n"/>
      <c r="N820" s="7" t="n">
        <v>0.4</v>
      </c>
      <c r="O820" s="4" t="n">
        <v>3</v>
      </c>
      <c r="P820" s="2" t="inlineStr">
        <is>
          <t>45233140; 71000000; 45233141; 45233142</t>
        </is>
      </c>
      <c r="Q820" s="8" t="inlineStr">
        <is>
          <t>Ver</t>
        </is>
      </c>
      <c r="R820" s="8" t="inlineStr">
        <is>
          <t>PCAP</t>
        </is>
      </c>
      <c r="S820" s="9" t="n">
        <v>46315</v>
      </c>
      <c r="T820" s="3" t="n">
        <v>46314.4765625</v>
      </c>
      <c r="U820" s="2" t="n"/>
    </row>
    <row r="821">
      <c r="A821" s="2" t="inlineStr">
        <is>
          <t>Plazo vencido</t>
        </is>
      </c>
      <c r="B821" s="3" t="n">
        <v>46316.99930555555</v>
      </c>
      <c r="C821" s="5" t="n">
        <v>43050.83</v>
      </c>
      <c r="D821" s="5" t="n">
        <v>43050.83</v>
      </c>
      <c r="E821" s="2" t="inlineStr">
        <is>
          <t>Andalucía</t>
        </is>
      </c>
      <c r="F821" s="2" t="inlineStr">
        <is>
          <t>Granada</t>
        </is>
      </c>
      <c r="G821" s="2" t="n"/>
      <c r="H821" s="2" t="inlineStr">
        <is>
          <t>Junta de Gobierno del Ayuntamiento de Huétor Vega</t>
        </is>
      </c>
      <c r="I821" s="2" t="inlineStr">
        <is>
          <t>Ejecución de las obras correspondientes en Reforma y adaptación de la Piscina Municipal para su apertura Fase 3</t>
        </is>
      </c>
      <c r="J821" s="2" t="inlineStr">
        <is>
          <t>4887-2026</t>
        </is>
      </c>
      <c r="K821" s="2" t="inlineStr">
        <is>
          <t>Abierto simplificado</t>
        </is>
      </c>
      <c r="L821" s="6" t="n">
        <v>2</v>
      </c>
      <c r="M821" s="2" t="n"/>
      <c r="N821" s="7" t="n">
        <v>0</v>
      </c>
      <c r="O821" s="4" t="n"/>
      <c r="P821" s="2" t="inlineStr">
        <is>
          <t>45421146; 22459100; 34928470; 45310000</t>
        </is>
      </c>
      <c r="Q821" s="8" t="inlineStr">
        <is>
          <t>Ver</t>
        </is>
      </c>
      <c r="R821" s="8" t="inlineStr">
        <is>
          <t>PCAP</t>
        </is>
      </c>
      <c r="S821" s="9" t="n">
        <v>46315</v>
      </c>
      <c r="T821" s="3" t="n">
        <v>46314.46380787037</v>
      </c>
      <c r="U821" s="2" t="n"/>
    </row>
    <row r="822">
      <c r="A822" s="2" t="inlineStr">
        <is>
          <t>En plazo</t>
        </is>
      </c>
      <c r="B822" s="3" t="n">
        <v>46335.58333333334</v>
      </c>
      <c r="C822" s="5" t="n">
        <v>185331.86</v>
      </c>
      <c r="D822" s="5" t="n">
        <v>185331.86</v>
      </c>
      <c r="E822" s="2" t="inlineStr">
        <is>
          <t>Comunitat Valenciana</t>
        </is>
      </c>
      <c r="F822" s="2" t="inlineStr">
        <is>
          <t>Alicante</t>
        </is>
      </c>
      <c r="G822" s="2" t="n"/>
      <c r="H822" s="2" t="inlineStr">
        <is>
          <t>Rectorado de la Universidad Miguel Hernández de Elche</t>
        </is>
      </c>
      <c r="I822" s="2" t="inlineStr">
        <is>
          <t>Obras de ejecución de nueva red de agua potable en el Campus de Orihuela, Sede Desamparados, de la UMH.</t>
        </is>
      </c>
      <c r="J822" s="2" t="inlineStr">
        <is>
          <t>2026_042</t>
        </is>
      </c>
      <c r="K822" s="2" t="inlineStr">
        <is>
          <t>Abierto simplificado</t>
        </is>
      </c>
      <c r="L822" s="6" t="n">
        <v>3</v>
      </c>
      <c r="M822" s="2" t="n"/>
      <c r="N822" s="7" t="n">
        <v>0</v>
      </c>
      <c r="O822" s="4" t="n"/>
      <c r="P822" s="2" t="inlineStr">
        <is>
          <t>45232150; 45232120</t>
        </is>
      </c>
      <c r="Q822" s="8" t="inlineStr">
        <is>
          <t>Ver</t>
        </is>
      </c>
      <c r="R822" s="8" t="inlineStr">
        <is>
          <t>PCAP</t>
        </is>
      </c>
      <c r="S822" s="9" t="n">
        <v>46315</v>
      </c>
      <c r="T822" s="3" t="n">
        <v>46314.46240740741</v>
      </c>
      <c r="U822" s="2" t="n"/>
    </row>
    <row r="823">
      <c r="A823" s="2" t="inlineStr">
        <is>
          <t>Pendiente de adjudicación</t>
        </is>
      </c>
      <c r="B823" s="3" t="n">
        <v>46296.54166666666</v>
      </c>
      <c r="C823" s="5" t="n">
        <v>237163.01</v>
      </c>
      <c r="D823" s="5" t="n">
        <v>237163.01</v>
      </c>
      <c r="E823" s="2" t="inlineStr">
        <is>
          <t>Comunitat Valenciana</t>
        </is>
      </c>
      <c r="F823" s="2" t="inlineStr">
        <is>
          <t>Alicante</t>
        </is>
      </c>
      <c r="G823" s="2" t="inlineStr">
        <is>
          <t>Monforte del Cid</t>
        </is>
      </c>
      <c r="H823" s="2" t="inlineStr">
        <is>
          <t>Junta de Gobierno del Ayuntamiento de Monforte del Cid</t>
        </is>
      </c>
      <c r="I823" s="2" t="inlineStr">
        <is>
          <t>El objeto del presente contrato es la ejecución de las obras definidas en el Proyecto de ejecución denominado Reurbanización del acceso a San Roque desde C/ Canónigo Miralles-Avda. Constitución y Calvario, redactado por el Ingeniero de Caminos, Canales y Puertos D. Vicente Blasco Díaz, y el Ingeniero Técnico de Obras Públicas D. Jorge Carratalá Navarro.</t>
        </is>
      </c>
      <c r="J823" s="2" t="inlineStr">
        <is>
          <t>2047/2026 Reurbanización acceso San Roque</t>
        </is>
      </c>
      <c r="K823" s="2" t="inlineStr">
        <is>
          <t>Abierto simplificado</t>
        </is>
      </c>
      <c r="L823" s="6" t="n">
        <v>4</v>
      </c>
      <c r="M823" s="2" t="n"/>
      <c r="N823" s="7" t="n">
        <v>0</v>
      </c>
      <c r="O823" s="4" t="n"/>
      <c r="P823" s="2" t="inlineStr">
        <is>
          <t>45000000; 45316100; 45233260; 45232150; 45233252</t>
        </is>
      </c>
      <c r="Q823" s="8" t="inlineStr">
        <is>
          <t>Ver</t>
        </is>
      </c>
      <c r="R823" s="8" t="inlineStr">
        <is>
          <t>PCAP</t>
        </is>
      </c>
      <c r="S823" s="9" t="n">
        <v>46310</v>
      </c>
      <c r="T823" s="3" t="n">
        <v>46314.45927083334</v>
      </c>
      <c r="U823" s="2" t="n"/>
    </row>
    <row r="824">
      <c r="A824" s="2" t="inlineStr">
        <is>
          <t>Resuelta</t>
        </is>
      </c>
      <c r="B824" s="3" t="n">
        <v>46252.41666666666</v>
      </c>
      <c r="C824" s="5" t="n">
        <v>39000</v>
      </c>
      <c r="D824" s="5" t="n">
        <v>39000</v>
      </c>
      <c r="E824" s="2" t="inlineStr">
        <is>
          <t>Andalucía</t>
        </is>
      </c>
      <c r="F824" s="2" t="inlineStr">
        <is>
          <t>Huelva</t>
        </is>
      </c>
      <c r="G824" s="2" t="n"/>
      <c r="H824" s="2" t="inlineStr">
        <is>
          <t>Empresa de Transformación Agraria S.A.,S.M.E., M.P., (TRAGSA)</t>
        </is>
      </c>
      <c r="I824"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SERVICIO CAUCES HUELVA 25-27</t>
        </is>
      </c>
      <c r="J824" s="2" t="inlineStr">
        <is>
          <t>TSA0080057-219</t>
        </is>
      </c>
      <c r="K824" s="2" t="inlineStr">
        <is>
          <t>Abierto</t>
        </is>
      </c>
      <c r="L824" s="6" t="n">
        <v>7</v>
      </c>
      <c r="M824" s="2" t="n"/>
      <c r="N824" s="7" t="n">
        <v>0</v>
      </c>
      <c r="O824" s="4" t="n"/>
      <c r="P824" s="2" t="inlineStr">
        <is>
          <t>45500000</t>
        </is>
      </c>
      <c r="Q824" s="8" t="inlineStr">
        <is>
          <t>Ver</t>
        </is>
      </c>
      <c r="R824" s="8" t="inlineStr">
        <is>
          <t>PCAP</t>
        </is>
      </c>
      <c r="S824" s="9" t="n">
        <v>46315</v>
      </c>
      <c r="T824" s="3" t="n">
        <v>46314.45805555556</v>
      </c>
      <c r="U824" s="2" t="n"/>
    </row>
    <row r="825">
      <c r="A825" s="2" t="inlineStr">
        <is>
          <t>Resuelta</t>
        </is>
      </c>
      <c r="B825" s="3" t="n">
        <v>46252.41666666666</v>
      </c>
      <c r="C825" s="5" t="n">
        <v>39000</v>
      </c>
      <c r="D825" s="5" t="n">
        <v>39000</v>
      </c>
      <c r="E825" s="2" t="inlineStr">
        <is>
          <t>Andalucía</t>
        </is>
      </c>
      <c r="F825" s="2" t="inlineStr">
        <is>
          <t>Huelva</t>
        </is>
      </c>
      <c r="G825" s="2" t="n"/>
      <c r="H825" s="2" t="inlineStr">
        <is>
          <t>Empresa de Transformación Agraria S.A.,S.M.E., M.P., (TRAGSA)</t>
        </is>
      </c>
      <c r="I825"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SERVICIO CAUCES HUELVA 25-27</t>
        </is>
      </c>
      <c r="J825" s="2" t="inlineStr">
        <is>
          <t>TSA0080057-218</t>
        </is>
      </c>
      <c r="K825" s="2" t="inlineStr">
        <is>
          <t>Abierto</t>
        </is>
      </c>
      <c r="L825" s="6" t="n">
        <v>7</v>
      </c>
      <c r="M825" s="2" t="n"/>
      <c r="N825" s="7" t="n">
        <v>0</v>
      </c>
      <c r="O825" s="4" t="n"/>
      <c r="P825" s="2" t="inlineStr">
        <is>
          <t>45500000</t>
        </is>
      </c>
      <c r="Q825" s="8" t="inlineStr">
        <is>
          <t>Ver</t>
        </is>
      </c>
      <c r="R825" s="8" t="inlineStr">
        <is>
          <t>PCAP</t>
        </is>
      </c>
      <c r="S825" s="9" t="n">
        <v>46315</v>
      </c>
      <c r="T825" s="3" t="n">
        <v>46314.45623842593</v>
      </c>
      <c r="U825" s="2" t="n"/>
    </row>
    <row r="826">
      <c r="A826" s="2" t="inlineStr">
        <is>
          <t>Resuelta</t>
        </is>
      </c>
      <c r="B826" s="3" t="n">
        <v>46286.99930555555</v>
      </c>
      <c r="C826" s="5" t="n">
        <v>111526.91</v>
      </c>
      <c r="D826" s="5" t="n">
        <v>111526.91</v>
      </c>
      <c r="E826" s="2" t="inlineStr">
        <is>
          <t>Comunitat Valenciana</t>
        </is>
      </c>
      <c r="F826" s="2" t="inlineStr">
        <is>
          <t>Alicante</t>
        </is>
      </c>
      <c r="G826" s="2" t="n"/>
      <c r="H826" s="2" t="inlineStr">
        <is>
          <t>Junta de Gobierno del Ayuntamiento de Torrevieja</t>
        </is>
      </c>
      <c r="I826" s="2" t="inlineStr">
        <is>
          <t>Obras de colocación de nuevo conducto de climatización de la piscina cubierta y ventilación de la sala de calderas.</t>
        </is>
      </c>
      <c r="J826" s="2" t="inlineStr">
        <is>
          <t>112700/2026</t>
        </is>
      </c>
      <c r="K826" s="2" t="inlineStr">
        <is>
          <t>Abierto simplificado</t>
        </is>
      </c>
      <c r="L826" s="6" t="n">
        <v>3</v>
      </c>
      <c r="M826" s="2" t="n"/>
      <c r="N826" s="7" t="n">
        <v>0</v>
      </c>
      <c r="O826" s="4" t="n"/>
      <c r="P826" s="2" t="inlineStr">
        <is>
          <t>45331200</t>
        </is>
      </c>
      <c r="Q826" s="8" t="inlineStr">
        <is>
          <t>Ver</t>
        </is>
      </c>
      <c r="R826" s="8" t="inlineStr">
        <is>
          <t>PCAP</t>
        </is>
      </c>
      <c r="S826" s="9" t="n">
        <v>46311</v>
      </c>
      <c r="T826" s="3" t="n">
        <v>46314.45506944445</v>
      </c>
      <c r="U826" s="2" t="inlineStr">
        <is>
          <t>2026-10-20: estado ADJ → RES</t>
        </is>
      </c>
    </row>
    <row r="827">
      <c r="A827" s="2" t="inlineStr">
        <is>
          <t>En plazo</t>
        </is>
      </c>
      <c r="B827" s="3" t="n">
        <v>46334.99930555555</v>
      </c>
      <c r="C827" s="5" t="n">
        <v>111674.07</v>
      </c>
      <c r="D827" s="5" t="n">
        <v>111674.07</v>
      </c>
      <c r="E827" s="2" t="inlineStr">
        <is>
          <t>Andalucía</t>
        </is>
      </c>
      <c r="F827" s="2" t="inlineStr">
        <is>
          <t>Córdoba</t>
        </is>
      </c>
      <c r="G827" s="2" t="inlineStr">
        <is>
          <t>El Carpio (Córdoba)</t>
        </is>
      </c>
      <c r="H827" s="2" t="inlineStr">
        <is>
          <t>Alcaldía del Ayuntamiento de El Carpio</t>
        </is>
      </c>
      <c r="I827" s="2" t="inlineStr">
        <is>
          <t>Remodelación integral Calle Cervantes UE-I Subvencionada a través del Plan Provincial Invierte de Reactivación Económica para las Entidades Locales de la provincia de Córdoba (Ejercicio 2025)</t>
        </is>
      </c>
      <c r="J827" s="2" t="inlineStr">
        <is>
          <t>5362/2026</t>
        </is>
      </c>
      <c r="K827" s="2" t="inlineStr">
        <is>
          <t>Abierto simplificado</t>
        </is>
      </c>
      <c r="L827" s="6" t="n">
        <v>4</v>
      </c>
      <c r="M827" s="2" t="n"/>
      <c r="N827" s="7" t="n">
        <v>0</v>
      </c>
      <c r="O827" s="4" t="n"/>
      <c r="P827" s="2" t="inlineStr">
        <is>
          <t>45000000</t>
        </is>
      </c>
      <c r="Q827" s="8" t="inlineStr">
        <is>
          <t>Ver</t>
        </is>
      </c>
      <c r="R827" s="8" t="inlineStr">
        <is>
          <t>PCAP</t>
        </is>
      </c>
      <c r="S827" s="9" t="n">
        <v>46315</v>
      </c>
      <c r="T827" s="3" t="n">
        <v>46314.45474537037</v>
      </c>
      <c r="U827" s="2" t="n"/>
    </row>
    <row r="828">
      <c r="A828" s="2" t="inlineStr">
        <is>
          <t>Pendiente de adjudicación</t>
        </is>
      </c>
      <c r="B828" s="3" t="n">
        <v>46272.79166666666</v>
      </c>
      <c r="C828" s="5" t="n">
        <v>162276.35</v>
      </c>
      <c r="D828" s="5" t="n">
        <v>194731.62</v>
      </c>
      <c r="E828" s="2" t="inlineStr">
        <is>
          <t>Andalucía</t>
        </is>
      </c>
      <c r="F828" s="2" t="inlineStr">
        <is>
          <t>Sevilla</t>
        </is>
      </c>
      <c r="G828" s="2" t="inlineStr">
        <is>
          <t>Olivares</t>
        </is>
      </c>
      <c r="H828" s="2" t="inlineStr">
        <is>
          <t>Gerencia de la Empresa Mancomunada del Aljarafe, S.A. (ALJARAFESA)</t>
        </is>
      </c>
      <c r="I828" s="2" t="inlineStr">
        <is>
          <t>Montaje de la Infraestructura Hidráulica en las Calles Los Sotillos, Cristóbal Colón y Virgen del Álamo. Olivares (Sevilla)</t>
        </is>
      </c>
      <c r="J828" s="2" t="inlineStr">
        <is>
          <t>PAA/165/2026</t>
        </is>
      </c>
      <c r="K828" s="2" t="inlineStr">
        <is>
          <t>Abierto</t>
        </is>
      </c>
      <c r="L828" s="6" t="n">
        <v>8</v>
      </c>
      <c r="M828" s="2" t="inlineStr">
        <is>
          <t>E1-2</t>
        </is>
      </c>
      <c r="N828" s="7" t="n">
        <v>0</v>
      </c>
      <c r="O828" s="4" t="n"/>
      <c r="P828" s="2" t="inlineStr">
        <is>
          <t>45231300</t>
        </is>
      </c>
      <c r="Q828" s="8" t="inlineStr">
        <is>
          <t>Ver</t>
        </is>
      </c>
      <c r="R828" s="8" t="inlineStr">
        <is>
          <t>PCAP</t>
        </is>
      </c>
      <c r="S828" s="9" t="n">
        <v>46315</v>
      </c>
      <c r="T828" s="3" t="n">
        <v>46314.45459490741</v>
      </c>
      <c r="U828" s="2" t="n"/>
    </row>
    <row r="829">
      <c r="A829" s="2" t="inlineStr">
        <is>
          <t>Resuelta</t>
        </is>
      </c>
      <c r="B829" s="3" t="n">
        <v>46293.99930555555</v>
      </c>
      <c r="C829" s="5" t="n">
        <v>403351.14</v>
      </c>
      <c r="D829" s="5" t="n">
        <v>403351.14</v>
      </c>
      <c r="E829" s="2" t="inlineStr">
        <is>
          <t>Andalucía</t>
        </is>
      </c>
      <c r="F829" s="2" t="inlineStr">
        <is>
          <t>Cádiz</t>
        </is>
      </c>
      <c r="G829" s="2" t="n"/>
      <c r="H829" s="2" t="inlineStr">
        <is>
          <t>Alcaldía del Ayuntamiento de San Martín del Tesorillo</t>
        </is>
      </c>
      <c r="I829" s="2" t="inlineStr">
        <is>
          <t>Edificio Multiusos Calle San José, 3</t>
        </is>
      </c>
      <c r="J829" s="2" t="inlineStr">
        <is>
          <t>465/2026</t>
        </is>
      </c>
      <c r="K829" s="2" t="inlineStr">
        <is>
          <t>Abierto simplificado</t>
        </is>
      </c>
      <c r="L829" s="6" t="n">
        <v>12</v>
      </c>
      <c r="M829" s="2" t="n"/>
      <c r="N829" s="7" t="n">
        <v>0</v>
      </c>
      <c r="O829" s="4" t="n"/>
      <c r="P829" s="2" t="inlineStr">
        <is>
          <t>45211350</t>
        </is>
      </c>
      <c r="Q829" s="8" t="inlineStr">
        <is>
          <t>Ver</t>
        </is>
      </c>
      <c r="R829" s="8" t="inlineStr">
        <is>
          <t>PCAP</t>
        </is>
      </c>
      <c r="S829" s="9" t="n">
        <v>46315</v>
      </c>
      <c r="T829" s="3" t="n">
        <v>46314.45222222222</v>
      </c>
      <c r="U829" s="2" t="n"/>
    </row>
    <row r="830">
      <c r="A830" s="2" t="inlineStr">
        <is>
          <t>Resuelta</t>
        </is>
      </c>
      <c r="B830" s="3" t="n">
        <v>46279.99930555555</v>
      </c>
      <c r="C830" s="5" t="n">
        <v>80797.52</v>
      </c>
      <c r="D830" s="5" t="n">
        <v>80797.52</v>
      </c>
      <c r="E830" s="2" t="inlineStr">
        <is>
          <t>Andalucía</t>
        </is>
      </c>
      <c r="F830" s="2" t="inlineStr">
        <is>
          <t>Granada</t>
        </is>
      </c>
      <c r="G830" s="2" t="inlineStr">
        <is>
          <t>ZAGRA</t>
        </is>
      </c>
      <c r="H830" s="2" t="inlineStr">
        <is>
          <t>Presidencia de la Diputación Provincial de Granada</t>
        </is>
      </c>
      <c r="I830" s="2" t="inlineStr">
        <is>
          <t>2024/4/PPOYS-176 "Zagra, pavimentación Camino Barranco de Patas de Lana, Camino de Blancas y Camino de las Rozuelas"</t>
        </is>
      </c>
      <c r="J830" s="2" t="inlineStr">
        <is>
          <t>OB-001/26</t>
        </is>
      </c>
      <c r="K830" s="2" t="inlineStr">
        <is>
          <t>Abierto simplificado</t>
        </is>
      </c>
      <c r="L830" s="6" t="n">
        <v>5</v>
      </c>
      <c r="M830" s="2" t="inlineStr">
        <is>
          <t>K2-1; G6-1</t>
        </is>
      </c>
      <c r="N830" s="7" t="n">
        <v>0</v>
      </c>
      <c r="O830" s="4" t="n"/>
      <c r="P830" s="2" t="inlineStr">
        <is>
          <t>45262211; 45233252</t>
        </is>
      </c>
      <c r="Q830" s="8" t="inlineStr">
        <is>
          <t>Ver</t>
        </is>
      </c>
      <c r="R830" s="8" t="inlineStr">
        <is>
          <t>PCAP</t>
        </is>
      </c>
      <c r="S830" s="9" t="n">
        <v>46315</v>
      </c>
      <c r="T830" s="3" t="n">
        <v>46314.45056712963</v>
      </c>
      <c r="U830" s="2" t="n"/>
    </row>
    <row r="831">
      <c r="A831" s="2" t="inlineStr">
        <is>
          <t>En plazo</t>
        </is>
      </c>
      <c r="B831" s="3" t="n">
        <v>46335.99930555555</v>
      </c>
      <c r="C831" s="5" t="n">
        <v>121666.92</v>
      </c>
      <c r="D831" s="5" t="n">
        <v>121666.92</v>
      </c>
      <c r="E831" s="2" t="inlineStr">
        <is>
          <t>Comunitat Valenciana</t>
        </is>
      </c>
      <c r="F831" s="2" t="inlineStr">
        <is>
          <t>Valencia</t>
        </is>
      </c>
      <c r="G831" s="2" t="inlineStr">
        <is>
          <t>Náquera</t>
        </is>
      </c>
      <c r="H831" s="2" t="inlineStr">
        <is>
          <t>Alcaldía del Ayuntamiento de Náquera</t>
        </is>
      </c>
      <c r="I831" s="2" t="inlineStr">
        <is>
          <t>Contrato de obras de habilitación del área recreativa Plà de Parra</t>
        </is>
      </c>
      <c r="J831" s="2" t="inlineStr">
        <is>
          <t>4923/2026</t>
        </is>
      </c>
      <c r="K831" s="2" t="inlineStr">
        <is>
          <t>Abierto simplificado</t>
        </is>
      </c>
      <c r="L831" s="6" t="n">
        <v>1</v>
      </c>
      <c r="M831" s="2" t="n"/>
      <c r="N831" s="7" t="n">
        <v>0</v>
      </c>
      <c r="O831" s="4" t="n"/>
      <c r="P831" s="2" t="inlineStr">
        <is>
          <t>45000000; 45112711</t>
        </is>
      </c>
      <c r="Q831" s="8" t="inlineStr">
        <is>
          <t>Ver</t>
        </is>
      </c>
      <c r="R831" s="8" t="inlineStr">
        <is>
          <t>PCAP</t>
        </is>
      </c>
      <c r="S831" s="9" t="n">
        <v>46315</v>
      </c>
      <c r="T831" s="3" t="n">
        <v>46314.44633101852</v>
      </c>
      <c r="U831" s="2" t="n"/>
    </row>
    <row r="832">
      <c r="A832" s="2" t="inlineStr">
        <is>
          <t>Resuelta</t>
        </is>
      </c>
      <c r="B832" s="3" t="n">
        <v>45748.99930555555</v>
      </c>
      <c r="C832" s="5" t="n">
        <v>3101404.3</v>
      </c>
      <c r="D832" s="5" t="n">
        <v>3441544.73</v>
      </c>
      <c r="E832" s="2" t="inlineStr">
        <is>
          <t>Comunitat Valenciana</t>
        </is>
      </c>
      <c r="F832" s="2" t="inlineStr">
        <is>
          <t>Alicante</t>
        </is>
      </c>
      <c r="G832" s="2" t="inlineStr">
        <is>
          <t>San Vicente del Raspeig (Alicante)</t>
        </is>
      </c>
      <c r="H832" s="2" t="inlineStr">
        <is>
          <t>Rectorado de la Universidad de Alicante</t>
        </is>
      </c>
      <c r="I832" s="2" t="inlineStr">
        <is>
          <t>Obras de reforma en edificios del Campus de la Universidad de Alicante (5 lotes)</t>
        </is>
      </c>
      <c r="J832" s="2" t="inlineStr">
        <is>
          <t>OB0022025</t>
        </is>
      </c>
      <c r="K832" s="2" t="inlineStr">
        <is>
          <t>Abierto</t>
        </is>
      </c>
      <c r="L832" s="6" t="n">
        <v>12</v>
      </c>
      <c r="M832" s="2" t="n"/>
      <c r="N832" s="7" t="n">
        <v>0.45</v>
      </c>
      <c r="O832" s="4" t="n">
        <v>5</v>
      </c>
      <c r="P832" s="2" t="inlineStr">
        <is>
          <t>45214400</t>
        </is>
      </c>
      <c r="Q832" s="8" t="inlineStr">
        <is>
          <t>Ver</t>
        </is>
      </c>
      <c r="R832" s="8" t="inlineStr">
        <is>
          <t>PCAP</t>
        </is>
      </c>
      <c r="S832" s="9" t="n">
        <v>46315</v>
      </c>
      <c r="T832" s="3" t="n">
        <v>46314.44565972222</v>
      </c>
      <c r="U832" s="2" t="n"/>
    </row>
    <row r="833">
      <c r="A833" s="2" t="inlineStr">
        <is>
          <t>Pendiente de adjudicación</t>
        </is>
      </c>
      <c r="B833" s="3" t="n">
        <v>46293.99930555555</v>
      </c>
      <c r="C833" s="5" t="n">
        <v>266487.33</v>
      </c>
      <c r="D833" s="5" t="n">
        <v>266487.33</v>
      </c>
      <c r="E833" s="2" t="inlineStr">
        <is>
          <t>Comunitat Valenciana</t>
        </is>
      </c>
      <c r="F833" s="2" t="inlineStr">
        <is>
          <t>Alicante</t>
        </is>
      </c>
      <c r="G833" s="2" t="inlineStr">
        <is>
          <t>Agost</t>
        </is>
      </c>
      <c r="H833" s="2" t="inlineStr">
        <is>
          <t>Alcaldía del Ayuntamiento de Agost</t>
        </is>
      </c>
      <c r="I833" s="2" t="inlineStr">
        <is>
          <t>Instalación de climatización y ventilación edificio aulas de primaria del CEIP LA RAMBLA</t>
        </is>
      </c>
      <c r="J833" s="2" t="inlineStr">
        <is>
          <t>2082/2026</t>
        </is>
      </c>
      <c r="K833" s="2" t="inlineStr">
        <is>
          <t>Abierto simplificado</t>
        </is>
      </c>
      <c r="L833" s="6" t="n">
        <v>6</v>
      </c>
      <c r="M833" s="2" t="n"/>
      <c r="N833" s="7" t="n">
        <v>0</v>
      </c>
      <c r="O833" s="4" t="n"/>
      <c r="P833" s="2" t="inlineStr">
        <is>
          <t>45331000</t>
        </is>
      </c>
      <c r="Q833" s="8" t="inlineStr">
        <is>
          <t>Ver</t>
        </is>
      </c>
      <c r="R833" s="8" t="inlineStr">
        <is>
          <t>PCAP</t>
        </is>
      </c>
      <c r="S833" s="9" t="n">
        <v>46315</v>
      </c>
      <c r="T833" s="3" t="n">
        <v>46314.44454861111</v>
      </c>
      <c r="U833" s="2" t="n"/>
    </row>
    <row r="834">
      <c r="A834" s="2" t="inlineStr">
        <is>
          <t>En plazo</t>
        </is>
      </c>
      <c r="B834" s="3" t="n">
        <v>46342.625</v>
      </c>
      <c r="C834" s="5" t="n">
        <v>404822.84</v>
      </c>
      <c r="D834" s="5" t="n">
        <v>404822.84</v>
      </c>
      <c r="E834" s="2" t="inlineStr">
        <is>
          <t>Andalucía</t>
        </is>
      </c>
      <c r="F834" s="2" t="inlineStr">
        <is>
          <t>Cádiz</t>
        </is>
      </c>
      <c r="G834" s="2" t="n"/>
      <c r="H834" s="2" t="inlineStr">
        <is>
          <t>Consejo de Administración de Suministradora Eléctrica de Cádiz S.A.</t>
        </is>
      </c>
      <c r="I834" s="2" t="inlineStr">
        <is>
          <t>Obras en la red de media y baja tensión.</t>
        </is>
      </c>
      <c r="J834" s="2" t="inlineStr">
        <is>
          <t>OB26002</t>
        </is>
      </c>
      <c r="K834" s="2" t="inlineStr">
        <is>
          <t>Abierto</t>
        </is>
      </c>
      <c r="L834" s="6" t="n">
        <v>6</v>
      </c>
      <c r="M834" s="2" t="n"/>
      <c r="N834" s="7" t="n">
        <v>0.35</v>
      </c>
      <c r="O834" s="4" t="n"/>
      <c r="P834" s="2" t="inlineStr">
        <is>
          <t>45231400; 45315500; 45315600</t>
        </is>
      </c>
      <c r="Q834" s="8" t="inlineStr">
        <is>
          <t>Ver</t>
        </is>
      </c>
      <c r="R834" s="8" t="inlineStr">
        <is>
          <t>PCAP</t>
        </is>
      </c>
      <c r="S834" s="9" t="n">
        <v>46315</v>
      </c>
      <c r="T834" s="3" t="n">
        <v>46314.44293981481</v>
      </c>
      <c r="U834" s="2" t="n"/>
    </row>
    <row r="835">
      <c r="A835" s="2" t="inlineStr">
        <is>
          <t>En plazo</t>
        </is>
      </c>
      <c r="B835" s="3" t="n">
        <v>46323.99930555555</v>
      </c>
      <c r="C835" s="5" t="n">
        <v>63422.18</v>
      </c>
      <c r="D835" s="5" t="n">
        <v>63422.18</v>
      </c>
      <c r="E835" s="2" t="inlineStr">
        <is>
          <t>Andalucía</t>
        </is>
      </c>
      <c r="F835" s="2" t="inlineStr">
        <is>
          <t>Sevilla</t>
        </is>
      </c>
      <c r="G835" s="2" t="inlineStr">
        <is>
          <t>SALTERAS</t>
        </is>
      </c>
      <c r="H835" s="2" t="inlineStr">
        <is>
          <t>Alcaldía del Ayuntamiento de Salteras</t>
        </is>
      </c>
      <c r="I835" s="2" t="inlineStr">
        <is>
          <t>La necesidad del contrato viene determinada por el estado de deterioro de diversas calzadas de tráfico rodado del municipio de Salteras, que presentan terminación asfáltica dañada por el uso, disgregación del árido, pérdida de betún, fisuración y afecciones que favorecen la entrada de humedad hasta la capa de firme.</t>
        </is>
      </c>
      <c r="J835" s="2" t="inlineStr">
        <is>
          <t>1021/2026 REASFALTADO VARIAS CALLES</t>
        </is>
      </c>
      <c r="K835" s="2" t="inlineStr">
        <is>
          <t>Abierto simplificado</t>
        </is>
      </c>
      <c r="L835" s="6" t="n">
        <v>4</v>
      </c>
      <c r="M835" s="2" t="n"/>
      <c r="N835" s="7" t="n">
        <v>0</v>
      </c>
      <c r="O835" s="4" t="n"/>
      <c r="P835" s="2" t="inlineStr">
        <is>
          <t>45233222; 45233223</t>
        </is>
      </c>
      <c r="Q835" s="8" t="inlineStr">
        <is>
          <t>Ver</t>
        </is>
      </c>
      <c r="R835" s="8" t="inlineStr">
        <is>
          <t>PCAP</t>
        </is>
      </c>
      <c r="S835" s="9" t="n">
        <v>46310</v>
      </c>
      <c r="T835" s="3" t="n">
        <v>46314.44232638889</v>
      </c>
      <c r="U835" s="2" t="inlineStr">
        <is>
          <t>2026-10-20: plazo 2026-10-26 23:59 → 2026-10-28 23:59</t>
        </is>
      </c>
    </row>
    <row r="836">
      <c r="A836" s="2" t="inlineStr">
        <is>
          <t>En plazo</t>
        </is>
      </c>
      <c r="B836" s="3" t="n">
        <v>46329.79166666666</v>
      </c>
      <c r="C836" s="5" t="n">
        <v>75295.31</v>
      </c>
      <c r="D836" s="5" t="n">
        <v>75295.31</v>
      </c>
      <c r="E836" s="2" t="inlineStr">
        <is>
          <t>Andalucía</t>
        </is>
      </c>
      <c r="F836" s="2" t="inlineStr">
        <is>
          <t>Jaén</t>
        </is>
      </c>
      <c r="G836" s="2" t="inlineStr">
        <is>
          <t>Guarroman</t>
        </is>
      </c>
      <c r="H836" s="2" t="inlineStr">
        <is>
          <t>Alcaldía del Ayuntamiento de Guarromán</t>
        </is>
      </c>
      <c r="I836" s="2" t="inlineStr">
        <is>
          <t>El objeto del contrato es la ejecución de las obras correspondientes a la URBANIZACIÓN DE ESPACIO URBANO RESIDUAL EN CALLE JAÉN, incluyendo todas aquellas actuaciones necesarias para la correcta adecuación del espacio urbano y su dotación de mobiliario urbano</t>
        </is>
      </c>
      <c r="J836" s="2" t="inlineStr">
        <is>
          <t>69/2026</t>
        </is>
      </c>
      <c r="K836" s="2" t="inlineStr">
        <is>
          <t>Abierto simplificado</t>
        </is>
      </c>
      <c r="L836" s="6" t="n">
        <v>4</v>
      </c>
      <c r="M836" s="2" t="n"/>
      <c r="N836" s="7" t="n">
        <v>0</v>
      </c>
      <c r="O836" s="4" t="n"/>
      <c r="P836" s="2" t="inlineStr">
        <is>
          <t>45233200</t>
        </is>
      </c>
      <c r="Q836" s="8" t="inlineStr">
        <is>
          <t>Ver</t>
        </is>
      </c>
      <c r="R836" s="8" t="inlineStr">
        <is>
          <t>PCAP</t>
        </is>
      </c>
      <c r="S836" s="9" t="n">
        <v>46315</v>
      </c>
      <c r="T836" s="3" t="n">
        <v>46314.43930555556</v>
      </c>
      <c r="U836" s="2" t="n"/>
    </row>
    <row r="837">
      <c r="A837" s="2" t="inlineStr">
        <is>
          <t>Resuelta</t>
        </is>
      </c>
      <c r="B837" s="3" t="n">
        <v>46029.99930555555</v>
      </c>
      <c r="C837" s="5" t="n">
        <v>154041.38</v>
      </c>
      <c r="D837" s="5" t="n">
        <v>154041.38</v>
      </c>
      <c r="E837" s="2" t="inlineStr">
        <is>
          <t>Andalucía</t>
        </is>
      </c>
      <c r="F837" s="2" t="inlineStr">
        <is>
          <t>Córdoba</t>
        </is>
      </c>
      <c r="G837" s="2" t="inlineStr">
        <is>
          <t>Montilla</t>
        </is>
      </c>
      <c r="H837" s="2" t="inlineStr">
        <is>
          <t>Alcaldía del Ayuntamiento de Montilla</t>
        </is>
      </c>
      <c r="I837" s="2" t="inlineStr">
        <is>
          <t>Obras de “Recuperación natural y ambiental de la infraestructura verde Cerro Don Juan – Lagares de la Sierra y su conectividad con Montilla” financiado por la Unión Europea-NextGenerationEU para la ejecución del PST de Montilla, en el marco del Plan de Recuperación, Transformación y Resiliencia (C14.I1.2), aprobado por la Consejería de Turismo, Cultura y Deporte de la Junta de Andalucía</t>
        </is>
      </c>
      <c r="J837" s="2" t="inlineStr">
        <is>
          <t>32304/2025</t>
        </is>
      </c>
      <c r="K837" s="2" t="inlineStr">
        <is>
          <t>Abierto simplificado</t>
        </is>
      </c>
      <c r="L837" s="6" t="n">
        <v>2</v>
      </c>
      <c r="M837" s="2" t="n"/>
      <c r="N837" s="7" t="n">
        <v>0.24</v>
      </c>
      <c r="O837" s="4" t="n"/>
      <c r="P837" s="2" t="inlineStr">
        <is>
          <t>45112700; 45262640; 45111213; 34928470; 77231600</t>
        </is>
      </c>
      <c r="Q837" s="8" t="inlineStr">
        <is>
          <t>Ver</t>
        </is>
      </c>
      <c r="R837" s="8" t="inlineStr">
        <is>
          <t>PCAP</t>
        </is>
      </c>
      <c r="S837" s="9" t="n">
        <v>46315</v>
      </c>
      <c r="T837" s="3" t="n">
        <v>46314.43898148148</v>
      </c>
      <c r="U837" s="2" t="n"/>
    </row>
    <row r="838">
      <c r="A838" s="2" t="inlineStr">
        <is>
          <t>Resuelta</t>
        </is>
      </c>
      <c r="B838" s="3" t="n">
        <v>44188.58333333334</v>
      </c>
      <c r="C838" s="5" t="n">
        <v>1921828.87</v>
      </c>
      <c r="D838" s="5" t="n">
        <v>2080982.35</v>
      </c>
      <c r="E838" s="2" t="inlineStr">
        <is>
          <t>Comunitat Valenciana</t>
        </is>
      </c>
      <c r="F838" s="2" t="inlineStr">
        <is>
          <t>Valencia</t>
        </is>
      </c>
      <c r="G838" s="2" t="n"/>
      <c r="H838" s="2" t="inlineStr">
        <is>
          <t>Dirección General de la Ciudad de las Artes y de las Ciencias S.A.</t>
        </is>
      </c>
      <c r="I838" s="2" t="inlineStr">
        <is>
          <t>Contratación, por lotes, de la ejecución de los trabajos sobre bandejas y cuadros eléctricos en el Oceanogràfic de La Ciutat de les Arts i les Ciències.</t>
        </is>
      </c>
      <c r="J838" s="2" t="inlineStr">
        <is>
          <t>PA 37/20</t>
        </is>
      </c>
      <c r="K838" s="2" t="inlineStr">
        <is>
          <t>Abierto</t>
        </is>
      </c>
      <c r="L838" s="6" t="n">
        <v>7.7</v>
      </c>
      <c r="M838" s="2" t="n"/>
      <c r="N838" s="7" t="n">
        <v>0</v>
      </c>
      <c r="O838" s="4" t="n">
        <v>2</v>
      </c>
      <c r="P838" s="2" t="inlineStr">
        <is>
          <t>45310000</t>
        </is>
      </c>
      <c r="Q838" s="8" t="inlineStr">
        <is>
          <t>Ver</t>
        </is>
      </c>
      <c r="R838" s="8" t="inlineStr">
        <is>
          <t>PCAP</t>
        </is>
      </c>
      <c r="S838" s="9" t="n">
        <v>46315</v>
      </c>
      <c r="T838" s="3" t="n">
        <v>46314.43453703704</v>
      </c>
      <c r="U838" s="2" t="n"/>
    </row>
    <row r="839">
      <c r="A839" s="2" t="inlineStr">
        <is>
          <t>Resuelta</t>
        </is>
      </c>
      <c r="B839" s="3" t="n">
        <v>46288.99930555555</v>
      </c>
      <c r="C839" s="5" t="n">
        <v>65168.23</v>
      </c>
      <c r="D839" s="5" t="n">
        <v>65168.23</v>
      </c>
      <c r="E839" s="2" t="inlineStr">
        <is>
          <t>Andalucía</t>
        </is>
      </c>
      <c r="F839" s="2" t="inlineStr">
        <is>
          <t>Granada</t>
        </is>
      </c>
      <c r="G839" s="2" t="inlineStr">
        <is>
          <t>VILLAMENA</t>
        </is>
      </c>
      <c r="H839" s="2" t="inlineStr">
        <is>
          <t>Presidencia de la Diputación Provincial de Granada</t>
        </is>
      </c>
      <c r="I839" s="2" t="inlineStr">
        <is>
          <t>2026/4/PPOYS-171/1 "Villamena, renovación de redes y pavimentación en Calle Pedregal de Cónchar"</t>
        </is>
      </c>
      <c r="J839" s="2" t="inlineStr">
        <is>
          <t>OB-017/26</t>
        </is>
      </c>
      <c r="K839" s="2" t="inlineStr">
        <is>
          <t>Abierto simplificado</t>
        </is>
      </c>
      <c r="L839" s="6" t="n">
        <v>5</v>
      </c>
      <c r="M839" s="2" t="inlineStr">
        <is>
          <t>G6-1; E7-1</t>
        </is>
      </c>
      <c r="N839" s="7" t="n">
        <v>0</v>
      </c>
      <c r="O839" s="4" t="n"/>
      <c r="P839" s="2" t="inlineStr">
        <is>
          <t>45231100; 45233252</t>
        </is>
      </c>
      <c r="Q839" s="8" t="inlineStr">
        <is>
          <t>Ver</t>
        </is>
      </c>
      <c r="R839" s="8" t="inlineStr">
        <is>
          <t>PCAP</t>
        </is>
      </c>
      <c r="S839" s="9" t="n">
        <v>46315</v>
      </c>
      <c r="T839" s="3" t="n">
        <v>46314.42840277778</v>
      </c>
      <c r="U839" s="2" t="n"/>
    </row>
    <row r="840">
      <c r="A840" s="2" t="inlineStr">
        <is>
          <t>En plazo</t>
        </is>
      </c>
      <c r="B840" s="3" t="n">
        <v>46335.99930555555</v>
      </c>
      <c r="C840" s="5" t="n">
        <v>401014.35</v>
      </c>
      <c r="D840" s="5" t="n">
        <v>401014.35</v>
      </c>
      <c r="E840" s="2" t="inlineStr">
        <is>
          <t>Andalucía</t>
        </is>
      </c>
      <c r="F840" s="2" t="inlineStr">
        <is>
          <t>Almería</t>
        </is>
      </c>
      <c r="G840" s="2" t="n"/>
      <c r="H840" s="2" t="inlineStr">
        <is>
          <t>Comisión Ejecutiva de la Gerencia Municipal de Urbanismo del Ayuntamiento de Almería</t>
        </is>
      </c>
      <c r="I840" s="2" t="inlineStr">
        <is>
          <t>Contrato de obras contempladas en el Proyecto de "Conservación y Restauración del Nodo Natural del Camino Viejo-Muralla de Jairán-Barrio del Santo (Almería)"</t>
        </is>
      </c>
      <c r="J840" s="2" t="inlineStr">
        <is>
          <t>AYAL-2026000208</t>
        </is>
      </c>
      <c r="K840" s="2" t="inlineStr">
        <is>
          <t>Abierto simplificado</t>
        </is>
      </c>
      <c r="L840" s="6" t="n">
        <v>4</v>
      </c>
      <c r="M840" s="2" t="n"/>
      <c r="N840" s="7" t="n">
        <v>0.25</v>
      </c>
      <c r="O840" s="4" t="n"/>
      <c r="P840" s="2" t="inlineStr">
        <is>
          <t>45233161; 45233253</t>
        </is>
      </c>
      <c r="Q840" s="8" t="inlineStr">
        <is>
          <t>Ver</t>
        </is>
      </c>
      <c r="R840" s="8" t="inlineStr">
        <is>
          <t>PCAP</t>
        </is>
      </c>
      <c r="S840" s="9" t="n">
        <v>46315</v>
      </c>
      <c r="T840" s="3" t="n">
        <v>46314.42614583333</v>
      </c>
      <c r="U840" s="2" t="n"/>
    </row>
    <row r="841">
      <c r="A841" s="2" t="inlineStr">
        <is>
          <t>Resuelta</t>
        </is>
      </c>
      <c r="B841" s="3" t="n">
        <v>46280.99930555555</v>
      </c>
      <c r="C841" s="5" t="n">
        <v>390910.27</v>
      </c>
      <c r="D841" s="5" t="n">
        <v>390910.27</v>
      </c>
      <c r="E841" s="2" t="inlineStr">
        <is>
          <t>Andalucía</t>
        </is>
      </c>
      <c r="F841" s="2" t="inlineStr">
        <is>
          <t>Granada</t>
        </is>
      </c>
      <c r="G841" s="2" t="inlineStr">
        <is>
          <t>BEZNAR (LECRIN)</t>
        </is>
      </c>
      <c r="H841" s="2" t="inlineStr">
        <is>
          <t>Presidencia de la Diputación Provincial de Granada</t>
        </is>
      </c>
      <c r="I841" s="2" t="inlineStr">
        <is>
          <t>2020/2/PPOYS-104, 2022/2/PPOYS-104, 2024/4/PPOYS-104 y 2026/4/PPOYS-104/1 "Lecrín, proyecto básico y de ejecución de cubierta pista polideportiva fase 1ª y 2ª y mejora de eficiencia energética e iluminación pista polideportiva de Béznar"</t>
        </is>
      </c>
      <c r="J841" s="2" t="inlineStr">
        <is>
          <t>OB-043/26</t>
        </is>
      </c>
      <c r="K841" s="2" t="inlineStr">
        <is>
          <t>Abierto simplificado</t>
        </is>
      </c>
      <c r="L841" s="6" t="n">
        <v>6</v>
      </c>
      <c r="M841" s="2" t="inlineStr">
        <is>
          <t>C4-3; C3-3; C2-3; C6-3; C1-3</t>
        </is>
      </c>
      <c r="N841" s="7" t="n">
        <v>0</v>
      </c>
      <c r="O841" s="4" t="n"/>
      <c r="P841" s="2" t="inlineStr">
        <is>
          <t>45210000; 45212225</t>
        </is>
      </c>
      <c r="Q841" s="8" t="inlineStr">
        <is>
          <t>Ver</t>
        </is>
      </c>
      <c r="R841" s="8" t="inlineStr">
        <is>
          <t>PCAP</t>
        </is>
      </c>
      <c r="S841" s="9" t="n">
        <v>46315</v>
      </c>
      <c r="T841" s="3" t="n">
        <v>46314.42520833333</v>
      </c>
      <c r="U841" s="2" t="n"/>
    </row>
    <row r="842">
      <c r="A842" s="2" t="inlineStr">
        <is>
          <t>Resuelta</t>
        </is>
      </c>
      <c r="B842" s="3" t="n">
        <v>46233.99930555555</v>
      </c>
      <c r="C842" s="5" t="n">
        <v>658504.16</v>
      </c>
      <c r="D842" s="5" t="n">
        <v>658504.16</v>
      </c>
      <c r="E842" s="2" t="inlineStr">
        <is>
          <t>Comunitat Valenciana</t>
        </is>
      </c>
      <c r="F842" s="2" t="inlineStr">
        <is>
          <t>Valencia</t>
        </is>
      </c>
      <c r="G842" s="2" t="inlineStr">
        <is>
          <t>Loriguilla</t>
        </is>
      </c>
      <c r="H842" s="2" t="inlineStr">
        <is>
          <t>Ayuntamiento de Loriguilla</t>
        </is>
      </c>
      <c r="I842" s="2" t="inlineStr">
        <is>
          <t>Ampliación del puente destruido por la DANA ejecutado por la Generalitat Valenciana según el proyecto redactado por VIELCA INGENIEROS tomando como base el "Estudio del comportamiento hidráulico de tres puentes en el Barranco de Pozalet, T.M. Loriguilla" realizado por AQUATEC para la Confederación Hidrográfica del Júcar (CHJ),</t>
        </is>
      </c>
      <c r="J842" s="2" t="inlineStr">
        <is>
          <t>1232/2026.- AMPLIACIÓN PUENTE LOMA TMD-DANA</t>
        </is>
      </c>
      <c r="K842" s="2" t="inlineStr">
        <is>
          <t>Abierto simplificado</t>
        </is>
      </c>
      <c r="L842" s="6" t="n">
        <v>6</v>
      </c>
      <c r="M842" s="2" t="inlineStr">
        <is>
          <t>B1-3</t>
        </is>
      </c>
      <c r="N842" s="7" t="n">
        <v>0.75</v>
      </c>
      <c r="O842" s="4" t="n"/>
      <c r="P842" s="2" t="inlineStr">
        <is>
          <t>45221110</t>
        </is>
      </c>
      <c r="Q842" s="8" t="inlineStr">
        <is>
          <t>Ver</t>
        </is>
      </c>
      <c r="R842" s="8" t="inlineStr">
        <is>
          <t>PCAP</t>
        </is>
      </c>
      <c r="S842" s="9" t="n">
        <v>46310</v>
      </c>
      <c r="T842" s="3" t="n">
        <v>46314.42469907407</v>
      </c>
      <c r="U842" s="2" t="inlineStr">
        <is>
          <t>2026-10-20: estado ADJ → RES</t>
        </is>
      </c>
    </row>
    <row r="843">
      <c r="A843" s="2" t="inlineStr">
        <is>
          <t>En plazo</t>
        </is>
      </c>
      <c r="B843" s="3" t="n">
        <v>46335.99930555555</v>
      </c>
      <c r="C843" s="5" t="n">
        <v>140495.87</v>
      </c>
      <c r="D843" s="5" t="n">
        <v>140495.87</v>
      </c>
      <c r="E843" s="2" t="inlineStr">
        <is>
          <t>Andalucía</t>
        </is>
      </c>
      <c r="F843" s="2" t="inlineStr">
        <is>
          <t>Cádiz</t>
        </is>
      </c>
      <c r="G843" s="2" t="inlineStr">
        <is>
          <t>El Gastor</t>
        </is>
      </c>
      <c r="H843" s="2" t="inlineStr">
        <is>
          <t>Alcaldía del Ayuntamiento de El Gastor</t>
        </is>
      </c>
      <c r="I843" s="2" t="inlineStr">
        <is>
          <t>Reurbanización de la trasera de calle Corrales y calle Ceniceros, en El Gastor (Cádiz).</t>
        </is>
      </c>
      <c r="J843" s="2" t="inlineStr">
        <is>
          <t>721/2026</t>
        </is>
      </c>
      <c r="K843" s="2" t="inlineStr">
        <is>
          <t>Abierto simplificado</t>
        </is>
      </c>
      <c r="L843" s="6" t="n">
        <v>8</v>
      </c>
      <c r="M843" s="2" t="n"/>
      <c r="N843" s="7" t="n">
        <v>0</v>
      </c>
      <c r="O843" s="4" t="n"/>
      <c r="P843" s="2" t="inlineStr">
        <is>
          <t>45200000; 45233140</t>
        </is>
      </c>
      <c r="Q843" s="8" t="inlineStr">
        <is>
          <t>Ver</t>
        </is>
      </c>
      <c r="R843" s="8" t="inlineStr">
        <is>
          <t>PCAP</t>
        </is>
      </c>
      <c r="S843" s="9" t="n">
        <v>46315</v>
      </c>
      <c r="T843" s="3" t="n">
        <v>46314.42408564815</v>
      </c>
      <c r="U843" s="2" t="n"/>
    </row>
    <row r="844">
      <c r="A844" s="2" t="inlineStr">
        <is>
          <t>Pendiente de adjudicación</t>
        </is>
      </c>
      <c r="B844" s="3" t="n">
        <v>46252.99930555555</v>
      </c>
      <c r="C844" s="5" t="n">
        <v>572781.63</v>
      </c>
      <c r="D844" s="5" t="n">
        <v>572781.63</v>
      </c>
      <c r="E844" s="2" t="inlineStr">
        <is>
          <t>Andalucía</t>
        </is>
      </c>
      <c r="F844" s="2" t="inlineStr">
        <is>
          <t>Sevilla</t>
        </is>
      </c>
      <c r="G844" s="2" t="inlineStr">
        <is>
          <t>GUILLENA</t>
        </is>
      </c>
      <c r="H844" s="2" t="inlineStr">
        <is>
          <t>Junta de Gobierno del Ayuntamiento de Guillena</t>
        </is>
      </c>
      <c r="I844" s="2" t="inlineStr">
        <is>
          <t>Obras de reurbanización y mejora en Parque Forestal de Torre de la Reina (Fase I y II). Plan Sevilla 107</t>
        </is>
      </c>
      <c r="J844" s="2" t="inlineStr">
        <is>
          <t>3016/2026</t>
        </is>
      </c>
      <c r="K844" s="2" t="inlineStr">
        <is>
          <t>Abierto</t>
        </is>
      </c>
      <c r="L844" s="6" t="n">
        <v>6</v>
      </c>
      <c r="M844" s="2" t="inlineStr">
        <is>
          <t>G6-3</t>
        </is>
      </c>
      <c r="N844" s="7" t="n">
        <v>0</v>
      </c>
      <c r="O844" s="4" t="n"/>
      <c r="P844" s="2" t="inlineStr">
        <is>
          <t>45233251</t>
        </is>
      </c>
      <c r="Q844" s="8" t="inlineStr">
        <is>
          <t>Ver</t>
        </is>
      </c>
      <c r="R844" s="8" t="inlineStr">
        <is>
          <t>PCAP</t>
        </is>
      </c>
      <c r="S844" s="9" t="n">
        <v>46315</v>
      </c>
      <c r="T844" s="3" t="n">
        <v>46314.4240625</v>
      </c>
      <c r="U844" s="2" t="n"/>
    </row>
    <row r="845">
      <c r="A845" s="2" t="inlineStr">
        <is>
          <t>Resuelta</t>
        </is>
      </c>
      <c r="B845" s="3" t="n">
        <v>46196.99930555555</v>
      </c>
      <c r="C845" s="5" t="n">
        <v>246906.59</v>
      </c>
      <c r="D845" s="5" t="n">
        <v>246906.59</v>
      </c>
      <c r="E845" s="2" t="inlineStr">
        <is>
          <t>Andalucía</t>
        </is>
      </c>
      <c r="F845" s="2" t="inlineStr">
        <is>
          <t>Córdoba</t>
        </is>
      </c>
      <c r="G845" s="2" t="n"/>
      <c r="H845" s="2" t="inlineStr">
        <is>
          <t>Diputado delegado de Infraestructuras, Sostenibilidad y Agricultura</t>
        </is>
      </c>
      <c r="I845" s="2" t="inlineStr">
        <is>
          <t>Contrato de obra de 1ª Fase de ampliación de edificio municipal Casa de Hermandades, en Villanueva del Duque (Córdoba). Obra incluida en los planes provinciales de obras y servicios 2024-2027.</t>
        </is>
      </c>
      <c r="J845" s="2" t="inlineStr">
        <is>
          <t>996/25 BIS</t>
        </is>
      </c>
      <c r="K845" s="2" t="inlineStr">
        <is>
          <t>Negociado sin publicidad</t>
        </is>
      </c>
      <c r="L845" s="6" t="n">
        <v>10</v>
      </c>
      <c r="M845" s="2" t="n"/>
      <c r="N845" s="7" t="n">
        <v>0.25</v>
      </c>
      <c r="O845" s="4" t="n"/>
      <c r="P845" s="2" t="inlineStr">
        <is>
          <t>45210000; 45320000; 45331000; 45110000; 45310000; 45400000</t>
        </is>
      </c>
      <c r="Q845" s="8" t="inlineStr">
        <is>
          <t>Ver</t>
        </is>
      </c>
      <c r="R845" s="8" t="inlineStr">
        <is>
          <t>PCAP</t>
        </is>
      </c>
      <c r="S845" s="9" t="n">
        <v>46310</v>
      </c>
      <c r="T845" s="3" t="n">
        <v>46314.42158564815</v>
      </c>
      <c r="U845" s="2" t="inlineStr">
        <is>
          <t>2026-10-20: estado ADJ → RES</t>
        </is>
      </c>
    </row>
    <row r="846">
      <c r="A846" s="2" t="inlineStr">
        <is>
          <t>Resuelta</t>
        </is>
      </c>
      <c r="B846" s="3" t="n">
        <v>46224.79166666666</v>
      </c>
      <c r="C846" s="5" t="n">
        <v>161512.96</v>
      </c>
      <c r="D846" s="5" t="n">
        <v>161512.96</v>
      </c>
      <c r="E846" s="2" t="inlineStr">
        <is>
          <t>Comunitat Valenciana</t>
        </is>
      </c>
      <c r="F846" s="2" t="inlineStr">
        <is>
          <t>Alicante</t>
        </is>
      </c>
      <c r="G846" s="2" t="n"/>
      <c r="H846" s="2" t="inlineStr">
        <is>
          <t>Comité de Contratación de Aguas Municipalizadas de Alicante, Empresa Mixta</t>
        </is>
      </c>
      <c r="I846" s="2" t="inlineStr">
        <is>
          <t>Reforma, electrodomésticos y mobiliario en Aureliano Ibarra por Aguas Municipalizadas de Alicante, EM.</t>
        </is>
      </c>
      <c r="J846" s="2" t="inlineStr">
        <is>
          <t>OB004/2026</t>
        </is>
      </c>
      <c r="K846" s="2" t="inlineStr">
        <is>
          <t>Abierto simplificado</t>
        </is>
      </c>
      <c r="L846" s="6" t="n">
        <v>4</v>
      </c>
      <c r="M846" s="2" t="n"/>
      <c r="N846" s="7" t="n">
        <v>0</v>
      </c>
      <c r="O846" s="4" t="n">
        <v>3</v>
      </c>
      <c r="P846" s="2" t="inlineStr">
        <is>
          <t>45000000; 39000000</t>
        </is>
      </c>
      <c r="Q846" s="8" t="inlineStr">
        <is>
          <t>Ver</t>
        </is>
      </c>
      <c r="R846" s="8" t="inlineStr">
        <is>
          <t>PCAP</t>
        </is>
      </c>
      <c r="S846" s="9" t="n">
        <v>46310</v>
      </c>
      <c r="T846" s="3" t="n">
        <v>46314.42112268518</v>
      </c>
      <c r="U846" s="2" t="inlineStr">
        <is>
          <t>2026-10-20: estado ADJ → RES</t>
        </is>
      </c>
    </row>
    <row r="847">
      <c r="A847" s="2" t="inlineStr">
        <is>
          <t>En plazo</t>
        </is>
      </c>
      <c r="B847" s="3" t="n">
        <v>46340.99930555555</v>
      </c>
      <c r="C847" s="5" t="n">
        <v>55756.59</v>
      </c>
      <c r="D847" s="5" t="n">
        <v>55756.59</v>
      </c>
      <c r="E847" s="2" t="inlineStr">
        <is>
          <t>Andalucía</t>
        </is>
      </c>
      <c r="F847" s="2" t="inlineStr">
        <is>
          <t>Málaga</t>
        </is>
      </c>
      <c r="G847" s="2" t="n"/>
      <c r="H847" s="2" t="inlineStr">
        <is>
          <t>Alcaldía del Ayuntamiento de Álora</t>
        </is>
      </c>
      <c r="I847" s="2" t="inlineStr">
        <is>
          <t>Pavimentación varias calles en Álora</t>
        </is>
      </c>
      <c r="J847" s="2" t="inlineStr">
        <is>
          <t>14/2026</t>
        </is>
      </c>
      <c r="K847" s="2" t="inlineStr">
        <is>
          <t>Abierto</t>
        </is>
      </c>
      <c r="L847" s="6" t="n">
        <v>3</v>
      </c>
      <c r="M847" s="2" t="n"/>
      <c r="N847" s="7" t="n">
        <v>0</v>
      </c>
      <c r="O847" s="4" t="n"/>
      <c r="P847" s="2" t="inlineStr">
        <is>
          <t>45233140; 45233000; 45233252</t>
        </is>
      </c>
      <c r="Q847" s="8" t="inlineStr">
        <is>
          <t>Ver</t>
        </is>
      </c>
      <c r="R847" s="8" t="inlineStr">
        <is>
          <t>PCAP</t>
        </is>
      </c>
      <c r="S847" s="9" t="n">
        <v>46315</v>
      </c>
      <c r="T847" s="3" t="n">
        <v>46314.42111111111</v>
      </c>
      <c r="U847" s="2" t="n"/>
    </row>
    <row r="848">
      <c r="A848" s="2" t="inlineStr">
        <is>
          <t>Adjudicada</t>
        </is>
      </c>
      <c r="B848" s="3" t="n">
        <v>46121.99930555555</v>
      </c>
      <c r="C848" s="5" t="n">
        <v>481033.42</v>
      </c>
      <c r="D848" s="5" t="n">
        <v>481033.42</v>
      </c>
      <c r="E848" s="2" t="inlineStr">
        <is>
          <t>Andalucía</t>
        </is>
      </c>
      <c r="F848" s="2" t="inlineStr">
        <is>
          <t>Cádiz</t>
        </is>
      </c>
      <c r="G848" s="2" t="n"/>
      <c r="H848" s="2" t="inlineStr">
        <is>
          <t>Alcaldia del Ayuntamiento de San Fernando</t>
        </is>
      </c>
      <c r="I848" s="2" t="inlineStr">
        <is>
          <t>Obras del Proyecto de remodelación de la calle Bonifaz (tramo entre Méndez Núñez y Carraca) en San Fernando</t>
        </is>
      </c>
      <c r="J848" s="2" t="inlineStr">
        <is>
          <t>SC 29/2026</t>
        </is>
      </c>
      <c r="K848" s="2" t="inlineStr">
        <is>
          <t>Abierto simplificado</t>
        </is>
      </c>
      <c r="L848" s="6" t="n">
        <v>8</v>
      </c>
      <c r="M848" s="2" t="n"/>
      <c r="N848" s="7" t="n">
        <v>0</v>
      </c>
      <c r="O848" s="4" t="n"/>
      <c r="P848" s="2" t="inlineStr">
        <is>
          <t>45233140; 45316000; 45232410; 45232150; 45315600; 45111100; 45233222</t>
        </is>
      </c>
      <c r="Q848" s="8" t="inlineStr">
        <is>
          <t>Ver</t>
        </is>
      </c>
      <c r="R848" s="8" t="inlineStr">
        <is>
          <t>PCAP</t>
        </is>
      </c>
      <c r="S848" s="9" t="n">
        <v>46310</v>
      </c>
      <c r="T848" s="3" t="n">
        <v>46314.41642361111</v>
      </c>
      <c r="U848" s="2" t="inlineStr">
        <is>
          <t>2026-10-20: estado EV → ADJ</t>
        </is>
      </c>
    </row>
    <row r="849">
      <c r="A849" s="2" t="inlineStr">
        <is>
          <t>Resuelta</t>
        </is>
      </c>
      <c r="B849" s="3" t="n">
        <v>46240.5</v>
      </c>
      <c r="C849" s="5" t="n">
        <v>578654.99</v>
      </c>
      <c r="D849" s="5" t="n">
        <v>578654.99</v>
      </c>
      <c r="E849" s="2" t="inlineStr">
        <is>
          <t>Andalucía</t>
        </is>
      </c>
      <c r="F849" s="2" t="inlineStr">
        <is>
          <t>Málaga</t>
        </is>
      </c>
      <c r="G849" s="2" t="inlineStr">
        <is>
          <t>Málaga</t>
        </is>
      </c>
      <c r="H849" s="2" t="inlineStr">
        <is>
          <t>Aena. Dirección del Aeropuerto de Málaga-Costa del Sol</t>
        </is>
      </c>
      <c r="I849" s="2" t="inlineStr">
        <is>
          <t>Instalación Contadores De Agua En El Aeropuerto De Málaga - Costa Del Sol</t>
        </is>
      </c>
      <c r="J849" s="2" t="inlineStr">
        <is>
          <t>AGP-124/2026</t>
        </is>
      </c>
      <c r="K849" s="2" t="inlineStr">
        <is>
          <t>Normas internas</t>
        </is>
      </c>
      <c r="L849" s="6" t="n"/>
      <c r="M849" s="2" t="n"/>
      <c r="N849" s="7" t="n">
        <v>0</v>
      </c>
      <c r="O849" s="4" t="n"/>
      <c r="P849" s="2" t="inlineStr">
        <is>
          <t>45330000</t>
        </is>
      </c>
      <c r="Q849" s="8" t="inlineStr">
        <is>
          <t>Ver</t>
        </is>
      </c>
      <c r="R849" s="8" t="inlineStr">
        <is>
          <t>PCAP</t>
        </is>
      </c>
      <c r="S849" s="9" t="n">
        <v>46315</v>
      </c>
      <c r="T849" s="3" t="n">
        <v>46314.41628472223</v>
      </c>
      <c r="U849" s="2" t="n"/>
    </row>
    <row r="850">
      <c r="A850" s="2" t="inlineStr">
        <is>
          <t>Resuelta</t>
        </is>
      </c>
      <c r="B850" s="3" t="n">
        <v>46240.5</v>
      </c>
      <c r="C850" s="5" t="n">
        <v>208580.54</v>
      </c>
      <c r="D850" s="5" t="n">
        <v>216923.76</v>
      </c>
      <c r="E850" s="2" t="inlineStr">
        <is>
          <t>Andalucía</t>
        </is>
      </c>
      <c r="F850" s="2" t="inlineStr">
        <is>
          <t>Málaga</t>
        </is>
      </c>
      <c r="G850" s="2" t="inlineStr">
        <is>
          <t>Málaga</t>
        </is>
      </c>
      <c r="H850" s="2" t="inlineStr">
        <is>
          <t>Aena. Dirección del Aeropuerto de Málaga-Costa del Sol</t>
        </is>
      </c>
      <c r="I850" s="2" t="inlineStr">
        <is>
          <t>Refuerzo E Instalación De Climatización De Diferentes Dependencias En El Aeropuerto De Málaga ¿ Costa Del Sol</t>
        </is>
      </c>
      <c r="J850" s="2" t="inlineStr">
        <is>
          <t>AGP-110/2026</t>
        </is>
      </c>
      <c r="K850" s="2" t="inlineStr">
        <is>
          <t>Normas internas</t>
        </is>
      </c>
      <c r="L850" s="6" t="n"/>
      <c r="M850" s="2" t="n"/>
      <c r="N850" s="7" t="n">
        <v>0</v>
      </c>
      <c r="O850" s="4" t="n"/>
      <c r="P850" s="2" t="inlineStr">
        <is>
          <t>45331200</t>
        </is>
      </c>
      <c r="Q850" s="8" t="inlineStr">
        <is>
          <t>Ver</t>
        </is>
      </c>
      <c r="R850" s="2" t="n"/>
      <c r="S850" s="9" t="n">
        <v>46315</v>
      </c>
      <c r="T850" s="3" t="n">
        <v>46314.41594907407</v>
      </c>
      <c r="U850" s="2" t="n"/>
    </row>
    <row r="851">
      <c r="A851" s="2" t="inlineStr">
        <is>
          <t>Resuelta</t>
        </is>
      </c>
      <c r="B851" s="3" t="n">
        <v>46240.5</v>
      </c>
      <c r="C851" s="5" t="n">
        <v>95000</v>
      </c>
      <c r="D851" s="5" t="n">
        <v>95000</v>
      </c>
      <c r="E851" s="2" t="inlineStr">
        <is>
          <t>Andalucía</t>
        </is>
      </c>
      <c r="F851" s="2" t="inlineStr">
        <is>
          <t>Málaga</t>
        </is>
      </c>
      <c r="G851" s="2" t="inlineStr">
        <is>
          <t>Málaga</t>
        </is>
      </c>
      <c r="H851" s="2" t="inlineStr">
        <is>
          <t>Aena. Dirección del Aeropuerto de Málaga-Costa del Sol</t>
        </is>
      </c>
      <c r="I851" s="2" t="inlineStr">
        <is>
          <t>Aumento De Potencia En Ct62 Por Cargadores De Alta Demanda En El Aeropuerto De Málaga-Costa Del Sol</t>
        </is>
      </c>
      <c r="J851" s="2" t="inlineStr">
        <is>
          <t>AGP-102/2026</t>
        </is>
      </c>
      <c r="K851" s="2" t="inlineStr">
        <is>
          <t>Normas internas</t>
        </is>
      </c>
      <c r="L851" s="6" t="n"/>
      <c r="M851" s="2" t="n"/>
      <c r="N851" s="7" t="n">
        <v>0</v>
      </c>
      <c r="O851" s="4" t="n"/>
      <c r="P851" s="2" t="inlineStr">
        <is>
          <t>45317200</t>
        </is>
      </c>
      <c r="Q851" s="8" t="inlineStr">
        <is>
          <t>Ver</t>
        </is>
      </c>
      <c r="R851" s="2" t="n"/>
      <c r="S851" s="9" t="n">
        <v>46315</v>
      </c>
      <c r="T851" s="3" t="n">
        <v>46314.41543981482</v>
      </c>
      <c r="U851" s="2" t="n"/>
    </row>
    <row r="852">
      <c r="A852" s="2" t="inlineStr">
        <is>
          <t>En plazo</t>
        </is>
      </c>
      <c r="B852" s="3" t="n">
        <v>46335.99930555555</v>
      </c>
      <c r="C852" s="5" t="n">
        <v>136908.47</v>
      </c>
      <c r="D852" s="5" t="n">
        <v>136908.47</v>
      </c>
      <c r="E852" s="2" t="inlineStr">
        <is>
          <t>Andalucía</t>
        </is>
      </c>
      <c r="F852" s="2" t="inlineStr">
        <is>
          <t>Almería</t>
        </is>
      </c>
      <c r="G852" s="2" t="n"/>
      <c r="H852" s="2" t="inlineStr">
        <is>
          <t>Comisión Ejecutiva de la Gerencia Municipal de Urbanismo del Ayuntamiento de Almería</t>
        </is>
      </c>
      <c r="I852" s="2" t="inlineStr">
        <is>
          <t>Contrato de obras contempladas en el Proyecto de "Restauración Urbana y Paisajística del Camino Viejo de Almería. Itinerario a Cantera de Bayyana (Almería)"</t>
        </is>
      </c>
      <c r="J852" s="2" t="inlineStr">
        <is>
          <t>AYAL-2026000207</t>
        </is>
      </c>
      <c r="K852" s="2" t="inlineStr">
        <is>
          <t>Abierto simplificado</t>
        </is>
      </c>
      <c r="L852" s="6" t="n">
        <v>3</v>
      </c>
      <c r="M852" s="2" t="n"/>
      <c r="N852" s="7" t="n">
        <v>0.25</v>
      </c>
      <c r="O852" s="4" t="n"/>
      <c r="P852" s="2" t="inlineStr">
        <is>
          <t>45233161; 45233253</t>
        </is>
      </c>
      <c r="Q852" s="8" t="inlineStr">
        <is>
          <t>Ver</t>
        </is>
      </c>
      <c r="R852" s="8" t="inlineStr">
        <is>
          <t>PCAP</t>
        </is>
      </c>
      <c r="S852" s="9" t="n">
        <v>46315</v>
      </c>
      <c r="T852" s="3" t="n">
        <v>46314.41340277778</v>
      </c>
      <c r="U852" s="2" t="n"/>
    </row>
    <row r="853">
      <c r="A853" s="2" t="inlineStr">
        <is>
          <t>Pendiente de adjudicación</t>
        </is>
      </c>
      <c r="B853" s="3" t="n">
        <v>46300.72916666666</v>
      </c>
      <c r="C853" s="5" t="n">
        <v>520801.55</v>
      </c>
      <c r="D853" s="5" t="n">
        <v>520801.55</v>
      </c>
      <c r="E853" s="2" t="inlineStr">
        <is>
          <t>Andalucía</t>
        </is>
      </c>
      <c r="F853" s="2" t="inlineStr">
        <is>
          <t>Granada</t>
        </is>
      </c>
      <c r="G853" s="2" t="n"/>
      <c r="H853" s="2" t="inlineStr">
        <is>
          <t>Junta de Gobierno del Ayuntamiento de Granada</t>
        </is>
      </c>
      <c r="I853" s="2" t="inlineStr">
        <is>
          <t>Contrato de obras para la remodelación de la plaza Virgen del Rocío</t>
        </is>
      </c>
      <c r="J853" s="2" t="inlineStr">
        <is>
          <t>OBR-2026000099</t>
        </is>
      </c>
      <c r="K853" s="2" t="inlineStr">
        <is>
          <t>Abierto</t>
        </is>
      </c>
      <c r="L853" s="6" t="n">
        <v>6</v>
      </c>
      <c r="M853" s="2" t="n"/>
      <c r="N853" s="7" t="n">
        <v>0.4</v>
      </c>
      <c r="O853" s="4" t="n"/>
      <c r="P853" s="2" t="inlineStr">
        <is>
          <t>45000000; 45432111; 37535210; 45111100; 45223800; 45233293; 45316100; 45240000; 34928400; 45112700; 45212190; 45233200; 45317000</t>
        </is>
      </c>
      <c r="Q853" s="8" t="inlineStr">
        <is>
          <t>Ver</t>
        </is>
      </c>
      <c r="R853" s="8" t="inlineStr">
        <is>
          <t>PCAP</t>
        </is>
      </c>
      <c r="S853" s="9" t="n">
        <v>46310</v>
      </c>
      <c r="T853" s="3" t="n">
        <v>46314.40857638889</v>
      </c>
      <c r="U853" s="2" t="n"/>
    </row>
    <row r="854">
      <c r="A854" s="2" t="inlineStr">
        <is>
          <t>Resuelta</t>
        </is>
      </c>
      <c r="B854" s="3" t="n">
        <v>46308.33333333334</v>
      </c>
      <c r="C854" s="5" t="n">
        <v>112947.47</v>
      </c>
      <c r="D854" s="5" t="n">
        <v>124242.22</v>
      </c>
      <c r="E854" s="2" t="inlineStr">
        <is>
          <t>Andalucía</t>
        </is>
      </c>
      <c r="F854" s="2" t="inlineStr">
        <is>
          <t>Sevilla</t>
        </is>
      </c>
      <c r="G854" s="2" t="n"/>
      <c r="H854" s="2" t="inlineStr">
        <is>
          <t>Instituto de Vivienda, Infraestructura y Equipamiento de la Defensa</t>
        </is>
      </c>
      <c r="I854" s="2" t="inlineStr">
        <is>
          <t>Obras de rehabilitación y adaptación de la accesibilidad de una vivienda en edificio plurifamiliar situado en Avenida de la Borbolla 33, Bajo. Sevilla</t>
        </is>
      </c>
      <c r="J854" s="2" t="inlineStr">
        <is>
          <t>202600000216</t>
        </is>
      </c>
      <c r="K854" s="2" t="inlineStr">
        <is>
          <t>Abierto simplificado</t>
        </is>
      </c>
      <c r="L854" s="6" t="n">
        <v>4</v>
      </c>
      <c r="M854" s="2" t="n"/>
      <c r="N854" s="7" t="n">
        <v>0</v>
      </c>
      <c r="O854" s="4" t="n"/>
      <c r="P854" s="2" t="inlineStr">
        <is>
          <t>45259900; 45300000; 45262520</t>
        </is>
      </c>
      <c r="Q854" s="8" t="inlineStr">
        <is>
          <t>Ver</t>
        </is>
      </c>
      <c r="R854" s="8" t="inlineStr">
        <is>
          <t>PCAP</t>
        </is>
      </c>
      <c r="S854" s="9" t="n">
        <v>46314</v>
      </c>
      <c r="T854" s="3" t="n">
        <v>46314.40609953704</v>
      </c>
      <c r="U854" s="2" t="inlineStr">
        <is>
          <t>2026-10-20: estado EV → RES</t>
        </is>
      </c>
    </row>
    <row r="855">
      <c r="A855" s="2" t="inlineStr">
        <is>
          <t>Pendiente de adjudicación</t>
        </is>
      </c>
      <c r="B855" s="3" t="n">
        <v>46244.99930555555</v>
      </c>
      <c r="C855" s="5" t="n">
        <v>361251.82</v>
      </c>
      <c r="D855" s="5" t="n">
        <v>361251.82</v>
      </c>
      <c r="E855" s="2" t="inlineStr">
        <is>
          <t>Andalucía</t>
        </is>
      </c>
      <c r="F855" s="2" t="inlineStr">
        <is>
          <t>Huelva</t>
        </is>
      </c>
      <c r="G855" s="2" t="inlineStr">
        <is>
          <t>Cortegana</t>
        </is>
      </c>
      <c r="H855" s="2" t="inlineStr">
        <is>
          <t>Presidencia de la Diputación Provincial de Huelva</t>
        </is>
      </c>
      <c r="I855" s="2" t="inlineStr">
        <is>
          <t>Contrato de obras necesarias para la reforma total de la cubierta y la adecuación parcial de la planta alta del Edificio Municipal ubicado en Cortegana, en la Calle Carmen 8, para que albergue las futura Oficina Comarcal que la Excma. Diputación Provincial de Huelva pretende emplazar en la localidad</t>
        </is>
      </c>
      <c r="J855" s="2" t="inlineStr">
        <is>
          <t>2025/CMY_03/000044N</t>
        </is>
      </c>
      <c r="K855" s="2" t="inlineStr">
        <is>
          <t>Negociado sin publicidad</t>
        </is>
      </c>
      <c r="L855" s="6" t="n">
        <v>6</v>
      </c>
      <c r="M855" s="2" t="n"/>
      <c r="N855" s="7" t="n">
        <v>0</v>
      </c>
      <c r="O855" s="4" t="n"/>
      <c r="P855" s="2" t="inlineStr">
        <is>
          <t>45261000</t>
        </is>
      </c>
      <c r="Q855" s="8" t="inlineStr">
        <is>
          <t>Ver</t>
        </is>
      </c>
      <c r="R855" s="8" t="inlineStr">
        <is>
          <t>PCAP</t>
        </is>
      </c>
      <c r="S855" s="9" t="n">
        <v>46315</v>
      </c>
      <c r="T855" s="3" t="n">
        <v>46314.40548611111</v>
      </c>
      <c r="U855" s="2" t="n"/>
    </row>
    <row r="856">
      <c r="A856" s="2" t="inlineStr">
        <is>
          <t>En plazo</t>
        </is>
      </c>
      <c r="B856" s="3" t="n">
        <v>46342.99930555555</v>
      </c>
      <c r="C856" s="5" t="n">
        <v>320434.7</v>
      </c>
      <c r="D856" s="5" t="n">
        <v>320434.7</v>
      </c>
      <c r="E856" s="2" t="inlineStr">
        <is>
          <t>Andalucía</t>
        </is>
      </c>
      <c r="F856" s="2" t="inlineStr">
        <is>
          <t>Córdoba</t>
        </is>
      </c>
      <c r="G856" s="2" t="n"/>
      <c r="H856" s="2" t="inlineStr">
        <is>
          <t>Junta de Gobierno de la Diputación Provincial de Córdoba</t>
        </is>
      </c>
      <c r="I856" s="2" t="inlineStr">
        <is>
          <t>Contratación de la obra de construcción de tanatorio y adecuación de ampliación de Cementerio en Guadalcázar en Córdoba, obra incluida en los Planes Provinciales de Obras y Servicios 2024-2027 (bienio 2026-2027).</t>
        </is>
      </c>
      <c r="J856" s="2" t="inlineStr">
        <is>
          <t>736/26</t>
        </is>
      </c>
      <c r="K856" s="2" t="inlineStr">
        <is>
          <t>Abierto</t>
        </is>
      </c>
      <c r="L856" s="6" t="n">
        <v>10</v>
      </c>
      <c r="M856" s="2" t="n"/>
      <c r="N856" s="7" t="n">
        <v>0.25</v>
      </c>
      <c r="O856" s="4" t="n"/>
      <c r="P856" s="2" t="inlineStr">
        <is>
          <t>45200000; 45215400</t>
        </is>
      </c>
      <c r="Q856" s="8" t="inlineStr">
        <is>
          <t>Ver</t>
        </is>
      </c>
      <c r="R856" s="8" t="inlineStr">
        <is>
          <t>PCAP</t>
        </is>
      </c>
      <c r="S856" s="9" t="n">
        <v>46315</v>
      </c>
      <c r="T856" s="3" t="n">
        <v>46314.40357638889</v>
      </c>
      <c r="U856" s="2" t="n"/>
    </row>
    <row r="857">
      <c r="A857" s="2" t="inlineStr">
        <is>
          <t>En plazo</t>
        </is>
      </c>
      <c r="B857" s="3" t="n">
        <v>46338.58333333334</v>
      </c>
      <c r="C857" s="5" t="n">
        <v>94335.5</v>
      </c>
      <c r="D857" s="5" t="n">
        <v>94335.5</v>
      </c>
      <c r="E857" s="2" t="inlineStr">
        <is>
          <t>Andalucía</t>
        </is>
      </c>
      <c r="F857" s="2" t="inlineStr">
        <is>
          <t>Sevilla</t>
        </is>
      </c>
      <c r="G857" s="2" t="inlineStr">
        <is>
          <t>Santiponce</t>
        </is>
      </c>
      <c r="H857" s="2" t="inlineStr">
        <is>
          <t>Compras de la Corporación de Radio y Televisión Española S.A.</t>
        </is>
      </c>
      <c r="I857" s="2" t="inlineStr">
        <is>
          <t>Obras remodelación de seguridad accesos CPP Andalucía</t>
        </is>
      </c>
      <c r="J857" s="2" t="inlineStr">
        <is>
          <t>S-04038-2026</t>
        </is>
      </c>
      <c r="K857" s="2" t="inlineStr">
        <is>
          <t>Abierto</t>
        </is>
      </c>
      <c r="L857" s="6" t="n">
        <v>3.4</v>
      </c>
      <c r="M857" s="2" t="n"/>
      <c r="N857" s="7" t="n">
        <v>0</v>
      </c>
      <c r="O857" s="4" t="n"/>
      <c r="P857" s="2" t="inlineStr">
        <is>
          <t>45233260; 45450000; 45400000; 45233250; 45000000</t>
        </is>
      </c>
      <c r="Q857" s="8" t="inlineStr">
        <is>
          <t>Ver</t>
        </is>
      </c>
      <c r="R857" s="8" t="inlineStr">
        <is>
          <t>PCAP</t>
        </is>
      </c>
      <c r="S857" s="9" t="n">
        <v>46311</v>
      </c>
      <c r="T857" s="3" t="n">
        <v>46314.4027199074</v>
      </c>
      <c r="U857" s="2" t="n"/>
    </row>
    <row r="858">
      <c r="A858" s="2" t="inlineStr">
        <is>
          <t>Adjudicada</t>
        </is>
      </c>
      <c r="B858" s="3" t="n">
        <v>46274.99930555555</v>
      </c>
      <c r="C858" s="5" t="n">
        <v>3296304.52</v>
      </c>
      <c r="D858" s="5" t="n">
        <v>3625934.97</v>
      </c>
      <c r="E858" s="2" t="inlineStr">
        <is>
          <t>Andalucía</t>
        </is>
      </c>
      <c r="F858" s="2" t="inlineStr">
        <is>
          <t>Jaén</t>
        </is>
      </c>
      <c r="G858" s="2" t="inlineStr">
        <is>
          <t>MENGÍBAR</t>
        </is>
      </c>
      <c r="H858" s="2" t="inlineStr">
        <is>
          <t>Pleno del Ayuntamiento de Mengibar</t>
        </is>
      </c>
      <c r="I858" s="2" t="inlineStr">
        <is>
          <t>Contrato de Obras de Edificio Cívico-Cultural Multifuncional en el ámbito del antiguo Cine Avenida, Mengíbar</t>
        </is>
      </c>
      <c r="J858" s="2" t="inlineStr">
        <is>
          <t>3587/2026</t>
        </is>
      </c>
      <c r="K858" s="2" t="inlineStr">
        <is>
          <t>Abierto</t>
        </is>
      </c>
      <c r="L858" s="6" t="n">
        <v>16</v>
      </c>
      <c r="M858" s="2" t="inlineStr">
        <is>
          <t>C*-5</t>
        </is>
      </c>
      <c r="N858" s="7" t="n">
        <v>0.1</v>
      </c>
      <c r="O858" s="4" t="n"/>
      <c r="P858" s="2" t="inlineStr">
        <is>
          <t>45000000</t>
        </is>
      </c>
      <c r="Q858" s="8" t="inlineStr">
        <is>
          <t>Ver</t>
        </is>
      </c>
      <c r="R858" s="8" t="inlineStr">
        <is>
          <t>PCAP</t>
        </is>
      </c>
      <c r="S858" s="9" t="n">
        <v>46315</v>
      </c>
      <c r="T858" s="3" t="n">
        <v>46314.39578703704</v>
      </c>
      <c r="U858" s="2" t="n"/>
    </row>
    <row r="859">
      <c r="A859" s="2" t="inlineStr">
        <is>
          <t>En plazo</t>
        </is>
      </c>
      <c r="B859" s="3" t="n">
        <v>46335.58333333334</v>
      </c>
      <c r="C859" s="5" t="n">
        <v>206611.57</v>
      </c>
      <c r="D859" s="5" t="n">
        <v>206611.57</v>
      </c>
      <c r="E859" s="2" t="inlineStr">
        <is>
          <t>Andalucía</t>
        </is>
      </c>
      <c r="F859" s="2" t="inlineStr">
        <is>
          <t>Cádiz</t>
        </is>
      </c>
      <c r="G859" s="2" t="inlineStr">
        <is>
          <t>Alcalá del Valle</t>
        </is>
      </c>
      <c r="H859" s="2" t="inlineStr">
        <is>
          <t>Junta de Gobierno Local del Ayuntamiento de Alcalá del Valle</t>
        </is>
      </c>
      <c r="I859" s="2" t="inlineStr">
        <is>
          <t>Jardín Botánico y creación de zonas verdes.</t>
        </is>
      </c>
      <c r="J859" s="2" t="inlineStr">
        <is>
          <t>O07/2026</t>
        </is>
      </c>
      <c r="K859" s="2" t="inlineStr">
        <is>
          <t>Abierto simplificado</t>
        </is>
      </c>
      <c r="L859" s="6" t="n">
        <v>6</v>
      </c>
      <c r="M859" s="2" t="inlineStr">
        <is>
          <t>G6-2</t>
        </is>
      </c>
      <c r="N859" s="7" t="n">
        <v>0</v>
      </c>
      <c r="O859" s="4" t="n"/>
      <c r="P859" s="2" t="inlineStr">
        <is>
          <t>45112700</t>
        </is>
      </c>
      <c r="Q859" s="8" t="inlineStr">
        <is>
          <t>Ver</t>
        </is>
      </c>
      <c r="R859" s="8" t="inlineStr">
        <is>
          <t>PCAP</t>
        </is>
      </c>
      <c r="S859" s="9" t="n">
        <v>46315</v>
      </c>
      <c r="T859" s="3" t="n">
        <v>46314.39482638889</v>
      </c>
      <c r="U859" s="2" t="n"/>
    </row>
    <row r="860">
      <c r="A860" s="2" t="inlineStr">
        <is>
          <t>Adjudicada</t>
        </is>
      </c>
      <c r="B860" s="3" t="n">
        <v>46293.375</v>
      </c>
      <c r="C860" s="5" t="n">
        <v>79818.53999999999</v>
      </c>
      <c r="D860" s="5" t="n">
        <v>79818.53999999999</v>
      </c>
      <c r="E860" s="2" t="inlineStr">
        <is>
          <t>Andalucía</t>
        </is>
      </c>
      <c r="F860" s="2" t="inlineStr">
        <is>
          <t>Cádiz</t>
        </is>
      </c>
      <c r="G860" s="2" t="n"/>
      <c r="H860" s="2" t="inlineStr">
        <is>
          <t>Intendente de San Fernando</t>
        </is>
      </c>
      <c r="I860" s="2" t="inlineStr">
        <is>
          <t>Reparación y adecuación del vallado exterior de la JUEF.</t>
        </is>
      </c>
      <c r="J860" s="2" t="inlineStr">
        <is>
          <t>2026/AR43U/00002230E</t>
        </is>
      </c>
      <c r="K860" s="2" t="inlineStr">
        <is>
          <t>Abierto simplificado</t>
        </is>
      </c>
      <c r="L860" s="6" t="n">
        <v>1.7</v>
      </c>
      <c r="M860" s="2" t="n"/>
      <c r="N860" s="7" t="n">
        <v>0</v>
      </c>
      <c r="O860" s="4" t="n"/>
      <c r="P860" s="2" t="inlineStr">
        <is>
          <t>45421160</t>
        </is>
      </c>
      <c r="Q860" s="8" t="inlineStr">
        <is>
          <t>Ver</t>
        </is>
      </c>
      <c r="R860" s="8" t="inlineStr">
        <is>
          <t>PCAP</t>
        </is>
      </c>
      <c r="S860" s="9" t="n">
        <v>46315</v>
      </c>
      <c r="T860" s="3" t="n">
        <v>46314.38715277778</v>
      </c>
      <c r="U860" s="2" t="n"/>
    </row>
    <row r="861">
      <c r="A861" s="2" t="inlineStr">
        <is>
          <t>Resuelta</t>
        </is>
      </c>
      <c r="B861" s="3" t="n">
        <v>46225.58333333334</v>
      </c>
      <c r="C861" s="5" t="n">
        <v>213023.88</v>
      </c>
      <c r="D861" s="5" t="n">
        <v>213023.88</v>
      </c>
      <c r="E861" s="2" t="inlineStr">
        <is>
          <t>Comunitat Valenciana</t>
        </is>
      </c>
      <c r="F861" s="2" t="inlineStr">
        <is>
          <t>Valencia</t>
        </is>
      </c>
      <c r="G861" s="2" t="inlineStr">
        <is>
          <t>Valencia</t>
        </is>
      </c>
      <c r="H861" s="2" t="inlineStr">
        <is>
          <t>Departamento de Salud Valencia - Arnau de Vilanova - Llíria. Dirección Económica-Gerencia</t>
        </is>
      </c>
      <c r="I861" s="2" t="inlineStr">
        <is>
          <t>Obra de reforma de la instalación de detección y alarma de incendios en el hospital de Lliria del Departamento de Salud de Valencia-Arnau de Vilanova-Llíria</t>
        </is>
      </c>
      <c r="J861" s="2" t="inlineStr">
        <is>
          <t>1267/2026</t>
        </is>
      </c>
      <c r="K861" s="2" t="inlineStr">
        <is>
          <t>Abierto</t>
        </is>
      </c>
      <c r="L861" s="6" t="n">
        <v>7</v>
      </c>
      <c r="M861" s="2" t="n"/>
      <c r="N861" s="7" t="n">
        <v>0.4</v>
      </c>
      <c r="O861" s="4" t="n"/>
      <c r="P861" s="2" t="inlineStr">
        <is>
          <t>45312100</t>
        </is>
      </c>
      <c r="Q861" s="8" t="inlineStr">
        <is>
          <t>Ver</t>
        </is>
      </c>
      <c r="R861" s="8" t="inlineStr">
        <is>
          <t>PCAP</t>
        </is>
      </c>
      <c r="S861" s="9" t="n">
        <v>46315</v>
      </c>
      <c r="T861" s="3" t="n">
        <v>46314.38248842592</v>
      </c>
      <c r="U861" s="2" t="n"/>
    </row>
    <row r="862">
      <c r="A862" s="2" t="inlineStr">
        <is>
          <t>Pendiente de adjudicación</t>
        </is>
      </c>
      <c r="B862" s="3" t="n">
        <v>46308.99930555555</v>
      </c>
      <c r="C862" s="5" t="n">
        <v>448558.12</v>
      </c>
      <c r="D862" s="5" t="n">
        <v>448558.12</v>
      </c>
      <c r="E862" s="2" t="inlineStr">
        <is>
          <t>Andalucía</t>
        </is>
      </c>
      <c r="F862" s="2" t="inlineStr">
        <is>
          <t>Jaén</t>
        </is>
      </c>
      <c r="G862" s="2" t="inlineStr">
        <is>
          <t>JAÉN</t>
        </is>
      </c>
      <c r="H862" s="2" t="inlineStr">
        <is>
          <t>Presidencia de la Diputación Provincial de Jaén</t>
        </is>
      </c>
      <c r="I862" s="2" t="inlineStr">
        <is>
          <t>Contrato de obras de refuerzo de firme de la JV-3032 Bedmar a Estación Garcíez-Jimena.</t>
        </is>
      </c>
      <c r="J862" s="2" t="inlineStr">
        <is>
          <t>CO-2026/000742</t>
        </is>
      </c>
      <c r="K862" s="2" t="inlineStr">
        <is>
          <t>Abierto simplificado</t>
        </is>
      </c>
      <c r="L862" s="6" t="n">
        <v>6</v>
      </c>
      <c r="M862" s="2" t="n"/>
      <c r="N862" s="7" t="n">
        <v>0.25</v>
      </c>
      <c r="O862" s="4" t="n"/>
      <c r="P862" s="2" t="inlineStr">
        <is>
          <t>45233223</t>
        </is>
      </c>
      <c r="Q862" s="8" t="inlineStr">
        <is>
          <t>Ver</t>
        </is>
      </c>
      <c r="R862" s="8" t="inlineStr">
        <is>
          <t>PCAP</t>
        </is>
      </c>
      <c r="S862" s="9" t="n">
        <v>46315</v>
      </c>
      <c r="T862" s="3" t="n">
        <v>46314.38165509259</v>
      </c>
      <c r="U862" s="2" t="n"/>
    </row>
    <row r="863">
      <c r="A863" s="2" t="inlineStr">
        <is>
          <t>En plazo</t>
        </is>
      </c>
      <c r="B863" s="3" t="n">
        <v>46342.99930555555</v>
      </c>
      <c r="C863" s="5" t="n">
        <v>3900977.87</v>
      </c>
      <c r="D863" s="5" t="n">
        <v>5071271.23</v>
      </c>
      <c r="E863" s="2" t="inlineStr">
        <is>
          <t>Comunitat Valenciana</t>
        </is>
      </c>
      <c r="F863" s="2" t="inlineStr">
        <is>
          <t>Valencia</t>
        </is>
      </c>
      <c r="G863" s="2" t="n"/>
      <c r="H863" s="2" t="inlineStr">
        <is>
          <t>Consorcio Hospital General Universitario de Valencia</t>
        </is>
      </c>
      <c r="I863" s="2" t="inlineStr">
        <is>
          <t>Obra de reforma de la cocina del Consorcio Hospital General Universitario de Valencia.</t>
        </is>
      </c>
      <c r="J863" s="2" t="inlineStr">
        <is>
          <t>CMAYOR/2027/HGUV0/0088</t>
        </is>
      </c>
      <c r="K863" s="2" t="inlineStr">
        <is>
          <t>Abierto</t>
        </is>
      </c>
      <c r="L863" s="6" t="n">
        <v>12</v>
      </c>
      <c r="M863" s="2" t="n"/>
      <c r="N863" s="7" t="n">
        <v>0.23</v>
      </c>
      <c r="O863" s="4" t="n"/>
      <c r="P863" s="2" t="inlineStr">
        <is>
          <t>45215100; 39141400; 45421151; 45215140; 45212500; 45215120</t>
        </is>
      </c>
      <c r="Q863" s="8" t="inlineStr">
        <is>
          <t>Ver</t>
        </is>
      </c>
      <c r="R863" s="8" t="inlineStr">
        <is>
          <t>PCAP</t>
        </is>
      </c>
      <c r="S863" s="9" t="n">
        <v>46314</v>
      </c>
      <c r="T863" s="3" t="n">
        <v>46314.38136574074</v>
      </c>
      <c r="U863" s="2" t="n"/>
    </row>
    <row r="864">
      <c r="A864" s="2" t="inlineStr">
        <is>
          <t>Resuelta</t>
        </is>
      </c>
      <c r="B864" s="3" t="n">
        <v>46262.99930555555</v>
      </c>
      <c r="C864" s="5" t="n">
        <v>895294.01</v>
      </c>
      <c r="D864" s="5" t="n">
        <v>895294.01</v>
      </c>
      <c r="E864" s="2" t="inlineStr">
        <is>
          <t>Andalucía</t>
        </is>
      </c>
      <c r="F864" s="2" t="inlineStr">
        <is>
          <t>Córdoba</t>
        </is>
      </c>
      <c r="G864" s="2" t="inlineStr">
        <is>
          <t>Pozoblanco</t>
        </is>
      </c>
      <c r="H864" s="2" t="inlineStr">
        <is>
          <t>Alcaldia del Ayuntamiento de Pozoblanco</t>
        </is>
      </c>
      <c r="I864" s="2" t="inlineStr">
        <is>
          <t>Ejecución de las obras para el acondicionamiento de la zona infantil y ajardinada de la Piscina Municipal de Pozoblanco (Córdoba). La actuación se incluye dentro de las operaciones financiadas por el Plan Provincial Diputación Invierte (Ejercicio 2024).</t>
        </is>
      </c>
      <c r="J864" s="2" t="inlineStr">
        <is>
          <t>2026/022</t>
        </is>
      </c>
      <c r="K864" s="2" t="inlineStr">
        <is>
          <t>Abierto</t>
        </is>
      </c>
      <c r="L864" s="6" t="n">
        <v>5</v>
      </c>
      <c r="M864" s="2" t="n"/>
      <c r="N864" s="7" t="n">
        <v>0</v>
      </c>
      <c r="O864" s="4" t="n">
        <v>2</v>
      </c>
      <c r="P864" s="2" t="inlineStr">
        <is>
          <t>45212212; 45112723; 37535200; 43324100</t>
        </is>
      </c>
      <c r="Q864" s="8" t="inlineStr">
        <is>
          <t>Ver</t>
        </is>
      </c>
      <c r="R864" s="8" t="inlineStr">
        <is>
          <t>PCAP</t>
        </is>
      </c>
      <c r="S864" s="9" t="n">
        <v>46315</v>
      </c>
      <c r="T864" s="3" t="n">
        <v>46314.38109953704</v>
      </c>
      <c r="U864" s="2" t="n"/>
    </row>
    <row r="865">
      <c r="A865" s="2" t="inlineStr">
        <is>
          <t>Adjudicada</t>
        </is>
      </c>
      <c r="B865" s="3" t="n">
        <v>46161.54166666666</v>
      </c>
      <c r="C865" s="5" t="n">
        <v>2269340.99</v>
      </c>
      <c r="D865" s="5" t="n">
        <v>2482608.9</v>
      </c>
      <c r="E865" s="2" t="inlineStr">
        <is>
          <t>Andalucía</t>
        </is>
      </c>
      <c r="F865" s="2" t="inlineStr">
        <is>
          <t>Córdoba</t>
        </is>
      </c>
      <c r="G865" s="2" t="inlineStr">
        <is>
          <t>Córdoba</t>
        </is>
      </c>
      <c r="H865" s="2" t="inlineStr">
        <is>
          <t>Empresa Nacional de Residuos Radiactivos, S.A., S.M.E. (ENRESA)</t>
        </is>
      </c>
      <c r="I865" s="2" t="inlineStr">
        <is>
          <t>Redacción Proyecto y Ejecución Obra Construcción Planta Solar Fotovoltaica en El Cabril</t>
        </is>
      </c>
      <c r="J865" s="2" t="inlineStr">
        <is>
          <t>CO-CB-26-015</t>
        </is>
      </c>
      <c r="K865" s="2" t="inlineStr">
        <is>
          <t>Abierto</t>
        </is>
      </c>
      <c r="L865" s="6" t="n">
        <v>45</v>
      </c>
      <c r="M865" s="2" t="n"/>
      <c r="N865" s="7" t="n">
        <v>0</v>
      </c>
      <c r="O865" s="4" t="n"/>
      <c r="P865" s="2" t="inlineStr">
        <is>
          <t>45310000; 45200000</t>
        </is>
      </c>
      <c r="Q865" s="8" t="inlineStr">
        <is>
          <t>Ver</t>
        </is>
      </c>
      <c r="R865" s="8" t="inlineStr">
        <is>
          <t>PCAP</t>
        </is>
      </c>
      <c r="S865" s="9" t="n">
        <v>46315</v>
      </c>
      <c r="T865" s="3" t="n">
        <v>46314.37982638889</v>
      </c>
      <c r="U865" s="2" t="n"/>
    </row>
    <row r="866">
      <c r="A866" s="2" t="inlineStr">
        <is>
          <t>Resuelta</t>
        </is>
      </c>
      <c r="B866" s="3" t="n">
        <v>46251.99930555555</v>
      </c>
      <c r="C866" s="5" t="n">
        <v>67705</v>
      </c>
      <c r="D866" s="5" t="n">
        <v>67705</v>
      </c>
      <c r="E866" s="2" t="inlineStr">
        <is>
          <t>Comunitat Valenciana</t>
        </is>
      </c>
      <c r="F866" s="2" t="inlineStr">
        <is>
          <t>Valencia</t>
        </is>
      </c>
      <c r="G866" s="2" t="n"/>
      <c r="H866" s="2" t="inlineStr">
        <is>
          <t>Departamento de Salud de Manises. Dirección Económica-Gerencia</t>
        </is>
      </c>
      <c r="I866" s="2" t="inlineStr">
        <is>
          <t>Obra para la instalación de puertas automáticas en Centros de Salud del Departamento de Salud de Manises</t>
        </is>
      </c>
      <c r="J866" s="2" t="inlineStr">
        <is>
          <t>PA OB 1370/2026</t>
        </is>
      </c>
      <c r="K866" s="2" t="inlineStr">
        <is>
          <t>Abierto</t>
        </is>
      </c>
      <c r="L866" s="6" t="n">
        <v>2</v>
      </c>
      <c r="M866" s="2" t="n"/>
      <c r="N866" s="7" t="n">
        <v>0.4</v>
      </c>
      <c r="O866" s="4" t="n"/>
      <c r="P866" s="2" t="inlineStr">
        <is>
          <t>45215100; 45421111; 45421160; 44221310</t>
        </is>
      </c>
      <c r="Q866" s="8" t="inlineStr">
        <is>
          <t>Ver</t>
        </is>
      </c>
      <c r="R866" s="8" t="inlineStr">
        <is>
          <t>PCAP</t>
        </is>
      </c>
      <c r="S866" s="9" t="n">
        <v>46310</v>
      </c>
      <c r="T866" s="3" t="n">
        <v>46314.37549768519</v>
      </c>
      <c r="U866" s="2" t="inlineStr">
        <is>
          <t>2026-10-20: estado ADJ → RES</t>
        </is>
      </c>
    </row>
    <row r="867">
      <c r="A867" s="2" t="inlineStr">
        <is>
          <t>En plazo</t>
        </is>
      </c>
      <c r="B867" s="3" t="n">
        <v>46328.58333333334</v>
      </c>
      <c r="C867" s="5" t="n">
        <v>40000000</v>
      </c>
      <c r="D867" s="5" t="n">
        <v>80000000</v>
      </c>
      <c r="E867" s="2" t="inlineStr">
        <is>
          <t>Andalucía</t>
        </is>
      </c>
      <c r="F867" s="2" t="inlineStr">
        <is>
          <t>Almería</t>
        </is>
      </c>
      <c r="G867" s="2" t="n"/>
      <c r="H867" s="2" t="inlineStr">
        <is>
          <t>Empresa de Transformación Agraria S.A.,S.M.E., M.P., (TRAGSA)</t>
        </is>
      </c>
      <c r="I867" s="2" t="inlineStr">
        <is>
          <t>Conclusión del Acuerdo Marco Para La Contratación de Las Obras Alquiler De Maquinaria De Obra Civil, Agrícola y Forestal, y Camiones, Dotada de Operario, Para Las Actuaciones de La Gerencia Provincial de Tragsa en Almería, Incluidas Obras Financiadas Con Fondos Europeos</t>
        </is>
      </c>
      <c r="J867" s="2" t="inlineStr">
        <is>
          <t>TSA0084163</t>
        </is>
      </c>
      <c r="K867" s="2" t="inlineStr">
        <is>
          <t>Abierto</t>
        </is>
      </c>
      <c r="L867" s="6" t="n">
        <v>24</v>
      </c>
      <c r="M867" s="2" t="inlineStr">
        <is>
          <t>D*-1; A*-1; K*-1; C*-1; G*-1; E*-1</t>
        </is>
      </c>
      <c r="N867" s="7" t="n">
        <v>0</v>
      </c>
      <c r="O867" s="4" t="n"/>
      <c r="P867" s="2" t="inlineStr">
        <is>
          <t>45500000</t>
        </is>
      </c>
      <c r="Q867" s="8" t="inlineStr">
        <is>
          <t>Ver</t>
        </is>
      </c>
      <c r="R867" s="8" t="inlineStr">
        <is>
          <t>PCAP</t>
        </is>
      </c>
      <c r="S867" s="9" t="n">
        <v>46314</v>
      </c>
      <c r="T867" s="3" t="n">
        <v>46314.375</v>
      </c>
      <c r="U867" s="2" t="inlineStr">
        <is>
          <t>2026-10-20: estado PRE → PUB</t>
        </is>
      </c>
    </row>
    <row r="868">
      <c r="A868" s="2" t="inlineStr">
        <is>
          <t>Resuelta</t>
        </is>
      </c>
      <c r="B868" s="3" t="n">
        <v>44925.99930555555</v>
      </c>
      <c r="C868" s="5" t="n">
        <v>14534178.43</v>
      </c>
      <c r="D868" s="5" t="n">
        <v>17441014.12</v>
      </c>
      <c r="E868" s="2" t="inlineStr">
        <is>
          <t>Comunitat Valenciana</t>
        </is>
      </c>
      <c r="F868" s="2" t="inlineStr">
        <is>
          <t>Valencia</t>
        </is>
      </c>
      <c r="G868" s="2" t="inlineStr">
        <is>
          <t>València</t>
        </is>
      </c>
      <c r="H868" s="2" t="inlineStr">
        <is>
          <t>Dirección General de Gestión Económica, Contratación e Infraestructuras de la Conselleria de Sanidad</t>
        </is>
      </c>
      <c r="I868" s="2" t="inlineStr">
        <is>
          <t>Servicio de arquitectura e ingeniería para la redacción de proyectos por equipo facultativo y ejecución de las obras para la demolición del antiguo Hospital La Fe de València mediante procedimiento abierto con tramitación urgente</t>
        </is>
      </c>
      <c r="J868" s="2" t="inlineStr">
        <is>
          <t>56/2023</t>
        </is>
      </c>
      <c r="K868" s="2" t="inlineStr">
        <is>
          <t>Abierto</t>
        </is>
      </c>
      <c r="L868" s="6" t="n">
        <v>23</v>
      </c>
      <c r="M868" s="2" t="inlineStr">
        <is>
          <t>C1-6</t>
        </is>
      </c>
      <c r="N868" s="7" t="n">
        <v>0.45</v>
      </c>
      <c r="O868" s="4" t="n"/>
      <c r="P868" s="2" t="inlineStr">
        <is>
          <t>45110000; 71317210; 71240000; 45310000; 45330000</t>
        </is>
      </c>
      <c r="Q868" s="8" t="inlineStr">
        <is>
          <t>Ver</t>
        </is>
      </c>
      <c r="R868" s="8" t="inlineStr">
        <is>
          <t>PCAP</t>
        </is>
      </c>
      <c r="S868" s="9" t="n">
        <v>46314</v>
      </c>
      <c r="T868" s="3" t="n">
        <v>46314.375</v>
      </c>
      <c r="U868" s="2" t="n"/>
    </row>
    <row r="869">
      <c r="A869" s="2" t="inlineStr">
        <is>
          <t>Pendiente de adjudicación</t>
        </is>
      </c>
      <c r="B869" s="3" t="n">
        <v>46303.99930555555</v>
      </c>
      <c r="C869" s="5" t="n">
        <v>171139.98</v>
      </c>
      <c r="D869" s="5" t="n">
        <v>171139.98</v>
      </c>
      <c r="E869" s="2" t="inlineStr">
        <is>
          <t>Comunitat Valenciana</t>
        </is>
      </c>
      <c r="F869" s="2" t="inlineStr">
        <is>
          <t>Alicante</t>
        </is>
      </c>
      <c r="G869" s="2" t="n"/>
      <c r="H869" s="2" t="inlineStr">
        <is>
          <t>Junta de Gobierno del Ayuntamiento Dénia</t>
        </is>
      </c>
      <c r="I869" s="2" t="inlineStr">
        <is>
          <t>Proyecto y obras de un ascensor para accesibilidad en el conservatorio de música.</t>
        </is>
      </c>
      <c r="J869" s="2" t="inlineStr">
        <is>
          <t>OBR/2026000057</t>
        </is>
      </c>
      <c r="K869" s="2" t="inlineStr">
        <is>
          <t>Abierto simplificado</t>
        </is>
      </c>
      <c r="L869" s="6" t="n">
        <v>6</v>
      </c>
      <c r="M869" s="2" t="inlineStr">
        <is>
          <t>J1-2</t>
        </is>
      </c>
      <c r="N869" s="7" t="n">
        <v>0</v>
      </c>
      <c r="O869" s="4" t="n"/>
      <c r="P869" s="2" t="inlineStr">
        <is>
          <t>45313100; 71242000; 42416100</t>
        </is>
      </c>
      <c r="Q869" s="8" t="inlineStr">
        <is>
          <t>Ver</t>
        </is>
      </c>
      <c r="R869" s="8" t="inlineStr">
        <is>
          <t>PCAP</t>
        </is>
      </c>
      <c r="S869" s="9" t="n">
        <v>46315</v>
      </c>
      <c r="T869" s="3" t="n">
        <v>46314.37354166667</v>
      </c>
      <c r="U869" s="2" t="n"/>
    </row>
    <row r="870">
      <c r="A870" s="2" t="inlineStr">
        <is>
          <t>En plazo</t>
        </is>
      </c>
      <c r="B870" s="3" t="n">
        <v>46342.99930555555</v>
      </c>
      <c r="C870" s="5" t="n">
        <v>282727.27</v>
      </c>
      <c r="D870" s="5" t="n">
        <v>282727.27</v>
      </c>
      <c r="E870" s="2" t="inlineStr">
        <is>
          <t>Andalucía</t>
        </is>
      </c>
      <c r="F870" s="2" t="inlineStr">
        <is>
          <t>Córdoba</t>
        </is>
      </c>
      <c r="G870" s="2" t="n"/>
      <c r="H870" s="2" t="inlineStr">
        <is>
          <t>Diputado delegado de Infraestructuras, Sostenibilidad y Agricultura</t>
        </is>
      </c>
      <c r="I870" s="2" t="inlineStr">
        <is>
          <t>Contratación de la obra de intervención en el patio del Palacio Ducal, Fase III en El Carpio (Córdoba). Obra incluida en los planes provinciales de obras y servicios 2024-2027 (bienio 2026-2027).</t>
        </is>
      </c>
      <c r="J870" s="2" t="inlineStr">
        <is>
          <t>853/26</t>
        </is>
      </c>
      <c r="K870" s="2" t="inlineStr">
        <is>
          <t>Abierto</t>
        </is>
      </c>
      <c r="L870" s="6" t="n">
        <v>6</v>
      </c>
      <c r="M870" s="2" t="n"/>
      <c r="N870" s="7" t="n">
        <v>0.25</v>
      </c>
      <c r="O870" s="4" t="n"/>
      <c r="P870" s="2" t="inlineStr">
        <is>
          <t>45200000</t>
        </is>
      </c>
      <c r="Q870" s="8" t="inlineStr">
        <is>
          <t>Ver</t>
        </is>
      </c>
      <c r="R870" s="8" t="inlineStr">
        <is>
          <t>PCAP</t>
        </is>
      </c>
      <c r="S870" s="9" t="n">
        <v>46315</v>
      </c>
      <c r="T870" s="3" t="n">
        <v>46314.37033564815</v>
      </c>
      <c r="U870" s="2" t="n"/>
    </row>
    <row r="871">
      <c r="A871" s="2" t="inlineStr">
        <is>
          <t>Resuelta</t>
        </is>
      </c>
      <c r="B871" s="3" t="n">
        <v>46029.99930555555</v>
      </c>
      <c r="C871" s="5" t="n">
        <v>592104.29</v>
      </c>
      <c r="D871" s="5" t="n">
        <v>592104.29</v>
      </c>
      <c r="E871" s="2" t="inlineStr">
        <is>
          <t>Andalucía</t>
        </is>
      </c>
      <c r="F871" s="2" t="inlineStr">
        <is>
          <t>Sevilla</t>
        </is>
      </c>
      <c r="G871" s="2" t="n"/>
      <c r="H871" s="2" t="inlineStr">
        <is>
          <t>Teniente Alcalde, Delegado de Contratación del Ayuntamiento de Lebrija</t>
        </is>
      </c>
      <c r="I871" s="2" t="inlineStr">
        <is>
          <t>Contratación de la ejecución de obras reformas y mejoras tecnológicas en el edificio sito en C/ Sevilla nº 23, nueva sede de Policía Local.</t>
        </is>
      </c>
      <c r="J871" s="2" t="inlineStr">
        <is>
          <t>P4105300J-2025/000258-PAAS</t>
        </is>
      </c>
      <c r="K871" s="2" t="inlineStr">
        <is>
          <t>Abierto simplificado</t>
        </is>
      </c>
      <c r="L871" s="6" t="n">
        <v>7</v>
      </c>
      <c r="M871" s="2" t="inlineStr">
        <is>
          <t>C*-3; C4-3; C6-3; C2-3</t>
        </is>
      </c>
      <c r="N871" s="7" t="n">
        <v>0</v>
      </c>
      <c r="O871" s="4" t="n"/>
      <c r="P871" s="2" t="inlineStr">
        <is>
          <t>45000000; 45216100; 45216111</t>
        </is>
      </c>
      <c r="Q871" s="8" t="inlineStr">
        <is>
          <t>Ver</t>
        </is>
      </c>
      <c r="R871" s="8" t="inlineStr">
        <is>
          <t>PCAP</t>
        </is>
      </c>
      <c r="S871" s="9" t="n">
        <v>46315</v>
      </c>
      <c r="T871" s="3" t="n">
        <v>46314.37016203703</v>
      </c>
      <c r="U871" s="2" t="n"/>
    </row>
    <row r="872">
      <c r="A872" s="2" t="inlineStr">
        <is>
          <t>En plazo</t>
        </is>
      </c>
      <c r="B872" s="3" t="n">
        <v>46335.99930555555</v>
      </c>
      <c r="C872" s="5" t="n">
        <v>495867.77</v>
      </c>
      <c r="D872" s="5" t="n">
        <v>495867.77</v>
      </c>
      <c r="E872" s="2" t="inlineStr">
        <is>
          <t>Andalucía</t>
        </is>
      </c>
      <c r="F872" s="2" t="inlineStr">
        <is>
          <t>Cádiz</t>
        </is>
      </c>
      <c r="G872" s="2" t="n"/>
      <c r="H872" s="2" t="inlineStr">
        <is>
          <t>Pleno del Ayuntamiento de Villaluenga del Rosario</t>
        </is>
      </c>
      <c r="I872" s="2" t="inlineStr">
        <is>
          <t>Proyectos para la construcción de Finalizacion Residencia de Ancianos calle Albarrada s/n de Villaluenga del Rosario ( Cádiz )</t>
        </is>
      </c>
      <c r="J872" s="2" t="inlineStr">
        <is>
          <t>FINALIZACION RESIDENCIA DE ANCIANOS</t>
        </is>
      </c>
      <c r="K872" s="2" t="inlineStr">
        <is>
          <t>Abierto</t>
        </is>
      </c>
      <c r="L872" s="6" t="n">
        <v>9</v>
      </c>
      <c r="M872" s="2" t="n"/>
      <c r="N872" s="7" t="n">
        <v>0</v>
      </c>
      <c r="O872" s="4" t="n"/>
      <c r="P872" s="2" t="inlineStr">
        <is>
          <t>45200000</t>
        </is>
      </c>
      <c r="Q872" s="8" t="inlineStr">
        <is>
          <t>Ver</t>
        </is>
      </c>
      <c r="R872" s="8" t="inlineStr">
        <is>
          <t>PCAP</t>
        </is>
      </c>
      <c r="S872" s="9" t="n">
        <v>46315</v>
      </c>
      <c r="T872" s="3" t="n">
        <v>46314.36670138889</v>
      </c>
      <c r="U872" s="2" t="n"/>
    </row>
    <row r="873">
      <c r="A873" s="2" t="inlineStr">
        <is>
          <t>Resuelta</t>
        </is>
      </c>
      <c r="B873" s="3" t="n">
        <v>46273.75</v>
      </c>
      <c r="C873" s="5" t="n">
        <v>217972.17</v>
      </c>
      <c r="D873" s="5" t="n">
        <v>217972.17</v>
      </c>
      <c r="E873" s="2" t="inlineStr">
        <is>
          <t>Andalucía</t>
        </is>
      </c>
      <c r="F873" s="2" t="inlineStr">
        <is>
          <t>Sevilla</t>
        </is>
      </c>
      <c r="G873" s="2" t="n"/>
      <c r="H873" s="2" t="inlineStr">
        <is>
          <t>Rectorado de la Universidad de Sevilla</t>
        </is>
      </c>
      <c r="I873" s="2" t="inlineStr">
        <is>
          <t>Obras de renovación parcial de revestimientos en el Aula Magna del Hospital Universitario Virgen Macarena de Sevilla.</t>
        </is>
      </c>
      <c r="J873" s="2" t="inlineStr">
        <is>
          <t>26/38706</t>
        </is>
      </c>
      <c r="K873" s="2" t="inlineStr">
        <is>
          <t>Abierto simplificado</t>
        </is>
      </c>
      <c r="L873" s="6" t="n">
        <v>2.3</v>
      </c>
      <c r="M873" s="2" t="n"/>
      <c r="N873" s="7" t="n">
        <v>0</v>
      </c>
      <c r="O873" s="4" t="n"/>
      <c r="P873" s="2" t="inlineStr">
        <is>
          <t>45453100</t>
        </is>
      </c>
      <c r="Q873" s="8" t="inlineStr">
        <is>
          <t>Ver</t>
        </is>
      </c>
      <c r="R873" s="8" t="inlineStr">
        <is>
          <t>PCAP</t>
        </is>
      </c>
      <c r="S873" s="9" t="n">
        <v>46314</v>
      </c>
      <c r="T873" s="3" t="n">
        <v>46314.36065972222</v>
      </c>
      <c r="U873" s="2" t="inlineStr">
        <is>
          <t>2026-10-20: estado ADJ → RES</t>
        </is>
      </c>
    </row>
    <row r="874">
      <c r="A874" s="2" t="inlineStr">
        <is>
          <t>Resuelta</t>
        </is>
      </c>
      <c r="B874" s="3" t="n">
        <v>46237.99930555555</v>
      </c>
      <c r="C874" s="5" t="n">
        <v>331158.41</v>
      </c>
      <c r="D874" s="5" t="n">
        <v>331158.41</v>
      </c>
      <c r="E874" s="2" t="inlineStr">
        <is>
          <t>Andalucía</t>
        </is>
      </c>
      <c r="F874" s="2" t="inlineStr">
        <is>
          <t>Málaga</t>
        </is>
      </c>
      <c r="G874" s="2" t="n"/>
      <c r="H874" s="2" t="inlineStr">
        <is>
          <t>Gerente de la Gerencia Municipal de Urbanismo del Ayuntamiento de Málaga</t>
        </is>
      </c>
      <c r="I874" s="2" t="inlineStr">
        <is>
          <t>Obras del Proyecto de renovación de saneamiento de la barriada de La Mosca.</t>
        </is>
      </c>
      <c r="J874" s="2" t="inlineStr">
        <is>
          <t>OB-003/26</t>
        </is>
      </c>
      <c r="K874" s="2" t="inlineStr">
        <is>
          <t>Abierto simplificado</t>
        </is>
      </c>
      <c r="L874" s="6" t="n">
        <v>4</v>
      </c>
      <c r="M874" s="2" t="n"/>
      <c r="N874" s="7" t="n">
        <v>0</v>
      </c>
      <c r="O874" s="4" t="n"/>
      <c r="P874" s="2" t="inlineStr">
        <is>
          <t>45232400; 45112100; 45232410; 45111100; 45200000</t>
        </is>
      </c>
      <c r="Q874" s="8" t="inlineStr">
        <is>
          <t>Ver</t>
        </is>
      </c>
      <c r="R874" s="8" t="inlineStr">
        <is>
          <t>PCAP</t>
        </is>
      </c>
      <c r="S874" s="9" t="n">
        <v>46315</v>
      </c>
      <c r="T874" s="3" t="n">
        <v>46314.35916666667</v>
      </c>
      <c r="U874" s="2" t="n"/>
    </row>
    <row r="875">
      <c r="A875" s="2" t="inlineStr">
        <is>
          <t>Resuelta</t>
        </is>
      </c>
      <c r="B875" s="3" t="n">
        <v>46247.99930555555</v>
      </c>
      <c r="C875" s="5" t="n">
        <v>182831.9</v>
      </c>
      <c r="D875" s="5" t="n">
        <v>182831.9</v>
      </c>
      <c r="E875" s="2" t="inlineStr">
        <is>
          <t>Comunitat Valenciana</t>
        </is>
      </c>
      <c r="F875" s="2" t="inlineStr">
        <is>
          <t>Valencia</t>
        </is>
      </c>
      <c r="G875" s="2" t="n"/>
      <c r="H875" s="2" t="inlineStr">
        <is>
          <t>Departamento de Salud Valencia Dr. Peset. Dirección Económica-Gerencia</t>
        </is>
      </c>
      <c r="I875" s="2" t="inlineStr">
        <is>
          <t>Obra de reforma integral de los Servicios de Cirugía y Nefrología ubicados en la 5ª planta del edificio de Consultas Externas en el Hospital Universitario Doctor Peset de Valencia, con responsabilidad social y medioambiental. Lote único</t>
        </is>
      </c>
      <c r="J875" s="2" t="inlineStr">
        <is>
          <t>PAS 473/2026</t>
        </is>
      </c>
      <c r="K875" s="2" t="inlineStr">
        <is>
          <t>Abierto simplificado</t>
        </is>
      </c>
      <c r="L875" s="6" t="n">
        <v>3</v>
      </c>
      <c r="M875" s="2" t="n"/>
      <c r="N875" s="7" t="n">
        <v>0</v>
      </c>
      <c r="O875" s="4" t="n"/>
      <c r="P875" s="2" t="inlineStr">
        <is>
          <t>45262520; 45441000; 45330000; 45310000</t>
        </is>
      </c>
      <c r="Q875" s="8" t="inlineStr">
        <is>
          <t>Ver</t>
        </is>
      </c>
      <c r="R875" s="8" t="inlineStr">
        <is>
          <t>PCAP</t>
        </is>
      </c>
      <c r="S875" s="9" t="n">
        <v>46310</v>
      </c>
      <c r="T875" s="3" t="n">
        <v>46314.35378472223</v>
      </c>
      <c r="U875" s="2" t="inlineStr">
        <is>
          <t>2026-10-20: estado ADJ → RES</t>
        </is>
      </c>
    </row>
    <row r="876">
      <c r="A876" s="2" t="inlineStr">
        <is>
          <t>Resuelta</t>
        </is>
      </c>
      <c r="B876" s="3" t="n">
        <v>46267.58333333334</v>
      </c>
      <c r="C876" s="5" t="n">
        <v>174836.99</v>
      </c>
      <c r="D876" s="5" t="n">
        <v>174836.99</v>
      </c>
      <c r="E876" s="2" t="inlineStr">
        <is>
          <t>Comunitat Valenciana</t>
        </is>
      </c>
      <c r="F876" s="2" t="inlineStr">
        <is>
          <t>Valencia</t>
        </is>
      </c>
      <c r="G876" s="2" t="inlineStr">
        <is>
          <t>Roma (Requena)</t>
        </is>
      </c>
      <c r="H876" s="2" t="inlineStr">
        <is>
          <t>Junta de Gobierno Local del Ayuntamiento de Requena</t>
        </is>
      </c>
      <c r="I876" s="2" t="inlineStr">
        <is>
          <t>Reforma de Bar Cafeteria en Centro Social de Roma</t>
        </is>
      </c>
      <c r="J876" s="2" t="inlineStr">
        <is>
          <t>2815792Y</t>
        </is>
      </c>
      <c r="K876" s="2" t="inlineStr">
        <is>
          <t>Abierto simplificado</t>
        </is>
      </c>
      <c r="L876" s="6" t="n">
        <v>4</v>
      </c>
      <c r="M876" s="2" t="n"/>
      <c r="N876" s="7" t="n">
        <v>0</v>
      </c>
      <c r="O876" s="4" t="n"/>
      <c r="P876" s="2" t="inlineStr">
        <is>
          <t>45000000</t>
        </is>
      </c>
      <c r="Q876" s="8" t="inlineStr">
        <is>
          <t>Ver</t>
        </is>
      </c>
      <c r="R876" s="8" t="inlineStr">
        <is>
          <t>PCAP</t>
        </is>
      </c>
      <c r="S876" s="9" t="n">
        <v>46315</v>
      </c>
      <c r="T876" s="3" t="n">
        <v>46314.35317129629</v>
      </c>
      <c r="U876" s="2" t="n"/>
    </row>
    <row r="877">
      <c r="A877" s="2" t="inlineStr">
        <is>
          <t>Pendiente de adjudicación</t>
        </is>
      </c>
      <c r="B877" s="3" t="n">
        <v>46237.99930555555</v>
      </c>
      <c r="C877" s="5" t="n">
        <v>714869.4399999999</v>
      </c>
      <c r="D877" s="5" t="n">
        <v>714869.4399999999</v>
      </c>
      <c r="E877" s="2" t="inlineStr">
        <is>
          <t>Andalucía</t>
        </is>
      </c>
      <c r="F877" s="2" t="inlineStr">
        <is>
          <t>Jaén</t>
        </is>
      </c>
      <c r="G877" s="2" t="inlineStr">
        <is>
          <t>Jaén</t>
        </is>
      </c>
      <c r="H877" s="2" t="inlineStr">
        <is>
          <t>Presidencia de la Diputación Provincial de Jaén</t>
        </is>
      </c>
      <c r="I877" s="2" t="inlineStr">
        <is>
          <t>Contrato de Obra JA-3307, Las Casillas de Martos a Alcaudete, refuerzo de firme P.K. 0+000 al 5+90.</t>
        </is>
      </c>
      <c r="J877" s="2" t="inlineStr">
        <is>
          <t>CO-2026/000346</t>
        </is>
      </c>
      <c r="K877" s="2" t="inlineStr">
        <is>
          <t>Abierto</t>
        </is>
      </c>
      <c r="L877" s="6" t="n">
        <v>6</v>
      </c>
      <c r="M877" s="2" t="inlineStr">
        <is>
          <t>G4-3</t>
        </is>
      </c>
      <c r="N877" s="7" t="n">
        <v>0.4</v>
      </c>
      <c r="O877" s="4" t="n"/>
      <c r="P877" s="2" t="inlineStr">
        <is>
          <t>45233223</t>
        </is>
      </c>
      <c r="Q877" s="8" t="inlineStr">
        <is>
          <t>Ver</t>
        </is>
      </c>
      <c r="R877" s="8" t="inlineStr">
        <is>
          <t>PCAP</t>
        </is>
      </c>
      <c r="S877" s="9" t="n">
        <v>46310</v>
      </c>
      <c r="T877" s="3" t="n">
        <v>46314.34763888889</v>
      </c>
      <c r="U877" s="2" t="n"/>
    </row>
    <row r="878">
      <c r="A878" s="2" t="inlineStr">
        <is>
          <t>Resuelta</t>
        </is>
      </c>
      <c r="B878" s="3" t="n">
        <v>46223.99930555555</v>
      </c>
      <c r="C878" s="5" t="n">
        <v>1190770.14</v>
      </c>
      <c r="D878" s="5" t="n">
        <v>1190770.14</v>
      </c>
      <c r="E878" s="2" t="inlineStr">
        <is>
          <t>Andalucía</t>
        </is>
      </c>
      <c r="F878" s="2" t="inlineStr">
        <is>
          <t>Málaga</t>
        </is>
      </c>
      <c r="G878" s="2" t="n"/>
      <c r="H878" s="2" t="inlineStr">
        <is>
          <t>Gerente de la Gerencia Municipal de Urbanismo del Ayuntamiento de Málaga</t>
        </is>
      </c>
      <c r="I878" s="2" t="inlineStr">
        <is>
          <t>Obras del proyecto de mejora de urbanización en el entorno del campo de fútbol de Los Prados</t>
        </is>
      </c>
      <c r="J878" s="2" t="inlineStr">
        <is>
          <t>OB-007/26</t>
        </is>
      </c>
      <c r="K878" s="2" t="inlineStr">
        <is>
          <t>Abierto simplificado</t>
        </is>
      </c>
      <c r="L878" s="6" t="n">
        <v>11</v>
      </c>
      <c r="M878" s="2" t="inlineStr">
        <is>
          <t>G6-4</t>
        </is>
      </c>
      <c r="N878" s="7" t="n">
        <v>0</v>
      </c>
      <c r="O878" s="4" t="n"/>
      <c r="P878" s="2" t="inlineStr">
        <is>
          <t>45220000; 45233252; 45212200</t>
        </is>
      </c>
      <c r="Q878" s="8" t="inlineStr">
        <is>
          <t>Ver</t>
        </is>
      </c>
      <c r="R878" s="8" t="inlineStr">
        <is>
          <t>PCAP</t>
        </is>
      </c>
      <c r="S878" s="9" t="n">
        <v>46315</v>
      </c>
      <c r="T878" s="3" t="n">
        <v>46314.34519675926</v>
      </c>
      <c r="U878" s="2" t="n"/>
    </row>
    <row r="879">
      <c r="A879" s="2" t="inlineStr">
        <is>
          <t>Pendiente de adjudicación</t>
        </is>
      </c>
      <c r="B879" s="3" t="n">
        <v>46301.99930555555</v>
      </c>
      <c r="C879" s="5" t="n">
        <v>648847.5</v>
      </c>
      <c r="D879" s="5" t="n">
        <v>648847.5</v>
      </c>
      <c r="E879" s="2" t="inlineStr">
        <is>
          <t>Comunitat Valenciana</t>
        </is>
      </c>
      <c r="F879" s="2" t="inlineStr">
        <is>
          <t>Alicante</t>
        </is>
      </c>
      <c r="G879" s="2" t="inlineStr">
        <is>
          <t>Torrevieja</t>
        </is>
      </c>
      <c r="H879" s="2" t="inlineStr">
        <is>
          <t>Junta de Gobierno del Ayuntamiento de Torrevieja</t>
        </is>
      </c>
      <c r="I879" s="2" t="inlineStr">
        <is>
          <t>Contratación de las obras para la adecuación del local en C/ Chapaprieta, 17, para su uso como dependencias municipales de la policía local de Torrevieja(S/proyecto aprobado expte. 119346/2026), tramitación anticipada del gasto</t>
        </is>
      </c>
      <c r="J879" s="2" t="inlineStr">
        <is>
          <t>122899/2026</t>
        </is>
      </c>
      <c r="K879" s="2" t="inlineStr">
        <is>
          <t>Abierto simplificado</t>
        </is>
      </c>
      <c r="L879" s="6" t="n">
        <v>4</v>
      </c>
      <c r="M879" s="2" t="n"/>
      <c r="N879" s="7" t="n">
        <v>0.25</v>
      </c>
      <c r="O879" s="4" t="n"/>
      <c r="P879" s="2" t="inlineStr">
        <is>
          <t>45000000; 45216111; 45453100; 45300000; 45400000; 45262700</t>
        </is>
      </c>
      <c r="Q879" s="8" t="inlineStr">
        <is>
          <t>Ver</t>
        </is>
      </c>
      <c r="R879" s="8" t="inlineStr">
        <is>
          <t>PCAP</t>
        </is>
      </c>
      <c r="S879" s="9" t="n">
        <v>46315</v>
      </c>
      <c r="T879" s="3" t="n">
        <v>46314.34221064814</v>
      </c>
      <c r="U879" s="2" t="n"/>
    </row>
    <row r="880">
      <c r="A880" s="2" t="inlineStr">
        <is>
          <t>En plazo</t>
        </is>
      </c>
      <c r="B880" s="3" t="n">
        <v>46321.54166666666</v>
      </c>
      <c r="C880" s="5" t="n">
        <v>3837538.71</v>
      </c>
      <c r="D880" s="5" t="n">
        <v>4221292.58</v>
      </c>
      <c r="E880" s="2" t="inlineStr">
        <is>
          <t>Andalucía</t>
        </is>
      </c>
      <c r="F880" s="2" t="inlineStr">
        <is>
          <t>Sevilla</t>
        </is>
      </c>
      <c r="G880" s="2" t="n"/>
      <c r="H880" s="2" t="inlineStr">
        <is>
          <t>Gerencia de Sevilla Activa SAU</t>
        </is>
      </c>
      <c r="I880" s="2" t="inlineStr">
        <is>
          <t>Terminación de 50 Viviendas Protegidas</t>
        </is>
      </c>
      <c r="J880" s="2" t="inlineStr">
        <is>
          <t>A41420191-2026/000082-PaA</t>
        </is>
      </c>
      <c r="K880" s="2" t="inlineStr">
        <is>
          <t>Abierto</t>
        </is>
      </c>
      <c r="L880" s="6" t="n">
        <v>12</v>
      </c>
      <c r="M880" s="2" t="inlineStr">
        <is>
          <t>C*-5; G*-5; G6-4; C4-4</t>
        </is>
      </c>
      <c r="N880" s="7" t="n">
        <v>0.3</v>
      </c>
      <c r="O880" s="4" t="n"/>
      <c r="P880" s="2" t="inlineStr">
        <is>
          <t>45211000</t>
        </is>
      </c>
      <c r="Q880" s="8" t="inlineStr">
        <is>
          <t>Ver</t>
        </is>
      </c>
      <c r="R880" s="8" t="inlineStr">
        <is>
          <t>PCAP</t>
        </is>
      </c>
      <c r="S880" s="9" t="n">
        <v>46310</v>
      </c>
      <c r="T880" s="3" t="n">
        <v>46314.33398148148</v>
      </c>
      <c r="U880" s="2" t="n"/>
    </row>
    <row r="881">
      <c r="A881" s="2" t="inlineStr">
        <is>
          <t>Resuelta</t>
        </is>
      </c>
      <c r="B881" s="3" t="n">
        <v>46272.99930555555</v>
      </c>
      <c r="C881" s="5" t="n">
        <v>21280</v>
      </c>
      <c r="D881" s="5" t="n">
        <v>21280</v>
      </c>
      <c r="E881" s="2" t="inlineStr">
        <is>
          <t>Andalucía</t>
        </is>
      </c>
      <c r="F881" s="2" t="inlineStr">
        <is>
          <t>Sevilla</t>
        </is>
      </c>
      <c r="G881" s="2" t="inlineStr">
        <is>
          <t>Los Palacios y Villafranca</t>
        </is>
      </c>
      <c r="H881" s="2" t="inlineStr">
        <is>
          <t>Alcaldia del Ayuntamiento de Los Palacios y Villafranca</t>
        </is>
      </c>
      <c r="I881" s="2" t="inlineStr">
        <is>
          <t>Contrato de obras para el alquiler de camiones multibasculantes con operario conductor, para ejecución por administración directa de los proyectos, con número de expedientes 4106925 C01, C02, C03, C04, incluidos en el Programa de Fomento de Empleo Agrario 2025 Garantía de Rentas por el Ayuntamiento de Los Palacios y Villafranca, procedimiento simplificado abreviado y tramitación ordinaria.</t>
        </is>
      </c>
      <c r="J881" s="2" t="inlineStr">
        <is>
          <t>18179/2026</t>
        </is>
      </c>
      <c r="K881" s="2" t="inlineStr">
        <is>
          <t>Abierto simplificado</t>
        </is>
      </c>
      <c r="L881" s="6" t="n">
        <v>4</v>
      </c>
      <c r="M881" s="2" t="n"/>
      <c r="N881" s="7" t="n">
        <v>0</v>
      </c>
      <c r="O881" s="4" t="n"/>
      <c r="P881" s="2" t="inlineStr">
        <is>
          <t>45500000; 60181000</t>
        </is>
      </c>
      <c r="Q881" s="8" t="inlineStr">
        <is>
          <t>Ver</t>
        </is>
      </c>
      <c r="R881" s="8" t="inlineStr">
        <is>
          <t>PCAP</t>
        </is>
      </c>
      <c r="S881" s="9" t="n">
        <v>46310</v>
      </c>
      <c r="T881" s="3" t="n">
        <v>46314.32074074074</v>
      </c>
      <c r="U881" s="2" t="inlineStr">
        <is>
          <t>2026-10-16: estado EV → ADJ | 2026-10-20: estado ADJ → RES</t>
        </is>
      </c>
    </row>
    <row r="882">
      <c r="A882" s="2" t="inlineStr">
        <is>
          <t>Pendiente de adjudicación</t>
        </is>
      </c>
      <c r="B882" s="3" t="n">
        <v>46295.99930555555</v>
      </c>
      <c r="C882" s="5" t="n">
        <v>1109100.79</v>
      </c>
      <c r="D882" s="5" t="n">
        <v>1109100.79</v>
      </c>
      <c r="E882" s="2" t="inlineStr">
        <is>
          <t>Comunitat Valenciana</t>
        </is>
      </c>
      <c r="F882" s="2" t="inlineStr">
        <is>
          <t>Alicante</t>
        </is>
      </c>
      <c r="G882" s="2" t="n"/>
      <c r="H882" s="2" t="inlineStr">
        <is>
          <t>Junta de Gobierno del Ayuntamiento de Torrevieja</t>
        </is>
      </c>
      <c r="I882" s="2" t="inlineStr">
        <is>
          <t>Obras de rehabilitación y acondicionamiento del Centro CEIP Virgen del Carmen, Plan Edificant, actuación 7922, Centro 03008678</t>
        </is>
      </c>
      <c r="J882" s="2" t="inlineStr">
        <is>
          <t>75285/2026</t>
        </is>
      </c>
      <c r="K882" s="2" t="inlineStr">
        <is>
          <t>Abierto</t>
        </is>
      </c>
      <c r="L882" s="6" t="n">
        <v>8</v>
      </c>
      <c r="M882" s="2" t="n"/>
      <c r="N882" s="7" t="n">
        <v>0.25</v>
      </c>
      <c r="O882" s="4" t="n"/>
      <c r="P882" s="2" t="inlineStr">
        <is>
          <t>45200000; 45214200; 45210000</t>
        </is>
      </c>
      <c r="Q882" s="8" t="inlineStr">
        <is>
          <t>Ver</t>
        </is>
      </c>
      <c r="R882" s="8" t="inlineStr">
        <is>
          <t>PCAP</t>
        </is>
      </c>
      <c r="S882" s="9" t="n">
        <v>46311</v>
      </c>
      <c r="T882" s="3" t="n">
        <v>46314.31974537037</v>
      </c>
      <c r="U882" s="2" t="n"/>
    </row>
    <row r="883">
      <c r="A883" s="2" t="inlineStr">
        <is>
          <t>Resuelta</t>
        </is>
      </c>
      <c r="B883" s="3" t="n">
        <v>45852.99930555555</v>
      </c>
      <c r="C883" s="5" t="n">
        <v>349001.21</v>
      </c>
      <c r="D883" s="5" t="n">
        <v>349001.21</v>
      </c>
      <c r="E883" s="2" t="inlineStr">
        <is>
          <t>Andalucía</t>
        </is>
      </c>
      <c r="F883" s="2" t="inlineStr">
        <is>
          <t>Sevilla</t>
        </is>
      </c>
      <c r="G883" s="2" t="n"/>
      <c r="H883" s="2" t="inlineStr">
        <is>
          <t>Presidencia de la Diputación Provincial de Sevilla</t>
        </is>
      </c>
      <c r="I883" s="2" t="inlineStr">
        <is>
          <t>Obras de terminación del Parque de los Enamorados (reformado)</t>
        </is>
      </c>
      <c r="J883" s="2" t="inlineStr">
        <is>
          <t>2025/000176-PAAS</t>
        </is>
      </c>
      <c r="K883" s="2" t="inlineStr">
        <is>
          <t>Abierto simplificado</t>
        </is>
      </c>
      <c r="L883" s="6" t="n">
        <v>6</v>
      </c>
      <c r="M883" s="2" t="n"/>
      <c r="N883" s="7" t="n">
        <v>0</v>
      </c>
      <c r="O883" s="4" t="n"/>
      <c r="P883" s="2" t="inlineStr">
        <is>
          <t>45212211</t>
        </is>
      </c>
      <c r="Q883" s="8" t="inlineStr">
        <is>
          <t>Ver</t>
        </is>
      </c>
      <c r="R883" s="8" t="inlineStr">
        <is>
          <t>PCAP</t>
        </is>
      </c>
      <c r="S883" s="9" t="n">
        <v>46315</v>
      </c>
      <c r="T883" s="3" t="n">
        <v>46314.31835648148</v>
      </c>
      <c r="U883" s="2" t="n"/>
    </row>
    <row r="884">
      <c r="A884" s="2" t="inlineStr">
        <is>
          <t>Resuelta</t>
        </is>
      </c>
      <c r="B884" s="3" t="n">
        <v>46209.99930555555</v>
      </c>
      <c r="C884" s="5" t="n">
        <v>276766.94</v>
      </c>
      <c r="D884" s="5" t="n">
        <v>276766.94</v>
      </c>
      <c r="E884" s="2" t="inlineStr">
        <is>
          <t>Andalucía</t>
        </is>
      </c>
      <c r="F884" s="2" t="inlineStr">
        <is>
          <t>Córdoba</t>
        </is>
      </c>
      <c r="G884" s="2" t="inlineStr">
        <is>
          <t>Fuente Carreteros</t>
        </is>
      </c>
      <c r="H884" s="2" t="inlineStr">
        <is>
          <t>Diputado delegado de Infraestructuras, Sostenibilidad y Agricultura</t>
        </is>
      </c>
      <c r="I884" s="2" t="inlineStr">
        <is>
          <t>Contratación de la obra de segunda fase de la nueva Casa Consistorial y Museo en Fuente Carreteros (Córdoba). Obra incluida en los planes provinciales de obras y servicios 2024-2027 (bienio 2026-2027).</t>
        </is>
      </c>
      <c r="J884" s="2" t="inlineStr">
        <is>
          <t>442/26</t>
        </is>
      </c>
      <c r="K884" s="2" t="inlineStr">
        <is>
          <t>Abierto</t>
        </is>
      </c>
      <c r="L884" s="6" t="n">
        <v>9</v>
      </c>
      <c r="M884" s="2" t="n"/>
      <c r="N884" s="7" t="n">
        <v>0.25</v>
      </c>
      <c r="O884" s="4" t="n"/>
      <c r="P884" s="2" t="inlineStr">
        <is>
          <t>45200000; 45212000</t>
        </is>
      </c>
      <c r="Q884" s="8" t="inlineStr">
        <is>
          <t>Ver</t>
        </is>
      </c>
      <c r="R884" s="8" t="inlineStr">
        <is>
          <t>PCAP</t>
        </is>
      </c>
      <c r="S884" s="9" t="n">
        <v>46315</v>
      </c>
      <c r="T884" s="3" t="n">
        <v>46314.30722222223</v>
      </c>
      <c r="U884" s="2" t="n"/>
    </row>
    <row r="885">
      <c r="A885" s="2" t="inlineStr">
        <is>
          <t>En plazo</t>
        </is>
      </c>
      <c r="B885" s="3" t="n">
        <v>46335.58333333334</v>
      </c>
      <c r="C885" s="5" t="n">
        <v>274306.2</v>
      </c>
      <c r="D885" s="5" t="n">
        <v>274306.2</v>
      </c>
      <c r="E885" s="2" t="inlineStr">
        <is>
          <t>Andalucía</t>
        </is>
      </c>
      <c r="F885" s="2" t="inlineStr">
        <is>
          <t>Granada</t>
        </is>
      </c>
      <c r="G885" s="2" t="inlineStr">
        <is>
          <t>Albolote (Granada)</t>
        </is>
      </c>
      <c r="H885" s="2" t="inlineStr">
        <is>
          <t>Junta de Gobierno del Ayuntamiento de Albolote</t>
        </is>
      </c>
      <c r="I885" s="2" t="inlineStr">
        <is>
          <t>Obras de reposición y mejora de parques infantiles de Albolote.</t>
        </is>
      </c>
      <c r="J885" s="2" t="inlineStr">
        <is>
          <t>3265/2026</t>
        </is>
      </c>
      <c r="K885" s="2" t="inlineStr">
        <is>
          <t>Abierto simplificado</t>
        </is>
      </c>
      <c r="L885" s="6" t="n">
        <v>5</v>
      </c>
      <c r="M885" s="2" t="inlineStr">
        <is>
          <t>C6-2</t>
        </is>
      </c>
      <c r="N885" s="7" t="n">
        <v>0.2</v>
      </c>
      <c r="O885" s="4" t="n"/>
      <c r="P885" s="2" t="inlineStr">
        <is>
          <t>45100000; 37535200; 45432111; 37535210; 37535230; 37535260; 37535270; 37535220; 37535250; 45112210; 45432110; 45330000; 37535240; 45310000; 45259000; 45432100</t>
        </is>
      </c>
      <c r="Q885" s="8" t="inlineStr">
        <is>
          <t>Ver</t>
        </is>
      </c>
      <c r="R885" s="8" t="inlineStr">
        <is>
          <t>PCAP</t>
        </is>
      </c>
      <c r="S885" s="9" t="n">
        <v>46315</v>
      </c>
      <c r="T885" s="3" t="n">
        <v>46313.48210648148</v>
      </c>
      <c r="U885" s="2" t="n"/>
    </row>
    <row r="886">
      <c r="A886" s="2" t="inlineStr">
        <is>
          <t>Resuelta</t>
        </is>
      </c>
      <c r="B886" s="3" t="n">
        <v>46274.99930555555</v>
      </c>
      <c r="C886" s="5" t="n">
        <v>39223.53</v>
      </c>
      <c r="D886" s="5" t="n">
        <v>39223.53</v>
      </c>
      <c r="E886" s="2" t="inlineStr">
        <is>
          <t>Comunitat Valenciana</t>
        </is>
      </c>
      <c r="F886" s="2" t="inlineStr">
        <is>
          <t>Alicante</t>
        </is>
      </c>
      <c r="G886" s="2" t="inlineStr">
        <is>
          <t>SALINAS</t>
        </is>
      </c>
      <c r="H886" s="2" t="inlineStr">
        <is>
          <t>Alcaldía del Ayuntamiento de Salinas</t>
        </is>
      </c>
      <c r="I886" s="2" t="inlineStr">
        <is>
          <t>Adecuación y pavimentación del camino del Alto de Don Pedro mediante triple tratamiento de gravilla en Salinas</t>
        </is>
      </c>
      <c r="J886" s="2" t="inlineStr">
        <is>
          <t>684/2026</t>
        </is>
      </c>
      <c r="K886" s="2" t="inlineStr">
        <is>
          <t>Abierto simplificado</t>
        </is>
      </c>
      <c r="L886" s="6" t="n">
        <v>0.5</v>
      </c>
      <c r="M886" s="2" t="n"/>
      <c r="N886" s="7" t="n">
        <v>0</v>
      </c>
      <c r="O886" s="4" t="n"/>
      <c r="P886" s="2" t="inlineStr">
        <is>
          <t>45233222; 45233160</t>
        </is>
      </c>
      <c r="Q886" s="8" t="inlineStr">
        <is>
          <t>Ver</t>
        </is>
      </c>
      <c r="R886" s="8" t="inlineStr">
        <is>
          <t>PCAP</t>
        </is>
      </c>
      <c r="S886" s="9" t="n">
        <v>46314</v>
      </c>
      <c r="T886" s="3" t="n">
        <v>46312.79313657407</v>
      </c>
      <c r="U886" s="2" t="n"/>
    </row>
    <row r="887">
      <c r="A887" s="2" t="inlineStr">
        <is>
          <t>En plazo</t>
        </is>
      </c>
      <c r="B887" s="3" t="n">
        <v>46331.625</v>
      </c>
      <c r="C887" s="5" t="n">
        <v>258229.57</v>
      </c>
      <c r="D887" s="5" t="n">
        <v>258229.57</v>
      </c>
      <c r="E887" s="2" t="inlineStr">
        <is>
          <t>Comunitat Valenciana</t>
        </is>
      </c>
      <c r="F887" s="2" t="inlineStr">
        <is>
          <t>Valencia</t>
        </is>
      </c>
      <c r="G887" s="2" t="inlineStr">
        <is>
          <t>L' Alcúdia de Crespins</t>
        </is>
      </c>
      <c r="H887" s="2" t="inlineStr">
        <is>
          <t>Alcaldía del Ayuntamiento de L'Alcudia de Crespins</t>
        </is>
      </c>
      <c r="I887" s="2" t="inlineStr">
        <is>
          <t>Obra de regeneración urbana, accesibilidad universal y reparaciones puntuales en diversas calles del término municipal, integradas en el Plan Abierto de Inversiones 2024-2027(Obra n.º 1014_24/25/COP)</t>
        </is>
      </c>
      <c r="J887" s="2" t="inlineStr">
        <is>
          <t>3048550Y</t>
        </is>
      </c>
      <c r="K887" s="2" t="inlineStr">
        <is>
          <t>Abierto simplificado</t>
        </is>
      </c>
      <c r="L887" s="6" t="n">
        <v>1.6</v>
      </c>
      <c r="M887" s="2" t="n"/>
      <c r="N887" s="7" t="n">
        <v>0</v>
      </c>
      <c r="O887" s="4" t="n"/>
      <c r="P887" s="2" t="inlineStr">
        <is>
          <t>45233252; 45233222</t>
        </is>
      </c>
      <c r="Q887" s="8" t="inlineStr">
        <is>
          <t>Ver</t>
        </is>
      </c>
      <c r="R887" s="8" t="inlineStr">
        <is>
          <t>PCAP</t>
        </is>
      </c>
      <c r="S887" s="9" t="n">
        <v>46314</v>
      </c>
      <c r="T887" s="3" t="n">
        <v>46311.8287037037</v>
      </c>
      <c r="U887" s="2" t="n"/>
    </row>
    <row r="888">
      <c r="A888" s="2" t="inlineStr">
        <is>
          <t>En plazo</t>
        </is>
      </c>
      <c r="B888" s="3" t="n">
        <v>46331.58333333334</v>
      </c>
      <c r="C888" s="5" t="n">
        <v>138178.15</v>
      </c>
      <c r="D888" s="5" t="n">
        <v>138178.15</v>
      </c>
      <c r="E888" s="2" t="inlineStr">
        <is>
          <t>Andalucía</t>
        </is>
      </c>
      <c r="F888" s="2" t="inlineStr">
        <is>
          <t>Cádiz</t>
        </is>
      </c>
      <c r="G888" s="2" t="inlineStr">
        <is>
          <t>La Línea de la Concepción</t>
        </is>
      </c>
      <c r="H888" s="2" t="inlineStr">
        <is>
          <t>Alcaldía del Ayuntamiento de la Línea de la Concepción</t>
        </is>
      </c>
      <c r="I888" s="2" t="inlineStr">
        <is>
          <t>Obra de reurbanización de Plaza Fariñas de La Línea de la Concepción (Cádiz)</t>
        </is>
      </c>
      <c r="J888" s="2" t="inlineStr">
        <is>
          <t>94/26</t>
        </is>
      </c>
      <c r="K888" s="2" t="inlineStr">
        <is>
          <t>Abierto simplificado</t>
        </is>
      </c>
      <c r="L888" s="6" t="n">
        <v>2.3</v>
      </c>
      <c r="M888" s="2" t="inlineStr">
        <is>
          <t>C4-1</t>
        </is>
      </c>
      <c r="N888" s="7" t="n">
        <v>0.25</v>
      </c>
      <c r="O888" s="4" t="n"/>
      <c r="P888" s="2" t="inlineStr">
        <is>
          <t>45453100; 45453000; 45000000; 45400000; 45450000</t>
        </is>
      </c>
      <c r="Q888" s="8" t="inlineStr">
        <is>
          <t>Ver</t>
        </is>
      </c>
      <c r="R888" s="8" t="inlineStr">
        <is>
          <t>PCAP</t>
        </is>
      </c>
      <c r="S888" s="9" t="n">
        <v>46314</v>
      </c>
      <c r="T888" s="3" t="n">
        <v>46311.7465162037</v>
      </c>
      <c r="U888" s="2" t="n"/>
    </row>
    <row r="889">
      <c r="A889" s="2" t="inlineStr">
        <is>
          <t>Pendiente de adjudicación</t>
        </is>
      </c>
      <c r="B889" s="3" t="n">
        <v>46296.99930555555</v>
      </c>
      <c r="C889" s="5" t="n">
        <v>223140.5</v>
      </c>
      <c r="D889" s="5" t="n">
        <v>223140.5</v>
      </c>
      <c r="E889" s="2" t="inlineStr">
        <is>
          <t>Comunitat Valenciana</t>
        </is>
      </c>
      <c r="F889" s="2" t="inlineStr">
        <is>
          <t>Valencia</t>
        </is>
      </c>
      <c r="G889" s="2" t="inlineStr">
        <is>
          <t>Almàssera</t>
        </is>
      </c>
      <c r="H889" s="2" t="inlineStr">
        <is>
          <t>Junta de Gobierno del Ayuntamiento de Almàssera</t>
        </is>
      </c>
      <c r="I889" s="2" t="inlineStr">
        <is>
          <t>Obra reurbanización C. Maestro Serrano de Almàssera (Pla Obert de la Diputació)</t>
        </is>
      </c>
      <c r="J889" s="2" t="inlineStr">
        <is>
          <t>3965/2026</t>
        </is>
      </c>
      <c r="K889" s="2" t="inlineStr">
        <is>
          <t>Abierto simplificado</t>
        </is>
      </c>
      <c r="L889" s="6" t="n">
        <v>3</v>
      </c>
      <c r="M889" s="2" t="n"/>
      <c r="N889" s="7" t="n">
        <v>0</v>
      </c>
      <c r="O889" s="4" t="n"/>
      <c r="P889" s="2" t="inlineStr">
        <is>
          <t>45233252</t>
        </is>
      </c>
      <c r="Q889" s="8" t="inlineStr">
        <is>
          <t>Ver</t>
        </is>
      </c>
      <c r="R889" s="8" t="inlineStr">
        <is>
          <t>PCAP</t>
        </is>
      </c>
      <c r="S889" s="9" t="n">
        <v>46310</v>
      </c>
      <c r="T889" s="3" t="n">
        <v>46311.69923611111</v>
      </c>
      <c r="U889" s="2" t="n"/>
    </row>
    <row r="890">
      <c r="A890" s="2" t="inlineStr">
        <is>
          <t>En plazo</t>
        </is>
      </c>
      <c r="B890" s="3" t="n">
        <v>46342.99930555555</v>
      </c>
      <c r="C890" s="5" t="n">
        <v>2470744.98</v>
      </c>
      <c r="D890" s="5" t="n">
        <v>2470744.98</v>
      </c>
      <c r="E890" s="2" t="inlineStr">
        <is>
          <t>Comunitat Valenciana</t>
        </is>
      </c>
      <c r="F890" s="2" t="inlineStr">
        <is>
          <t>Valencia</t>
        </is>
      </c>
      <c r="G890" s="2" t="n"/>
      <c r="H890" s="2" t="inlineStr">
        <is>
          <t>Pleno del Ayuntamiento de Puçol</t>
        </is>
      </c>
      <c r="I890" s="2" t="inlineStr">
        <is>
          <t>Reforma del Colegio Jaume I de Puçol y construcción de un gimnasio y un aulario para educación infantil (EDIFICANT)</t>
        </is>
      </c>
      <c r="J890" s="2" t="inlineStr">
        <is>
          <t>2138082J</t>
        </is>
      </c>
      <c r="K890" s="2" t="inlineStr">
        <is>
          <t>Abierto</t>
        </is>
      </c>
      <c r="L890" s="6" t="n">
        <v>12</v>
      </c>
      <c r="M890" s="2" t="inlineStr">
        <is>
          <t>C9-4</t>
        </is>
      </c>
      <c r="N890" s="7" t="n">
        <v>0.26</v>
      </c>
      <c r="O890" s="4" t="n"/>
      <c r="P890" s="2" t="inlineStr">
        <is>
          <t>45200000; 45214200</t>
        </is>
      </c>
      <c r="Q890" s="8" t="inlineStr">
        <is>
          <t>Ver</t>
        </is>
      </c>
      <c r="R890" s="8" t="inlineStr">
        <is>
          <t>PCAP</t>
        </is>
      </c>
      <c r="S890" s="9" t="n">
        <v>46314</v>
      </c>
      <c r="T890" s="3" t="n">
        <v>46311.66907407407</v>
      </c>
      <c r="U890" s="2" t="n"/>
    </row>
    <row r="891">
      <c r="A891" s="2" t="inlineStr">
        <is>
          <t>Resuelta</t>
        </is>
      </c>
      <c r="B891" s="3" t="n">
        <v>46244.99930555555</v>
      </c>
      <c r="C891" s="5" t="n">
        <v>541689.28</v>
      </c>
      <c r="D891" s="5" t="n">
        <v>541689.28</v>
      </c>
      <c r="E891" s="2" t="inlineStr">
        <is>
          <t>Comunitat Valenciana</t>
        </is>
      </c>
      <c r="F891" s="2" t="inlineStr">
        <is>
          <t>Castellón</t>
        </is>
      </c>
      <c r="G891" s="2" t="inlineStr">
        <is>
          <t>Castellón de la Plana</t>
        </is>
      </c>
      <c r="H891" s="2" t="inlineStr">
        <is>
          <t>Secretaría General de Coordinación Territorial</t>
        </is>
      </c>
      <c r="I891" s="2" t="inlineStr">
        <is>
          <t>Obras de Rehabilitación de fachadas y cubiertas del Edificio Sede de la Subdelegación del Gobierno en Castellón</t>
        </is>
      </c>
      <c r="J891" s="2" t="inlineStr">
        <is>
          <t>202686026060</t>
        </is>
      </c>
      <c r="K891" s="2" t="inlineStr">
        <is>
          <t>Abierto simplificado</t>
        </is>
      </c>
      <c r="L891" s="6" t="n">
        <v>6</v>
      </c>
      <c r="M891" s="2" t="n"/>
      <c r="N891" s="7" t="n">
        <v>0</v>
      </c>
      <c r="O891" s="4" t="n"/>
      <c r="P891" s="2" t="inlineStr">
        <is>
          <t>45210000</t>
        </is>
      </c>
      <c r="Q891" s="8" t="inlineStr">
        <is>
          <t>Ver</t>
        </is>
      </c>
      <c r="R891" s="8" t="inlineStr">
        <is>
          <t>PCAP</t>
        </is>
      </c>
      <c r="S891" s="9" t="n">
        <v>46314</v>
      </c>
      <c r="T891" s="3" t="n">
        <v>46311.66878472222</v>
      </c>
      <c r="U891" s="2" t="n"/>
    </row>
    <row r="892">
      <c r="A892" s="2" t="inlineStr">
        <is>
          <t>En plazo</t>
        </is>
      </c>
      <c r="B892" s="3" t="n">
        <v>46337.99930555555</v>
      </c>
      <c r="C892" s="5" t="n">
        <v>269668.44</v>
      </c>
      <c r="D892" s="5" t="n">
        <v>323602.13</v>
      </c>
      <c r="E892" s="2" t="inlineStr">
        <is>
          <t>Andalucía</t>
        </is>
      </c>
      <c r="F892" s="2" t="inlineStr">
        <is>
          <t>Huelva</t>
        </is>
      </c>
      <c r="G892" s="2" t="inlineStr">
        <is>
          <t>Moguer</t>
        </is>
      </c>
      <c r="H892" s="2" t="inlineStr">
        <is>
          <t>Alcaldía del Ayuntamiento de Moguer</t>
        </is>
      </c>
      <c r="I892" s="2" t="inlineStr">
        <is>
          <t>Obras para la mejora de red de saneamiento y abastecimiento de aguas y asfalto del Polígono Industrial El Algarrobito</t>
        </is>
      </c>
      <c r="J892" s="2" t="inlineStr">
        <is>
          <t>11564/2026 MEJORA POLIGONO ALGARROBITO</t>
        </is>
      </c>
      <c r="K892" s="2" t="inlineStr">
        <is>
          <t>Abierto</t>
        </is>
      </c>
      <c r="L892" s="6" t="n">
        <v>5</v>
      </c>
      <c r="M892" s="2" t="n"/>
      <c r="N892" s="7" t="n">
        <v>0</v>
      </c>
      <c r="O892" s="4" t="n">
        <v>2</v>
      </c>
      <c r="P892" s="2" t="inlineStr">
        <is>
          <t>45233140; 45232410; 45231300; 45233222</t>
        </is>
      </c>
      <c r="Q892" s="8" t="inlineStr">
        <is>
          <t>Ver</t>
        </is>
      </c>
      <c r="R892" s="8" t="inlineStr">
        <is>
          <t>PCAP</t>
        </is>
      </c>
      <c r="S892" s="9" t="n">
        <v>46314</v>
      </c>
      <c r="T892" s="3" t="n">
        <v>46311.64524305556</v>
      </c>
      <c r="U892" s="2" t="n"/>
    </row>
    <row r="893">
      <c r="A893" s="2" t="inlineStr">
        <is>
          <t>Resuelta</t>
        </is>
      </c>
      <c r="B893" s="3" t="n">
        <v>46273.99930555555</v>
      </c>
      <c r="C893" s="5" t="n">
        <v>454901.03</v>
      </c>
      <c r="D893" s="5" t="n">
        <v>454901.03</v>
      </c>
      <c r="E893" s="2" t="inlineStr">
        <is>
          <t>Comunitat Valenciana</t>
        </is>
      </c>
      <c r="F893" s="2" t="inlineStr">
        <is>
          <t>Valencia</t>
        </is>
      </c>
      <c r="G893" s="2" t="n"/>
      <c r="H893" s="2" t="inlineStr">
        <is>
          <t>Pleno del Ayuntamiento de Marines</t>
        </is>
      </c>
      <c r="I893" s="2" t="inlineStr">
        <is>
          <t>Reurbanización de las calles Miguel Hernández, Gátova y Colón en el T.M. de Marines (Valencia)</t>
        </is>
      </c>
      <c r="J893" s="2" t="inlineStr">
        <is>
          <t>455/2026</t>
        </is>
      </c>
      <c r="K893" s="2" t="inlineStr">
        <is>
          <t>Abierto simplificado</t>
        </is>
      </c>
      <c r="L893" s="6" t="n">
        <v>4</v>
      </c>
      <c r="M893" s="2" t="n"/>
      <c r="N893" s="7" t="n">
        <v>0</v>
      </c>
      <c r="O893" s="4" t="n"/>
      <c r="P893" s="2" t="inlineStr">
        <is>
          <t>45211360; 45231300; 45233252; 45111100; 45112500; 45232150; 45233222; 45111200; 45233120; 45311000; 45112000; 45233221; 45316110; 45233290</t>
        </is>
      </c>
      <c r="Q893" s="8" t="inlineStr">
        <is>
          <t>Ver</t>
        </is>
      </c>
      <c r="R893" s="8" t="inlineStr">
        <is>
          <t>PCAP</t>
        </is>
      </c>
      <c r="S893" s="9" t="n">
        <v>46314</v>
      </c>
      <c r="T893" s="3" t="n">
        <v>46311.61202546296</v>
      </c>
      <c r="U893" s="2" t="n"/>
    </row>
    <row r="894">
      <c r="A894" s="2" t="inlineStr">
        <is>
          <t>En plazo</t>
        </is>
      </c>
      <c r="B894" s="3" t="n">
        <v>46331.99930555555</v>
      </c>
      <c r="C894" s="5" t="n">
        <v>810884.09</v>
      </c>
      <c r="D894" s="5" t="n">
        <v>810884.09</v>
      </c>
      <c r="E894" s="2" t="inlineStr">
        <is>
          <t>Comunitat Valenciana</t>
        </is>
      </c>
      <c r="F894" s="2" t="inlineStr">
        <is>
          <t>Castellón</t>
        </is>
      </c>
      <c r="G894" s="2" t="n"/>
      <c r="H894" s="2" t="inlineStr">
        <is>
          <t>Junta de Gobierno del Ayuntamiento de Borriana</t>
        </is>
      </c>
      <c r="I894" s="2" t="inlineStr">
        <is>
          <t>Ejecución de las obras "Acondicionamiento del Cami Fondo entre la avda. Vicente Cañada Blanch y la avda. Unión Europea" (PM 8/2026).</t>
        </is>
      </c>
      <c r="J894" s="2" t="inlineStr">
        <is>
          <t>BURR 16353/2026-PM 8/2026</t>
        </is>
      </c>
      <c r="K894" s="2" t="inlineStr">
        <is>
          <t>Abierto simplificado</t>
        </is>
      </c>
      <c r="L894" s="6" t="n">
        <v>6</v>
      </c>
      <c r="M894" s="2" t="inlineStr">
        <is>
          <t>G4-3</t>
        </is>
      </c>
      <c r="N894" s="7" t="n">
        <v>0.25</v>
      </c>
      <c r="O894" s="4" t="n"/>
      <c r="P894" s="2" t="inlineStr">
        <is>
          <t>45230000</t>
        </is>
      </c>
      <c r="Q894" s="8" t="inlineStr">
        <is>
          <t>Ver</t>
        </is>
      </c>
      <c r="R894" s="8" t="inlineStr">
        <is>
          <t>PCAP</t>
        </is>
      </c>
      <c r="S894" s="9" t="n">
        <v>46314</v>
      </c>
      <c r="T894" s="3" t="n">
        <v>46311.61008101852</v>
      </c>
      <c r="U894" s="2" t="n"/>
    </row>
    <row r="895">
      <c r="A895" s="2" t="inlineStr">
        <is>
          <t>En plazo</t>
        </is>
      </c>
      <c r="B895" s="3" t="n">
        <v>46324.5</v>
      </c>
      <c r="C895" s="5" t="n">
        <v>20327126.55</v>
      </c>
      <c r="D895" s="5" t="n">
        <v>21140211.61</v>
      </c>
      <c r="E895" s="2" t="inlineStr">
        <is>
          <t>Andalucía</t>
        </is>
      </c>
      <c r="F895" s="2" t="inlineStr">
        <is>
          <t>Málaga</t>
        </is>
      </c>
      <c r="G895" s="2" t="inlineStr">
        <is>
          <t>Málaga</t>
        </is>
      </c>
      <c r="H895" s="2" t="inlineStr">
        <is>
          <t>Aena. Consejo de Administración</t>
        </is>
      </c>
      <c r="I895" s="2" t="inlineStr">
        <is>
          <t>Actuaciones En Pavimento En Rodadura A Y Salidas Asociadas. Aeropuerto De Málaga - Costa Del Sol.</t>
        </is>
      </c>
      <c r="J895" s="2" t="inlineStr">
        <is>
          <t>DIN-442/2026</t>
        </is>
      </c>
      <c r="K895" s="2" t="inlineStr">
        <is>
          <t>Licitación con negociación</t>
        </is>
      </c>
      <c r="L895" s="6" t="n">
        <v>37</v>
      </c>
      <c r="M895" s="2" t="n"/>
      <c r="N895" s="7" t="n">
        <v>0</v>
      </c>
      <c r="O895" s="4" t="n"/>
      <c r="P895" s="2" t="inlineStr">
        <is>
          <t>45235311</t>
        </is>
      </c>
      <c r="Q895" s="8" t="inlineStr">
        <is>
          <t>Ver</t>
        </is>
      </c>
      <c r="R895" s="8" t="inlineStr">
        <is>
          <t>PCAP</t>
        </is>
      </c>
      <c r="S895" s="9" t="n">
        <v>46314</v>
      </c>
      <c r="T895" s="3" t="n">
        <v>46311.60924768518</v>
      </c>
      <c r="U895" s="2" t="n"/>
    </row>
    <row r="896">
      <c r="A896" s="2" t="inlineStr">
        <is>
          <t>Resuelta</t>
        </is>
      </c>
      <c r="B896" s="3" t="n">
        <v>46237.99930555555</v>
      </c>
      <c r="C896" s="5" t="n">
        <v>1652892.57</v>
      </c>
      <c r="D896" s="5" t="n">
        <v>702479.34</v>
      </c>
      <c r="E896" s="2" t="inlineStr">
        <is>
          <t>Comunitat Valenciana</t>
        </is>
      </c>
      <c r="F896" s="2" t="inlineStr">
        <is>
          <t>Valencia</t>
        </is>
      </c>
      <c r="G896" s="2" t="n"/>
      <c r="H896" s="2" t="inlineStr">
        <is>
          <t>Alcaldia del Ayuntamiento de Ontinyent</t>
        </is>
      </c>
      <c r="I896" s="2" t="inlineStr">
        <is>
          <t>Contratación de las obras del Plan de mejora de eficiencia urbana de Ontinyent</t>
        </is>
      </c>
      <c r="J896" s="2" t="inlineStr">
        <is>
          <t>2923165C</t>
        </is>
      </c>
      <c r="K896" s="2" t="inlineStr">
        <is>
          <t>Abierto simplificado</t>
        </is>
      </c>
      <c r="L896" s="6" t="n">
        <v>8</v>
      </c>
      <c r="M896" s="2" t="inlineStr">
        <is>
          <t>G6-4</t>
        </is>
      </c>
      <c r="N896" s="7" t="n">
        <v>0.25</v>
      </c>
      <c r="O896" s="4" t="n"/>
      <c r="P896" s="2" t="inlineStr">
        <is>
          <t>45233200; 45233222; 37535200; 45233223; 45233252; 45233251; 45236210</t>
        </is>
      </c>
      <c r="Q896" s="8" t="inlineStr">
        <is>
          <t>Ver</t>
        </is>
      </c>
      <c r="R896" s="8" t="inlineStr">
        <is>
          <t>PCAP</t>
        </is>
      </c>
      <c r="S896" s="9" t="n">
        <v>46310</v>
      </c>
      <c r="T896" s="3" t="n">
        <v>46311.6081712963</v>
      </c>
      <c r="U896" s="2" t="inlineStr">
        <is>
          <t>2026-10-19: estado ADJ → RES</t>
        </is>
      </c>
    </row>
    <row r="897">
      <c r="A897" s="2" t="inlineStr">
        <is>
          <t>En plazo</t>
        </is>
      </c>
      <c r="B897" s="3" t="n">
        <v>46336.99930555555</v>
      </c>
      <c r="C897" s="5" t="n">
        <v>115671.92</v>
      </c>
      <c r="D897" s="5" t="n">
        <v>127239.11</v>
      </c>
      <c r="E897" s="2" t="inlineStr">
        <is>
          <t>Comunitat Valenciana</t>
        </is>
      </c>
      <c r="F897" s="2" t="inlineStr">
        <is>
          <t>Alicante</t>
        </is>
      </c>
      <c r="G897" s="2" t="inlineStr">
        <is>
          <t>ALICANTE</t>
        </is>
      </c>
      <c r="H897" s="2" t="inlineStr">
        <is>
          <t>Departamento de Salud de San Juan Alicante. Dirección Económica-Gerencia</t>
        </is>
      </c>
      <c r="I897" s="2" t="inlineStr">
        <is>
          <t>Obra de impermeabilización de las terrazas del Centro de Salud El Campello del Departamento de Salud de Alicante-Sant Joan d´Alacant, en condiciones de seguridad y salud laboral, así como de prácticas respetuosas con el medioambiente.</t>
        </is>
      </c>
      <c r="J897" s="2" t="inlineStr">
        <is>
          <t>PAS 258/2026</t>
        </is>
      </c>
      <c r="K897" s="2" t="inlineStr">
        <is>
          <t>Abierto simplificado</t>
        </is>
      </c>
      <c r="L897" s="6" t="n">
        <v>3</v>
      </c>
      <c r="M897" s="2" t="n"/>
      <c r="N897" s="7" t="n">
        <v>0.2</v>
      </c>
      <c r="O897" s="4" t="n"/>
      <c r="P897" s="2" t="inlineStr">
        <is>
          <t>45261420</t>
        </is>
      </c>
      <c r="Q897" s="8" t="inlineStr">
        <is>
          <t>Ver</t>
        </is>
      </c>
      <c r="R897" s="8" t="inlineStr">
        <is>
          <t>PCAP</t>
        </is>
      </c>
      <c r="S897" s="9" t="n">
        <v>46314</v>
      </c>
      <c r="T897" s="3" t="n">
        <v>46311.60664351852</v>
      </c>
      <c r="U897" s="2" t="n"/>
    </row>
    <row r="898">
      <c r="A898" s="2" t="inlineStr">
        <is>
          <t>Resuelta</t>
        </is>
      </c>
      <c r="B898" s="3" t="n">
        <v>45876.99930555555</v>
      </c>
      <c r="C898" s="5" t="n">
        <v>1861725.22</v>
      </c>
      <c r="D898" s="5" t="n">
        <v>2234070.26</v>
      </c>
      <c r="E898" s="2" t="inlineStr">
        <is>
          <t>Comunitat Valenciana</t>
        </is>
      </c>
      <c r="F898" s="2" t="inlineStr">
        <is>
          <t>Valencia</t>
        </is>
      </c>
      <c r="G898" s="2" t="n"/>
      <c r="H898" s="2" t="inlineStr">
        <is>
          <t>Junta de Gobierno del Ayuntamiento de Picanya</t>
        </is>
      </c>
      <c r="I898" s="2" t="inlineStr">
        <is>
          <t>Contrato de obras de reconstrucción y reparación aparcamiento subterráneo Av. Sanchis Guarner</t>
        </is>
      </c>
      <c r="J898" s="2" t="inlineStr">
        <is>
          <t>2351294M</t>
        </is>
      </c>
      <c r="K898" s="2" t="inlineStr">
        <is>
          <t>Abierto</t>
        </is>
      </c>
      <c r="L898" s="6" t="n">
        <v>12</v>
      </c>
      <c r="M898" s="2" t="inlineStr">
        <is>
          <t>C2-4</t>
        </is>
      </c>
      <c r="N898" s="7" t="n">
        <v>0.45</v>
      </c>
      <c r="O898" s="4" t="n"/>
      <c r="P898" s="2" t="inlineStr">
        <is>
          <t>45000000; 45200000</t>
        </is>
      </c>
      <c r="Q898" s="8" t="inlineStr">
        <is>
          <t>Ver</t>
        </is>
      </c>
      <c r="R898" s="8" t="inlineStr">
        <is>
          <t>PCAP</t>
        </is>
      </c>
      <c r="S898" s="9" t="n">
        <v>46310</v>
      </c>
      <c r="T898" s="3" t="n">
        <v>46311.60600694444</v>
      </c>
      <c r="U898" s="2" t="n"/>
    </row>
    <row r="899">
      <c r="A899" s="2" t="inlineStr">
        <is>
          <t>En plazo</t>
        </is>
      </c>
      <c r="B899" s="3" t="n">
        <v>46329.79166666666</v>
      </c>
      <c r="C899" s="5" t="n">
        <v>1071077.53</v>
      </c>
      <c r="D899" s="5" t="n">
        <v>1071077.53</v>
      </c>
      <c r="E899" s="2" t="inlineStr">
        <is>
          <t>Andalucía</t>
        </is>
      </c>
      <c r="F899" s="2" t="inlineStr">
        <is>
          <t>Almería</t>
        </is>
      </c>
      <c r="G899" s="2" t="inlineStr">
        <is>
          <t>Almería</t>
        </is>
      </c>
      <c r="H899" s="2" t="inlineStr">
        <is>
          <t>Presidencia de la Autoridad Portuaria de Almería</t>
        </is>
      </c>
      <c r="I899" s="2" t="inlineStr">
        <is>
          <t>Obras de Reforma de Pasarelas 4 y 5 en Puerto de Almería</t>
        </is>
      </c>
      <c r="J899" s="2" t="inlineStr">
        <is>
          <t>31/O/A/AL26</t>
        </is>
      </c>
      <c r="K899" s="2" t="inlineStr">
        <is>
          <t>Abierto</t>
        </is>
      </c>
      <c r="L899" s="6" t="n">
        <v>12</v>
      </c>
      <c r="M899" s="2" t="inlineStr">
        <is>
          <t>C3-4</t>
        </is>
      </c>
      <c r="N899" s="7" t="n">
        <v>0.25</v>
      </c>
      <c r="O899" s="4" t="n"/>
      <c r="P899" s="2" t="inlineStr">
        <is>
          <t>45223210; 45223100</t>
        </is>
      </c>
      <c r="Q899" s="8" t="inlineStr">
        <is>
          <t>Ver</t>
        </is>
      </c>
      <c r="R899" s="8" t="inlineStr">
        <is>
          <t>PCAP</t>
        </is>
      </c>
      <c r="S899" s="9" t="n">
        <v>46310</v>
      </c>
      <c r="T899" s="3" t="n">
        <v>46311.60087962963</v>
      </c>
      <c r="U899" s="2" t="n"/>
    </row>
    <row r="900">
      <c r="A900" s="2" t="inlineStr">
        <is>
          <t>Pendiente de adjudicación</t>
        </is>
      </c>
      <c r="B900" s="3" t="n">
        <v>46308.99930555555</v>
      </c>
      <c r="C900" s="5" t="n">
        <v>337455.6</v>
      </c>
      <c r="D900" s="5" t="n">
        <v>337455.6</v>
      </c>
      <c r="E900" s="2" t="inlineStr">
        <is>
          <t>Comunitat Valenciana</t>
        </is>
      </c>
      <c r="F900" s="2" t="inlineStr">
        <is>
          <t>Alicante</t>
        </is>
      </c>
      <c r="G900" s="2" t="inlineStr">
        <is>
          <t>Catral</t>
        </is>
      </c>
      <c r="H900" s="2" t="inlineStr">
        <is>
          <t>Junta de Gobierno Local del Ayuntamiento de Catral</t>
        </is>
      </c>
      <c r="I900" s="2" t="inlineStr">
        <is>
          <t>Suministro, obra, instalación, comunicaciones y configuración de los elementos necesarios para ampliar el sistema de seguridad ciudadana y de tráfico.</t>
        </is>
      </c>
      <c r="J900" s="2" t="inlineStr">
        <is>
          <t>2292/2026</t>
        </is>
      </c>
      <c r="K900" s="2" t="inlineStr">
        <is>
          <t>Abierto simplificado</t>
        </is>
      </c>
      <c r="L900" s="6" t="n">
        <v>6</v>
      </c>
      <c r="M900" s="2" t="n"/>
      <c r="N900" s="7" t="n">
        <v>0</v>
      </c>
      <c r="O900" s="4" t="n"/>
      <c r="P900" s="2" t="inlineStr">
        <is>
          <t>45314000; 35125300; 32523000; 32323500; 32562000</t>
        </is>
      </c>
      <c r="Q900" s="8" t="inlineStr">
        <is>
          <t>Ver</t>
        </is>
      </c>
      <c r="R900" s="8" t="inlineStr">
        <is>
          <t>PCAP</t>
        </is>
      </c>
      <c r="S900" s="9" t="n">
        <v>46314</v>
      </c>
      <c r="T900" s="3" t="n">
        <v>46311.59895833334</v>
      </c>
      <c r="U900" s="2" t="n"/>
    </row>
    <row r="901">
      <c r="A901" s="2" t="inlineStr">
        <is>
          <t>Resuelta</t>
        </is>
      </c>
      <c r="B901" s="3" t="n"/>
      <c r="C901" s="5" t="n">
        <v>889811.04</v>
      </c>
      <c r="D901" s="5" t="n">
        <v>1076671.36</v>
      </c>
      <c r="E901" s="2" t="inlineStr">
        <is>
          <t>Andalucía</t>
        </is>
      </c>
      <c r="F901" s="2" t="inlineStr">
        <is>
          <t>Granada</t>
        </is>
      </c>
      <c r="G901" s="2" t="n"/>
      <c r="H901" s="2" t="inlineStr">
        <is>
          <t>Demarcación de Carreteras del Estado en Andalucía Oriental</t>
        </is>
      </c>
      <c r="I901" s="2" t="inlineStr">
        <is>
          <t>Reparación de daños extraordinarios motivados por episodios metereológicos excepcionales entre el 20 de enero y 15 de febrero de 2026 en la provincia de Almería en la nacional N-340a. LOTE 4</t>
        </is>
      </c>
      <c r="J901" s="2" t="inlineStr">
        <is>
          <t>EM32-AL-260006.L4</t>
        </is>
      </c>
      <c r="K901" s="2" t="inlineStr">
        <is>
          <t>Negociado sin publicidad</t>
        </is>
      </c>
      <c r="L901" s="6" t="n">
        <v>4</v>
      </c>
      <c r="M901" s="2" t="n"/>
      <c r="N901" s="7" t="n"/>
      <c r="O901" s="4" t="n"/>
      <c r="P901" s="2" t="inlineStr">
        <is>
          <t>45000000</t>
        </is>
      </c>
      <c r="Q901" s="8" t="inlineStr">
        <is>
          <t>Ver</t>
        </is>
      </c>
      <c r="R901" s="2" t="n"/>
      <c r="S901" s="9" t="n">
        <v>46314</v>
      </c>
      <c r="T901" s="3" t="n">
        <v>46311.5981712963</v>
      </c>
      <c r="U901" s="2" t="n"/>
    </row>
    <row r="902">
      <c r="A902" s="2" t="inlineStr">
        <is>
          <t>En plazo</t>
        </is>
      </c>
      <c r="B902" s="3" t="n">
        <v>46331.99930555555</v>
      </c>
      <c r="C902" s="5" t="n">
        <v>82243.75999999999</v>
      </c>
      <c r="D902" s="5" t="n">
        <v>82243.75999999999</v>
      </c>
      <c r="E902" s="2" t="inlineStr">
        <is>
          <t>Andalucía</t>
        </is>
      </c>
      <c r="F902" s="2" t="inlineStr">
        <is>
          <t>Córdoba</t>
        </is>
      </c>
      <c r="G902" s="2" t="inlineStr">
        <is>
          <t>CABRA</t>
        </is>
      </c>
      <c r="H902" s="2" t="inlineStr">
        <is>
          <t>Alcaldía del Ayuntamiento de Cabra</t>
        </is>
      </c>
      <c r="I902" s="2" t="inlineStr">
        <is>
          <t>Contrato de Obras para la Reforma de los Jardines situados en el PAU R2- FASE I de la localidad de Cabra (Córdoba)</t>
        </is>
      </c>
      <c r="J902" s="2" t="inlineStr">
        <is>
          <t>2026/28058</t>
        </is>
      </c>
      <c r="K902" s="2" t="inlineStr">
        <is>
          <t>Abierto simplificado</t>
        </is>
      </c>
      <c r="L902" s="6" t="n">
        <v>2</v>
      </c>
      <c r="M902" s="2" t="n"/>
      <c r="N902" s="7" t="n">
        <v>0</v>
      </c>
      <c r="O902" s="4" t="n"/>
      <c r="P902" s="2" t="inlineStr">
        <is>
          <t>45000000; 45112712</t>
        </is>
      </c>
      <c r="Q902" s="8" t="inlineStr">
        <is>
          <t>Ver</t>
        </is>
      </c>
      <c r="R902" s="8" t="inlineStr">
        <is>
          <t>PCAP</t>
        </is>
      </c>
      <c r="S902" s="9" t="n">
        <v>46314</v>
      </c>
      <c r="T902" s="3" t="n">
        <v>46311.59704861111</v>
      </c>
      <c r="U902" s="2" t="n"/>
    </row>
    <row r="903">
      <c r="A903" s="2" t="inlineStr">
        <is>
          <t>Resuelta</t>
        </is>
      </c>
      <c r="B903" s="3" t="n"/>
      <c r="C903" s="5" t="n">
        <v>762784.24</v>
      </c>
      <c r="D903" s="5" t="n">
        <v>922968.9399999999</v>
      </c>
      <c r="E903" s="2" t="inlineStr">
        <is>
          <t>Andalucía</t>
        </is>
      </c>
      <c r="F903" s="2" t="inlineStr">
        <is>
          <t>Granada</t>
        </is>
      </c>
      <c r="G903" s="2" t="n"/>
      <c r="H903" s="2" t="inlineStr">
        <is>
          <t>Demarcación de Carreteras del Estado en Andalucía Oriental</t>
        </is>
      </c>
      <c r="I903" s="2" t="inlineStr">
        <is>
          <t>Reparación de daños extraordinarios motivados por episodios metereológicos excepcionales entre el 20 de enero y 15 de febrero de 2026 en la provincia de Almería en la nacional N-341. LOTE 3</t>
        </is>
      </c>
      <c r="J903" s="2" t="inlineStr">
        <is>
          <t>EM32-AL-260006.L3</t>
        </is>
      </c>
      <c r="K903" s="2" t="inlineStr">
        <is>
          <t>Negociado sin publicidad</t>
        </is>
      </c>
      <c r="L903" s="6" t="n">
        <v>4</v>
      </c>
      <c r="M903" s="2" t="n"/>
      <c r="N903" s="7" t="n"/>
      <c r="O903" s="4" t="n"/>
      <c r="P903" s="2" t="inlineStr">
        <is>
          <t>45000000</t>
        </is>
      </c>
      <c r="Q903" s="8" t="inlineStr">
        <is>
          <t>Ver</t>
        </is>
      </c>
      <c r="R903" s="2" t="n"/>
      <c r="S903" s="9" t="n">
        <v>46314</v>
      </c>
      <c r="T903" s="3" t="n">
        <v>46311.59630787037</v>
      </c>
      <c r="U903" s="2" t="n"/>
    </row>
    <row r="904">
      <c r="A904" s="2" t="inlineStr">
        <is>
          <t>Adjudicada</t>
        </is>
      </c>
      <c r="B904" s="3" t="n">
        <v>46272.99930555555</v>
      </c>
      <c r="C904" s="5" t="n">
        <v>2096364.47</v>
      </c>
      <c r="D904" s="5" t="n">
        <v>2096364.47</v>
      </c>
      <c r="E904" s="2" t="inlineStr">
        <is>
          <t>Andalucía</t>
        </is>
      </c>
      <c r="F904" s="2" t="inlineStr">
        <is>
          <t>Jaén</t>
        </is>
      </c>
      <c r="G904" s="2" t="inlineStr">
        <is>
          <t>Alcalá la Real (Jaén)</t>
        </is>
      </c>
      <c r="H904" s="2" t="inlineStr">
        <is>
          <t>Junta de Gobierno del Ayuntamiento de Alcalá la Real</t>
        </is>
      </c>
      <c r="I904" s="2" t="inlineStr">
        <is>
          <t>Contratación de las obras necesarias para la ejecución de la Fase 1 del proyecto relativo a la reforma integral de la piscina municipal de verano de Alcalá la Real Jaén, en el marco de los planes de actuación integrados de entidades locales EDIL, en desarrollo urbano sostenible, cofinanciados con cargo al Fondo Europeo de Desarrollo Regional FEDER 2021-2027</t>
        </is>
      </c>
      <c r="J904" s="2" t="inlineStr">
        <is>
          <t>6886/2026</t>
        </is>
      </c>
      <c r="K904" s="2" t="inlineStr">
        <is>
          <t>Abierto</t>
        </is>
      </c>
      <c r="L904" s="6" t="n">
        <v>7</v>
      </c>
      <c r="M904" s="2" t="inlineStr">
        <is>
          <t>C4-4; E7-4</t>
        </is>
      </c>
      <c r="N904" s="7" t="n">
        <v>0</v>
      </c>
      <c r="O904" s="4" t="n"/>
      <c r="P904" s="2" t="inlineStr">
        <is>
          <t>45220000; 45211350; 45212212</t>
        </is>
      </c>
      <c r="Q904" s="8" t="inlineStr">
        <is>
          <t>Ver</t>
        </is>
      </c>
      <c r="R904" s="8" t="inlineStr">
        <is>
          <t>PCAP</t>
        </is>
      </c>
      <c r="S904" s="9" t="n">
        <v>46314</v>
      </c>
      <c r="T904" s="3" t="n">
        <v>46311.59550925926</v>
      </c>
      <c r="U904" s="2" t="n"/>
    </row>
    <row r="905">
      <c r="A905" s="2" t="inlineStr">
        <is>
          <t>Resuelta</t>
        </is>
      </c>
      <c r="B905" s="3" t="n">
        <v>46237.99930555555</v>
      </c>
      <c r="C905" s="5" t="n">
        <v>702479.34</v>
      </c>
      <c r="D905" s="5" t="n">
        <v>702479.34</v>
      </c>
      <c r="E905" s="2" t="inlineStr">
        <is>
          <t>Comunitat Valenciana</t>
        </is>
      </c>
      <c r="F905" s="2" t="inlineStr">
        <is>
          <t>Valencia</t>
        </is>
      </c>
      <c r="G905" s="2" t="inlineStr">
        <is>
          <t>Ontinyent</t>
        </is>
      </c>
      <c r="H905" s="2" t="inlineStr">
        <is>
          <t>Alcaldia del Ayuntamiento de Ontinyent</t>
        </is>
      </c>
      <c r="I905" s="2" t="inlineStr">
        <is>
          <t>Contratación de las obras de renovación de las infraestructuras hidráulicas en el entorno del mirador de la calle Joan Belda Pastor</t>
        </is>
      </c>
      <c r="J905" s="2" t="inlineStr">
        <is>
          <t>2935099C</t>
        </is>
      </c>
      <c r="K905" s="2" t="inlineStr">
        <is>
          <t>Abierto simplificado</t>
        </is>
      </c>
      <c r="L905" s="6" t="n">
        <v>6</v>
      </c>
      <c r="M905" s="2" t="inlineStr">
        <is>
          <t>E1-2; G6-3</t>
        </is>
      </c>
      <c r="N905" s="7" t="n">
        <v>0.25</v>
      </c>
      <c r="O905" s="4" t="n"/>
      <c r="P905" s="2" t="inlineStr">
        <is>
          <t>45232400; 45316000; 45316100; 44162500; 45233200; 45233222; 45233252; 45232410</t>
        </is>
      </c>
      <c r="Q905" s="8" t="inlineStr">
        <is>
          <t>Ver</t>
        </is>
      </c>
      <c r="R905" s="8" t="inlineStr">
        <is>
          <t>PCAP</t>
        </is>
      </c>
      <c r="S905" s="9" t="n">
        <v>46310</v>
      </c>
      <c r="T905" s="3" t="n">
        <v>46311.59497685185</v>
      </c>
      <c r="U905" s="2" t="inlineStr">
        <is>
          <t>2026-10-19: estado ADJ → RES</t>
        </is>
      </c>
    </row>
    <row r="906">
      <c r="A906" s="2" t="inlineStr">
        <is>
          <t>Resuelta</t>
        </is>
      </c>
      <c r="B906" s="3" t="n"/>
      <c r="C906" s="5" t="n">
        <v>771267.4300000001</v>
      </c>
      <c r="D906" s="5" t="n">
        <v>933233.59</v>
      </c>
      <c r="E906" s="2" t="inlineStr">
        <is>
          <t>Andalucía</t>
        </is>
      </c>
      <c r="F906" s="2" t="inlineStr">
        <is>
          <t>Granada</t>
        </is>
      </c>
      <c r="G906" s="2" t="n"/>
      <c r="H906" s="2" t="inlineStr">
        <is>
          <t>Demarcación de Carreteras del Estado en Andalucía Oriental</t>
        </is>
      </c>
      <c r="I906" s="2" t="inlineStr">
        <is>
          <t>Reparación de daños extraordinarios motivados por episodios metereológicos excepcionales entre el 20 de enero y 15 de febrero de 2026 en la provincia de Almería en la autovía A-7. LOTE 2</t>
        </is>
      </c>
      <c r="J906" s="2" t="inlineStr">
        <is>
          <t>EM32-AL-260006.L2</t>
        </is>
      </c>
      <c r="K906" s="2" t="inlineStr">
        <is>
          <t>Negociado sin publicidad</t>
        </is>
      </c>
      <c r="L906" s="6" t="n">
        <v>4</v>
      </c>
      <c r="M906" s="2" t="n"/>
      <c r="N906" s="7" t="n"/>
      <c r="O906" s="4" t="n"/>
      <c r="P906" s="2" t="inlineStr">
        <is>
          <t>45000000</t>
        </is>
      </c>
      <c r="Q906" s="8" t="inlineStr">
        <is>
          <t>Ver</t>
        </is>
      </c>
      <c r="R906" s="2" t="n"/>
      <c r="S906" s="9" t="n">
        <v>46314</v>
      </c>
      <c r="T906" s="3" t="n">
        <v>46311.59454861111</v>
      </c>
      <c r="U906" s="2" t="n"/>
    </row>
    <row r="907">
      <c r="A907" s="2" t="inlineStr">
        <is>
          <t>Pendiente de adjudicación</t>
        </is>
      </c>
      <c r="B907" s="3" t="n">
        <v>46300.99930555555</v>
      </c>
      <c r="C907" s="5" t="n">
        <v>1725633.52</v>
      </c>
      <c r="D907" s="5" t="n">
        <v>1725633.52</v>
      </c>
      <c r="E907" s="2" t="inlineStr">
        <is>
          <t>Andalucía</t>
        </is>
      </c>
      <c r="F907" s="2" t="inlineStr">
        <is>
          <t>Jaén</t>
        </is>
      </c>
      <c r="G907" s="2" t="n"/>
      <c r="H907" s="2" t="inlineStr">
        <is>
          <t>Alcaldía del Ayuntamiento de Úbeda</t>
        </is>
      </c>
      <c r="I907" s="2" t="inlineStr">
        <is>
          <t>"Construcción de Pabellón Polideportivo en Úbeda", en el Marco del Plan de Actuación integrado Úbeda-Baeza (Plan Edil), financiado por el Fondo Europeo de Desarrollo Regional (Feder) 2021-2027.</t>
        </is>
      </c>
      <c r="J907" s="2" t="inlineStr">
        <is>
          <t>OBR3952/2026</t>
        </is>
      </c>
      <c r="K907" s="2" t="inlineStr">
        <is>
          <t>Abierto simplificado</t>
        </is>
      </c>
      <c r="L907" s="6" t="n">
        <v>9</v>
      </c>
      <c r="M907" s="2" t="n"/>
      <c r="N907" s="7" t="n">
        <v>0</v>
      </c>
      <c r="O907" s="4" t="n"/>
      <c r="P907" s="2" t="inlineStr">
        <is>
          <t>45212225</t>
        </is>
      </c>
      <c r="Q907" s="8" t="inlineStr">
        <is>
          <t>Ver</t>
        </is>
      </c>
      <c r="R907" s="8" t="inlineStr">
        <is>
          <t>PCAP</t>
        </is>
      </c>
      <c r="S907" s="9" t="n">
        <v>46314</v>
      </c>
      <c r="T907" s="3" t="n">
        <v>46311.59300925926</v>
      </c>
      <c r="U907" s="2" t="n"/>
    </row>
    <row r="908">
      <c r="A908" s="2" t="inlineStr">
        <is>
          <t>Resuelta</t>
        </is>
      </c>
      <c r="B908" s="3" t="n">
        <v>45852.99930555555</v>
      </c>
      <c r="C908" s="5" t="n">
        <v>1060054.18</v>
      </c>
      <c r="D908" s="5" t="n">
        <v>1060054.18</v>
      </c>
      <c r="E908" s="2" t="inlineStr">
        <is>
          <t>Andalucía</t>
        </is>
      </c>
      <c r="F908" s="2" t="inlineStr">
        <is>
          <t>Jaén</t>
        </is>
      </c>
      <c r="G908" s="2" t="n"/>
      <c r="H908" s="2" t="inlineStr">
        <is>
          <t>Concejalía de Economía, Hacienda y Patrimonio del Ayuntamiento de Martos</t>
        </is>
      </c>
      <c r="I908" s="2" t="inlineStr">
        <is>
          <t>Contrato de obras para ejecutar proyecto básico y de ejecución de obras de reforma y mejora del estadio Ciudad de Martos</t>
        </is>
      </c>
      <c r="J908" s="2" t="inlineStr">
        <is>
          <t>2025/6303</t>
        </is>
      </c>
      <c r="K908" s="2" t="inlineStr">
        <is>
          <t>Abierto</t>
        </is>
      </c>
      <c r="L908" s="6" t="n">
        <v>7</v>
      </c>
      <c r="M908" s="2" t="n"/>
      <c r="N908" s="7" t="n">
        <v>0.4</v>
      </c>
      <c r="O908" s="4" t="n"/>
      <c r="P908" s="2" t="inlineStr">
        <is>
          <t>45212200; 45212290</t>
        </is>
      </c>
      <c r="Q908" s="8" t="inlineStr">
        <is>
          <t>Ver</t>
        </is>
      </c>
      <c r="R908" s="8" t="inlineStr">
        <is>
          <t>PCAP</t>
        </is>
      </c>
      <c r="S908" s="9" t="n">
        <v>46314</v>
      </c>
      <c r="T908" s="3" t="n">
        <v>46311.5909375</v>
      </c>
      <c r="U908" s="2" t="n"/>
    </row>
    <row r="909">
      <c r="A909" s="2" t="inlineStr">
        <is>
          <t>Adjudicada</t>
        </is>
      </c>
      <c r="B909" s="3" t="n">
        <v>46259.99930555555</v>
      </c>
      <c r="C909" s="5" t="n">
        <v>1074378.69</v>
      </c>
      <c r="D909" s="5" t="n">
        <v>1074378.69</v>
      </c>
      <c r="E909" s="2" t="inlineStr">
        <is>
          <t>Andalucía</t>
        </is>
      </c>
      <c r="F909" s="2" t="inlineStr">
        <is>
          <t>Málaga</t>
        </is>
      </c>
      <c r="G909" s="2" t="n"/>
      <c r="H909" s="2" t="inlineStr">
        <is>
          <t>Alcaldía del Ayuntamiento de Casarabonela</t>
        </is>
      </c>
      <c r="I909" s="2" t="inlineStr">
        <is>
          <t>El objeto del contrato, es la ejecución de las obras correspondientes al proyecto denominado CONSTRUCCION DE PABELLON POLIDEPORTIVO CUBIERTO MUNICIPAL</t>
        </is>
      </c>
      <c r="J909" s="2" t="inlineStr">
        <is>
          <t>C2026523</t>
        </is>
      </c>
      <c r="K909" s="2" t="inlineStr">
        <is>
          <t>Abierto simplificado</t>
        </is>
      </c>
      <c r="L909" s="6" t="n">
        <v>12</v>
      </c>
      <c r="M909" s="2" t="inlineStr">
        <is>
          <t>C3-4</t>
        </is>
      </c>
      <c r="N909" s="7" t="n">
        <v>0</v>
      </c>
      <c r="O909" s="4" t="n"/>
      <c r="P909" s="2" t="inlineStr">
        <is>
          <t>45212225</t>
        </is>
      </c>
      <c r="Q909" s="8" t="inlineStr">
        <is>
          <t>Ver</t>
        </is>
      </c>
      <c r="R909" s="8" t="inlineStr">
        <is>
          <t>PCAP</t>
        </is>
      </c>
      <c r="S909" s="9" t="n">
        <v>46314</v>
      </c>
      <c r="T909" s="3" t="n">
        <v>46311.58930555556</v>
      </c>
      <c r="U909" s="2" t="n"/>
    </row>
    <row r="910">
      <c r="A910" s="2" t="inlineStr">
        <is>
          <t>Pendiente de adjudicación</t>
        </is>
      </c>
      <c r="B910" s="3" t="n">
        <v>46295.99930555555</v>
      </c>
      <c r="C910" s="5" t="n">
        <v>138372.09</v>
      </c>
      <c r="D910" s="5" t="n">
        <v>114357.1</v>
      </c>
      <c r="E910" s="2" t="inlineStr">
        <is>
          <t>Comunitat Valenciana</t>
        </is>
      </c>
      <c r="F910" s="2" t="inlineStr">
        <is>
          <t>Valencia</t>
        </is>
      </c>
      <c r="G910" s="2" t="n"/>
      <c r="H910" s="2" t="inlineStr">
        <is>
          <t>Alcaldía del Ayuntamiento de Albalat de la Ribera</t>
        </is>
      </c>
      <c r="I910" s="2" t="inlineStr">
        <is>
          <t>Obras de restauración de la cubierta y otras actuaciones en la iglesia parroquial de Sant Pere Apóstol de Albalat de la Ribera (Valencia)</t>
        </is>
      </c>
      <c r="J910" s="2" t="inlineStr">
        <is>
          <t>280/2026</t>
        </is>
      </c>
      <c r="K910" s="2" t="inlineStr">
        <is>
          <t>Abierto simplificado</t>
        </is>
      </c>
      <c r="L910" s="6" t="n">
        <v>3</v>
      </c>
      <c r="M910" s="2" t="n"/>
      <c r="N910" s="7" t="n">
        <v>0</v>
      </c>
      <c r="O910" s="4" t="n"/>
      <c r="P910" s="2" t="inlineStr">
        <is>
          <t>45454100; 45212360; 45212350</t>
        </is>
      </c>
      <c r="Q910" s="8" t="inlineStr">
        <is>
          <t>Ver</t>
        </is>
      </c>
      <c r="R910" s="8" t="inlineStr">
        <is>
          <t>PCAP</t>
        </is>
      </c>
      <c r="S910" s="9" t="n">
        <v>46310</v>
      </c>
      <c r="T910" s="3" t="n">
        <v>46311.58828703704</v>
      </c>
      <c r="U910" s="2" t="n"/>
    </row>
    <row r="911">
      <c r="A911" s="2" t="inlineStr">
        <is>
          <t>Pendiente de adjudicación</t>
        </is>
      </c>
      <c r="B911" s="3" t="n">
        <v>46309.99930555555</v>
      </c>
      <c r="C911" s="5" t="n">
        <v>1985396.63</v>
      </c>
      <c r="D911" s="5" t="n">
        <v>1985396.63</v>
      </c>
      <c r="E911" s="2" t="inlineStr">
        <is>
          <t>Comunitat Valenciana</t>
        </is>
      </c>
      <c r="F911" s="2" t="inlineStr">
        <is>
          <t>Valencia</t>
        </is>
      </c>
      <c r="G911" s="2" t="n"/>
      <c r="H911" s="2" t="inlineStr">
        <is>
          <t>Concejalía Delegada de Contratación del Ajuntament de Tavernes de la Valldigna</t>
        </is>
      </c>
      <c r="I911" s="2" t="inlineStr">
        <is>
          <t>Reparación y restitución fase i colector playa. Impulsión y estación de bombeo Av. Marina</t>
        </is>
      </c>
      <c r="J911" s="2" t="inlineStr">
        <is>
          <t>3009277C</t>
        </is>
      </c>
      <c r="K911" s="2" t="inlineStr">
        <is>
          <t>Abierto simplificado</t>
        </is>
      </c>
      <c r="L911" s="6" t="n">
        <v>12</v>
      </c>
      <c r="M911" s="2" t="n"/>
      <c r="N911" s="7" t="n">
        <v>0</v>
      </c>
      <c r="O911" s="4" t="n"/>
      <c r="P911" s="2" t="inlineStr">
        <is>
          <t>45000000</t>
        </is>
      </c>
      <c r="Q911" s="8" t="inlineStr">
        <is>
          <t>Ver</t>
        </is>
      </c>
      <c r="R911" s="8" t="inlineStr">
        <is>
          <t>PCAP</t>
        </is>
      </c>
      <c r="S911" s="9" t="n">
        <v>46314</v>
      </c>
      <c r="T911" s="3" t="n">
        <v>46311.58587962963</v>
      </c>
      <c r="U911" s="2" t="n"/>
    </row>
    <row r="912">
      <c r="A912" s="2" t="inlineStr">
        <is>
          <t>Resuelta</t>
        </is>
      </c>
      <c r="B912" s="3" t="n">
        <v>46287</v>
      </c>
      <c r="C912" s="5" t="n">
        <v>58929.51</v>
      </c>
      <c r="D912" s="5" t="n">
        <v>58929.51</v>
      </c>
      <c r="E912" s="2" t="inlineStr">
        <is>
          <t>Comunitat Valenciana</t>
        </is>
      </c>
      <c r="F912" s="2" t="inlineStr">
        <is>
          <t>Valencia</t>
        </is>
      </c>
      <c r="G912" s="2" t="inlineStr">
        <is>
          <t>Massalfassar</t>
        </is>
      </c>
      <c r="H912" s="2" t="inlineStr">
        <is>
          <t>Alcaldia del Ayuntamiento de Massalfassar</t>
        </is>
      </c>
      <c r="I912" s="2" t="inlineStr">
        <is>
          <t>Contrato de obras, por procedimiento abierto simplificado, para la creación de equipamiento en solar municipal. Pla Obert d'Inversions 2024-2027 (POI) Expediente 478/26/COP</t>
        </is>
      </c>
      <c r="J912" s="2" t="inlineStr">
        <is>
          <t>1413/2026</t>
        </is>
      </c>
      <c r="K912" s="2" t="inlineStr">
        <is>
          <t>Abierto simplificado</t>
        </is>
      </c>
      <c r="L912" s="6" t="n">
        <v>3</v>
      </c>
      <c r="M912" s="2" t="n"/>
      <c r="N912" s="7" t="n">
        <v>0</v>
      </c>
      <c r="O912" s="4" t="n"/>
      <c r="P912" s="2" t="inlineStr">
        <is>
          <t>45261000</t>
        </is>
      </c>
      <c r="Q912" s="8" t="inlineStr">
        <is>
          <t>Ver</t>
        </is>
      </c>
      <c r="R912" s="8" t="inlineStr">
        <is>
          <t>PCAP</t>
        </is>
      </c>
      <c r="S912" s="9" t="n">
        <v>46314</v>
      </c>
      <c r="T912" s="3" t="n">
        <v>46311.58290509259</v>
      </c>
      <c r="U912" s="2" t="n"/>
    </row>
    <row r="913">
      <c r="A913" s="2" t="inlineStr">
        <is>
          <t>Pendiente de adjudicación</t>
        </is>
      </c>
      <c r="B913" s="3" t="n">
        <v>46310.99930555555</v>
      </c>
      <c r="C913" s="5" t="n">
        <v>331695.73</v>
      </c>
      <c r="D913" s="5" t="n">
        <v>331695.73</v>
      </c>
      <c r="E913" s="2" t="inlineStr">
        <is>
          <t>Andalucía</t>
        </is>
      </c>
      <c r="F913" s="2" t="inlineStr">
        <is>
          <t>Jaén</t>
        </is>
      </c>
      <c r="G913" s="2" t="inlineStr">
        <is>
          <t>Alcalá la Real (Jaén)</t>
        </is>
      </c>
      <c r="H913" s="2" t="inlineStr">
        <is>
          <t>Alcaldia del Ayuntamiento de Alcalá la Real</t>
        </is>
      </c>
      <c r="I913" s="2" t="inlineStr">
        <is>
          <t>Obras necesarias para la instalación solar fotovoltaica con placas solares de autoconsumo colectivo en la cubierta de diversos edificios municipales en el marco de los Planes de Actuación Integrados de Entidades Locales (EDIL), en desarrollo Urbano Sostenible, cofinanciados con cargo al Fondo Europeo de Desarrollo Regional (FEDER) 2021-2027.</t>
        </is>
      </c>
      <c r="J913" s="2" t="inlineStr">
        <is>
          <t>7608/2026</t>
        </is>
      </c>
      <c r="K913" s="2" t="inlineStr">
        <is>
          <t>Abierto simplificado</t>
        </is>
      </c>
      <c r="L913" s="6" t="n">
        <v>1.7</v>
      </c>
      <c r="M913" s="2" t="n"/>
      <c r="N913" s="7" t="n">
        <v>0</v>
      </c>
      <c r="O913" s="4" t="n">
        <v>2</v>
      </c>
      <c r="P913" s="2" t="inlineStr">
        <is>
          <t>45261215; 45315600; 09331200; 09332000</t>
        </is>
      </c>
      <c r="Q913" s="8" t="inlineStr">
        <is>
          <t>Ver</t>
        </is>
      </c>
      <c r="R913" s="8" t="inlineStr">
        <is>
          <t>PCAP</t>
        </is>
      </c>
      <c r="S913" s="9" t="n">
        <v>46314</v>
      </c>
      <c r="T913" s="3" t="n">
        <v>46311.5818287037</v>
      </c>
      <c r="U913" s="2" t="n"/>
    </row>
    <row r="914">
      <c r="A914" s="2" t="inlineStr">
        <is>
          <t>Resuelta</t>
        </is>
      </c>
      <c r="B914" s="3" t="n">
        <v>46290.41666666666</v>
      </c>
      <c r="C914" s="5" t="n">
        <v>141802.81</v>
      </c>
      <c r="D914" s="5" t="n">
        <v>141802.81</v>
      </c>
      <c r="E914" s="2" t="inlineStr">
        <is>
          <t>Comunitat Valenciana</t>
        </is>
      </c>
      <c r="F914" s="2" t="inlineStr">
        <is>
          <t>Castellón</t>
        </is>
      </c>
      <c r="G914" s="2" t="inlineStr">
        <is>
          <t>Gaibiel</t>
        </is>
      </c>
      <c r="H914" s="2" t="inlineStr">
        <is>
          <t>Pleno del Ayuntamiento de Gaibiel</t>
        </is>
      </c>
      <c r="I914" s="2" t="inlineStr">
        <is>
          <t>Obra "renovación de la red de abastecimiento y acondicionamiento de la calle Cueva Santa, Calle Pastora y diversas calles de Gaibiel”</t>
        </is>
      </c>
      <c r="J914" s="2" t="inlineStr">
        <is>
          <t>165/2026</t>
        </is>
      </c>
      <c r="K914" s="2" t="inlineStr">
        <is>
          <t>Abierto simplificado</t>
        </is>
      </c>
      <c r="L914" s="6" t="n">
        <v>2</v>
      </c>
      <c r="M914" s="2" t="n"/>
      <c r="N914" s="7" t="n">
        <v>0</v>
      </c>
      <c r="O914" s="4" t="n"/>
      <c r="P914" s="2" t="inlineStr">
        <is>
          <t>45233252; 45232410; 44162500</t>
        </is>
      </c>
      <c r="Q914" s="8" t="inlineStr">
        <is>
          <t>Ver</t>
        </is>
      </c>
      <c r="R914" s="8" t="inlineStr">
        <is>
          <t>PCAP</t>
        </is>
      </c>
      <c r="S914" s="9" t="n">
        <v>46310</v>
      </c>
      <c r="T914" s="3" t="n">
        <v>46311.57826388889</v>
      </c>
      <c r="U914" s="2" t="inlineStr">
        <is>
          <t>2026-10-19: estado ADJ → RES</t>
        </is>
      </c>
    </row>
    <row r="915">
      <c r="A915" s="2" t="inlineStr">
        <is>
          <t>Resuelta</t>
        </is>
      </c>
      <c r="B915" s="3" t="n">
        <v>46210.58333333334</v>
      </c>
      <c r="C915" s="5" t="n">
        <v>2496440.19</v>
      </c>
      <c r="D915" s="5" t="n">
        <v>2496440.19</v>
      </c>
      <c r="E915" s="2" t="inlineStr">
        <is>
          <t>Andalucía</t>
        </is>
      </c>
      <c r="F915" s="2" t="inlineStr">
        <is>
          <t>Cádiz</t>
        </is>
      </c>
      <c r="G915" s="2" t="n"/>
      <c r="H915" s="2" t="inlineStr">
        <is>
          <t>Presidencia de la Autoridad Portuaria de la Bahía de Algeciras</t>
        </is>
      </c>
      <c r="I915" s="2" t="inlineStr">
        <is>
          <t>Reurbanización de explanada liberada junto a PCF para preembarque de vehículos pesados.</t>
        </is>
      </c>
      <c r="J915" s="2" t="inlineStr">
        <is>
          <t>2026-043</t>
        </is>
      </c>
      <c r="K915" s="2" t="inlineStr">
        <is>
          <t>Abierto</t>
        </is>
      </c>
      <c r="L915" s="6" t="n">
        <v>8</v>
      </c>
      <c r="M915" s="2" t="inlineStr">
        <is>
          <t>G4-3</t>
        </is>
      </c>
      <c r="N915" s="7" t="n">
        <v>0.4</v>
      </c>
      <c r="O915" s="4" t="n"/>
      <c r="P915" s="2" t="inlineStr">
        <is>
          <t>45233000</t>
        </is>
      </c>
      <c r="Q915" s="8" t="inlineStr">
        <is>
          <t>Ver</t>
        </is>
      </c>
      <c r="R915" s="8" t="inlineStr">
        <is>
          <t>PCAP</t>
        </is>
      </c>
      <c r="S915" s="9" t="n">
        <v>46314</v>
      </c>
      <c r="T915" s="3" t="n">
        <v>46311.57743055555</v>
      </c>
      <c r="U915" s="2" t="n"/>
    </row>
    <row r="916">
      <c r="A916" s="2" t="inlineStr">
        <is>
          <t>En plazo</t>
        </is>
      </c>
      <c r="B916" s="3" t="n">
        <v>46331.99930555555</v>
      </c>
      <c r="C916" s="5" t="n">
        <v>168008.01</v>
      </c>
      <c r="D916" s="5" t="n">
        <v>168008.01</v>
      </c>
      <c r="E916" s="2" t="inlineStr">
        <is>
          <t>Comunitat Valenciana</t>
        </is>
      </c>
      <c r="F916" s="2" t="inlineStr">
        <is>
          <t>Alicante</t>
        </is>
      </c>
      <c r="G916" s="2" t="n"/>
      <c r="H916" s="2" t="inlineStr">
        <is>
          <t>Alcaldía del Ayuntamiento de San Miguel de Salinas</t>
        </is>
      </c>
      <c r="I916" s="2" t="inlineStr">
        <is>
          <t>Reurbanización de la calle Joaquín Martínez y adyacentes de San Miguel de Salinas.</t>
        </is>
      </c>
      <c r="J916" s="2" t="inlineStr">
        <is>
          <t>2369/2026</t>
        </is>
      </c>
      <c r="K916" s="2" t="inlineStr">
        <is>
          <t>Abierto simplificado</t>
        </is>
      </c>
      <c r="L916" s="6" t="n">
        <v>4</v>
      </c>
      <c r="M916" s="2" t="n"/>
      <c r="N916" s="7" t="n">
        <v>0</v>
      </c>
      <c r="O916" s="4" t="n"/>
      <c r="P916" s="2" t="inlineStr">
        <is>
          <t>45231300; 45240000; 45233200</t>
        </is>
      </c>
      <c r="Q916" s="8" t="inlineStr">
        <is>
          <t>Ver</t>
        </is>
      </c>
      <c r="R916" s="8" t="inlineStr">
        <is>
          <t>PCAP</t>
        </is>
      </c>
      <c r="S916" s="9" t="n">
        <v>46314</v>
      </c>
      <c r="T916" s="3" t="n">
        <v>46311.57722222222</v>
      </c>
      <c r="U916" s="2" t="n"/>
    </row>
    <row r="917">
      <c r="A917" s="2" t="inlineStr">
        <is>
          <t>Pendiente de adjudicación</t>
        </is>
      </c>
      <c r="B917" s="3" t="n">
        <v>46261.58333333334</v>
      </c>
      <c r="C917" s="5" t="n">
        <v>82644.63</v>
      </c>
      <c r="D917" s="5" t="n">
        <v>82644.63</v>
      </c>
      <c r="E917" s="2" t="inlineStr">
        <is>
          <t>Andalucía</t>
        </is>
      </c>
      <c r="F917" s="2" t="inlineStr">
        <is>
          <t>Cádiz</t>
        </is>
      </c>
      <c r="G917" s="2" t="n"/>
      <c r="H917" s="2" t="inlineStr">
        <is>
          <t>Presidencia de la E.L.A. de Guadalcacín</t>
        </is>
      </c>
      <c r="I917" s="2" t="inlineStr">
        <is>
          <t>La ejecución del proyecto de obras consistente en Rehabilitación de edificación municipal en calle Santa M.ª del Pino, 27</t>
        </is>
      </c>
      <c r="J917" s="2" t="inlineStr">
        <is>
          <t>2026/EGE_02/000006</t>
        </is>
      </c>
      <c r="K917" s="2" t="inlineStr">
        <is>
          <t>Abierto simplificado</t>
        </is>
      </c>
      <c r="L917" s="6" t="n">
        <v>5</v>
      </c>
      <c r="M917" s="2" t="n"/>
      <c r="N917" s="7" t="n"/>
      <c r="O917" s="4" t="n"/>
      <c r="P917" s="2" t="inlineStr">
        <is>
          <t>45000000; 45262330</t>
        </is>
      </c>
      <c r="Q917" s="8" t="inlineStr">
        <is>
          <t>Ver</t>
        </is>
      </c>
      <c r="R917" s="8" t="inlineStr">
        <is>
          <t>PCAP</t>
        </is>
      </c>
      <c r="S917" s="9" t="n">
        <v>46314</v>
      </c>
      <c r="T917" s="3" t="n">
        <v>46311.57686342593</v>
      </c>
      <c r="U917" s="2" t="n"/>
    </row>
    <row r="918">
      <c r="A918" s="2" t="inlineStr">
        <is>
          <t>En plazo</t>
        </is>
      </c>
      <c r="B918" s="3" t="n">
        <v>46331.99930555555</v>
      </c>
      <c r="C918" s="5" t="n">
        <v>173219.8</v>
      </c>
      <c r="D918" s="5" t="n">
        <v>173219.8</v>
      </c>
      <c r="E918" s="2" t="inlineStr">
        <is>
          <t>Comunitat Valenciana</t>
        </is>
      </c>
      <c r="F918" s="2" t="inlineStr">
        <is>
          <t>Valencia</t>
        </is>
      </c>
      <c r="G918" s="2" t="n"/>
      <c r="H918" s="2" t="inlineStr">
        <is>
          <t>Alcaldia del Ayuntamiento de Alcasser</t>
        </is>
      </c>
      <c r="I918" s="2" t="inlineStr">
        <is>
          <t>Ampliación del campo de fútbol municipal de Alcàsser</t>
        </is>
      </c>
      <c r="J918" s="2" t="inlineStr">
        <is>
          <t>3543/2026</t>
        </is>
      </c>
      <c r="K918" s="2" t="inlineStr">
        <is>
          <t>Abierto simplificado</t>
        </is>
      </c>
      <c r="L918" s="6" t="n">
        <v>2</v>
      </c>
      <c r="M918" s="2" t="inlineStr">
        <is>
          <t>C9-1; C2-1</t>
        </is>
      </c>
      <c r="N918" s="7" t="n">
        <v>0</v>
      </c>
      <c r="O918" s="4" t="n"/>
      <c r="P918" s="2" t="inlineStr">
        <is>
          <t>45421140; 45262311; 45233293; 45212210; 45232451; 45233260</t>
        </is>
      </c>
      <c r="Q918" s="8" t="inlineStr">
        <is>
          <t>Ver</t>
        </is>
      </c>
      <c r="R918" s="8" t="inlineStr">
        <is>
          <t>PCAP</t>
        </is>
      </c>
      <c r="S918" s="9" t="n">
        <v>46314</v>
      </c>
      <c r="T918" s="3" t="n">
        <v>46311.57620370371</v>
      </c>
      <c r="U918" s="2" t="n"/>
    </row>
    <row r="919">
      <c r="A919" s="2" t="inlineStr">
        <is>
          <t>Resuelta</t>
        </is>
      </c>
      <c r="B919" s="3" t="n">
        <v>45908.99930555555</v>
      </c>
      <c r="C919" s="5" t="n">
        <v>1549586.78</v>
      </c>
      <c r="D919" s="5" t="n">
        <v>1549586.78</v>
      </c>
      <c r="E919" s="2" t="inlineStr">
        <is>
          <t>Comunitat Valenciana</t>
        </is>
      </c>
      <c r="F919" s="2" t="inlineStr">
        <is>
          <t>Castellón</t>
        </is>
      </c>
      <c r="G919" s="2" t="n"/>
      <c r="H919" s="2" t="inlineStr">
        <is>
          <t>Rectorado de la Universidad Jaume I</t>
        </is>
      </c>
      <c r="I919" s="2" t="inlineStr">
        <is>
          <t>Elaboración de los proyectos técnicos y la ejecución de las obras de ampliación del Centro de Investigación en Robótica y Tecnologías Subacuáticas (CIRTESU)</t>
        </is>
      </c>
      <c r="J919" s="2" t="inlineStr">
        <is>
          <t>OB/2/25</t>
        </is>
      </c>
      <c r="K919" s="2" t="inlineStr">
        <is>
          <t>Abierto</t>
        </is>
      </c>
      <c r="L919" s="6" t="n">
        <v>14</v>
      </c>
      <c r="M919" s="2" t="inlineStr">
        <is>
          <t>C4-4</t>
        </is>
      </c>
      <c r="N919" s="7" t="n">
        <v>0.5</v>
      </c>
      <c r="O919" s="4" t="n"/>
      <c r="P919" s="2" t="inlineStr">
        <is>
          <t>45214000; 71242000</t>
        </is>
      </c>
      <c r="Q919" s="8" t="inlineStr">
        <is>
          <t>Ver</t>
        </is>
      </c>
      <c r="R919" s="8" t="inlineStr">
        <is>
          <t>PCAP</t>
        </is>
      </c>
      <c r="S919" s="9" t="n">
        <v>46314</v>
      </c>
      <c r="T919" s="3" t="n">
        <v>46311.57609953704</v>
      </c>
      <c r="U919" s="2" t="n"/>
    </row>
    <row r="920">
      <c r="A920" s="2" t="inlineStr">
        <is>
          <t>Pendiente de adjudicación</t>
        </is>
      </c>
      <c r="B920" s="3" t="n">
        <v>46080.99930555555</v>
      </c>
      <c r="C920" s="5" t="n">
        <v>206603.39</v>
      </c>
      <c r="D920" s="5" t="n">
        <v>206603.39</v>
      </c>
      <c r="E920" s="2" t="inlineStr">
        <is>
          <t>Comunitat Valenciana</t>
        </is>
      </c>
      <c r="F920" s="2" t="inlineStr">
        <is>
          <t>Alicante</t>
        </is>
      </c>
      <c r="G920" s="2" t="n"/>
      <c r="H920" s="2" t="inlineStr">
        <is>
          <t>Presidencia de la Diputación Provincial de Alicante</t>
        </is>
      </c>
      <c r="I920" s="2" t="inlineStr">
        <is>
          <t>Obras renovación de la conducción general de reutilización, tramo EDAR Benidorm/CN-332-Fase I. Comunidad de Regantes Canal Bajo del Algar</t>
        </is>
      </c>
      <c r="J920" s="2" t="inlineStr">
        <is>
          <t>O6S-318/2025</t>
        </is>
      </c>
      <c r="K920" s="2" t="inlineStr">
        <is>
          <t>Abierto simplificado</t>
        </is>
      </c>
      <c r="L920" s="6" t="n">
        <v>3</v>
      </c>
      <c r="M920" s="2" t="n"/>
      <c r="N920" s="7" t="n">
        <v>0.25</v>
      </c>
      <c r="O920" s="4" t="n"/>
      <c r="P920" s="2" t="inlineStr">
        <is>
          <t>45232121</t>
        </is>
      </c>
      <c r="Q920" s="8" t="inlineStr">
        <is>
          <t>Ver</t>
        </is>
      </c>
      <c r="R920" s="8" t="inlineStr">
        <is>
          <t>PCAP</t>
        </is>
      </c>
      <c r="S920" s="9" t="n">
        <v>46314</v>
      </c>
      <c r="T920" s="3" t="n">
        <v>46311.57388888889</v>
      </c>
      <c r="U920" s="2" t="n"/>
    </row>
    <row r="921">
      <c r="A921" s="2" t="inlineStr">
        <is>
          <t>En plazo</t>
        </is>
      </c>
      <c r="B921" s="3" t="n">
        <v>46331.99930555555</v>
      </c>
      <c r="C921" s="5" t="n">
        <v>163953.61</v>
      </c>
      <c r="D921" s="5" t="n">
        <v>163953.61</v>
      </c>
      <c r="E921" s="2" t="inlineStr">
        <is>
          <t>Andalucía</t>
        </is>
      </c>
      <c r="F921" s="2" t="inlineStr">
        <is>
          <t>Málaga</t>
        </is>
      </c>
      <c r="G921" s="2" t="n"/>
      <c r="H921" s="2" t="inlineStr">
        <is>
          <t>Alcaldía del Ayuntamiento de Alcaucín</t>
        </is>
      </c>
      <c r="I921" s="2" t="inlineStr">
        <is>
          <t>Ejecución de las obras que comprenden la rehabilitación de la cubierta de la ermita y la restauración de su techo, y la reforma de la edificación aneja para almacén de enseres, sala y aseos, en una única planta, sobre una edificación existente de 1936.</t>
        </is>
      </c>
      <c r="J921" s="2" t="inlineStr">
        <is>
          <t>1564/2026_ERMITA</t>
        </is>
      </c>
      <c r="K921" s="2" t="inlineStr">
        <is>
          <t>Abierto simplificado</t>
        </is>
      </c>
      <c r="L921" s="6" t="n">
        <v>5</v>
      </c>
      <c r="M921" s="2" t="n"/>
      <c r="N921" s="7" t="n">
        <v>0</v>
      </c>
      <c r="O921" s="4" t="n"/>
      <c r="P921" s="2" t="inlineStr">
        <is>
          <t>45000000; 45453000; 45454000; 45454100</t>
        </is>
      </c>
      <c r="Q921" s="8" t="inlineStr">
        <is>
          <t>Ver</t>
        </is>
      </c>
      <c r="R921" s="8" t="inlineStr">
        <is>
          <t>PCAP</t>
        </is>
      </c>
      <c r="S921" s="9" t="n">
        <v>46314</v>
      </c>
      <c r="T921" s="3" t="n">
        <v>46311.57319444444</v>
      </c>
      <c r="U921" s="2" t="n"/>
    </row>
    <row r="922">
      <c r="A922" s="2" t="inlineStr">
        <is>
          <t>Resuelta</t>
        </is>
      </c>
      <c r="B922" s="3" t="n">
        <v>46230.99930555555</v>
      </c>
      <c r="C922" s="5" t="n">
        <v>782875</v>
      </c>
      <c r="D922" s="5" t="n">
        <v>782875</v>
      </c>
      <c r="E922" s="2" t="inlineStr">
        <is>
          <t>Andalucía</t>
        </is>
      </c>
      <c r="F922" s="2" t="inlineStr">
        <is>
          <t>Sevilla</t>
        </is>
      </c>
      <c r="G922" s="2" t="n"/>
      <c r="H922" s="2" t="inlineStr">
        <is>
          <t>Alcaldía del Ayuntamiento de Lantejuela</t>
        </is>
      </c>
      <c r="I922" s="2" t="inlineStr">
        <is>
          <t>Obras reforma en complejo polideportivo municipal</t>
        </is>
      </c>
      <c r="J922" s="2" t="inlineStr">
        <is>
          <t>P4105200B-2026/000117-PAA</t>
        </is>
      </c>
      <c r="K922" s="2" t="inlineStr">
        <is>
          <t>Abierto</t>
        </is>
      </c>
      <c r="L922" s="6" t="n">
        <v>3</v>
      </c>
      <c r="M922" s="2" t="n"/>
      <c r="N922" s="7" t="n">
        <v>0</v>
      </c>
      <c r="O922" s="4" t="n">
        <v>2</v>
      </c>
      <c r="P922" s="2" t="inlineStr">
        <is>
          <t>45212200</t>
        </is>
      </c>
      <c r="Q922" s="8" t="inlineStr">
        <is>
          <t>Ver</t>
        </is>
      </c>
      <c r="R922" s="8" t="inlineStr">
        <is>
          <t>PCAP</t>
        </is>
      </c>
      <c r="S922" s="9" t="n">
        <v>46314</v>
      </c>
      <c r="T922" s="3" t="n">
        <v>46311.57081018519</v>
      </c>
      <c r="U922" s="2" t="n"/>
    </row>
    <row r="923">
      <c r="A923" s="2" t="inlineStr">
        <is>
          <t>Adjudicada</t>
        </is>
      </c>
      <c r="B923" s="3" t="n">
        <v>46290.41666666666</v>
      </c>
      <c r="C923" s="5" t="n">
        <v>200000</v>
      </c>
      <c r="D923" s="5" t="n">
        <v>200000</v>
      </c>
      <c r="E923" s="2" t="inlineStr">
        <is>
          <t>Andalucía</t>
        </is>
      </c>
      <c r="F923" s="2" t="inlineStr">
        <is>
          <t>Cádiz</t>
        </is>
      </c>
      <c r="G923" s="2" t="n"/>
      <c r="H923" s="2" t="inlineStr">
        <is>
          <t>Comité Central de Compras de Navantia S.A., S.M.E.</t>
        </is>
      </c>
      <c r="I923" s="2" t="inlineStr">
        <is>
          <t>La presente licitación tiene por objeto la contratación del de la redacción de proyecto y ejecución de la obra de rehabilitación de los pilares de los soportales del edificio de Dirección en Navantia Puerto Real.</t>
        </is>
      </c>
      <c r="J923" s="2" t="inlineStr">
        <is>
          <t>5100070526 - PROY Y OBRA REHAB PILARES</t>
        </is>
      </c>
      <c r="K923" s="2" t="inlineStr">
        <is>
          <t>Normas internas</t>
        </is>
      </c>
      <c r="L923" s="6" t="n">
        <v>4</v>
      </c>
      <c r="M923" s="2" t="n"/>
      <c r="N923" s="7" t="n">
        <v>1</v>
      </c>
      <c r="O923" s="4" t="n"/>
      <c r="P923" s="2" t="inlineStr">
        <is>
          <t>45000000</t>
        </is>
      </c>
      <c r="Q923" s="8" t="inlineStr">
        <is>
          <t>Ver</t>
        </is>
      </c>
      <c r="R923" s="8" t="inlineStr">
        <is>
          <t>PCAP</t>
        </is>
      </c>
      <c r="S923" s="9" t="n">
        <v>46314</v>
      </c>
      <c r="T923" s="3" t="n">
        <v>46311.56300925926</v>
      </c>
      <c r="U923" s="2" t="n"/>
    </row>
    <row r="924">
      <c r="A924" s="2" t="inlineStr">
        <is>
          <t>Pendiente de adjudicación</t>
        </is>
      </c>
      <c r="B924" s="3" t="n">
        <v>46296.5</v>
      </c>
      <c r="C924" s="5" t="n">
        <v>11878734.88</v>
      </c>
      <c r="D924" s="5" t="n">
        <v>11878734.88</v>
      </c>
      <c r="E924" s="2" t="inlineStr">
        <is>
          <t>Andalucía</t>
        </is>
      </c>
      <c r="F924" s="2" t="inlineStr">
        <is>
          <t>Málaga</t>
        </is>
      </c>
      <c r="G924" s="2" t="n"/>
      <c r="H924" s="2" t="inlineStr">
        <is>
          <t>Consejo de Administración de la Sociedad de Infraestructuras y Equipamientos Penitenciarios y de la Seguridad del Estado, S.M.E., S.A</t>
        </is>
      </c>
      <c r="I924" s="2" t="inlineStr">
        <is>
          <t>Obra de primer establecimiento del acuartelamiento de la Guardia Civil en Alhaurín de la Torre (Málaga) (26.037.NGC3029.OB.02)</t>
        </is>
      </c>
      <c r="J924" s="2" t="inlineStr">
        <is>
          <t>26.037.NGC3029.OB.02</t>
        </is>
      </c>
      <c r="K924" s="2" t="inlineStr">
        <is>
          <t>Abierto</t>
        </is>
      </c>
      <c r="L924" s="6" t="n">
        <v>20</v>
      </c>
      <c r="M924" s="2" t="inlineStr">
        <is>
          <t>C*-6</t>
        </is>
      </c>
      <c r="N924" s="7" t="n">
        <v>0.3</v>
      </c>
      <c r="O924" s="4" t="n"/>
      <c r="P924" s="2" t="inlineStr">
        <is>
          <t>45216110</t>
        </is>
      </c>
      <c r="Q924" s="8" t="inlineStr">
        <is>
          <t>Ver</t>
        </is>
      </c>
      <c r="R924" s="8" t="inlineStr">
        <is>
          <t>PCAP</t>
        </is>
      </c>
      <c r="S924" s="9" t="n">
        <v>46314</v>
      </c>
      <c r="T924" s="3" t="n">
        <v>46311.56296296296</v>
      </c>
      <c r="U924" s="2" t="n"/>
    </row>
    <row r="925">
      <c r="A925" s="2" t="inlineStr">
        <is>
          <t>Pendiente de adjudicación</t>
        </is>
      </c>
      <c r="B925" s="3" t="n">
        <v>46260.99930555555</v>
      </c>
      <c r="C925" s="5" t="n">
        <v>570515.13</v>
      </c>
      <c r="D925" s="5" t="n">
        <v>570515.13</v>
      </c>
      <c r="E925" s="2" t="inlineStr">
        <is>
          <t>Andalucía</t>
        </is>
      </c>
      <c r="F925" s="2" t="inlineStr">
        <is>
          <t>Almería</t>
        </is>
      </c>
      <c r="G925" s="2" t="inlineStr">
        <is>
          <t>SAN JOSÉ (NÍJAR)</t>
        </is>
      </c>
      <c r="H925" s="2" t="inlineStr">
        <is>
          <t>Alcaldía del Ayuntamiento de Níjar</t>
        </is>
      </c>
      <c r="I925" s="2" t="inlineStr">
        <is>
          <t>Pavimentación de calles en San José, T.M. de Níjar</t>
        </is>
      </c>
      <c r="J925" s="2" t="inlineStr">
        <is>
          <t>4610/2026</t>
        </is>
      </c>
      <c r="K925" s="2" t="inlineStr">
        <is>
          <t>Abierto simplificado</t>
        </is>
      </c>
      <c r="L925" s="6" t="n">
        <v>5</v>
      </c>
      <c r="M925" s="2" t="inlineStr">
        <is>
          <t>G4-3</t>
        </is>
      </c>
      <c r="N925" s="7" t="n">
        <v>0.25</v>
      </c>
      <c r="O925" s="4" t="n"/>
      <c r="P925" s="2" t="inlineStr">
        <is>
          <t>45233222</t>
        </is>
      </c>
      <c r="Q925" s="8" t="inlineStr">
        <is>
          <t>Ver</t>
        </is>
      </c>
      <c r="R925" s="8" t="inlineStr">
        <is>
          <t>PCAP</t>
        </is>
      </c>
      <c r="S925" s="9" t="n">
        <v>46314</v>
      </c>
      <c r="T925" s="3" t="n">
        <v>46311.56215277778</v>
      </c>
      <c r="U925" s="2" t="n"/>
    </row>
    <row r="926">
      <c r="A926" s="2" t="inlineStr">
        <is>
          <t>Resuelta</t>
        </is>
      </c>
      <c r="B926" s="3" t="n">
        <v>46273.99930555555</v>
      </c>
      <c r="C926" s="5" t="n">
        <v>68392.8</v>
      </c>
      <c r="D926" s="5" t="n">
        <v>68392.8</v>
      </c>
      <c r="E926" s="2" t="inlineStr">
        <is>
          <t>Andalucía</t>
        </is>
      </c>
      <c r="F926" s="2" t="inlineStr">
        <is>
          <t>Sevilla</t>
        </is>
      </c>
      <c r="G926" s="2" t="inlineStr">
        <is>
          <t>Valencina de la Concepción</t>
        </is>
      </c>
      <c r="H926" s="2" t="inlineStr">
        <is>
          <t>Alcaldía del Ayuntamiento de Valencina de la Concepción</t>
        </is>
      </c>
      <c r="I926" s="2" t="inlineStr">
        <is>
          <t>contrato de obra para el centro de transformación para biblioteca municipal de Valencina de la Concepción.</t>
        </is>
      </c>
      <c r="J926" s="2" t="inlineStr">
        <is>
          <t>766/2026</t>
        </is>
      </c>
      <c r="K926" s="2" t="inlineStr">
        <is>
          <t>Abierto simplificado</t>
        </is>
      </c>
      <c r="L926" s="6" t="n">
        <v>2</v>
      </c>
      <c r="M926" s="2" t="n"/>
      <c r="N926" s="7" t="n">
        <v>0</v>
      </c>
      <c r="O926" s="4" t="n"/>
      <c r="P926" s="2" t="inlineStr">
        <is>
          <t>45317200; 45315500; 45315600</t>
        </is>
      </c>
      <c r="Q926" s="8" t="inlineStr">
        <is>
          <t>Ver</t>
        </is>
      </c>
      <c r="R926" s="8" t="inlineStr">
        <is>
          <t>PCAP</t>
        </is>
      </c>
      <c r="S926" s="9" t="n">
        <v>46314</v>
      </c>
      <c r="T926" s="3" t="n">
        <v>46311.56148148148</v>
      </c>
      <c r="U926" s="2" t="n"/>
    </row>
    <row r="927">
      <c r="A927" s="2" t="inlineStr">
        <is>
          <t>Resuelta</t>
        </is>
      </c>
      <c r="B927" s="3" t="n">
        <v>46303.45833333334</v>
      </c>
      <c r="C927" s="5" t="n">
        <v>16426.75</v>
      </c>
      <c r="D927" s="5" t="n">
        <v>16426.75</v>
      </c>
      <c r="E927" s="2" t="inlineStr">
        <is>
          <t>Comunitat Valenciana</t>
        </is>
      </c>
      <c r="F927" s="2" t="inlineStr">
        <is>
          <t>Castellón</t>
        </is>
      </c>
      <c r="G927" s="2" t="inlineStr">
        <is>
          <t>Castellon de la Plana</t>
        </is>
      </c>
      <c r="H927" s="2" t="inlineStr">
        <is>
          <t>Jefatura de Intendencia de Asuntos Económicos Este</t>
        </is>
      </c>
      <c r="I927" s="2" t="inlineStr">
        <is>
          <t>Sustitución de tuberías metálicas de agua fría y caliente en la RM. La Plana núcleo Castalia - Castellón</t>
        </is>
      </c>
      <c r="J927" s="2" t="inlineStr">
        <is>
          <t>2026/ETSAE0327/00006244E</t>
        </is>
      </c>
      <c r="K927" s="2" t="inlineStr">
        <is>
          <t>Abierto</t>
        </is>
      </c>
      <c r="L927" s="6" t="n">
        <v>1</v>
      </c>
      <c r="M927" s="2" t="n"/>
      <c r="N927" s="7" t="n">
        <v>0</v>
      </c>
      <c r="O927" s="4" t="n"/>
      <c r="P927" s="2" t="inlineStr">
        <is>
          <t>45232150</t>
        </is>
      </c>
      <c r="Q927" s="8" t="inlineStr">
        <is>
          <t>Ver</t>
        </is>
      </c>
      <c r="R927" s="8" t="inlineStr">
        <is>
          <t>PCAP</t>
        </is>
      </c>
      <c r="S927" s="9" t="n">
        <v>46314</v>
      </c>
      <c r="T927" s="3" t="n">
        <v>46311.55954861111</v>
      </c>
      <c r="U927" s="2" t="n"/>
    </row>
    <row r="928">
      <c r="A928" s="2" t="inlineStr">
        <is>
          <t>En plazo</t>
        </is>
      </c>
      <c r="B928" s="3" t="n">
        <v>46331.99930555555</v>
      </c>
      <c r="C928" s="5" t="n">
        <v>87591.34</v>
      </c>
      <c r="D928" s="5" t="n">
        <v>87591.34</v>
      </c>
      <c r="E928" s="2" t="inlineStr">
        <is>
          <t>Comunitat Valenciana</t>
        </is>
      </c>
      <c r="F928" s="2" t="inlineStr">
        <is>
          <t>Valencia</t>
        </is>
      </c>
      <c r="G928" s="2" t="n"/>
      <c r="H928" s="2" t="inlineStr">
        <is>
          <t>Junta de Gobierno del Ayuntamiento de Burjassot</t>
        </is>
      </c>
      <c r="I928" s="2" t="inlineStr">
        <is>
          <t>Obras de adecuación de los revestimientos del macetero separador de calzadas en la Avenida de Pi i Margall de Burjassot.</t>
        </is>
      </c>
      <c r="J928" s="2" t="inlineStr">
        <is>
          <t>2026/11037N</t>
        </is>
      </c>
      <c r="K928" s="2" t="inlineStr">
        <is>
          <t>Abierto simplificado</t>
        </is>
      </c>
      <c r="L928" s="6" t="n">
        <v>1.9</v>
      </c>
      <c r="M928" s="2" t="n"/>
      <c r="N928" s="7" t="n">
        <v>0</v>
      </c>
      <c r="O928" s="4" t="n"/>
      <c r="P928" s="2" t="inlineStr">
        <is>
          <t>45432210</t>
        </is>
      </c>
      <c r="Q928" s="8" t="inlineStr">
        <is>
          <t>Ver</t>
        </is>
      </c>
      <c r="R928" s="8" t="inlineStr">
        <is>
          <t>PCAP</t>
        </is>
      </c>
      <c r="S928" s="9" t="n">
        <v>46314</v>
      </c>
      <c r="T928" s="3" t="n">
        <v>46311.55550925926</v>
      </c>
      <c r="U928" s="2" t="n"/>
    </row>
    <row r="929">
      <c r="A929" s="2" t="inlineStr">
        <is>
          <t>Resuelta</t>
        </is>
      </c>
      <c r="B929" s="3" t="n">
        <v>46303.5</v>
      </c>
      <c r="C929" s="5" t="n">
        <v>39571.06</v>
      </c>
      <c r="D929" s="5" t="n">
        <v>39571.06</v>
      </c>
      <c r="E929" s="2" t="inlineStr">
        <is>
          <t>Andalucía</t>
        </is>
      </c>
      <c r="F929" s="2" t="inlineStr">
        <is>
          <t>Cádiz</t>
        </is>
      </c>
      <c r="G929" s="2" t="n"/>
      <c r="H929" s="2" t="inlineStr">
        <is>
          <t>Jefatura de Intendencia de Asuntos Económicos Sur</t>
        </is>
      </c>
      <c r="I929" s="2" t="inlineStr">
        <is>
          <t>OBRA TC 202-23/26 de instalación de un grupo electrógeno para el edificio del botiquín, Acto Camposoto, Cádiz</t>
        </is>
      </c>
      <c r="J929" s="2" t="inlineStr">
        <is>
          <t>2026/ETSAE0226/00007132E</t>
        </is>
      </c>
      <c r="K929" s="2" t="inlineStr">
        <is>
          <t>Abierto</t>
        </is>
      </c>
      <c r="L929" s="6" t="n">
        <v>2</v>
      </c>
      <c r="M929" s="2" t="n"/>
      <c r="N929" s="7" t="n">
        <v>0</v>
      </c>
      <c r="O929" s="4" t="n"/>
      <c r="P929" s="2" t="inlineStr">
        <is>
          <t>45216200</t>
        </is>
      </c>
      <c r="Q929" s="8" t="inlineStr">
        <is>
          <t>Ver</t>
        </is>
      </c>
      <c r="R929" s="8" t="inlineStr">
        <is>
          <t>PCAP</t>
        </is>
      </c>
      <c r="S929" s="9" t="n">
        <v>46314</v>
      </c>
      <c r="T929" s="3" t="n">
        <v>46311.55506944445</v>
      </c>
      <c r="U929" s="2" t="n"/>
    </row>
    <row r="930">
      <c r="A930" s="2" t="inlineStr">
        <is>
          <t>Resuelta</t>
        </is>
      </c>
      <c r="B930" s="3" t="n">
        <v>46251.58333333334</v>
      </c>
      <c r="C930" s="5" t="n">
        <v>396668.93</v>
      </c>
      <c r="D930" s="5" t="n">
        <v>396668.93</v>
      </c>
      <c r="E930" s="2" t="inlineStr">
        <is>
          <t>Comunitat Valenciana</t>
        </is>
      </c>
      <c r="F930" s="2" t="inlineStr">
        <is>
          <t>Alicante</t>
        </is>
      </c>
      <c r="G930" s="2" t="n"/>
      <c r="H930" s="2" t="inlineStr">
        <is>
          <t>Alcaldía del Ayuntamiento de El Verger</t>
        </is>
      </c>
      <c r="I930" s="2" t="inlineStr">
        <is>
          <t>Reordenació i rehabilitació espai urbà en els carrers Escorxador i Sant Antoni</t>
        </is>
      </c>
      <c r="J930" s="2" t="inlineStr">
        <is>
          <t>1011/2026</t>
        </is>
      </c>
      <c r="K930" s="2" t="inlineStr">
        <is>
          <t>Abierto simplificado</t>
        </is>
      </c>
      <c r="L930" s="6" t="n">
        <v>4</v>
      </c>
      <c r="M930" s="2" t="n"/>
      <c r="N930" s="7" t="n">
        <v>0.25</v>
      </c>
      <c r="O930" s="4" t="n"/>
      <c r="P930" s="2" t="inlineStr">
        <is>
          <t>45233140</t>
        </is>
      </c>
      <c r="Q930" s="8" t="inlineStr">
        <is>
          <t>Ver</t>
        </is>
      </c>
      <c r="R930" s="8" t="inlineStr">
        <is>
          <t>PCAP</t>
        </is>
      </c>
      <c r="S930" s="9" t="n">
        <v>46314</v>
      </c>
      <c r="T930" s="3" t="n">
        <v>46311.55229166667</v>
      </c>
      <c r="U930" s="2" t="n"/>
    </row>
    <row r="931">
      <c r="A931" s="2" t="inlineStr">
        <is>
          <t>Pendiente de adjudicación</t>
        </is>
      </c>
      <c r="B931" s="3" t="n">
        <v>46286.99930555555</v>
      </c>
      <c r="C931" s="5" t="n">
        <v>578512.39</v>
      </c>
      <c r="D931" s="5" t="n">
        <v>636363.63</v>
      </c>
      <c r="E931" s="2" t="inlineStr">
        <is>
          <t>Comunitat Valenciana</t>
        </is>
      </c>
      <c r="F931" s="2" t="inlineStr">
        <is>
          <t>Valencia</t>
        </is>
      </c>
      <c r="G931" s="2" t="n"/>
      <c r="H931" s="2" t="inlineStr">
        <is>
          <t>Junta de Gobierno del Ajuntament de València</t>
        </is>
      </c>
      <c r="I931" s="2" t="inlineStr">
        <is>
          <t>Obras correspondientes al proyecto de edificio modular prefabricado, anexo al Palau Velòdrom Lluís Puig, como zona de calentamiento para el campeonato de Europa de atletismo 2027.-</t>
        </is>
      </c>
      <c r="J931" s="2" t="inlineStr">
        <is>
          <t>04101/2026/195-O</t>
        </is>
      </c>
      <c r="K931" s="2" t="inlineStr">
        <is>
          <t>Abierto simplificado</t>
        </is>
      </c>
      <c r="L931" s="6" t="n">
        <v>3</v>
      </c>
      <c r="M931" s="2" t="inlineStr">
        <is>
          <t>C3-3</t>
        </is>
      </c>
      <c r="N931" s="7" t="n">
        <v>0</v>
      </c>
      <c r="O931" s="4" t="n"/>
      <c r="P931" s="2" t="inlineStr">
        <is>
          <t>45210000</t>
        </is>
      </c>
      <c r="Q931" s="8" t="inlineStr">
        <is>
          <t>Ver</t>
        </is>
      </c>
      <c r="R931" s="8" t="inlineStr">
        <is>
          <t>PCAP</t>
        </is>
      </c>
      <c r="S931" s="9" t="n">
        <v>46314</v>
      </c>
      <c r="T931" s="3" t="n">
        <v>46311.55215277777</v>
      </c>
      <c r="U931" s="2" t="n"/>
    </row>
    <row r="932">
      <c r="A932" s="2" t="inlineStr">
        <is>
          <t>Resuelta</t>
        </is>
      </c>
      <c r="B932" s="3" t="n">
        <v>46198.99930555555</v>
      </c>
      <c r="C932" s="5" t="n">
        <v>67352.97</v>
      </c>
      <c r="D932" s="5" t="n">
        <v>67352.97</v>
      </c>
      <c r="E932" s="2" t="inlineStr">
        <is>
          <t>Andalucía</t>
        </is>
      </c>
      <c r="F932" s="2" t="inlineStr">
        <is>
          <t>Jaén</t>
        </is>
      </c>
      <c r="G932" s="2" t="inlineStr">
        <is>
          <t>JAEN</t>
        </is>
      </c>
      <c r="H932" s="2" t="inlineStr">
        <is>
          <t>Presidencia de la Diputación Provincial de Jaén</t>
        </is>
      </c>
      <c r="I932" s="2" t="inlineStr">
        <is>
          <t>Contrato de Obras de JA-3406 acceso Norte a Lahiguera, mejora de firme.</t>
        </is>
      </c>
      <c r="J932" s="2" t="inlineStr">
        <is>
          <t>CO-2025/002281</t>
        </is>
      </c>
      <c r="K932" s="2" t="inlineStr">
        <is>
          <t>Abierto simplificado</t>
        </is>
      </c>
      <c r="L932" s="6" t="n">
        <v>2</v>
      </c>
      <c r="M932" s="2" t="n"/>
      <c r="N932" s="7" t="n">
        <v>0</v>
      </c>
      <c r="O932" s="4" t="n"/>
      <c r="P932" s="2" t="inlineStr">
        <is>
          <t>45233223</t>
        </is>
      </c>
      <c r="Q932" s="8" t="inlineStr">
        <is>
          <t>Ver</t>
        </is>
      </c>
      <c r="R932" s="8" t="inlineStr">
        <is>
          <t>PCAP</t>
        </is>
      </c>
      <c r="S932" s="9" t="n">
        <v>46314</v>
      </c>
      <c r="T932" s="3" t="n">
        <v>46311.54702546296</v>
      </c>
      <c r="U932" s="2" t="n"/>
    </row>
    <row r="933">
      <c r="A933" s="2" t="inlineStr">
        <is>
          <t>En plazo</t>
        </is>
      </c>
      <c r="B933" s="3" t="n">
        <v>46331.99930555555</v>
      </c>
      <c r="C933" s="5" t="n">
        <v>330578.51</v>
      </c>
      <c r="D933" s="5" t="n">
        <v>330578.51</v>
      </c>
      <c r="E933" s="2" t="inlineStr">
        <is>
          <t>Andalucía</t>
        </is>
      </c>
      <c r="F933" s="2" t="inlineStr">
        <is>
          <t>Granada</t>
        </is>
      </c>
      <c r="G933" s="2" t="n"/>
      <c r="H933" s="2" t="inlineStr">
        <is>
          <t>Alcaldía del Ayuntamiento de Las Gabias</t>
        </is>
      </c>
      <c r="I933" s="2" t="inlineStr">
        <is>
          <t>Plan de Asfaltado Fase 4 Las Gabias, 2026.</t>
        </is>
      </c>
      <c r="J933" s="2" t="inlineStr">
        <is>
          <t>2694/2026</t>
        </is>
      </c>
      <c r="K933" s="2" t="inlineStr">
        <is>
          <t>Abierto simplificado</t>
        </is>
      </c>
      <c r="L933" s="6" t="n">
        <v>3</v>
      </c>
      <c r="M933" s="2" t="n"/>
      <c r="N933" s="7" t="n">
        <v>0</v>
      </c>
      <c r="O933" s="4" t="n"/>
      <c r="P933" s="2" t="inlineStr">
        <is>
          <t>45233200; 45233222; 45233252</t>
        </is>
      </c>
      <c r="Q933" s="8" t="inlineStr">
        <is>
          <t>Ver</t>
        </is>
      </c>
      <c r="R933" s="8" t="inlineStr">
        <is>
          <t>PCAP</t>
        </is>
      </c>
      <c r="S933" s="9" t="n">
        <v>46314</v>
      </c>
      <c r="T933" s="3" t="n">
        <v>46311.54699074074</v>
      </c>
      <c r="U933" s="2" t="n"/>
    </row>
    <row r="934">
      <c r="A934" s="2" t="inlineStr">
        <is>
          <t>Pendiente de adjudicación</t>
        </is>
      </c>
      <c r="B934" s="3" t="n">
        <v>46286.99930555555</v>
      </c>
      <c r="C934" s="5" t="n">
        <v>617370.65</v>
      </c>
      <c r="D934" s="5" t="n">
        <v>679107.72</v>
      </c>
      <c r="E934" s="2" t="inlineStr">
        <is>
          <t>Comunitat Valenciana</t>
        </is>
      </c>
      <c r="F934" s="2" t="inlineStr">
        <is>
          <t>Valencia</t>
        </is>
      </c>
      <c r="G934" s="2" t="n"/>
      <c r="H934" s="2" t="inlineStr">
        <is>
          <t>Junta de Gobierno del Ajuntament de València</t>
        </is>
      </c>
      <c r="I934" s="2" t="inlineStr">
        <is>
          <t>Ejecución de las obras correspondientes al proyecto básico y de ejecución denominado Reparación filtraciones en el Palau Velòdrom Lluís Puig.</t>
        </is>
      </c>
      <c r="J934" s="2" t="inlineStr">
        <is>
          <t>04101/2026/173-O</t>
        </is>
      </c>
      <c r="K934" s="2" t="inlineStr">
        <is>
          <t>Abierto simplificado</t>
        </is>
      </c>
      <c r="L934" s="6" t="n">
        <v>4</v>
      </c>
      <c r="M934" s="2" t="inlineStr">
        <is>
          <t>C*-3</t>
        </is>
      </c>
      <c r="N934" s="7" t="n">
        <v>0</v>
      </c>
      <c r="O934" s="4" t="n"/>
      <c r="P934" s="2" t="inlineStr">
        <is>
          <t>45212200; 45315600; 45300000; 45350000</t>
        </is>
      </c>
      <c r="Q934" s="8" t="inlineStr">
        <is>
          <t>Ver</t>
        </is>
      </c>
      <c r="R934" s="8" t="inlineStr">
        <is>
          <t>PCAP</t>
        </is>
      </c>
      <c r="S934" s="9" t="n">
        <v>46314</v>
      </c>
      <c r="T934" s="3" t="n">
        <v>46311.54684027778</v>
      </c>
      <c r="U934" s="2" t="n"/>
    </row>
    <row r="935">
      <c r="A935" s="2" t="inlineStr">
        <is>
          <t>Pendiente de adjudicación</t>
        </is>
      </c>
      <c r="B935" s="3" t="n">
        <v>46217.99930555555</v>
      </c>
      <c r="C935" s="5" t="n">
        <v>289256.2</v>
      </c>
      <c r="D935" s="5" t="n">
        <v>289256.2</v>
      </c>
      <c r="E935" s="2" t="inlineStr">
        <is>
          <t>Comunitat Valenciana</t>
        </is>
      </c>
      <c r="F935" s="2" t="inlineStr">
        <is>
          <t>Alicante</t>
        </is>
      </c>
      <c r="G935" s="2" t="n"/>
      <c r="H935" s="2" t="inlineStr">
        <is>
          <t>Presidencia de la Diputación Provincial de Alicante</t>
        </is>
      </c>
      <c r="I935" s="2" t="inlineStr">
        <is>
          <t>"Obras de acondicionamiento del camino rural La Ancornia, en el municipio de Tibi (2024.PLA.253)"</t>
        </is>
      </c>
      <c r="J935" s="2" t="inlineStr">
        <is>
          <t>O6S-032/2026</t>
        </is>
      </c>
      <c r="K935" s="2" t="inlineStr">
        <is>
          <t>Abierto simplificado</t>
        </is>
      </c>
      <c r="L935" s="6" t="n">
        <v>3</v>
      </c>
      <c r="M935" s="2" t="n"/>
      <c r="N935" s="7" t="n">
        <v>0</v>
      </c>
      <c r="O935" s="4" t="n"/>
      <c r="P935" s="2" t="inlineStr">
        <is>
          <t>45200000</t>
        </is>
      </c>
      <c r="Q935" s="8" t="inlineStr">
        <is>
          <t>Ver</t>
        </is>
      </c>
      <c r="R935" s="8" t="inlineStr">
        <is>
          <t>PCAP</t>
        </is>
      </c>
      <c r="S935" s="9" t="n">
        <v>46314</v>
      </c>
      <c r="T935" s="3" t="n">
        <v>46311.54403935185</v>
      </c>
      <c r="U935" s="2" t="n"/>
    </row>
    <row r="936">
      <c r="A936" s="2" t="inlineStr">
        <is>
          <t>Pendiente de adjudicación</t>
        </is>
      </c>
      <c r="B936" s="3" t="n">
        <v>46260.99930555555</v>
      </c>
      <c r="C936" s="5" t="n">
        <v>123754.76</v>
      </c>
      <c r="D936" s="5" t="n">
        <v>123754.76</v>
      </c>
      <c r="E936" s="2" t="inlineStr">
        <is>
          <t>Andalucía</t>
        </is>
      </c>
      <c r="F936" s="2" t="inlineStr">
        <is>
          <t>Almería</t>
        </is>
      </c>
      <c r="G936" s="2" t="inlineStr">
        <is>
          <t>FERNÁN PÉREZ (NÍJAR)</t>
        </is>
      </c>
      <c r="H936" s="2" t="inlineStr">
        <is>
          <t>Alcaldía del Ayuntamiento de Níjar</t>
        </is>
      </c>
      <c r="I936" s="2" t="inlineStr">
        <is>
          <t>Acondicionamiento de la calle Entrada de Fernán Pérez, T.M. de Níjar.</t>
        </is>
      </c>
      <c r="J936" s="2" t="inlineStr">
        <is>
          <t>4605/2026</t>
        </is>
      </c>
      <c r="K936" s="2" t="inlineStr">
        <is>
          <t>Abierto simplificado</t>
        </is>
      </c>
      <c r="L936" s="6" t="n">
        <v>2</v>
      </c>
      <c r="M936" s="2" t="n"/>
      <c r="N936" s="7" t="n">
        <v>0.25</v>
      </c>
      <c r="O936" s="4" t="n"/>
      <c r="P936" s="2" t="inlineStr">
        <is>
          <t>45233252</t>
        </is>
      </c>
      <c r="Q936" s="8" t="inlineStr">
        <is>
          <t>Ver</t>
        </is>
      </c>
      <c r="R936" s="8" t="inlineStr">
        <is>
          <t>PCAP</t>
        </is>
      </c>
      <c r="S936" s="9" t="n">
        <v>46314</v>
      </c>
      <c r="T936" s="3" t="n">
        <v>46311.54278935185</v>
      </c>
      <c r="U936" s="2" t="n"/>
    </row>
    <row r="937">
      <c r="A937" s="2" t="inlineStr">
        <is>
          <t>Resuelta</t>
        </is>
      </c>
      <c r="B937" s="3" t="n">
        <v>46269.41666666666</v>
      </c>
      <c r="C937" s="5" t="n">
        <v>122695.86</v>
      </c>
      <c r="D937" s="5" t="n">
        <v>122695.86</v>
      </c>
      <c r="E937" s="2" t="inlineStr">
        <is>
          <t>Andalucía</t>
        </is>
      </c>
      <c r="F937" s="2" t="inlineStr">
        <is>
          <t>Málaga</t>
        </is>
      </c>
      <c r="G937" s="2" t="n"/>
      <c r="H937" s="2" t="inlineStr">
        <is>
          <t>Empresa de Transformación Agraria S.A.,S.M.E., M.P., (TRAGSA)</t>
        </is>
      </c>
      <c r="I937" s="2" t="inlineStr">
        <is>
          <t>Suministro y ejecución de instalación de calefacción mediante canalización vista de acero inoxidable e instalación de radiadores en varios edificios públicos del municipio Benarrabá (Málaga)</t>
        </is>
      </c>
      <c r="J937" s="2" t="inlineStr">
        <is>
          <t>TSA0083515</t>
        </is>
      </c>
      <c r="K937" s="2" t="inlineStr">
        <is>
          <t>Abierto simplificado</t>
        </is>
      </c>
      <c r="L937" s="6" t="n">
        <v>4</v>
      </c>
      <c r="M937" s="2" t="inlineStr">
        <is>
          <t>J2-1</t>
        </is>
      </c>
      <c r="N937" s="7" t="n">
        <v>0</v>
      </c>
      <c r="O937" s="4" t="n"/>
      <c r="P937" s="2" t="inlineStr">
        <is>
          <t>45331000</t>
        </is>
      </c>
      <c r="Q937" s="8" t="inlineStr">
        <is>
          <t>Ver</t>
        </is>
      </c>
      <c r="R937" s="8" t="inlineStr">
        <is>
          <t>PCAP</t>
        </is>
      </c>
      <c r="S937" s="9" t="n">
        <v>46314</v>
      </c>
      <c r="T937" s="3" t="n">
        <v>46311.53839120371</v>
      </c>
      <c r="U937" s="2" t="n"/>
    </row>
    <row r="938">
      <c r="A938" s="2" t="inlineStr">
        <is>
          <t>Adjudicada</t>
        </is>
      </c>
      <c r="B938" s="3" t="n">
        <v>46303.75</v>
      </c>
      <c r="C938" s="5" t="n">
        <v>79212.27</v>
      </c>
      <c r="D938" s="5" t="n">
        <v>79212.27</v>
      </c>
      <c r="E938" s="2" t="inlineStr">
        <is>
          <t>Andalucía</t>
        </is>
      </c>
      <c r="F938" s="2" t="inlineStr">
        <is>
          <t>Almería</t>
        </is>
      </c>
      <c r="G938" s="2" t="inlineStr">
        <is>
          <t>Cuevas del Almanzora</t>
        </is>
      </c>
      <c r="H938" s="2" t="inlineStr">
        <is>
          <t>Alcaldía del Ayuntamiento de Cuevas del Almanzora</t>
        </is>
      </c>
      <c r="I938" s="2" t="inlineStr">
        <is>
          <t>Contrato derivado SDA-OBRA, actuaciones para mejorar la recogida, conducción y evacuación de las aguas pluviales, puntos travesía carretera provincial AL-8105, en la Mulería., según memoria adjunta en pdf</t>
        </is>
      </c>
      <c r="J938" s="2" t="inlineStr">
        <is>
          <t>2026/354400/006-025/00010</t>
        </is>
      </c>
      <c r="K938" s="2" t="inlineStr">
        <is>
          <t>Restringido</t>
        </is>
      </c>
      <c r="L938" s="6" t="n">
        <v>2</v>
      </c>
      <c r="M938" s="2" t="n"/>
      <c r="N938" s="7" t="n">
        <v>0</v>
      </c>
      <c r="O938" s="4" t="n">
        <v>2</v>
      </c>
      <c r="P938" s="2" t="inlineStr">
        <is>
          <t>45200000; 45232410; 45232400</t>
        </is>
      </c>
      <c r="Q938" s="8" t="inlineStr">
        <is>
          <t>Ver</t>
        </is>
      </c>
      <c r="R938" s="2" t="n"/>
      <c r="S938" s="9" t="n">
        <v>46314</v>
      </c>
      <c r="T938" s="3" t="n">
        <v>46311.53803240741</v>
      </c>
      <c r="U938" s="2" t="n"/>
    </row>
    <row r="939">
      <c r="A939" s="2" t="inlineStr">
        <is>
          <t>En plazo</t>
        </is>
      </c>
      <c r="B939" s="3" t="n">
        <v>46337.99930555555</v>
      </c>
      <c r="C939" s="5" t="n">
        <v>158520</v>
      </c>
      <c r="D939" s="5" t="n">
        <v>190890.2</v>
      </c>
      <c r="E939" s="2" t="inlineStr">
        <is>
          <t>Andalucía</t>
        </is>
      </c>
      <c r="F939" s="2" t="inlineStr">
        <is>
          <t>Huelva</t>
        </is>
      </c>
      <c r="G939" s="2" t="inlineStr">
        <is>
          <t>Moguer</t>
        </is>
      </c>
      <c r="H939" s="2" t="inlineStr">
        <is>
          <t>Alcaldía del Ayuntamiento de Moguer</t>
        </is>
      </c>
      <c r="I939" s="2" t="inlineStr">
        <is>
          <t>Obras para el asfaltado de varios caminos rurales del término municipal de Moguer. Dividiéndose el presente contrato en tres lotes: - Lote 1: Camino del Avitorejo. - Lote 2: Camino de Las Peñuelas. - Lote 3: Camino de Las Peñuelas Avitorejo.</t>
        </is>
      </c>
      <c r="J939" s="2" t="inlineStr">
        <is>
          <t>11635/2026 ASFALTADO CAMINOS RURALES</t>
        </is>
      </c>
      <c r="K939" s="2" t="inlineStr">
        <is>
          <t>Abierto</t>
        </is>
      </c>
      <c r="L939" s="6" t="n">
        <v>1</v>
      </c>
      <c r="M939" s="2" t="n"/>
      <c r="N939" s="7" t="n">
        <v>0</v>
      </c>
      <c r="O939" s="4" t="n">
        <v>3</v>
      </c>
      <c r="P939" s="2" t="inlineStr">
        <is>
          <t>45233222</t>
        </is>
      </c>
      <c r="Q939" s="8" t="inlineStr">
        <is>
          <t>Ver</t>
        </is>
      </c>
      <c r="R939" s="8" t="inlineStr">
        <is>
          <t>PCAP</t>
        </is>
      </c>
      <c r="S939" s="9" t="n">
        <v>46314</v>
      </c>
      <c r="T939" s="3" t="n">
        <v>46311.53611111111</v>
      </c>
      <c r="U939" s="2" t="n"/>
    </row>
    <row r="940">
      <c r="A940" s="2" t="inlineStr">
        <is>
          <t>En plazo</t>
        </is>
      </c>
      <c r="B940" s="3" t="n">
        <v>46332.5</v>
      </c>
      <c r="C940" s="5" t="n">
        <v>183476.33</v>
      </c>
      <c r="D940" s="5" t="n">
        <v>183476.33</v>
      </c>
      <c r="E940" s="2" t="inlineStr">
        <is>
          <t>Comunitat Valenciana</t>
        </is>
      </c>
      <c r="F940" s="2" t="inlineStr">
        <is>
          <t>Alicante</t>
        </is>
      </c>
      <c r="G940" s="2" t="n"/>
      <c r="H940" s="2" t="inlineStr">
        <is>
          <t>Junta de Gobierno del Ayuntamiento de Alcoy</t>
        </is>
      </c>
      <c r="I940" s="2" t="inlineStr">
        <is>
          <t>Obra para la renovación del pavimento de la pista de atletismo del Polideportivo Francisco Laporta, incluido su marcaje</t>
        </is>
      </c>
      <c r="J940" s="2" t="inlineStr">
        <is>
          <t>C.1723</t>
        </is>
      </c>
      <c r="K940" s="2" t="inlineStr">
        <is>
          <t>Abierto simplificado</t>
        </is>
      </c>
      <c r="L940" s="6" t="n">
        <v>2</v>
      </c>
      <c r="M940" s="2" t="n"/>
      <c r="N940" s="7" t="n">
        <v>0</v>
      </c>
      <c r="O940" s="4" t="n"/>
      <c r="P940" s="2" t="inlineStr">
        <is>
          <t>45236119; 45212200</t>
        </is>
      </c>
      <c r="Q940" s="8" t="inlineStr">
        <is>
          <t>Ver</t>
        </is>
      </c>
      <c r="R940" s="8" t="inlineStr">
        <is>
          <t>PCAP</t>
        </is>
      </c>
      <c r="S940" s="9" t="n">
        <v>46314</v>
      </c>
      <c r="T940" s="3" t="n">
        <v>46311.53155092592</v>
      </c>
      <c r="U940" s="2" t="n"/>
    </row>
    <row r="941">
      <c r="A941" s="2" t="inlineStr">
        <is>
          <t>Pendiente de adjudicación</t>
        </is>
      </c>
      <c r="B941" s="3" t="n">
        <v>46286.99930555555</v>
      </c>
      <c r="C941" s="5" t="n">
        <v>7042000.26</v>
      </c>
      <c r="D941" s="5" t="n">
        <v>7746200.28</v>
      </c>
      <c r="E941" s="2" t="inlineStr">
        <is>
          <t>Comunitat Valenciana</t>
        </is>
      </c>
      <c r="F941" s="2" t="inlineStr">
        <is>
          <t>Valencia</t>
        </is>
      </c>
      <c r="G941" s="2" t="n"/>
      <c r="H941" s="2" t="inlineStr">
        <is>
          <t>Junta de Gobierno del Ajuntament de València</t>
        </is>
      </c>
      <c r="I941" s="2" t="inlineStr">
        <is>
          <t>Obras de un nuevo auditorio en Benicalap (València)</t>
        </is>
      </c>
      <c r="J941" s="2" t="inlineStr">
        <is>
          <t>04101/2026/176-O</t>
        </is>
      </c>
      <c r="K941" s="2" t="inlineStr">
        <is>
          <t>Abierto</t>
        </is>
      </c>
      <c r="L941" s="6" t="n">
        <v>19</v>
      </c>
      <c r="M941" s="2" t="inlineStr">
        <is>
          <t>C*-5</t>
        </is>
      </c>
      <c r="N941" s="7" t="n">
        <v>0</v>
      </c>
      <c r="O941" s="4" t="n"/>
      <c r="P941" s="2" t="inlineStr">
        <is>
          <t>45212321</t>
        </is>
      </c>
      <c r="Q941" s="8" t="inlineStr">
        <is>
          <t>Ver</t>
        </is>
      </c>
      <c r="R941" s="8" t="inlineStr">
        <is>
          <t>PCAP</t>
        </is>
      </c>
      <c r="S941" s="9" t="n">
        <v>46314</v>
      </c>
      <c r="T941" s="3" t="n">
        <v>46311.52954861111</v>
      </c>
      <c r="U941" s="2" t="n"/>
    </row>
    <row r="942">
      <c r="A942" s="2" t="inlineStr">
        <is>
          <t>En plazo</t>
        </is>
      </c>
      <c r="B942" s="3" t="n">
        <v>46335.99930555555</v>
      </c>
      <c r="C942" s="5" t="n">
        <v>4895758.65</v>
      </c>
      <c r="D942" s="5" t="n">
        <v>4895758.65</v>
      </c>
      <c r="E942" s="2" t="inlineStr">
        <is>
          <t>Comunitat Valenciana</t>
        </is>
      </c>
      <c r="F942" s="2" t="inlineStr">
        <is>
          <t>Valencia</t>
        </is>
      </c>
      <c r="G942" s="2" t="inlineStr">
        <is>
          <t>Estivella</t>
        </is>
      </c>
      <c r="H942" s="2" t="inlineStr">
        <is>
          <t>Pleno del Ayuntamiento de Estivella</t>
        </is>
      </c>
      <c r="I942" s="2" t="inlineStr">
        <is>
          <t>Demolició i reposició del CENTRE CEIP EL BRAÇAL en la mateixa parcel·la</t>
        </is>
      </c>
      <c r="J942" s="2" t="inlineStr">
        <is>
          <t>271/2026</t>
        </is>
      </c>
      <c r="K942" s="2" t="inlineStr">
        <is>
          <t>Abierto</t>
        </is>
      </c>
      <c r="L942" s="6" t="n">
        <v>18</v>
      </c>
      <c r="M942" s="2" t="inlineStr">
        <is>
          <t>C*-5</t>
        </is>
      </c>
      <c r="N942" s="7" t="n">
        <v>0.2</v>
      </c>
      <c r="O942" s="4" t="n"/>
      <c r="P942" s="2" t="inlineStr">
        <is>
          <t>45214000</t>
        </is>
      </c>
      <c r="Q942" s="8" t="inlineStr">
        <is>
          <t>Ver</t>
        </is>
      </c>
      <c r="R942" s="8" t="inlineStr">
        <is>
          <t>PCAP</t>
        </is>
      </c>
      <c r="S942" s="9" t="n">
        <v>46310</v>
      </c>
      <c r="T942" s="3" t="n">
        <v>46311.52895833334</v>
      </c>
      <c r="U942" s="2" t="n"/>
    </row>
    <row r="943">
      <c r="A943" s="2" t="inlineStr">
        <is>
          <t>Adjudicada</t>
        </is>
      </c>
      <c r="B943" s="3" t="n">
        <v>46274.58333333334</v>
      </c>
      <c r="C943" s="5" t="n">
        <v>66207.45</v>
      </c>
      <c r="D943" s="5" t="n">
        <v>66207.45</v>
      </c>
      <c r="E943" s="2" t="inlineStr">
        <is>
          <t>Andalucía</t>
        </is>
      </c>
      <c r="F943" s="2" t="inlineStr">
        <is>
          <t>Granada</t>
        </is>
      </c>
      <c r="G943" s="2" t="inlineStr">
        <is>
          <t>Albolote (Granada)</t>
        </is>
      </c>
      <c r="H943" s="2" t="inlineStr">
        <is>
          <t>Junta de Gobierno del Ayuntamiento de Albolote</t>
        </is>
      </c>
      <c r="I943" s="2" t="inlineStr">
        <is>
          <t>Obras de reparación e impermeabilización de sótano de edificio de servicios múltiples de Albolote.</t>
        </is>
      </c>
      <c r="J943" s="2" t="inlineStr">
        <is>
          <t>2790/2026</t>
        </is>
      </c>
      <c r="K943" s="2" t="inlineStr">
        <is>
          <t>Abierto simplificado</t>
        </is>
      </c>
      <c r="L943" s="6" t="n">
        <v>2</v>
      </c>
      <c r="M943" s="2" t="inlineStr">
        <is>
          <t>C6-1</t>
        </is>
      </c>
      <c r="N943" s="7" t="n">
        <v>0</v>
      </c>
      <c r="O943" s="4" t="n"/>
      <c r="P943" s="2" t="inlineStr">
        <is>
          <t>45000000; 45321000; 45330000; 45262650; 45300000; 45320000; 45323000; 45430000; 45111100; 45262670; 45310000</t>
        </is>
      </c>
      <c r="Q943" s="8" t="inlineStr">
        <is>
          <t>Ver</t>
        </is>
      </c>
      <c r="R943" s="8" t="inlineStr">
        <is>
          <t>PCAP</t>
        </is>
      </c>
      <c r="S943" s="9" t="n">
        <v>46310</v>
      </c>
      <c r="T943" s="3" t="n">
        <v>46311.52792824074</v>
      </c>
      <c r="U943" s="2" t="inlineStr">
        <is>
          <t>2026-10-19: estado EV → ADJ</t>
        </is>
      </c>
    </row>
    <row r="944">
      <c r="A944" s="2" t="inlineStr">
        <is>
          <t>Pendiente de adjudicación</t>
        </is>
      </c>
      <c r="B944" s="3" t="n">
        <v>45532.99930555555</v>
      </c>
      <c r="C944" s="5" t="n">
        <v>160540.65</v>
      </c>
      <c r="D944" s="5" t="n">
        <v>160540.65</v>
      </c>
      <c r="E944" s="2" t="inlineStr">
        <is>
          <t>Comunitat Valenciana</t>
        </is>
      </c>
      <c r="F944" s="2" t="inlineStr">
        <is>
          <t>Castellón</t>
        </is>
      </c>
      <c r="G944" s="2" t="inlineStr">
        <is>
          <t>La Vall d'Alba</t>
        </is>
      </c>
      <c r="H944" s="2" t="inlineStr">
        <is>
          <t>Junta de Gobierno Local del Ayuntamiento de Vall d'Alba</t>
        </is>
      </c>
      <c r="I944" s="2" t="inlineStr">
        <is>
          <t>digitalización del ciclo integral del agua</t>
        </is>
      </c>
      <c r="J944" s="2" t="inlineStr">
        <is>
          <t>792/2024</t>
        </is>
      </c>
      <c r="K944" s="2" t="inlineStr">
        <is>
          <t>Abierto</t>
        </is>
      </c>
      <c r="L944" s="6" t="n">
        <v>5</v>
      </c>
      <c r="M944" s="2" t="n"/>
      <c r="N944" s="7" t="n">
        <v>0.4</v>
      </c>
      <c r="O944" s="4" t="n"/>
      <c r="P944" s="2" t="inlineStr">
        <is>
          <t>45314000; 38420000</t>
        </is>
      </c>
      <c r="Q944" s="8" t="inlineStr">
        <is>
          <t>Ver</t>
        </is>
      </c>
      <c r="R944" s="8" t="inlineStr">
        <is>
          <t>PCAP</t>
        </is>
      </c>
      <c r="S944" s="9" t="n">
        <v>46314</v>
      </c>
      <c r="T944" s="3" t="n">
        <v>46311.52769675926</v>
      </c>
      <c r="U944" s="2" t="n"/>
    </row>
    <row r="945">
      <c r="A945" s="2" t="inlineStr">
        <is>
          <t>Pendiente de adjudicación</t>
        </is>
      </c>
      <c r="B945" s="3" t="n">
        <v>46283.99930555555</v>
      </c>
      <c r="C945" s="5" t="n">
        <v>987793.33</v>
      </c>
      <c r="D945" s="5" t="n">
        <v>987793.33</v>
      </c>
      <c r="E945" s="2" t="inlineStr">
        <is>
          <t>Andalucía</t>
        </is>
      </c>
      <c r="F945" s="2" t="inlineStr">
        <is>
          <t>Sevilla</t>
        </is>
      </c>
      <c r="G945" s="2" t="inlineStr">
        <is>
          <t>Alcalá de Guadaíra</t>
        </is>
      </c>
      <c r="H945" s="2" t="inlineStr">
        <is>
          <t>Junta de Gobierno Local del Ayuntamiento de Alcalá de Guadaíra</t>
        </is>
      </c>
      <c r="I945" s="2" t="inlineStr">
        <is>
          <t>obra de ejecución de actuaciones de mejoras en los parques de ribera del tramo urbano del río Guadaíra en Alcalá de Guadaíra (C-2026/026)</t>
        </is>
      </c>
      <c r="J945" s="2" t="inlineStr">
        <is>
          <t>5126/2026</t>
        </is>
      </c>
      <c r="K945" s="2" t="inlineStr">
        <is>
          <t>Abierto simplificado</t>
        </is>
      </c>
      <c r="L945" s="6" t="n">
        <v>5</v>
      </c>
      <c r="M945" s="2" t="n"/>
      <c r="N945" s="7" t="n">
        <v>0.25</v>
      </c>
      <c r="O945" s="4" t="n"/>
      <c r="P945" s="2" t="inlineStr">
        <is>
          <t>45112700; 03451300; 45112100; 45233142; 45233200; 03452000; 77310000; 45232120; 34928400</t>
        </is>
      </c>
      <c r="Q945" s="8" t="inlineStr">
        <is>
          <t>Ver</t>
        </is>
      </c>
      <c r="R945" s="8" t="inlineStr">
        <is>
          <t>PCAP</t>
        </is>
      </c>
      <c r="S945" s="9" t="n">
        <v>46310</v>
      </c>
      <c r="T945" s="3" t="n">
        <v>46311.52603009259</v>
      </c>
      <c r="U945" s="2" t="n"/>
    </row>
    <row r="946">
      <c r="A946" s="2" t="inlineStr">
        <is>
          <t>Resuelta</t>
        </is>
      </c>
      <c r="B946" s="3" t="n">
        <v>46209.58333333334</v>
      </c>
      <c r="C946" s="5" t="n">
        <v>361357.6</v>
      </c>
      <c r="D946" s="5" t="n">
        <v>361357.6</v>
      </c>
      <c r="E946" s="2" t="inlineStr">
        <is>
          <t>Andalucía</t>
        </is>
      </c>
      <c r="F946" s="2" t="inlineStr">
        <is>
          <t>Cádiz</t>
        </is>
      </c>
      <c r="G946" s="2" t="inlineStr">
        <is>
          <t>CÁDIZ</t>
        </is>
      </c>
      <c r="H946" s="2" t="inlineStr">
        <is>
          <t>Presidencia de la Autoridad Portuaria de la Bahía de Cádiz</t>
        </is>
      </c>
      <c r="I946" s="2" t="inlineStr">
        <is>
          <t>Rehabilitación y mejora de las condiciones de seguridad del paso superior del dique de abrigo del Paseo Almirante Pascual Pery (CA-009-26)</t>
        </is>
      </c>
      <c r="J946" s="2" t="inlineStr">
        <is>
          <t>112/2026</t>
        </is>
      </c>
      <c r="K946" s="2" t="inlineStr">
        <is>
          <t>Abierto simplificado</t>
        </is>
      </c>
      <c r="L946" s="6" t="n">
        <v>5</v>
      </c>
      <c r="M946" s="2" t="inlineStr">
        <is>
          <t>C2-3</t>
        </is>
      </c>
      <c r="N946" s="7" t="n">
        <v>0.25</v>
      </c>
      <c r="O946" s="4" t="n"/>
      <c r="P946" s="2" t="inlineStr">
        <is>
          <t>45200000; 45400000; 45220000; 45110000</t>
        </is>
      </c>
      <c r="Q946" s="8" t="inlineStr">
        <is>
          <t>Ver</t>
        </is>
      </c>
      <c r="R946" s="8" t="inlineStr">
        <is>
          <t>PCAP</t>
        </is>
      </c>
      <c r="S946" s="9" t="n">
        <v>46314</v>
      </c>
      <c r="T946" s="3" t="n">
        <v>46311.5255787037</v>
      </c>
      <c r="U946" s="2" t="n"/>
    </row>
    <row r="947">
      <c r="A947" s="2" t="inlineStr">
        <is>
          <t>En plazo</t>
        </is>
      </c>
      <c r="B947" s="3" t="n">
        <v>46332.5</v>
      </c>
      <c r="C947" s="5" t="n">
        <v>1959411.99</v>
      </c>
      <c r="D947" s="5" t="n">
        <v>1959411.99</v>
      </c>
      <c r="E947" s="2" t="inlineStr">
        <is>
          <t>Comunitat Valenciana</t>
        </is>
      </c>
      <c r="F947" s="2" t="inlineStr">
        <is>
          <t>Alicante</t>
        </is>
      </c>
      <c r="G947" s="2" t="inlineStr">
        <is>
          <t>Almoradí</t>
        </is>
      </c>
      <c r="H947" s="2" t="inlineStr">
        <is>
          <t>Junta de Gobierno del Ayuntamiento de Almoradí</t>
        </is>
      </c>
      <c r="I947" s="2" t="inlineStr">
        <is>
          <t>Obras “Actuación 3.1. Reurbanización de la Avda. Dr. Marañón. Mejora de acceso al Centro Comercial, Tipo de Acción 4, Subtipo 4.1 y la Actuación 3.2. Infraestructura ciclista en la Avda. Dr. Marañón, Tipo de Acción 2, Subtipo 2.3, en el marco del Plan de Actuación Integrado de Almoradí, operación cofinanciada por el Fondo Europeo de Desarrollo Regional (FEDER)”.</t>
        </is>
      </c>
      <c r="J947" s="2" t="inlineStr">
        <is>
          <t>7981/2026</t>
        </is>
      </c>
      <c r="K947" s="2" t="inlineStr">
        <is>
          <t>Abierto simplificado</t>
        </is>
      </c>
      <c r="L947" s="6" t="n">
        <v>5</v>
      </c>
      <c r="M947" s="2" t="n"/>
      <c r="N947" s="7" t="n">
        <v>0.25</v>
      </c>
      <c r="O947" s="4" t="n"/>
      <c r="P947" s="2" t="inlineStr">
        <is>
          <t>45233200; 45211360; 45233253; 45111100; 45233162; 45000000; 45233140</t>
        </is>
      </c>
      <c r="Q947" s="8" t="inlineStr">
        <is>
          <t>Ver</t>
        </is>
      </c>
      <c r="R947" s="8" t="inlineStr">
        <is>
          <t>PCAP</t>
        </is>
      </c>
      <c r="S947" s="9" t="n">
        <v>46314</v>
      </c>
      <c r="T947" s="3" t="n">
        <v>46311.52456018519</v>
      </c>
      <c r="U947" s="2" t="n"/>
    </row>
    <row r="948">
      <c r="A948" s="2" t="inlineStr">
        <is>
          <t>Resuelta</t>
        </is>
      </c>
      <c r="B948" s="3" t="n">
        <v>46276.58333333334</v>
      </c>
      <c r="C948" s="5" t="n">
        <v>91600.75</v>
      </c>
      <c r="D948" s="5" t="n">
        <v>91600.75</v>
      </c>
      <c r="E948" s="2" t="inlineStr">
        <is>
          <t>Comunitat Valenciana</t>
        </is>
      </c>
      <c r="F948" s="2" t="inlineStr">
        <is>
          <t>Valencia</t>
        </is>
      </c>
      <c r="G948" s="2" t="n"/>
      <c r="H948" s="2" t="inlineStr">
        <is>
          <t>Concejalía Delegada de Contratación del Ayuntamiento de Gandía</t>
        </is>
      </c>
      <c r="I948" s="2" t="inlineStr">
        <is>
          <t>Contrato de obras consistente en la ejecución del proyecto de mejora, modernización y dotación de infraestructuras y servicios en el Polígono Rajolar (IVACE ejercicios 2025-2026).</t>
        </is>
      </c>
      <c r="J948" s="2" t="inlineStr">
        <is>
          <t>CONT-058/2026 (41989/2026)</t>
        </is>
      </c>
      <c r="K948" s="2" t="inlineStr">
        <is>
          <t>Abierto simplificado</t>
        </is>
      </c>
      <c r="L948" s="6" t="n">
        <v>2</v>
      </c>
      <c r="M948" s="2" t="n"/>
      <c r="N948" s="7" t="n">
        <v>0</v>
      </c>
      <c r="O948" s="4" t="n"/>
      <c r="P948" s="2" t="inlineStr">
        <is>
          <t>45233200; 45310000; 45112710</t>
        </is>
      </c>
      <c r="Q948" s="8" t="inlineStr">
        <is>
          <t>Ver</t>
        </is>
      </c>
      <c r="R948" s="8" t="inlineStr">
        <is>
          <t>PCAP</t>
        </is>
      </c>
      <c r="S948" s="9" t="n">
        <v>46310</v>
      </c>
      <c r="T948" s="3" t="n">
        <v>46311.52333333333</v>
      </c>
      <c r="U948" s="2" t="inlineStr">
        <is>
          <t>2026-10-19: estado ADJ → RES</t>
        </is>
      </c>
    </row>
    <row r="949">
      <c r="A949" s="2" t="inlineStr">
        <is>
          <t>Resuelta</t>
        </is>
      </c>
      <c r="B949" s="3" t="n">
        <v>46288.99930555555</v>
      </c>
      <c r="C949" s="5" t="n">
        <v>137181.79</v>
      </c>
      <c r="D949" s="5" t="n">
        <v>137181.79</v>
      </c>
      <c r="E949" s="2" t="inlineStr">
        <is>
          <t>Andalucía</t>
        </is>
      </c>
      <c r="F949" s="2" t="inlineStr">
        <is>
          <t>Granada</t>
        </is>
      </c>
      <c r="G949" s="2" t="inlineStr">
        <is>
          <t>VALLE DEL ZALABÍ</t>
        </is>
      </c>
      <c r="H949" s="2" t="inlineStr">
        <is>
          <t>Presidencia de la Diputación Provincial de Granada</t>
        </is>
      </c>
      <c r="I949" s="2" t="inlineStr">
        <is>
          <t>2024/4/PPOYS-164-C y 2026/4/PPOYS-164/2 "Valle del Zalabí, acondicionamiento de redes y pavimentación en Avenida de la Villa (Zona 1 y 2)</t>
        </is>
      </c>
      <c r="J949" s="2" t="inlineStr">
        <is>
          <t>OB-053/26</t>
        </is>
      </c>
      <c r="K949" s="2" t="inlineStr">
        <is>
          <t>Abierto simplificado</t>
        </is>
      </c>
      <c r="L949" s="6" t="n">
        <v>6</v>
      </c>
      <c r="M949" s="2" t="inlineStr">
        <is>
          <t>E7-1; G6-1</t>
        </is>
      </c>
      <c r="N949" s="7" t="n">
        <v>0</v>
      </c>
      <c r="O949" s="4" t="n"/>
      <c r="P949" s="2" t="inlineStr">
        <is>
          <t>45231100; 45233252</t>
        </is>
      </c>
      <c r="Q949" s="8" t="inlineStr">
        <is>
          <t>Ver</t>
        </is>
      </c>
      <c r="R949" s="8" t="inlineStr">
        <is>
          <t>PCAP</t>
        </is>
      </c>
      <c r="S949" s="9" t="n">
        <v>46314</v>
      </c>
      <c r="T949" s="3" t="n">
        <v>46311.51891203703</v>
      </c>
      <c r="U949" s="2" t="n"/>
    </row>
    <row r="950">
      <c r="A950" s="2" t="inlineStr">
        <is>
          <t>En plazo</t>
        </is>
      </c>
      <c r="B950" s="3" t="n">
        <v>46336.99930555555</v>
      </c>
      <c r="C950" s="5" t="n">
        <v>292040.41</v>
      </c>
      <c r="D950" s="5" t="n">
        <v>292040.41</v>
      </c>
      <c r="E950" s="2" t="inlineStr">
        <is>
          <t>Andalucía</t>
        </is>
      </c>
      <c r="F950" s="2" t="inlineStr">
        <is>
          <t>Sevilla</t>
        </is>
      </c>
      <c r="G950" s="2" t="inlineStr">
        <is>
          <t>Las Cabezas de San Juan</t>
        </is>
      </c>
      <c r="H950" s="2" t="inlineStr">
        <is>
          <t>Alcaldia del Ayuntamiento de Las Cabezas de San Juan</t>
        </is>
      </c>
      <c r="I950" s="2" t="inlineStr">
        <is>
          <t>Reurbanización entorno tramo C/ Hermanos Álvarez y otras, así como actuaciones en zonas verdes" dentro del programa de fomento de empelo agraria (PFEA) 2026</t>
        </is>
      </c>
      <c r="J950" s="2" t="inlineStr">
        <is>
          <t>4923/2026</t>
        </is>
      </c>
      <c r="K950" s="2" t="inlineStr">
        <is>
          <t>Abierto</t>
        </is>
      </c>
      <c r="L950" s="6" t="n">
        <v>10</v>
      </c>
      <c r="M950" s="2" t="n"/>
      <c r="N950" s="7" t="n">
        <v>0</v>
      </c>
      <c r="O950" s="4" t="n">
        <v>14</v>
      </c>
      <c r="P950" s="2" t="inlineStr">
        <is>
          <t>45262370; 44112210; 03110000; 44111400; 14210000; 43312400; 44111100; 14622000; 44113620; 44115000; 45421160; 90500000; 35113400; 42416100; 34134000; 34952000</t>
        </is>
      </c>
      <c r="Q950" s="8" t="inlineStr">
        <is>
          <t>Ver</t>
        </is>
      </c>
      <c r="R950" s="8" t="inlineStr">
        <is>
          <t>PCAP</t>
        </is>
      </c>
      <c r="S950" s="9" t="n">
        <v>46311</v>
      </c>
      <c r="T950" s="3" t="n">
        <v>46311.51694444445</v>
      </c>
      <c r="U950" s="2" t="n"/>
    </row>
    <row r="951">
      <c r="A951" s="2" t="inlineStr">
        <is>
          <t>Resuelta</t>
        </is>
      </c>
      <c r="B951" s="3" t="n">
        <v>46288.99930555555</v>
      </c>
      <c r="C951" s="5" t="n">
        <v>151897.52</v>
      </c>
      <c r="D951" s="5" t="n">
        <v>151897.52</v>
      </c>
      <c r="E951" s="2" t="inlineStr">
        <is>
          <t>Andalucía</t>
        </is>
      </c>
      <c r="F951" s="2" t="inlineStr">
        <is>
          <t>Granada</t>
        </is>
      </c>
      <c r="G951" s="2" t="inlineStr">
        <is>
          <t>POLICAR</t>
        </is>
      </c>
      <c r="H951" s="2" t="inlineStr">
        <is>
          <t>Presidencia de la Diputación Provincial de Granada</t>
        </is>
      </c>
      <c r="I951" s="2" t="inlineStr">
        <is>
          <t>2024/4/PPOYS-141-C "Polícar, ejecución de vestuarios masculino y femenino en el recinto de la piscina municipal"</t>
        </is>
      </c>
      <c r="J951" s="2" t="inlineStr">
        <is>
          <t>OB-036/26</t>
        </is>
      </c>
      <c r="K951" s="2" t="inlineStr">
        <is>
          <t>Abierto simplificado</t>
        </is>
      </c>
      <c r="L951" s="6" t="n">
        <v>6</v>
      </c>
      <c r="M951" s="2" t="inlineStr">
        <is>
          <t>C*-2</t>
        </is>
      </c>
      <c r="N951" s="7" t="n">
        <v>0</v>
      </c>
      <c r="O951" s="4" t="n"/>
      <c r="P951" s="2" t="inlineStr">
        <is>
          <t>45210000</t>
        </is>
      </c>
      <c r="Q951" s="8" t="inlineStr">
        <is>
          <t>Ver</t>
        </is>
      </c>
      <c r="R951" s="8" t="inlineStr">
        <is>
          <t>PCAP</t>
        </is>
      </c>
      <c r="S951" s="9" t="n">
        <v>46314</v>
      </c>
      <c r="T951" s="3" t="n">
        <v>46311.51609953704</v>
      </c>
      <c r="U951" s="2" t="n"/>
    </row>
    <row r="952">
      <c r="A952" s="2" t="inlineStr">
        <is>
          <t>En plazo</t>
        </is>
      </c>
      <c r="B952" s="3" t="n">
        <v>46321.99930555555</v>
      </c>
      <c r="C952" s="5" t="n">
        <v>207955.12</v>
      </c>
      <c r="D952" s="5" t="n">
        <v>207955.12</v>
      </c>
      <c r="E952" s="2" t="inlineStr">
        <is>
          <t>Andalucía</t>
        </is>
      </c>
      <c r="F952" s="2" t="inlineStr">
        <is>
          <t>Sevilla</t>
        </is>
      </c>
      <c r="G952" s="2" t="n"/>
      <c r="H952" s="2" t="inlineStr">
        <is>
          <t>Presidencia de la Diputación Provincial de Sevilla</t>
        </is>
      </c>
      <c r="I952" s="2" t="inlineStr">
        <is>
          <t>Obras de demolición de edificaciones existentes en el Cortijo de Cuarto, perteneciente a la Diputación Provincial de Sevilla.</t>
        </is>
      </c>
      <c r="J952" s="2" t="inlineStr">
        <is>
          <t>2026/000623-PAAS</t>
        </is>
      </c>
      <c r="K952" s="2" t="inlineStr">
        <is>
          <t>Abierto simplificado</t>
        </is>
      </c>
      <c r="L952" s="6" t="n">
        <v>3</v>
      </c>
      <c r="M952" s="2" t="n"/>
      <c r="N952" s="7" t="n">
        <v>0</v>
      </c>
      <c r="O952" s="4" t="n"/>
      <c r="P952" s="2" t="inlineStr">
        <is>
          <t>45111100</t>
        </is>
      </c>
      <c r="Q952" s="8" t="inlineStr">
        <is>
          <t>Ver</t>
        </is>
      </c>
      <c r="R952" s="8" t="inlineStr">
        <is>
          <t>PCAP</t>
        </is>
      </c>
      <c r="S952" s="9" t="n">
        <v>46314</v>
      </c>
      <c r="T952" s="3" t="n">
        <v>46311.51569444445</v>
      </c>
      <c r="U952" s="2" t="n"/>
    </row>
    <row r="953">
      <c r="A953" s="2" t="inlineStr">
        <is>
          <t>Pendiente de adjudicación</t>
        </is>
      </c>
      <c r="B953" s="3" t="n">
        <v>46294.99930555555</v>
      </c>
      <c r="C953" s="5" t="n">
        <v>504132.23</v>
      </c>
      <c r="D953" s="5" t="n">
        <v>504132.23</v>
      </c>
      <c r="E953" s="2" t="inlineStr">
        <is>
          <t>Andalucía</t>
        </is>
      </c>
      <c r="F953" s="2" t="inlineStr">
        <is>
          <t>Huelva</t>
        </is>
      </c>
      <c r="G953" s="2" t="n"/>
      <c r="H953" s="2" t="inlineStr">
        <is>
          <t>Junta de Gobierno del Ayuntamiento de Huelva</t>
        </is>
      </c>
      <c r="I953" s="2" t="inlineStr">
        <is>
          <t>Obras del proyecto de creación de áreas piloto de transición ecológica, integrado en el Marco del Plan de Actuación Integrado Huelva distrito H-HUB de innovación ecosocial, integrado en las estrategias de desarrollo integrado, Edil.</t>
        </is>
      </c>
      <c r="J953" s="2" t="inlineStr">
        <is>
          <t>94/2026</t>
        </is>
      </c>
      <c r="K953" s="2" t="inlineStr">
        <is>
          <t>Abierto simplificado</t>
        </is>
      </c>
      <c r="L953" s="6" t="n">
        <v>4</v>
      </c>
      <c r="M953" s="2" t="inlineStr">
        <is>
          <t>G6-2; K6-2</t>
        </is>
      </c>
      <c r="N953" s="7" t="n">
        <v>0.15</v>
      </c>
      <c r="O953" s="4" t="n"/>
      <c r="P953" s="2" t="inlineStr">
        <is>
          <t>45000000; 45233250; 37535200; 45233293; 45112710; 43325000; 45111000</t>
        </is>
      </c>
      <c r="Q953" s="8" t="inlineStr">
        <is>
          <t>Ver</t>
        </is>
      </c>
      <c r="R953" s="8" t="inlineStr">
        <is>
          <t>PCAP</t>
        </is>
      </c>
      <c r="S953" s="9" t="n">
        <v>46314</v>
      </c>
      <c r="T953" s="3" t="n">
        <v>46311.51415509259</v>
      </c>
      <c r="U953" s="2" t="n"/>
    </row>
    <row r="954">
      <c r="A954" s="2" t="inlineStr">
        <is>
          <t>Pendiente de adjudicación</t>
        </is>
      </c>
      <c r="B954" s="3" t="n">
        <v>46294.99930555555</v>
      </c>
      <c r="C954" s="5" t="n">
        <v>377685.95</v>
      </c>
      <c r="D954" s="5" t="n">
        <v>377685.95</v>
      </c>
      <c r="E954" s="2" t="inlineStr">
        <is>
          <t>Andalucía</t>
        </is>
      </c>
      <c r="F954" s="2" t="inlineStr">
        <is>
          <t>Huelva</t>
        </is>
      </c>
      <c r="G954" s="2" t="n"/>
      <c r="H954" s="2" t="inlineStr">
        <is>
          <t>Junta de Gobierno del Ayuntamiento de Huelva</t>
        </is>
      </c>
      <c r="I954" s="2" t="inlineStr">
        <is>
          <t>Obras del proyecto de naturalización y corredores verdes del plan de actuación integrado "Huelva Distrito H-HUB de Innovación Ecosocial" (Plan EDIL)</t>
        </is>
      </c>
      <c r="J954" s="2" t="inlineStr">
        <is>
          <t>96/2026</t>
        </is>
      </c>
      <c r="K954" s="2" t="inlineStr">
        <is>
          <t>Abierto simplificado</t>
        </is>
      </c>
      <c r="L954" s="6" t="n">
        <v>4</v>
      </c>
      <c r="M954" s="2" t="n"/>
      <c r="N954" s="7" t="n">
        <v>0.15</v>
      </c>
      <c r="O954" s="4" t="n"/>
      <c r="P954" s="2" t="inlineStr">
        <is>
          <t>45000000; 45111000; 45223110; 45233220; 45112710; 45233250; 45233221; 45232120</t>
        </is>
      </c>
      <c r="Q954" s="8" t="inlineStr">
        <is>
          <t>Ver</t>
        </is>
      </c>
      <c r="R954" s="8" t="inlineStr">
        <is>
          <t>PCAP</t>
        </is>
      </c>
      <c r="S954" s="9" t="n">
        <v>46314</v>
      </c>
      <c r="T954" s="3" t="n">
        <v>46311.51354166667</v>
      </c>
      <c r="U954" s="2" t="n"/>
    </row>
    <row r="955">
      <c r="A955" s="2" t="inlineStr">
        <is>
          <t>Adjudicada</t>
        </is>
      </c>
      <c r="B955" s="3" t="n">
        <v>46231.99930555555</v>
      </c>
      <c r="C955" s="5" t="n">
        <v>69750</v>
      </c>
      <c r="D955" s="5" t="n">
        <v>167400</v>
      </c>
      <c r="E955" s="2" t="inlineStr">
        <is>
          <t>Andalucía</t>
        </is>
      </c>
      <c r="F955" s="2" t="inlineStr">
        <is>
          <t>Córdoba</t>
        </is>
      </c>
      <c r="G955" s="2" t="n"/>
      <c r="H955" s="2" t="inlineStr">
        <is>
          <t>Consejería Delegada de Aguas de Lucena S.L.</t>
        </is>
      </c>
      <c r="I955" s="2" t="inlineStr">
        <is>
          <t>Contratación de un servicio para la atención de trabajos de obra civil relacionados con averías, reparaciones, mantenimiento y actuaciones competencia de Aguas de Lucena, S.L., en el término municipal de Lucena.</t>
        </is>
      </c>
      <c r="J955" s="2" t="inlineStr">
        <is>
          <t>AG-02/2026</t>
        </is>
      </c>
      <c r="K955" s="2" t="inlineStr">
        <is>
          <t>Abierto simplificado</t>
        </is>
      </c>
      <c r="L955" s="6" t="n">
        <v>24</v>
      </c>
      <c r="M955" s="2" t="n"/>
      <c r="N955" s="7" t="n">
        <v>0</v>
      </c>
      <c r="O955" s="4" t="n"/>
      <c r="P955" s="2" t="inlineStr">
        <is>
          <t>45262500; 45262520</t>
        </is>
      </c>
      <c r="Q955" s="8" t="inlineStr">
        <is>
          <t>Ver</t>
        </is>
      </c>
      <c r="R955" s="8" t="inlineStr">
        <is>
          <t>PCAP</t>
        </is>
      </c>
      <c r="S955" s="9" t="n">
        <v>46314</v>
      </c>
      <c r="T955" s="3" t="n">
        <v>46311.51170138889</v>
      </c>
      <c r="U955" s="2" t="n"/>
    </row>
    <row r="956">
      <c r="A956" s="2" t="inlineStr">
        <is>
          <t>Resuelta</t>
        </is>
      </c>
      <c r="B956" s="3" t="n">
        <v>46253.58333333334</v>
      </c>
      <c r="C956" s="5" t="n">
        <v>40408.24</v>
      </c>
      <c r="D956" s="5" t="n">
        <v>48489.89</v>
      </c>
      <c r="E956" s="2" t="inlineStr">
        <is>
          <t>Comunitat Valenciana</t>
        </is>
      </c>
      <c r="F956" s="2" t="inlineStr">
        <is>
          <t>Valencia</t>
        </is>
      </c>
      <c r="G956" s="2" t="n"/>
      <c r="H956" s="2" t="inlineStr">
        <is>
          <t>Gerencia umivale Activa, Mutua Colaboradora con la Seguridad Social número 3</t>
        </is>
      </c>
      <c r="I956" s="2" t="inlineStr">
        <is>
          <t>Trabajos de sustitución de bajante del edificio sito en calle colón de Valencia</t>
        </is>
      </c>
      <c r="J956" s="2" t="inlineStr">
        <is>
          <t>OBR-26-0261-SOM</t>
        </is>
      </c>
      <c r="K956" s="2" t="inlineStr">
        <is>
          <t>Abierto</t>
        </is>
      </c>
      <c r="L956" s="6" t="n">
        <v>2</v>
      </c>
      <c r="M956" s="2" t="n"/>
      <c r="N956" s="7" t="n">
        <v>0.3</v>
      </c>
      <c r="O956" s="4" t="n"/>
      <c r="P956" s="2" t="inlineStr">
        <is>
          <t>45262660; 45232410; 45262520</t>
        </is>
      </c>
      <c r="Q956" s="8" t="inlineStr">
        <is>
          <t>Ver</t>
        </is>
      </c>
      <c r="R956" s="8" t="inlineStr">
        <is>
          <t>PCAP</t>
        </is>
      </c>
      <c r="S956" s="9" t="n">
        <v>46314</v>
      </c>
      <c r="T956" s="3" t="n">
        <v>46311.50936342592</v>
      </c>
      <c r="U956" s="2" t="n"/>
    </row>
    <row r="957">
      <c r="A957" s="2" t="inlineStr">
        <is>
          <t>En plazo</t>
        </is>
      </c>
      <c r="B957" s="3" t="n">
        <v>46332.41666666666</v>
      </c>
      <c r="C957" s="5" t="n">
        <v>638220.99</v>
      </c>
      <c r="D957" s="5" t="n">
        <v>638220.99</v>
      </c>
      <c r="E957" s="2" t="inlineStr">
        <is>
          <t>Andalucía</t>
        </is>
      </c>
      <c r="F957" s="2" t="inlineStr">
        <is>
          <t>Huelva</t>
        </is>
      </c>
      <c r="G957" s="2" t="n"/>
      <c r="H957" s="2" t="inlineStr">
        <is>
          <t>Empresa de Transformación Agraria S.A.,S.M.E., M.P., (TRAGSA)</t>
        </is>
      </c>
      <c r="I957" s="2" t="inlineStr">
        <is>
          <t>Suministro y ejecución de instalaciones eléctricas, seguridad, comunicaciones y fotovoltaica en edificio administrativo de Huelva, en Plaza de La Constitución, No1, Huelva</t>
        </is>
      </c>
      <c r="J957" s="2" t="inlineStr">
        <is>
          <t>TSA0083804</t>
        </is>
      </c>
      <c r="K957" s="2" t="inlineStr">
        <is>
          <t>Abierto simplificado</t>
        </is>
      </c>
      <c r="L957" s="6" t="n">
        <v>18</v>
      </c>
      <c r="M957" s="2" t="n"/>
      <c r="N957" s="7" t="n">
        <v>0</v>
      </c>
      <c r="O957" s="4" t="n">
        <v>3</v>
      </c>
      <c r="P957" s="2" t="inlineStr">
        <is>
          <t>45315600; 45315500; 45310000</t>
        </is>
      </c>
      <c r="Q957" s="8" t="inlineStr">
        <is>
          <t>Ver</t>
        </is>
      </c>
      <c r="R957" s="8" t="inlineStr">
        <is>
          <t>PCAP</t>
        </is>
      </c>
      <c r="S957" s="9" t="n">
        <v>46314</v>
      </c>
      <c r="T957" s="3" t="n">
        <v>46311.50920138889</v>
      </c>
      <c r="U957" s="2" t="n"/>
    </row>
    <row r="958">
      <c r="A958" s="2" t="inlineStr">
        <is>
          <t>Resuelta</t>
        </is>
      </c>
      <c r="B958" s="3" t="n">
        <v>46280.99930555555</v>
      </c>
      <c r="C958" s="5" t="n">
        <v>91680.99000000001</v>
      </c>
      <c r="D958" s="5" t="n">
        <v>91680.99000000001</v>
      </c>
      <c r="E958" s="2" t="inlineStr">
        <is>
          <t>Andalucía</t>
        </is>
      </c>
      <c r="F958" s="2" t="inlineStr">
        <is>
          <t>Granada</t>
        </is>
      </c>
      <c r="G958" s="2" t="inlineStr">
        <is>
          <t>GOR</t>
        </is>
      </c>
      <c r="H958" s="2" t="inlineStr">
        <is>
          <t>Presidencia de la Diputación Provincial de Granada</t>
        </is>
      </c>
      <c r="I958" s="2" t="inlineStr">
        <is>
          <t>2026/4/PPOYS-78 "Gor, acondicionamiento de redes y pavimentación en Calle Iglesia y Molinos"</t>
        </is>
      </c>
      <c r="J958" s="2" t="inlineStr">
        <is>
          <t>OB-054/26</t>
        </is>
      </c>
      <c r="K958" s="2" t="inlineStr">
        <is>
          <t>Abierto simplificado</t>
        </is>
      </c>
      <c r="L958" s="6" t="n">
        <v>3</v>
      </c>
      <c r="M958" s="2" t="inlineStr">
        <is>
          <t>E7-1; G6-1</t>
        </is>
      </c>
      <c r="N958" s="7" t="n">
        <v>0</v>
      </c>
      <c r="O958" s="4" t="n"/>
      <c r="P958" s="2" t="inlineStr">
        <is>
          <t>45231100; 45233252</t>
        </is>
      </c>
      <c r="Q958" s="8" t="inlineStr">
        <is>
          <t>Ver</t>
        </is>
      </c>
      <c r="R958" s="8" t="inlineStr">
        <is>
          <t>PCAP</t>
        </is>
      </c>
      <c r="S958" s="9" t="n">
        <v>46314</v>
      </c>
      <c r="T958" s="3" t="n">
        <v>46311.50803240741</v>
      </c>
      <c r="U958" s="2" t="n"/>
    </row>
    <row r="959">
      <c r="A959" s="2" t="inlineStr">
        <is>
          <t>Adjudicada</t>
        </is>
      </c>
      <c r="B959" s="3" t="n">
        <v>46274.58333333334</v>
      </c>
      <c r="C959" s="5" t="n">
        <v>44855.65</v>
      </c>
      <c r="D959" s="5" t="n">
        <v>44855.65</v>
      </c>
      <c r="E959" s="2" t="inlineStr">
        <is>
          <t>Andalucía</t>
        </is>
      </c>
      <c r="F959" s="2" t="inlineStr">
        <is>
          <t>Granada</t>
        </is>
      </c>
      <c r="G959" s="2" t="inlineStr">
        <is>
          <t>Albolote (Granada)</t>
        </is>
      </c>
      <c r="H959" s="2" t="inlineStr">
        <is>
          <t>Junta de Gobierno del Ayuntamiento de Albolote</t>
        </is>
      </c>
      <c r="I959" s="2" t="inlineStr">
        <is>
          <t>Obras de reparación de daños producidos en el local municipal de ensayo de la banda de música de Albolote.</t>
        </is>
      </c>
      <c r="J959" s="2" t="inlineStr">
        <is>
          <t>2551/2026</t>
        </is>
      </c>
      <c r="K959" s="2" t="inlineStr">
        <is>
          <t>Abierto simplificado</t>
        </is>
      </c>
      <c r="L959" s="6" t="n">
        <v>1</v>
      </c>
      <c r="M959" s="2" t="inlineStr">
        <is>
          <t>C6-1</t>
        </is>
      </c>
      <c r="N959" s="7" t="n">
        <v>0</v>
      </c>
      <c r="O959" s="4" t="n"/>
      <c r="P959" s="2" t="inlineStr">
        <is>
          <t>45000000; 45300000; 45323000; 45310000; 45321000; 45430000; 45111100; 45262670; 45330000; 45262650; 45320000</t>
        </is>
      </c>
      <c r="Q959" s="8" t="inlineStr">
        <is>
          <t>Ver</t>
        </is>
      </c>
      <c r="R959" s="8" t="inlineStr">
        <is>
          <t>PCAP</t>
        </is>
      </c>
      <c r="S959" s="9" t="n">
        <v>46310</v>
      </c>
      <c r="T959" s="3" t="n">
        <v>46311.50651620371</v>
      </c>
      <c r="U959" s="2" t="inlineStr">
        <is>
          <t>2026-10-19: estado EV → ADJ</t>
        </is>
      </c>
    </row>
    <row r="960">
      <c r="A960" s="2" t="inlineStr">
        <is>
          <t>Resuelta</t>
        </is>
      </c>
      <c r="B960" s="3" t="n">
        <v>46279.99930555555</v>
      </c>
      <c r="C960" s="5" t="n">
        <v>73028.67</v>
      </c>
      <c r="D960" s="5" t="n">
        <v>73028.67</v>
      </c>
      <c r="E960" s="2" t="inlineStr">
        <is>
          <t>Andalucía</t>
        </is>
      </c>
      <c r="F960" s="2" t="inlineStr">
        <is>
          <t>Granada</t>
        </is>
      </c>
      <c r="G960" s="2" t="inlineStr">
        <is>
          <t>VALOR (MECINA-ALFAHAR)</t>
        </is>
      </c>
      <c r="H960" s="2" t="inlineStr">
        <is>
          <t>Presidencia de la Diputación Provincial de Granada</t>
        </is>
      </c>
      <c r="I960" s="2" t="inlineStr">
        <is>
          <t>2026/4/PPOYS-166/2 "Válor, mejora de redes en Mecina Alfahar: C/ Barrio Alto Mecina y C/ Pino"</t>
        </is>
      </c>
      <c r="J960" s="2" t="inlineStr">
        <is>
          <t>OB-058/26</t>
        </is>
      </c>
      <c r="K960" s="2" t="inlineStr">
        <is>
          <t>Abierto simplificado</t>
        </is>
      </c>
      <c r="L960" s="6" t="n">
        <v>4</v>
      </c>
      <c r="M960" s="2" t="inlineStr">
        <is>
          <t>G6-1; E7-1</t>
        </is>
      </c>
      <c r="N960" s="7" t="n">
        <v>0</v>
      </c>
      <c r="O960" s="4" t="n"/>
      <c r="P960" s="2" t="inlineStr">
        <is>
          <t>45231100; 45233252</t>
        </is>
      </c>
      <c r="Q960" s="8" t="inlineStr">
        <is>
          <t>Ver</t>
        </is>
      </c>
      <c r="R960" s="8" t="inlineStr">
        <is>
          <t>PCAP</t>
        </is>
      </c>
      <c r="S960" s="9" t="n">
        <v>46314</v>
      </c>
      <c r="T960" s="3" t="n">
        <v>46311.50460648148</v>
      </c>
      <c r="U960" s="2" t="n"/>
    </row>
    <row r="961">
      <c r="A961" s="2" t="inlineStr">
        <is>
          <t>Resuelta</t>
        </is>
      </c>
      <c r="B961" s="3" t="n">
        <v>46279.99930555555</v>
      </c>
      <c r="C961" s="5" t="n">
        <v>134085.26</v>
      </c>
      <c r="D961" s="5" t="n">
        <v>134085.26</v>
      </c>
      <c r="E961" s="2" t="inlineStr">
        <is>
          <t>Andalucía</t>
        </is>
      </c>
      <c r="F961" s="2" t="inlineStr">
        <is>
          <t>Granada</t>
        </is>
      </c>
      <c r="G961" s="2" t="inlineStr">
        <is>
          <t>PINOS PUENTE</t>
        </is>
      </c>
      <c r="H961" s="2" t="inlineStr">
        <is>
          <t>Presidencia de la Diputación Provincial de Granada</t>
        </is>
      </c>
      <c r="I961" s="2" t="inlineStr">
        <is>
          <t>2026/4/PPOYS-139/2 "Pinos Puente, reforma calle peatonal y colindantes en Barrio La Paz"</t>
        </is>
      </c>
      <c r="J961" s="2" t="inlineStr">
        <is>
          <t>OB-059/26</t>
        </is>
      </c>
      <c r="K961" s="2" t="inlineStr">
        <is>
          <t>Abierto simplificado</t>
        </is>
      </c>
      <c r="L961" s="6" t="n">
        <v>6</v>
      </c>
      <c r="M961" s="2" t="inlineStr">
        <is>
          <t>G6-1; E7-1</t>
        </is>
      </c>
      <c r="N961" s="7" t="n">
        <v>0</v>
      </c>
      <c r="O961" s="4" t="n"/>
      <c r="P961" s="2" t="inlineStr">
        <is>
          <t>45231100; 45233252</t>
        </is>
      </c>
      <c r="Q961" s="8" t="inlineStr">
        <is>
          <t>Ver</t>
        </is>
      </c>
      <c r="R961" s="8" t="inlineStr">
        <is>
          <t>PCAP</t>
        </is>
      </c>
      <c r="S961" s="9" t="n">
        <v>46314</v>
      </c>
      <c r="T961" s="3" t="n">
        <v>46311.5015625</v>
      </c>
      <c r="U961" s="2" t="n"/>
    </row>
    <row r="962">
      <c r="A962" s="2" t="inlineStr">
        <is>
          <t>Pendiente de adjudicación</t>
        </is>
      </c>
      <c r="B962" s="3" t="n">
        <v>46308.99930555555</v>
      </c>
      <c r="C962" s="5" t="n">
        <v>182292.68</v>
      </c>
      <c r="D962" s="5" t="n">
        <v>182292.68</v>
      </c>
      <c r="E962" s="2" t="inlineStr">
        <is>
          <t>Andalucía</t>
        </is>
      </c>
      <c r="F962" s="2" t="inlineStr">
        <is>
          <t>Málaga</t>
        </is>
      </c>
      <c r="G962" s="2" t="inlineStr">
        <is>
          <t>Benalmádena</t>
        </is>
      </c>
      <c r="H962" s="2" t="inlineStr">
        <is>
          <t>Concejalía de Hacienda del Ayuntamiento de Benalmádena</t>
        </is>
      </c>
      <c r="I962" s="2" t="inlineStr">
        <is>
          <t>Ejecución de dos bahías de autobuses y dos plataformas para la ubicación de marquesinas FASE I: Avda. Estrella del Mar y Avda. de la Estación, conforme al proyecto de obra redactado por el ICCP D.Jorge Martín Vivas.</t>
        </is>
      </c>
      <c r="J962" s="2" t="inlineStr">
        <is>
          <t>2026/43097X</t>
        </is>
      </c>
      <c r="K962" s="2" t="inlineStr">
        <is>
          <t>Abierto simplificado</t>
        </is>
      </c>
      <c r="L962" s="6" t="n">
        <v>1.5</v>
      </c>
      <c r="M962" s="2" t="n"/>
      <c r="N962" s="7" t="n">
        <v>0</v>
      </c>
      <c r="O962" s="4" t="n"/>
      <c r="P962" s="2" t="inlineStr">
        <is>
          <t>45233252</t>
        </is>
      </c>
      <c r="Q962" s="8" t="inlineStr">
        <is>
          <t>Ver</t>
        </is>
      </c>
      <c r="R962" s="8" t="inlineStr">
        <is>
          <t>PCAP</t>
        </is>
      </c>
      <c r="S962" s="9" t="n">
        <v>46310</v>
      </c>
      <c r="T962" s="3" t="n">
        <v>46311.49890046296</v>
      </c>
      <c r="U962" s="2" t="inlineStr">
        <is>
          <t>2026-10-19: estado PUB → EV</t>
        </is>
      </c>
    </row>
    <row r="963">
      <c r="A963" s="2" t="inlineStr">
        <is>
          <t>Resuelta</t>
        </is>
      </c>
      <c r="B963" s="3" t="n">
        <v>46279.99930555555</v>
      </c>
      <c r="C963" s="5" t="n">
        <v>107538.84</v>
      </c>
      <c r="D963" s="5" t="n">
        <v>107538.84</v>
      </c>
      <c r="E963" s="2" t="inlineStr">
        <is>
          <t>Andalucía</t>
        </is>
      </c>
      <c r="F963" s="2" t="inlineStr">
        <is>
          <t>Granada</t>
        </is>
      </c>
      <c r="G963" s="2" t="inlineStr">
        <is>
          <t>CORTES Y GRAENA</t>
        </is>
      </c>
      <c r="H963" s="2" t="inlineStr">
        <is>
          <t>Presidencia de la Diputación Provincial de Granada</t>
        </is>
      </c>
      <c r="I963" s="2" t="inlineStr">
        <is>
          <t>2026/4/PPOYS-54/1 "Cortes y Graena, acondicionamiento de redes y pavimentación en C/ Mezquita (Cortes)"</t>
        </is>
      </c>
      <c r="J963" s="2" t="inlineStr">
        <is>
          <t>OB-062/26</t>
        </is>
      </c>
      <c r="K963" s="2" t="inlineStr">
        <is>
          <t>Abierto simplificado</t>
        </is>
      </c>
      <c r="L963" s="6" t="n">
        <v>5</v>
      </c>
      <c r="M963" s="2" t="inlineStr">
        <is>
          <t>G6-1</t>
        </is>
      </c>
      <c r="N963" s="7" t="n">
        <v>0</v>
      </c>
      <c r="O963" s="4" t="n"/>
      <c r="P963" s="2" t="inlineStr">
        <is>
          <t>45231100; 45233252</t>
        </is>
      </c>
      <c r="Q963" s="8" t="inlineStr">
        <is>
          <t>Ver</t>
        </is>
      </c>
      <c r="R963" s="8" t="inlineStr">
        <is>
          <t>PCAP</t>
        </is>
      </c>
      <c r="S963" s="9" t="n">
        <v>46314</v>
      </c>
      <c r="T963" s="3" t="n">
        <v>46311.49833333334</v>
      </c>
      <c r="U963" s="2" t="n"/>
    </row>
    <row r="964">
      <c r="A964" s="2" t="inlineStr">
        <is>
          <t>Resuelta</t>
        </is>
      </c>
      <c r="B964" s="3" t="n">
        <v>46279.99930555555</v>
      </c>
      <c r="C964" s="5" t="n">
        <v>50609.3</v>
      </c>
      <c r="D964" s="5" t="n">
        <v>50609.3</v>
      </c>
      <c r="E964" s="2" t="inlineStr">
        <is>
          <t>Andalucía</t>
        </is>
      </c>
      <c r="F964" s="2" t="inlineStr">
        <is>
          <t>Granada</t>
        </is>
      </c>
      <c r="G964" s="2" t="inlineStr">
        <is>
          <t>EL PINAR</t>
        </is>
      </c>
      <c r="H964" s="2" t="inlineStr">
        <is>
          <t>Presidencia de la Diputación Provincial de Granada</t>
        </is>
      </c>
      <c r="I964" s="2" t="inlineStr">
        <is>
          <t>2026/4/PPOYS-137/1 "El Pinar, acondicionamiento de redes y pavimentación de Calle Hostal (Tramo II)"</t>
        </is>
      </c>
      <c r="J964" s="2" t="inlineStr">
        <is>
          <t>OB-040/26</t>
        </is>
      </c>
      <c r="K964" s="2" t="inlineStr">
        <is>
          <t>Abierto simplificado</t>
        </is>
      </c>
      <c r="L964" s="6" t="n">
        <v>5</v>
      </c>
      <c r="M964" s="2" t="inlineStr">
        <is>
          <t>E7-1; G6-1</t>
        </is>
      </c>
      <c r="N964" s="7" t="n">
        <v>0</v>
      </c>
      <c r="O964" s="4" t="n"/>
      <c r="P964" s="2" t="inlineStr">
        <is>
          <t>45231100; 45233252</t>
        </is>
      </c>
      <c r="Q964" s="8" t="inlineStr">
        <is>
          <t>Ver</t>
        </is>
      </c>
      <c r="R964" s="8" t="inlineStr">
        <is>
          <t>PCAP</t>
        </is>
      </c>
      <c r="S964" s="9" t="n">
        <v>46314</v>
      </c>
      <c r="T964" s="3" t="n">
        <v>46311.49561342593</v>
      </c>
      <c r="U964" s="2" t="n"/>
    </row>
    <row r="965">
      <c r="A965" s="2" t="inlineStr">
        <is>
          <t>Adjudicada</t>
        </is>
      </c>
      <c r="B965" s="3" t="n">
        <v>46240.99930555555</v>
      </c>
      <c r="C965" s="5" t="n">
        <v>107687.07</v>
      </c>
      <c r="D965" s="5" t="n">
        <v>129224.48</v>
      </c>
      <c r="E965" s="2" t="inlineStr">
        <is>
          <t>Comunitat Valenciana</t>
        </is>
      </c>
      <c r="F965" s="2" t="inlineStr">
        <is>
          <t>Valencia</t>
        </is>
      </c>
      <c r="G965" s="2" t="inlineStr">
        <is>
          <t>Godelleta</t>
        </is>
      </c>
      <c r="H965" s="2" t="inlineStr">
        <is>
          <t>Dirección Territorial de Educación, Investigación, Cultura y Deporte - Valencia</t>
        </is>
      </c>
      <c r="I965" s="2" t="inlineStr">
        <is>
          <t>Adecuación de seguridad muro de contención en patio edificio escuela infantil en el CEIP Enrique Tierno Galván de Godelleta</t>
        </is>
      </c>
      <c r="J965" s="2" t="inlineStr">
        <is>
          <t>CMAYOR/2026/39Y16/0074</t>
        </is>
      </c>
      <c r="K965" s="2" t="inlineStr">
        <is>
          <t>Abierto simplificado</t>
        </is>
      </c>
      <c r="L965" s="6" t="n">
        <v>3</v>
      </c>
      <c r="M965" s="2" t="n"/>
      <c r="N965" s="7" t="n">
        <v>0</v>
      </c>
      <c r="O965" s="4" t="n"/>
      <c r="P965" s="2" t="inlineStr">
        <is>
          <t>45214210</t>
        </is>
      </c>
      <c r="Q965" s="8" t="inlineStr">
        <is>
          <t>Ver</t>
        </is>
      </c>
      <c r="R965" s="8" t="inlineStr">
        <is>
          <t>PCAP</t>
        </is>
      </c>
      <c r="S965" s="9" t="n">
        <v>46314</v>
      </c>
      <c r="T965" s="3" t="n">
        <v>46311.49393518519</v>
      </c>
      <c r="U965" s="2" t="n"/>
    </row>
    <row r="966">
      <c r="A966" s="2" t="inlineStr">
        <is>
          <t>Pendiente de adjudicación</t>
        </is>
      </c>
      <c r="B966" s="3" t="n">
        <v>46307.99930555555</v>
      </c>
      <c r="C966" s="5" t="n">
        <v>170658.91</v>
      </c>
      <c r="D966" s="5" t="n">
        <v>170658.91</v>
      </c>
      <c r="E966" s="2" t="inlineStr">
        <is>
          <t>Andalucía</t>
        </is>
      </c>
      <c r="F966" s="2" t="inlineStr">
        <is>
          <t>Málaga</t>
        </is>
      </c>
      <c r="G966" s="2" t="inlineStr">
        <is>
          <t>Cuevas del Becerro</t>
        </is>
      </c>
      <c r="H966" s="2" t="inlineStr">
        <is>
          <t>Alcaldía del Ayuntamiento de Cuevas del Becerro</t>
        </is>
      </c>
      <c r="I966" s="2" t="inlineStr">
        <is>
          <t>Construcción "Camino peatonal al polígono industrial de Cuevas del Becerro"</t>
        </is>
      </c>
      <c r="J966" s="2" t="inlineStr">
        <is>
          <t>168/2024</t>
        </is>
      </c>
      <c r="K966" s="2" t="inlineStr">
        <is>
          <t>Abierto simplificado</t>
        </is>
      </c>
      <c r="L966" s="6" t="n">
        <v>4</v>
      </c>
      <c r="M966" s="2" t="n"/>
      <c r="N966" s="7" t="n">
        <v>0.1</v>
      </c>
      <c r="O966" s="4" t="n"/>
      <c r="P966" s="2" t="inlineStr">
        <is>
          <t>45233140; 45233222; 45233260</t>
        </is>
      </c>
      <c r="Q966" s="8" t="inlineStr">
        <is>
          <t>Ver</t>
        </is>
      </c>
      <c r="R966" s="8" t="inlineStr">
        <is>
          <t>PCAP</t>
        </is>
      </c>
      <c r="S966" s="9" t="n">
        <v>46314</v>
      </c>
      <c r="T966" s="3" t="n">
        <v>46311.49105324074</v>
      </c>
      <c r="U966" s="2" t="n"/>
    </row>
    <row r="967">
      <c r="A967" s="2" t="inlineStr">
        <is>
          <t>Adjudicada</t>
        </is>
      </c>
      <c r="B967" s="3" t="n">
        <v>46287.99930555555</v>
      </c>
      <c r="C967" s="5" t="n">
        <v>133280</v>
      </c>
      <c r="D967" s="5" t="n">
        <v>133280</v>
      </c>
      <c r="E967" s="2" t="inlineStr">
        <is>
          <t>Comunitat Valenciana</t>
        </is>
      </c>
      <c r="F967" s="2" t="inlineStr">
        <is>
          <t>Valencia</t>
        </is>
      </c>
      <c r="G967" s="2" t="n"/>
      <c r="H967" s="2" t="inlineStr">
        <is>
          <t>Alcaldía del Ayuntamiento de Marines</t>
        </is>
      </c>
      <c r="I967" s="2" t="inlineStr">
        <is>
          <t>"Renovación zona de juegos del Parque del Real de Marines (Valencia)"</t>
        </is>
      </c>
      <c r="J967" s="2" t="inlineStr">
        <is>
          <t>532/2026</t>
        </is>
      </c>
      <c r="K967" s="2" t="inlineStr">
        <is>
          <t>Negociado sin publicidad</t>
        </is>
      </c>
      <c r="L967" s="6" t="n">
        <v>3</v>
      </c>
      <c r="M967" s="2" t="n"/>
      <c r="N967" s="7" t="n">
        <v>0</v>
      </c>
      <c r="O967" s="4" t="n"/>
      <c r="P967" s="2" t="inlineStr">
        <is>
          <t>45112711; 45233200; 45112723</t>
        </is>
      </c>
      <c r="Q967" s="8" t="inlineStr">
        <is>
          <t>Ver</t>
        </is>
      </c>
      <c r="R967" s="8" t="inlineStr">
        <is>
          <t>PCAP</t>
        </is>
      </c>
      <c r="S967" s="9" t="n">
        <v>46314</v>
      </c>
      <c r="T967" s="3" t="n">
        <v>46311.49082175926</v>
      </c>
      <c r="U967" s="2" t="n"/>
    </row>
    <row r="968">
      <c r="A968" s="2" t="inlineStr">
        <is>
          <t>En plazo</t>
        </is>
      </c>
      <c r="B968" s="3" t="n">
        <v>46329.99930555555</v>
      </c>
      <c r="C968" s="5" t="n">
        <v>54503.79</v>
      </c>
      <c r="D968" s="5" t="n">
        <v>54503.79</v>
      </c>
      <c r="E968" s="2" t="inlineStr">
        <is>
          <t>Andalucía</t>
        </is>
      </c>
      <c r="F968" s="2" t="inlineStr">
        <is>
          <t>Córdoba</t>
        </is>
      </c>
      <c r="G968" s="2" t="inlineStr">
        <is>
          <t>VILLA DEL RIO</t>
        </is>
      </c>
      <c r="H968" s="2" t="inlineStr">
        <is>
          <t>Alcaldía del Ayuntamiento de Villa del Río</t>
        </is>
      </c>
      <c r="I968" s="2" t="inlineStr">
        <is>
          <t>Contratación de la obra de impermeabilización de la cubierta del antiguo castillo Ayuntamiento.</t>
        </is>
      </c>
      <c r="J968" s="2" t="inlineStr">
        <is>
          <t>8168/2026</t>
        </is>
      </c>
      <c r="K968" s="2" t="inlineStr">
        <is>
          <t>Abierto simplificado</t>
        </is>
      </c>
      <c r="L968" s="6" t="n">
        <v>3</v>
      </c>
      <c r="M968" s="2" t="n"/>
      <c r="N968" s="7" t="n">
        <v>0</v>
      </c>
      <c r="O968" s="4" t="n"/>
      <c r="P968" s="2" t="inlineStr">
        <is>
          <t>45261420</t>
        </is>
      </c>
      <c r="Q968" s="8" t="inlineStr">
        <is>
          <t>Ver</t>
        </is>
      </c>
      <c r="R968" s="8" t="inlineStr">
        <is>
          <t>PCAP</t>
        </is>
      </c>
      <c r="S968" s="9" t="n">
        <v>46314</v>
      </c>
      <c r="T968" s="3" t="n">
        <v>46311.49026620371</v>
      </c>
      <c r="U968" s="2" t="n"/>
    </row>
    <row r="969">
      <c r="A969" s="2" t="inlineStr">
        <is>
          <t>Pendiente de adjudicación</t>
        </is>
      </c>
      <c r="B969" s="3" t="n">
        <v>46310.79166666666</v>
      </c>
      <c r="C969" s="5" t="n">
        <v>24504.91</v>
      </c>
      <c r="D969" s="5" t="n">
        <v>24504.91</v>
      </c>
      <c r="E969" s="2" t="inlineStr">
        <is>
          <t>Andalucía</t>
        </is>
      </c>
      <c r="F969" s="2" t="inlineStr">
        <is>
          <t>Huelva</t>
        </is>
      </c>
      <c r="G969" s="2" t="inlineStr">
        <is>
          <t>Zalamea la Real</t>
        </is>
      </c>
      <c r="H969" s="2" t="inlineStr">
        <is>
          <t>Junta de Gobierno Local del Ayuntamiento de Zalamea la Real</t>
        </is>
      </c>
      <c r="I969" s="2" t="inlineStr">
        <is>
          <t>El contrato tiene por objeto el arrendamiento maquinaria con operario y la adquisición de los materiales de construcción necesarios para la ejecución de las obras previstas en el PROYECTO DE ADECUACIÓN DE PLAZA JARDIN LA FUENTE EN CALLE JUAN DÍAZ, vinculado al Programa de Fomento del Empleo Agrario PFEA 2026.</t>
        </is>
      </c>
      <c r="J969" s="2" t="inlineStr">
        <is>
          <t>Expediente 687/2026</t>
        </is>
      </c>
      <c r="K969" s="2" t="inlineStr">
        <is>
          <t>Abierto simplificado</t>
        </is>
      </c>
      <c r="L969" s="6" t="n">
        <v>14</v>
      </c>
      <c r="M969" s="2" t="n"/>
      <c r="N969" s="7" t="n">
        <v>0</v>
      </c>
      <c r="O969" s="4" t="n">
        <v>3</v>
      </c>
      <c r="P969" s="2" t="inlineStr">
        <is>
          <t>45500000; 18100000; 44190000</t>
        </is>
      </c>
      <c r="Q969" s="8" t="inlineStr">
        <is>
          <t>Ver</t>
        </is>
      </c>
      <c r="R969" s="8" t="inlineStr">
        <is>
          <t>PCAP</t>
        </is>
      </c>
      <c r="S969" s="9" t="n">
        <v>46314</v>
      </c>
      <c r="T969" s="3" t="n">
        <v>46311.49025462963</v>
      </c>
      <c r="U969" s="2" t="n"/>
    </row>
    <row r="970">
      <c r="A970" s="2" t="inlineStr">
        <is>
          <t>Pendiente de adjudicación</t>
        </is>
      </c>
      <c r="B970" s="3" t="n">
        <v>46287.58333333334</v>
      </c>
      <c r="C970" s="5" t="n">
        <v>113068.8</v>
      </c>
      <c r="D970" s="5" t="n">
        <v>113068.8</v>
      </c>
      <c r="E970" s="2" t="inlineStr">
        <is>
          <t>Andalucía</t>
        </is>
      </c>
      <c r="F970" s="2" t="inlineStr">
        <is>
          <t>Cádiz</t>
        </is>
      </c>
      <c r="G970" s="2" t="n"/>
      <c r="H970" s="2" t="inlineStr">
        <is>
          <t>Presidencia de la Autoridad Portuaria de la Bahía de Algeciras</t>
        </is>
      </c>
      <c r="I970" s="2" t="inlineStr">
        <is>
          <t>Proyecto de ejecución de acerado perimetral en la concesión de Dragados OFFshore en las instalaciones portuarias de Campamento, San Roque</t>
        </is>
      </c>
      <c r="J970" s="2" t="inlineStr">
        <is>
          <t>2026-072</t>
        </is>
      </c>
      <c r="K970" s="2" t="inlineStr">
        <is>
          <t>Abierto simplificado</t>
        </is>
      </c>
      <c r="L970" s="6" t="n">
        <v>1.9</v>
      </c>
      <c r="M970" s="2" t="inlineStr">
        <is>
          <t>G6-1</t>
        </is>
      </c>
      <c r="N970" s="7" t="n">
        <v>0</v>
      </c>
      <c r="O970" s="4" t="n"/>
      <c r="P970" s="2" t="inlineStr">
        <is>
          <t>45233222</t>
        </is>
      </c>
      <c r="Q970" s="8" t="inlineStr">
        <is>
          <t>Ver</t>
        </is>
      </c>
      <c r="R970" s="8" t="inlineStr">
        <is>
          <t>PCAP</t>
        </is>
      </c>
      <c r="S970" s="9" t="n">
        <v>46314</v>
      </c>
      <c r="T970" s="3" t="n">
        <v>46311.48960648148</v>
      </c>
      <c r="U970" s="2" t="n"/>
    </row>
    <row r="971">
      <c r="A971" s="2" t="inlineStr">
        <is>
          <t>En plazo</t>
        </is>
      </c>
      <c r="B971" s="3" t="n">
        <v>46342.99930555555</v>
      </c>
      <c r="C971" s="5" t="n">
        <v>159779.73</v>
      </c>
      <c r="D971" s="5" t="n">
        <v>193333.47</v>
      </c>
      <c r="E971" s="2" t="inlineStr">
        <is>
          <t>Andalucía</t>
        </is>
      </c>
      <c r="F971" s="2" t="inlineStr">
        <is>
          <t>Cádiz</t>
        </is>
      </c>
      <c r="G971" s="2" t="n"/>
      <c r="H971" s="2" t="inlineStr">
        <is>
          <t>Junta Vecinal de la Entidad Local Autónoma El Torno</t>
        </is>
      </c>
      <c r="I971" s="2" t="inlineStr">
        <is>
          <t>Ejecución de la obra "Nave Almacen Municipal Multiusos" de la E.L.A. El Torno, financiada con las subvenciones de la Excma. Diputación de Cádiz (PPCOS 2026-2027 y Plan + Inversión Cádiz 2026)</t>
        </is>
      </c>
      <c r="J971" s="2" t="inlineStr">
        <is>
          <t>NAVE ALMACEN MUNICIPAL MULTIUSOS</t>
        </is>
      </c>
      <c r="K971" s="2" t="inlineStr">
        <is>
          <t>Abierto simplificado</t>
        </is>
      </c>
      <c r="L971" s="6" t="n">
        <v>6</v>
      </c>
      <c r="M971" s="2" t="n"/>
      <c r="N971" s="7" t="n">
        <v>0</v>
      </c>
      <c r="O971" s="4" t="n"/>
      <c r="P971" s="2" t="inlineStr">
        <is>
          <t>45000000; 45213200; 45213221</t>
        </is>
      </c>
      <c r="Q971" s="8" t="inlineStr">
        <is>
          <t>Ver</t>
        </is>
      </c>
      <c r="R971" s="8" t="inlineStr">
        <is>
          <t>PCAP</t>
        </is>
      </c>
      <c r="S971" s="9" t="n">
        <v>46314</v>
      </c>
      <c r="T971" s="3" t="n">
        <v>46311.48920138889</v>
      </c>
      <c r="U971" s="2" t="n"/>
    </row>
    <row r="972">
      <c r="A972" s="2" t="inlineStr">
        <is>
          <t>En plazo</t>
        </is>
      </c>
      <c r="B972" s="3" t="n">
        <v>46332.41666666666</v>
      </c>
      <c r="C972" s="5" t="n">
        <v>178109.42</v>
      </c>
      <c r="D972" s="5" t="n">
        <v>178109.42</v>
      </c>
      <c r="E972" s="2" t="inlineStr">
        <is>
          <t>Andalucía</t>
        </is>
      </c>
      <c r="F972" s="2" t="inlineStr">
        <is>
          <t>Granada</t>
        </is>
      </c>
      <c r="G972" s="2" t="n"/>
      <c r="H972" s="2" t="inlineStr">
        <is>
          <t>Empresa de Transformación Agraria S.A.,S.M.E., M.P., (TRAGSA)</t>
        </is>
      </c>
      <c r="I972" s="2" t="inlineStr">
        <is>
          <t>Suministro e instalación eléctrica de baja tensión, automatización y telecontrol para la obra de Bombeo para el Suministro de Agua al Municipio de Otura (Granada), cofinanciado con fondos FEDER</t>
        </is>
      </c>
      <c r="J972" s="2" t="inlineStr">
        <is>
          <t>TSA0084091</t>
        </is>
      </c>
      <c r="K972" s="2" t="inlineStr">
        <is>
          <t>Abierto simplificado</t>
        </is>
      </c>
      <c r="L972" s="6" t="n">
        <v>3</v>
      </c>
      <c r="M972" s="2" t="inlineStr">
        <is>
          <t>I6-2</t>
        </is>
      </c>
      <c r="N972" s="7" t="n">
        <v>0</v>
      </c>
      <c r="O972" s="4" t="n"/>
      <c r="P972" s="2" t="inlineStr">
        <is>
          <t>45310000</t>
        </is>
      </c>
      <c r="Q972" s="8" t="inlineStr">
        <is>
          <t>Ver</t>
        </is>
      </c>
      <c r="R972" s="8" t="inlineStr">
        <is>
          <t>PCAP</t>
        </is>
      </c>
      <c r="S972" s="9" t="n">
        <v>46314</v>
      </c>
      <c r="T972" s="3" t="n">
        <v>46311.48908564815</v>
      </c>
      <c r="U972" s="2" t="n"/>
    </row>
    <row r="973">
      <c r="A973" s="2" t="inlineStr">
        <is>
          <t>Pendiente de adjudicación</t>
        </is>
      </c>
      <c r="B973" s="3" t="n">
        <v>46294.99930555555</v>
      </c>
      <c r="C973" s="5" t="n">
        <v>109186994.13</v>
      </c>
      <c r="D973" s="5" t="n">
        <v>109186994.13</v>
      </c>
      <c r="E973" s="2" t="inlineStr">
        <is>
          <t>Comunitat Valenciana</t>
        </is>
      </c>
      <c r="F973" s="2" t="inlineStr">
        <is>
          <t>Valencia</t>
        </is>
      </c>
      <c r="G973" s="2" t="n"/>
      <c r="H973" s="2" t="inlineStr">
        <is>
          <t>Dirección General del Agua</t>
        </is>
      </c>
      <c r="I973" s="2" t="inlineStr">
        <is>
          <t>Contratación de servicios para protección frente a inundaciones en el Barranco de la Saleta. Tramo 2, Aldaia Vía Verde, Valencia.</t>
        </is>
      </c>
      <c r="J973" s="2" t="inlineStr">
        <is>
          <t>08.413-0173/2112</t>
        </is>
      </c>
      <c r="K973" s="2" t="inlineStr">
        <is>
          <t>Abierto</t>
        </is>
      </c>
      <c r="L973" s="6" t="n">
        <v>42</v>
      </c>
      <c r="M973" s="2" t="inlineStr">
        <is>
          <t>E5-6</t>
        </is>
      </c>
      <c r="N973" s="7" t="n">
        <v>0.48</v>
      </c>
      <c r="O973" s="4" t="n"/>
      <c r="P973" s="2" t="inlineStr">
        <is>
          <t>45246400</t>
        </is>
      </c>
      <c r="Q973" s="8" t="inlineStr">
        <is>
          <t>Ver</t>
        </is>
      </c>
      <c r="R973" s="8" t="inlineStr">
        <is>
          <t>PCAP</t>
        </is>
      </c>
      <c r="S973" s="9" t="n">
        <v>46310</v>
      </c>
      <c r="T973" s="3" t="n">
        <v>46311.48712962963</v>
      </c>
      <c r="U973" s="2" t="n"/>
    </row>
    <row r="974">
      <c r="A974" s="2" t="inlineStr">
        <is>
          <t>En plazo</t>
        </is>
      </c>
      <c r="B974" s="3" t="n">
        <v>46321.79166666666</v>
      </c>
      <c r="C974" s="5" t="n">
        <v>120107.06</v>
      </c>
      <c r="D974" s="5" t="n">
        <v>120107.06</v>
      </c>
      <c r="E974" s="2" t="inlineStr">
        <is>
          <t>Comunitat Valenciana</t>
        </is>
      </c>
      <c r="F974" s="2" t="n"/>
      <c r="G974" s="2" t="inlineStr">
        <is>
          <t>Valencia</t>
        </is>
      </c>
      <c r="H974" s="2" t="inlineStr">
        <is>
          <t>Jefatura de Asuntos Económicos del Cuartel General Terrestre Alta Disponibilidad</t>
        </is>
      </c>
      <c r="I974" s="2" t="inlineStr">
        <is>
          <t>Cambio de ascensor en los pabellones del ESD</t>
        </is>
      </c>
      <c r="J974" s="2" t="inlineStr">
        <is>
          <t>2026/ETSAE0304/00000886E</t>
        </is>
      </c>
      <c r="K974" s="2" t="inlineStr">
        <is>
          <t>Abierto simplificado</t>
        </is>
      </c>
      <c r="L974" s="6" t="n">
        <v>8</v>
      </c>
      <c r="M974" s="2" t="n"/>
      <c r="N974" s="7" t="n">
        <v>0</v>
      </c>
      <c r="O974" s="4" t="n"/>
      <c r="P974" s="2" t="inlineStr">
        <is>
          <t>45313000</t>
        </is>
      </c>
      <c r="Q974" s="8" t="inlineStr">
        <is>
          <t>Ver</t>
        </is>
      </c>
      <c r="R974" s="8" t="inlineStr">
        <is>
          <t>PCAP</t>
        </is>
      </c>
      <c r="S974" s="9" t="n">
        <v>46310</v>
      </c>
      <c r="T974" s="3" t="n">
        <v>46311.48329861111</v>
      </c>
      <c r="U974" s="2" t="n"/>
    </row>
    <row r="975">
      <c r="A975" s="2" t="inlineStr">
        <is>
          <t>En plazo</t>
        </is>
      </c>
      <c r="B975" s="3" t="n">
        <v>46332.45833333334</v>
      </c>
      <c r="C975" s="5" t="n">
        <v>200626.67</v>
      </c>
      <c r="D975" s="5" t="n">
        <v>200626.67</v>
      </c>
      <c r="E975" s="2" t="inlineStr">
        <is>
          <t>Andalucía</t>
        </is>
      </c>
      <c r="F975" s="2" t="inlineStr">
        <is>
          <t>Granada</t>
        </is>
      </c>
      <c r="G975" s="2" t="n"/>
      <c r="H975" s="2" t="inlineStr">
        <is>
          <t>Alcaldía del Ayuntamiento de Almuñécar</t>
        </is>
      </c>
      <c r="I975" s="2" t="inlineStr">
        <is>
          <t>Obras de ejecución del tramo de alumbrado público en la carretera de Torrecuevas (A-4050), en Almuñécar.</t>
        </is>
      </c>
      <c r="J975" s="2" t="inlineStr">
        <is>
          <t>136/2026 (Gest 11203/2026)</t>
        </is>
      </c>
      <c r="K975" s="2" t="inlineStr">
        <is>
          <t>Abierto simplificado</t>
        </is>
      </c>
      <c r="L975" s="6" t="n">
        <v>2.5</v>
      </c>
      <c r="M975" s="2" t="n"/>
      <c r="N975" s="7" t="n">
        <v>0</v>
      </c>
      <c r="O975" s="4" t="n"/>
      <c r="P975" s="2" t="inlineStr">
        <is>
          <t>45316000; 45262210; 34993000</t>
        </is>
      </c>
      <c r="Q975" s="8" t="inlineStr">
        <is>
          <t>Ver</t>
        </is>
      </c>
      <c r="R975" s="8" t="inlineStr">
        <is>
          <t>PCAP</t>
        </is>
      </c>
      <c r="S975" s="9" t="n">
        <v>46314</v>
      </c>
      <c r="T975" s="3" t="n">
        <v>46311.48283564814</v>
      </c>
      <c r="U975" s="2" t="n"/>
    </row>
    <row r="976">
      <c r="A976" s="2" t="inlineStr">
        <is>
          <t>En plazo</t>
        </is>
      </c>
      <c r="B976" s="3" t="n">
        <v>46337.58333333334</v>
      </c>
      <c r="C976" s="5" t="n">
        <v>3019728.74</v>
      </c>
      <c r="D976" s="5" t="n">
        <v>3019728.74</v>
      </c>
      <c r="E976" s="2" t="inlineStr">
        <is>
          <t>Andalucía</t>
        </is>
      </c>
      <c r="F976" s="2" t="inlineStr">
        <is>
          <t>Cádiz</t>
        </is>
      </c>
      <c r="G976" s="2" t="n"/>
      <c r="H976" s="2" t="inlineStr">
        <is>
          <t>Alcaldía del Ayuntamiento de la Línea de la Concepción</t>
        </is>
      </c>
      <c r="I976" s="2" t="inlineStr">
        <is>
          <t>Obra viales en diferentes calles de La Línea de la Concepción (Cádiz)</t>
        </is>
      </c>
      <c r="J976" s="2" t="inlineStr">
        <is>
          <t>93/26</t>
        </is>
      </c>
      <c r="K976" s="2" t="inlineStr">
        <is>
          <t>Abierto</t>
        </is>
      </c>
      <c r="L976" s="6" t="n">
        <v>12</v>
      </c>
      <c r="M976" s="2" t="inlineStr">
        <is>
          <t>E1-4</t>
        </is>
      </c>
      <c r="N976" s="7" t="n">
        <v>0.25</v>
      </c>
      <c r="O976" s="4" t="n"/>
      <c r="P976" s="2" t="inlineStr">
        <is>
          <t>45233222; 45000000; 45230000; 45232000; 45233220; 45200000; 45233000; 45233200</t>
        </is>
      </c>
      <c r="Q976" s="8" t="inlineStr">
        <is>
          <t>Ver</t>
        </is>
      </c>
      <c r="R976" s="8" t="inlineStr">
        <is>
          <t>PCAP</t>
        </is>
      </c>
      <c r="S976" s="9" t="n">
        <v>46314</v>
      </c>
      <c r="T976" s="3" t="n">
        <v>46311.4809375</v>
      </c>
      <c r="U976" s="2" t="n"/>
    </row>
    <row r="977">
      <c r="A977" s="2" t="inlineStr">
        <is>
          <t>En plazo</t>
        </is>
      </c>
      <c r="B977" s="3" t="n">
        <v>46337.58333333334</v>
      </c>
      <c r="C977" s="5" t="n">
        <v>77704.25</v>
      </c>
      <c r="D977" s="5" t="n">
        <v>93245.10000000001</v>
      </c>
      <c r="E977" s="2" t="inlineStr">
        <is>
          <t>Comunitat Valenciana</t>
        </is>
      </c>
      <c r="F977" s="2" t="inlineStr">
        <is>
          <t>Valencia</t>
        </is>
      </c>
      <c r="G977" s="2" t="n"/>
      <c r="H977" s="2" t="inlineStr">
        <is>
          <t>Junta de Gobierno del Ayuntamiento de Paterna</t>
        </is>
      </c>
      <c r="I977" s="2" t="inlineStr">
        <is>
          <t>Obra de rehabilitación de la cueva número 98 de Paterna.</t>
        </is>
      </c>
      <c r="J977" s="2" t="inlineStr">
        <is>
          <t>172/2026/150</t>
        </is>
      </c>
      <c r="K977" s="2" t="inlineStr">
        <is>
          <t>Abierto</t>
        </is>
      </c>
      <c r="L977" s="6" t="n">
        <v>6</v>
      </c>
      <c r="M977" s="2" t="inlineStr">
        <is>
          <t>K7-1</t>
        </is>
      </c>
      <c r="N977" s="7" t="n">
        <v>0</v>
      </c>
      <c r="O977" s="4" t="n"/>
      <c r="P977" s="2" t="inlineStr">
        <is>
          <t>45212350</t>
        </is>
      </c>
      <c r="Q977" s="8" t="inlineStr">
        <is>
          <t>Ver</t>
        </is>
      </c>
      <c r="R977" s="8" t="inlineStr">
        <is>
          <t>PCAP</t>
        </is>
      </c>
      <c r="S977" s="9" t="n">
        <v>46314</v>
      </c>
      <c r="T977" s="3" t="n">
        <v>46311.48041666667</v>
      </c>
      <c r="U977" s="2" t="n"/>
    </row>
    <row r="978">
      <c r="A978" s="2" t="inlineStr">
        <is>
          <t>Pendiente de adjudicación</t>
        </is>
      </c>
      <c r="B978" s="3" t="n">
        <v>46301.99930555555</v>
      </c>
      <c r="C978" s="5" t="n">
        <v>44811.5</v>
      </c>
      <c r="D978" s="5" t="n">
        <v>44811.5</v>
      </c>
      <c r="E978" s="2" t="inlineStr">
        <is>
          <t>Andalucía</t>
        </is>
      </c>
      <c r="F978" s="2" t="inlineStr">
        <is>
          <t>Huelva</t>
        </is>
      </c>
      <c r="G978" s="2" t="inlineStr">
        <is>
          <t>Cabezas Rubias</t>
        </is>
      </c>
      <c r="H978" s="2" t="inlineStr">
        <is>
          <t>Alcaldía del Ayuntamiento de Cabezas Rubias</t>
        </is>
      </c>
      <c r="I978" s="2" t="inlineStr">
        <is>
          <t>Contrato de Obras para La Intervención en los Espacios Libres de la Casa del Médico</t>
        </is>
      </c>
      <c r="J978" s="2" t="inlineStr">
        <is>
          <t>2026/CON_02/000009 - 52/2026</t>
        </is>
      </c>
      <c r="K978" s="2" t="inlineStr">
        <is>
          <t>Abierto simplificado</t>
        </is>
      </c>
      <c r="L978" s="6" t="n">
        <v>5</v>
      </c>
      <c r="M978" s="2" t="n"/>
      <c r="N978" s="7" t="n">
        <v>0</v>
      </c>
      <c r="O978" s="4" t="n"/>
      <c r="P978" s="2" t="inlineStr">
        <is>
          <t>45112710</t>
        </is>
      </c>
      <c r="Q978" s="8" t="inlineStr">
        <is>
          <t>Ver</t>
        </is>
      </c>
      <c r="R978" s="8" t="inlineStr">
        <is>
          <t>PCAP</t>
        </is>
      </c>
      <c r="S978" s="9" t="n">
        <v>46314</v>
      </c>
      <c r="T978" s="3" t="n">
        <v>46311.47907407407</v>
      </c>
      <c r="U978" s="2" t="n"/>
    </row>
    <row r="979">
      <c r="A979" s="2" t="inlineStr">
        <is>
          <t>Resuelta</t>
        </is>
      </c>
      <c r="B979" s="3" t="n">
        <v>45587.54166666666</v>
      </c>
      <c r="C979" s="5" t="n">
        <v>7811407.3</v>
      </c>
      <c r="D979" s="5" t="n">
        <v>7811407.3</v>
      </c>
      <c r="E979" s="2" t="inlineStr">
        <is>
          <t>Comunitat Valenciana</t>
        </is>
      </c>
      <c r="F979" s="2" t="n"/>
      <c r="G979" s="2" t="n"/>
      <c r="H979" s="2" t="inlineStr">
        <is>
          <t>ADIF -Consejo de Administración</t>
        </is>
      </c>
      <c r="I979" s="2" t="inlineStr">
        <is>
          <t>Ejecución de la obra y realización de mantenimiento del proyecto constructivo de las instalaciones de telecomunicaciones móviles GSM-R, tramo Xátiva-Alcoi de red convencional.</t>
        </is>
      </c>
      <c r="J979" s="2" t="inlineStr">
        <is>
          <t>4.24/27507.0186</t>
        </is>
      </c>
      <c r="K979" s="2" t="inlineStr">
        <is>
          <t>Abierto</t>
        </is>
      </c>
      <c r="L979" s="6" t="n">
        <v>60</v>
      </c>
      <c r="M979" s="2" t="inlineStr">
        <is>
          <t>I7-4</t>
        </is>
      </c>
      <c r="N979" s="7" t="n">
        <v>0.49</v>
      </c>
      <c r="O979" s="4" t="n"/>
      <c r="P979" s="2" t="inlineStr">
        <is>
          <t>45314000; 50330000</t>
        </is>
      </c>
      <c r="Q979" s="8" t="inlineStr">
        <is>
          <t>Ver</t>
        </is>
      </c>
      <c r="R979" s="8" t="inlineStr">
        <is>
          <t>PCAP</t>
        </is>
      </c>
      <c r="S979" s="9" t="n">
        <v>46314</v>
      </c>
      <c r="T979" s="3" t="n">
        <v>46311.47664351852</v>
      </c>
      <c r="U979" s="2" t="n"/>
    </row>
    <row r="980">
      <c r="A980" s="2" t="inlineStr">
        <is>
          <t>Adjudicada</t>
        </is>
      </c>
      <c r="B980" s="3" t="n">
        <v>46231.625</v>
      </c>
      <c r="C980" s="5" t="n">
        <v>113183.3</v>
      </c>
      <c r="D980" s="5" t="n">
        <v>130245.42</v>
      </c>
      <c r="E980" s="2" t="inlineStr">
        <is>
          <t>Comunitat Valenciana</t>
        </is>
      </c>
      <c r="F980" s="2" t="inlineStr">
        <is>
          <t>Castellón</t>
        </is>
      </c>
      <c r="G980" s="2" t="inlineStr">
        <is>
          <t>VILA-REAL</t>
        </is>
      </c>
      <c r="H980" s="2" t="inlineStr">
        <is>
          <t>Departamento de Salud de La Plana. Dirección Económica-Gerencia</t>
        </is>
      </c>
      <c r="I980" s="2" t="inlineStr">
        <is>
          <t>la ejecución de la obra de la Reforma de la Sala de Endoscopias el Hospital Universitario de la Plana.</t>
        </is>
      </c>
      <c r="J980" s="2" t="inlineStr">
        <is>
          <t>804/2026</t>
        </is>
      </c>
      <c r="K980" s="2" t="inlineStr">
        <is>
          <t>Abierto</t>
        </is>
      </c>
      <c r="L980" s="6" t="n">
        <v>4</v>
      </c>
      <c r="M980" s="2" t="n"/>
      <c r="N980" s="7" t="n">
        <v>0.45</v>
      </c>
      <c r="O980" s="4" t="n"/>
      <c r="P980" s="2" t="inlineStr">
        <is>
          <t>45215100</t>
        </is>
      </c>
      <c r="Q980" s="8" t="inlineStr">
        <is>
          <t>Ver</t>
        </is>
      </c>
      <c r="R980" s="8" t="inlineStr">
        <is>
          <t>PCAP</t>
        </is>
      </c>
      <c r="S980" s="9" t="n">
        <v>46310</v>
      </c>
      <c r="T980" s="3" t="n">
        <v>46311.47475694444</v>
      </c>
      <c r="U980" s="2" t="inlineStr">
        <is>
          <t>2026-10-19: estado EV → ADJ</t>
        </is>
      </c>
    </row>
    <row r="981">
      <c r="A981" s="2" t="inlineStr">
        <is>
          <t>En plazo</t>
        </is>
      </c>
      <c r="B981" s="3" t="n">
        <v>46335.72916666666</v>
      </c>
      <c r="C981" s="5" t="n">
        <v>152189.84</v>
      </c>
      <c r="D981" s="5" t="n">
        <v>152189.84</v>
      </c>
      <c r="E981" s="2" t="inlineStr">
        <is>
          <t>Andalucía</t>
        </is>
      </c>
      <c r="F981" s="2" t="inlineStr">
        <is>
          <t>Granada</t>
        </is>
      </c>
      <c r="G981" s="2" t="n"/>
      <c r="H981" s="2" t="inlineStr">
        <is>
          <t>Junta de Gobierno del Ayuntamiento de Granada</t>
        </is>
      </c>
      <c r="I981" s="2" t="inlineStr">
        <is>
          <t>Contrato de obras para la ejecución del proyecto de remodelación de la plaza Doctor López Neyra - Granada</t>
        </is>
      </c>
      <c r="J981" s="2" t="inlineStr">
        <is>
          <t>OBR-2026000112</t>
        </is>
      </c>
      <c r="K981" s="2" t="inlineStr">
        <is>
          <t>Abierto</t>
        </is>
      </c>
      <c r="L981" s="6" t="n">
        <v>3</v>
      </c>
      <c r="M981" s="2" t="n"/>
      <c r="N981" s="7" t="n">
        <v>0.4</v>
      </c>
      <c r="O981" s="4" t="n"/>
      <c r="P981" s="2" t="inlineStr">
        <is>
          <t>45000000; 45233252; 45112700</t>
        </is>
      </c>
      <c r="Q981" s="8" t="inlineStr">
        <is>
          <t>Ver</t>
        </is>
      </c>
      <c r="R981" s="8" t="inlineStr">
        <is>
          <t>PCAP</t>
        </is>
      </c>
      <c r="S981" s="9" t="n">
        <v>46310</v>
      </c>
      <c r="T981" s="3" t="n">
        <v>46311.47101851852</v>
      </c>
      <c r="U981" s="2" t="n"/>
    </row>
    <row r="982">
      <c r="A982" s="2" t="inlineStr">
        <is>
          <t>Resuelta</t>
        </is>
      </c>
      <c r="B982" s="3" t="n">
        <v>45418.39583333334</v>
      </c>
      <c r="C982" s="5" t="n">
        <v>1999999</v>
      </c>
      <c r="D982" s="5" t="n">
        <v>1999999</v>
      </c>
      <c r="E982" s="2" t="inlineStr">
        <is>
          <t>Andalucía</t>
        </is>
      </c>
      <c r="F982" s="2" t="inlineStr">
        <is>
          <t>Cádiz</t>
        </is>
      </c>
      <c r="G982" s="2" t="n"/>
      <c r="H982" s="2" t="inlineStr">
        <is>
          <t>Instituto de Vivienda, Infraestructura y Equipamiento de la Defensa</t>
        </is>
      </c>
      <c r="I982" s="2" t="inlineStr">
        <is>
          <t>Obras de demolición, reforma, conservación y rehabilitación de los inmuebles vinculados al Instituto de Vivienda, Infraestructura y Equipamiento de la Defensa para el Área de patrimonio de San Fernando (Cádiz).</t>
        </is>
      </c>
      <c r="J982" s="2" t="inlineStr">
        <is>
          <t>202400000056</t>
        </is>
      </c>
      <c r="K982" s="2" t="inlineStr">
        <is>
          <t>Abierto simplificado</t>
        </is>
      </c>
      <c r="L982" s="6" t="n">
        <v>25</v>
      </c>
      <c r="M982" s="2" t="n"/>
      <c r="N982" s="7" t="n">
        <v>0</v>
      </c>
      <c r="O982" s="4" t="n"/>
      <c r="P982" s="2" t="inlineStr">
        <is>
          <t>45200000</t>
        </is>
      </c>
      <c r="Q982" s="8" t="inlineStr">
        <is>
          <t>Ver</t>
        </is>
      </c>
      <c r="R982" s="8" t="inlineStr">
        <is>
          <t>PCAP</t>
        </is>
      </c>
      <c r="S982" s="9" t="n">
        <v>46314</v>
      </c>
      <c r="T982" s="3" t="n">
        <v>46311.47001157407</v>
      </c>
      <c r="U982" s="2" t="n"/>
    </row>
    <row r="983">
      <c r="A983" s="2" t="inlineStr">
        <is>
          <t>Resuelta</t>
        </is>
      </c>
      <c r="B983" s="3" t="n">
        <v>46196.99930555555</v>
      </c>
      <c r="C983" s="5" t="n">
        <v>231404.96</v>
      </c>
      <c r="D983" s="5" t="n">
        <v>231404.96</v>
      </c>
      <c r="E983" s="2" t="inlineStr">
        <is>
          <t>Andalucía</t>
        </is>
      </c>
      <c r="F983" s="2" t="inlineStr">
        <is>
          <t>Almería</t>
        </is>
      </c>
      <c r="G983" s="2" t="n"/>
      <c r="H983" s="2" t="inlineStr">
        <is>
          <t>Junta de Gobierno de la Diputación Provincial de Almería</t>
        </is>
      </c>
      <c r="I983" s="2" t="inlineStr">
        <is>
          <t>Remodelación De Intersección En C.p. Al-7100. Travesía Del Llano De Los Olleres, T.m. De Albox (almería) 33RVP2025-2026</t>
        </is>
      </c>
      <c r="J983" s="2" t="inlineStr">
        <is>
          <t>2026/D31000/006-013/00030</t>
        </is>
      </c>
      <c r="K983" s="2" t="inlineStr">
        <is>
          <t>Abierto simplificado</t>
        </is>
      </c>
      <c r="L983" s="6" t="n">
        <v>3</v>
      </c>
      <c r="M983" s="2" t="n"/>
      <c r="N983" s="7" t="n">
        <v>0.25</v>
      </c>
      <c r="O983" s="4" t="n"/>
      <c r="P983" s="2" t="inlineStr">
        <is>
          <t>45233220</t>
        </is>
      </c>
      <c r="Q983" s="8" t="inlineStr">
        <is>
          <t>Ver</t>
        </is>
      </c>
      <c r="R983" s="8" t="inlineStr">
        <is>
          <t>PCAP</t>
        </is>
      </c>
      <c r="S983" s="9" t="n">
        <v>46314</v>
      </c>
      <c r="T983" s="3" t="n">
        <v>46311.46563657407</v>
      </c>
      <c r="U983" s="2" t="n"/>
    </row>
    <row r="984">
      <c r="A984" s="2" t="inlineStr">
        <is>
          <t>En plazo</t>
        </is>
      </c>
      <c r="B984" s="3" t="n">
        <v>46331.99930555555</v>
      </c>
      <c r="C984" s="5" t="n">
        <v>165279.43</v>
      </c>
      <c r="D984" s="5" t="n">
        <v>165279.43</v>
      </c>
      <c r="E984" s="2" t="inlineStr">
        <is>
          <t>Comunitat Valenciana</t>
        </is>
      </c>
      <c r="F984" s="2" t="inlineStr">
        <is>
          <t>Alicante</t>
        </is>
      </c>
      <c r="G984" s="2" t="n"/>
      <c r="H984" s="2" t="inlineStr">
        <is>
          <t>Junta de Gobierno del Ayuntamiento de Elche</t>
        </is>
      </c>
      <c r="I984" s="2" t="inlineStr">
        <is>
          <t>Obras de creación de alcorques en la vía pública (C/ Juan Carlos I, Alfonso XII, Federico García Lorca y León Sánchez Sáez)</t>
        </is>
      </c>
      <c r="J984" s="2" t="inlineStr">
        <is>
          <t>OBR/ABR_SMPL/2026000163</t>
        </is>
      </c>
      <c r="K984" s="2" t="inlineStr">
        <is>
          <t>Abierto simplificado</t>
        </is>
      </c>
      <c r="L984" s="6" t="n">
        <v>3</v>
      </c>
      <c r="M984" s="2" t="inlineStr">
        <is>
          <t>G6-2</t>
        </is>
      </c>
      <c r="N984" s="7" t="n">
        <v>0</v>
      </c>
      <c r="O984" s="4" t="n"/>
      <c r="P984" s="2" t="inlineStr">
        <is>
          <t>45233140; 45233222</t>
        </is>
      </c>
      <c r="Q984" s="8" t="inlineStr">
        <is>
          <t>Ver</t>
        </is>
      </c>
      <c r="R984" s="8" t="inlineStr">
        <is>
          <t>PCAP</t>
        </is>
      </c>
      <c r="S984" s="9" t="n">
        <v>46314</v>
      </c>
      <c r="T984" s="3" t="n">
        <v>46311.46210648148</v>
      </c>
      <c r="U984" s="2" t="n"/>
    </row>
    <row r="985">
      <c r="A985" s="2" t="inlineStr">
        <is>
          <t>Resuelta</t>
        </is>
      </c>
      <c r="B985" s="3" t="n">
        <v>45905.75</v>
      </c>
      <c r="C985" s="5" t="n">
        <v>319765.96</v>
      </c>
      <c r="D985" s="5" t="n">
        <v>383719.15</v>
      </c>
      <c r="E985" s="2" t="inlineStr">
        <is>
          <t>Andalucía</t>
        </is>
      </c>
      <c r="F985" s="2" t="inlineStr">
        <is>
          <t>Málaga</t>
        </is>
      </c>
      <c r="G985" s="2" t="n"/>
      <c r="H985" s="2" t="inlineStr">
        <is>
          <t>Consejero Delegado de la Empresa Municipal de Aguas de Málaga S.A.</t>
        </is>
      </c>
      <c r="I985" s="2" t="inlineStr">
        <is>
          <t>Obra para mejora de drenaje urbano y separación de redes de Avenida Salvador allende del n 137 al n 159 (exp ingenieria 066/2019)</t>
        </is>
      </c>
      <c r="J985" s="2" t="inlineStr">
        <is>
          <t>25-522-2</t>
        </is>
      </c>
      <c r="K985" s="2" t="inlineStr">
        <is>
          <t>Abierto</t>
        </is>
      </c>
      <c r="L985" s="6" t="n">
        <v>3</v>
      </c>
      <c r="M985" s="2" t="n"/>
      <c r="N985" s="7" t="n">
        <v>0</v>
      </c>
      <c r="O985" s="4" t="n"/>
      <c r="P985" s="2" t="inlineStr">
        <is>
          <t>45000000</t>
        </is>
      </c>
      <c r="Q985" s="8" t="inlineStr">
        <is>
          <t>Ver</t>
        </is>
      </c>
      <c r="R985" s="8" t="inlineStr">
        <is>
          <t>PCAP</t>
        </is>
      </c>
      <c r="S985" s="9" t="n">
        <v>46314</v>
      </c>
      <c r="T985" s="3" t="n">
        <v>46311.46209490741</v>
      </c>
      <c r="U985" s="2" t="n"/>
    </row>
    <row r="986">
      <c r="A986" s="2" t="inlineStr">
        <is>
          <t>Pendiente de adjudicación</t>
        </is>
      </c>
      <c r="B986" s="3" t="n">
        <v>46188.99930555555</v>
      </c>
      <c r="C986" s="5" t="n">
        <v>364059.93</v>
      </c>
      <c r="D986" s="5" t="n">
        <v>364059.93</v>
      </c>
      <c r="E986" s="2" t="inlineStr">
        <is>
          <t>Comunitat Valenciana</t>
        </is>
      </c>
      <c r="F986" s="2" t="inlineStr">
        <is>
          <t>Valencia</t>
        </is>
      </c>
      <c r="G986" s="2" t="n"/>
      <c r="H986" s="2" t="inlineStr">
        <is>
          <t>Junta de Gobierno del Ajuntament de València</t>
        </is>
      </c>
      <c r="I986" s="2" t="inlineStr">
        <is>
          <t>Obra de ejecución del "Proyecto de demolición, sustitución e integración de los antiguos viales en la zona de l'Aterrisador de la Devesa".</t>
        </is>
      </c>
      <c r="J986" s="2" t="inlineStr">
        <is>
          <t>04101/2026/73-O</t>
        </is>
      </c>
      <c r="K986" s="2" t="inlineStr">
        <is>
          <t>Abierto simplificado</t>
        </is>
      </c>
      <c r="L986" s="6" t="n">
        <v>4</v>
      </c>
      <c r="M986" s="2" t="n"/>
      <c r="N986" s="7" t="n">
        <v>0</v>
      </c>
      <c r="O986" s="4" t="n"/>
      <c r="P986" s="2" t="inlineStr">
        <is>
          <t>45111000; 45233140; 77211400</t>
        </is>
      </c>
      <c r="Q986" s="8" t="inlineStr">
        <is>
          <t>Ver</t>
        </is>
      </c>
      <c r="R986" s="8" t="inlineStr">
        <is>
          <t>PCAP</t>
        </is>
      </c>
      <c r="S986" s="9" t="n">
        <v>46314</v>
      </c>
      <c r="T986" s="3" t="n">
        <v>46311.45642361111</v>
      </c>
      <c r="U986" s="2" t="n"/>
    </row>
    <row r="987">
      <c r="A987" s="2" t="inlineStr">
        <is>
          <t>Pendiente de adjudicación</t>
        </is>
      </c>
      <c r="B987" s="3" t="n">
        <v>46293.99930555555</v>
      </c>
      <c r="C987" s="5" t="n">
        <v>81493.35000000001</v>
      </c>
      <c r="D987" s="5" t="n">
        <v>81493.35000000001</v>
      </c>
      <c r="E987" s="2" t="inlineStr">
        <is>
          <t>Andalucía</t>
        </is>
      </c>
      <c r="F987" s="2" t="inlineStr">
        <is>
          <t>Córdoba</t>
        </is>
      </c>
      <c r="G987" s="2" t="inlineStr">
        <is>
          <t>Morente</t>
        </is>
      </c>
      <c r="H987" s="2" t="inlineStr">
        <is>
          <t>Junta de Gobierno del Ayuntamiento de Bujalance</t>
        </is>
      </c>
      <c r="I987" s="2" t="inlineStr">
        <is>
          <t>Ejecución de las obras contenidas en el Proyecto de Ejecución «Reforma de Calle Plaza, en Morente» (T.M. de Bujalance, Córdoba)</t>
        </is>
      </c>
      <c r="J987" s="2" t="inlineStr">
        <is>
          <t>9691/2026</t>
        </is>
      </c>
      <c r="K987" s="2" t="inlineStr">
        <is>
          <t>Abierto simplificado</t>
        </is>
      </c>
      <c r="L987" s="6" t="n">
        <v>3</v>
      </c>
      <c r="M987" s="2" t="inlineStr">
        <is>
          <t>G6-1</t>
        </is>
      </c>
      <c r="N987" s="7" t="n">
        <v>0</v>
      </c>
      <c r="O987" s="4" t="n"/>
      <c r="P987" s="2" t="inlineStr">
        <is>
          <t>45233140</t>
        </is>
      </c>
      <c r="Q987" s="8" t="inlineStr">
        <is>
          <t>Ver</t>
        </is>
      </c>
      <c r="R987" s="8" t="inlineStr">
        <is>
          <t>PCAP</t>
        </is>
      </c>
      <c r="S987" s="9" t="n">
        <v>46314</v>
      </c>
      <c r="T987" s="3" t="n">
        <v>46311.45188657408</v>
      </c>
      <c r="U987" s="2" t="n"/>
    </row>
    <row r="988">
      <c r="A988" s="2" t="inlineStr">
        <is>
          <t>Adjudicada</t>
        </is>
      </c>
      <c r="B988" s="3" t="n"/>
      <c r="C988" s="5" t="n">
        <v>17514.9</v>
      </c>
      <c r="D988" s="5" t="n">
        <v>17514.9</v>
      </c>
      <c r="E988" s="2" t="inlineStr">
        <is>
          <t>Andalucía</t>
        </is>
      </c>
      <c r="F988" s="2" t="inlineStr">
        <is>
          <t>Córdoba</t>
        </is>
      </c>
      <c r="G988" s="2" t="inlineStr">
        <is>
          <t>Córdoba</t>
        </is>
      </c>
      <c r="H988" s="2" t="inlineStr">
        <is>
          <t>Aena. Dirección del Aeropuerto de Córdoba</t>
        </is>
      </c>
      <c r="I988" s="2" t="inlineStr">
        <is>
          <t>Nueva Señalización En P1</t>
        </is>
      </c>
      <c r="J988" s="2" t="inlineStr">
        <is>
          <t>ODB-32/2026</t>
        </is>
      </c>
      <c r="K988" s="2" t="inlineStr">
        <is>
          <t>Normas internas</t>
        </is>
      </c>
      <c r="L988" s="6" t="n">
        <v>0.5</v>
      </c>
      <c r="M988" s="2" t="n"/>
      <c r="N988" s="7" t="n"/>
      <c r="O988" s="4" t="n"/>
      <c r="P988" s="2" t="inlineStr">
        <is>
          <t>45233270</t>
        </is>
      </c>
      <c r="Q988" s="8" t="inlineStr">
        <is>
          <t>Ver</t>
        </is>
      </c>
      <c r="R988" s="2" t="n"/>
      <c r="S988" s="9" t="n">
        <v>46314</v>
      </c>
      <c r="T988" s="3" t="n">
        <v>46311.44921296297</v>
      </c>
      <c r="U988" s="2" t="n"/>
    </row>
    <row r="989">
      <c r="A989" s="2" t="inlineStr">
        <is>
          <t>Resuelta</t>
        </is>
      </c>
      <c r="B989" s="3" t="n">
        <v>46265.5</v>
      </c>
      <c r="C989" s="5" t="n">
        <v>552197.35</v>
      </c>
      <c r="D989" s="5" t="n">
        <v>552197.35</v>
      </c>
      <c r="E989" s="2" t="inlineStr">
        <is>
          <t>Comunitat Valenciana</t>
        </is>
      </c>
      <c r="F989" s="2" t="inlineStr">
        <is>
          <t>Valencia</t>
        </is>
      </c>
      <c r="G989" s="2" t="n"/>
      <c r="H989" s="2" t="inlineStr">
        <is>
          <t>Dirección General del Circuito del Motor y Promoción Deportiva S.A.</t>
        </is>
      </c>
      <c r="I989" s="2" t="inlineStr">
        <is>
          <t>La ejecución de las obras de instalación eléctrica en baja tensión para la iluminación de la pista de tecnificación (KARTING FAST CIRCUIT VALENCIA) DEL CIRCUIT RICARDO TORMO</t>
        </is>
      </c>
      <c r="J989" s="2" t="inlineStr">
        <is>
          <t>CMAYOR/2026/CMPD0/0031</t>
        </is>
      </c>
      <c r="K989" s="2" t="inlineStr">
        <is>
          <t>Abierto simplificado</t>
        </is>
      </c>
      <c r="L989" s="6" t="n">
        <v>3</v>
      </c>
      <c r="M989" s="2" t="inlineStr">
        <is>
          <t>I1-3</t>
        </is>
      </c>
      <c r="N989" s="7" t="n">
        <v>0</v>
      </c>
      <c r="O989" s="4" t="n"/>
      <c r="P989" s="2" t="inlineStr">
        <is>
          <t>45316100; 45315600; 45310000; 45262210</t>
        </is>
      </c>
      <c r="Q989" s="8" t="inlineStr">
        <is>
          <t>Ver</t>
        </is>
      </c>
      <c r="R989" s="8" t="inlineStr">
        <is>
          <t>PCAP</t>
        </is>
      </c>
      <c r="S989" s="9" t="n">
        <v>46310</v>
      </c>
      <c r="T989" s="3" t="n">
        <v>46311.44105324074</v>
      </c>
      <c r="U989" s="2" t="inlineStr">
        <is>
          <t>2026-10-19: estado ADJ → RES</t>
        </is>
      </c>
    </row>
    <row r="990">
      <c r="A990" s="2" t="inlineStr">
        <is>
          <t>En plazo</t>
        </is>
      </c>
      <c r="B990" s="3" t="n">
        <v>46331.99930555555</v>
      </c>
      <c r="C990" s="5" t="n">
        <v>69287.78999999999</v>
      </c>
      <c r="D990" s="5" t="n">
        <v>69287.78999999999</v>
      </c>
      <c r="E990" s="2" t="inlineStr">
        <is>
          <t>Andalucía</t>
        </is>
      </c>
      <c r="F990" s="2" t="inlineStr">
        <is>
          <t>Jaén</t>
        </is>
      </c>
      <c r="G990" s="2" t="inlineStr">
        <is>
          <t>Lahiguera</t>
        </is>
      </c>
      <c r="H990" s="2" t="inlineStr">
        <is>
          <t>Alcaldía del Ayuntamiento de Lahiguera</t>
        </is>
      </c>
      <c r="I990" s="2" t="inlineStr">
        <is>
          <t>Reparación y restitución del muro pista deportiva colegio Sta. Clara del municipio de Lahiguera (Jaén)</t>
        </is>
      </c>
      <c r="J990" s="2" t="inlineStr">
        <is>
          <t>533/2026</t>
        </is>
      </c>
      <c r="K990" s="2" t="inlineStr">
        <is>
          <t>Abierto simplificado</t>
        </is>
      </c>
      <c r="L990" s="6" t="n">
        <v>6</v>
      </c>
      <c r="M990" s="2" t="n"/>
      <c r="N990" s="7" t="n">
        <v>0</v>
      </c>
      <c r="O990" s="4" t="n"/>
      <c r="P990" s="2" t="inlineStr">
        <is>
          <t>45223500</t>
        </is>
      </c>
      <c r="Q990" s="8" t="inlineStr">
        <is>
          <t>Ver</t>
        </is>
      </c>
      <c r="R990" s="8" t="inlineStr">
        <is>
          <t>PCAP</t>
        </is>
      </c>
      <c r="S990" s="9" t="n">
        <v>46314</v>
      </c>
      <c r="T990" s="3" t="n">
        <v>46311.43597222222</v>
      </c>
      <c r="U990" s="2" t="n"/>
    </row>
    <row r="991">
      <c r="A991" s="2" t="inlineStr">
        <is>
          <t>Resuelta</t>
        </is>
      </c>
      <c r="B991" s="3" t="n">
        <v>46255.8125</v>
      </c>
      <c r="C991" s="5" t="n">
        <v>65354.11</v>
      </c>
      <c r="D991" s="5" t="n">
        <v>65354.11</v>
      </c>
      <c r="E991" s="2" t="inlineStr">
        <is>
          <t>Andalucía</t>
        </is>
      </c>
      <c r="F991" s="2" t="inlineStr">
        <is>
          <t>Córdoba</t>
        </is>
      </c>
      <c r="G991" s="2" t="inlineStr">
        <is>
          <t>Monturque</t>
        </is>
      </c>
      <c r="H991" s="2" t="inlineStr">
        <is>
          <t>Junta de Gobierno Local de Ayuntamiento de Monturque</t>
        </is>
      </c>
      <c r="I991" s="2" t="inlineStr">
        <is>
          <t>Reparación daños por tormentas y vientos en Casa Consistorial</t>
        </is>
      </c>
      <c r="J991" s="2" t="inlineStr">
        <is>
          <t>GEX 2026/2144</t>
        </is>
      </c>
      <c r="K991" s="2" t="inlineStr">
        <is>
          <t>Abierto simplificado</t>
        </is>
      </c>
      <c r="L991" s="6" t="n">
        <v>2</v>
      </c>
      <c r="M991" s="2" t="n"/>
      <c r="N991" s="7" t="n">
        <v>0</v>
      </c>
      <c r="O991" s="4" t="n"/>
      <c r="P991" s="2" t="inlineStr">
        <is>
          <t>45261420; 45442100; 45262500; 45261910</t>
        </is>
      </c>
      <c r="Q991" s="8" t="inlineStr">
        <is>
          <t>Ver</t>
        </is>
      </c>
      <c r="R991" s="8" t="inlineStr">
        <is>
          <t>PCAP</t>
        </is>
      </c>
      <c r="S991" s="9" t="n">
        <v>46314</v>
      </c>
      <c r="T991" s="3" t="n">
        <v>46311.43202546296</v>
      </c>
      <c r="U991" s="2" t="n"/>
    </row>
    <row r="992">
      <c r="A992" s="2" t="inlineStr">
        <is>
          <t>En plazo</t>
        </is>
      </c>
      <c r="B992" s="3" t="n">
        <v>46330.99930555555</v>
      </c>
      <c r="C992" s="5" t="n">
        <v>361280.99</v>
      </c>
      <c r="D992" s="5" t="n">
        <v>361280.99</v>
      </c>
      <c r="E992" s="2" t="inlineStr">
        <is>
          <t>Comunitat Valenciana</t>
        </is>
      </c>
      <c r="F992" s="2" t="inlineStr">
        <is>
          <t>Alicante</t>
        </is>
      </c>
      <c r="G992" s="2" t="inlineStr">
        <is>
          <t>Agost</t>
        </is>
      </c>
      <c r="H992" s="2" t="inlineStr">
        <is>
          <t>Alcaldía del Ayuntamiento de Agost</t>
        </is>
      </c>
      <c r="I992" s="2" t="inlineStr">
        <is>
          <t>urbanización en la calle Cami de La Fam</t>
        </is>
      </c>
      <c r="J992" s="2" t="inlineStr">
        <is>
          <t>2522/2026</t>
        </is>
      </c>
      <c r="K992" s="2" t="inlineStr">
        <is>
          <t>Abierto simplificado</t>
        </is>
      </c>
      <c r="L992" s="6" t="n">
        <v>4</v>
      </c>
      <c r="M992" s="2" t="n"/>
      <c r="N992" s="7" t="n">
        <v>0</v>
      </c>
      <c r="O992" s="4" t="n"/>
      <c r="P992" s="2" t="inlineStr">
        <is>
          <t>45200000</t>
        </is>
      </c>
      <c r="Q992" s="8" t="inlineStr">
        <is>
          <t>Ver</t>
        </is>
      </c>
      <c r="R992" s="8" t="inlineStr">
        <is>
          <t>PCAP</t>
        </is>
      </c>
      <c r="S992" s="9" t="n">
        <v>46311</v>
      </c>
      <c r="T992" s="3" t="n">
        <v>46311.43067129629</v>
      </c>
      <c r="U992" s="2" t="n"/>
    </row>
    <row r="993">
      <c r="A993" s="2" t="inlineStr">
        <is>
          <t>En plazo</t>
        </is>
      </c>
      <c r="B993" s="3" t="n">
        <v>46325.99930555555</v>
      </c>
      <c r="C993" s="5" t="n">
        <v>57825.75</v>
      </c>
      <c r="D993" s="5" t="n">
        <v>57825.75</v>
      </c>
      <c r="E993" s="2" t="inlineStr">
        <is>
          <t>Andalucía</t>
        </is>
      </c>
      <c r="F993" s="2" t="inlineStr">
        <is>
          <t>Granada</t>
        </is>
      </c>
      <c r="G993" s="2" t="n"/>
      <c r="H993" s="2" t="inlineStr">
        <is>
          <t>Junta de Gobierno del Ayuntamiento de Alfacar</t>
        </is>
      </c>
      <c r="I993" s="2" t="inlineStr">
        <is>
          <t>Contrato asfaltado de varias calles de Alfacar-2026</t>
        </is>
      </c>
      <c r="J993" s="2" t="inlineStr">
        <is>
          <t>2042/2026</t>
        </is>
      </c>
      <c r="K993" s="2" t="inlineStr">
        <is>
          <t>Abierto simplificado</t>
        </is>
      </c>
      <c r="L993" s="6" t="n">
        <v>3</v>
      </c>
      <c r="M993" s="2" t="n"/>
      <c r="N993" s="7" t="n">
        <v>0</v>
      </c>
      <c r="O993" s="4" t="n"/>
      <c r="P993" s="2" t="inlineStr">
        <is>
          <t>45233222</t>
        </is>
      </c>
      <c r="Q993" s="8" t="inlineStr">
        <is>
          <t>Ver</t>
        </is>
      </c>
      <c r="R993" s="8" t="inlineStr">
        <is>
          <t>PCAP</t>
        </is>
      </c>
      <c r="S993" s="9" t="n">
        <v>46314</v>
      </c>
      <c r="T993" s="3" t="n">
        <v>46311.42739583334</v>
      </c>
      <c r="U993" s="2" t="n"/>
    </row>
    <row r="994">
      <c r="A994" s="2" t="inlineStr">
        <is>
          <t>Pendiente de adjudicación</t>
        </is>
      </c>
      <c r="B994" s="3" t="n">
        <v>46286.99930555555</v>
      </c>
      <c r="C994" s="5" t="n">
        <v>137249.46</v>
      </c>
      <c r="D994" s="5" t="n">
        <v>137249.46</v>
      </c>
      <c r="E994" s="2" t="inlineStr">
        <is>
          <t>Comunitat Valenciana</t>
        </is>
      </c>
      <c r="F994" s="2" t="inlineStr">
        <is>
          <t>Valencia</t>
        </is>
      </c>
      <c r="G994" s="2" t="n"/>
      <c r="H994" s="2" t="inlineStr">
        <is>
          <t>Concejalía Delegada de Contratación del Ajuntament de València</t>
        </is>
      </c>
      <c r="I994" s="2" t="inlineStr">
        <is>
          <t>Obras de mejoras e instalación en Pedanías (5 lotes: Horno de Alcedo, Pinedo, Perellonet, Casas de Bárcena y la Punta).-</t>
        </is>
      </c>
      <c r="J994" s="2" t="inlineStr">
        <is>
          <t>04101/2026/136-O</t>
        </is>
      </c>
      <c r="K994" s="2" t="inlineStr">
        <is>
          <t>Abierto simplificado</t>
        </is>
      </c>
      <c r="L994" s="6" t="n">
        <v>2.8</v>
      </c>
      <c r="M994" s="2" t="n"/>
      <c r="N994" s="7" t="n">
        <v>0</v>
      </c>
      <c r="O994" s="4" t="n">
        <v>5</v>
      </c>
      <c r="P994" s="2" t="inlineStr">
        <is>
          <t>45233293; 45421144; 45112723</t>
        </is>
      </c>
      <c r="Q994" s="8" t="inlineStr">
        <is>
          <t>Ver</t>
        </is>
      </c>
      <c r="R994" s="8" t="inlineStr">
        <is>
          <t>PCAP</t>
        </is>
      </c>
      <c r="S994" s="9" t="n">
        <v>46314</v>
      </c>
      <c r="T994" s="3" t="n">
        <v>46311.42724537037</v>
      </c>
      <c r="U994" s="2" t="n"/>
    </row>
    <row r="995">
      <c r="A995" s="2" t="inlineStr">
        <is>
          <t>Resuelta</t>
        </is>
      </c>
      <c r="B995" s="3" t="n">
        <v>46258.99930555555</v>
      </c>
      <c r="C995" s="5" t="n">
        <v>331235.36</v>
      </c>
      <c r="D995" s="5" t="n">
        <v>331235.36</v>
      </c>
      <c r="E995" s="2" t="inlineStr">
        <is>
          <t>Andalucía</t>
        </is>
      </c>
      <c r="F995" s="2" t="inlineStr">
        <is>
          <t>Sevilla</t>
        </is>
      </c>
      <c r="G995" s="2" t="n"/>
      <c r="H995" s="2" t="inlineStr">
        <is>
          <t>Junta de Gobierno del Ayuntamiento de Ecija</t>
        </is>
      </c>
      <c r="I995" s="2" t="inlineStr">
        <is>
          <t>Contrato de obras de creación de nuevo acceso a Plaza de Toros Municipal en Calle Empedrada, subvencionado en el marco del Programa de Cooperación General del Plan Provincial MÁS SEVILLA de la Excelentísima Diputación Provincial de Sevilla.</t>
        </is>
      </c>
      <c r="J995" s="2" t="inlineStr">
        <is>
          <t>1505/2025</t>
        </is>
      </c>
      <c r="K995" s="2" t="inlineStr">
        <is>
          <t>Abierto simplificado</t>
        </is>
      </c>
      <c r="L995" s="6" t="n">
        <v>3</v>
      </c>
      <c r="M995" s="2" t="n"/>
      <c r="N995" s="7" t="n">
        <v>0</v>
      </c>
      <c r="O995" s="4" t="n"/>
      <c r="P995" s="2" t="inlineStr">
        <is>
          <t>45223110; 45223500; 45316100; 45432210</t>
        </is>
      </c>
      <c r="Q995" s="8" t="inlineStr">
        <is>
          <t>Ver</t>
        </is>
      </c>
      <c r="R995" s="8" t="inlineStr">
        <is>
          <t>PCAP</t>
        </is>
      </c>
      <c r="S995" s="9" t="n">
        <v>46310</v>
      </c>
      <c r="T995" s="3" t="n">
        <v>46311.42552083333</v>
      </c>
      <c r="U995" s="2" t="inlineStr">
        <is>
          <t>2026-10-19: estado ADJ → RES</t>
        </is>
      </c>
    </row>
    <row r="996">
      <c r="A996" s="2" t="inlineStr">
        <is>
          <t>Resuelta</t>
        </is>
      </c>
      <c r="B996" s="3" t="n">
        <v>46302.79166666666</v>
      </c>
      <c r="C996" s="5" t="n">
        <v>178251.41</v>
      </c>
      <c r="D996" s="5" t="n">
        <v>178251.41</v>
      </c>
      <c r="E996" s="2" t="inlineStr">
        <is>
          <t>Comunitat Valenciana</t>
        </is>
      </c>
      <c r="F996" s="2" t="inlineStr">
        <is>
          <t>Valencia</t>
        </is>
      </c>
      <c r="G996" s="2" t="n"/>
      <c r="H996" s="2" t="inlineStr">
        <is>
          <t>Alcaldía del Ayuntamiento de Alfarp</t>
        </is>
      </c>
      <c r="I996" s="2" t="inlineStr">
        <is>
          <t>Ampliación de auditorio polifuncional para aulario en planta primera (Proyecto para la finalización de las obras tras resolución de contrato)</t>
        </is>
      </c>
      <c r="J996" s="2" t="inlineStr">
        <is>
          <t>3027314D</t>
        </is>
      </c>
      <c r="K996" s="2" t="inlineStr">
        <is>
          <t>Abierto simplificado</t>
        </is>
      </c>
      <c r="L996" s="6" t="n">
        <v>4</v>
      </c>
      <c r="M996" s="2" t="n"/>
      <c r="N996" s="7" t="n">
        <v>0</v>
      </c>
      <c r="O996" s="4" t="n"/>
      <c r="P996" s="2" t="inlineStr">
        <is>
          <t>45262700</t>
        </is>
      </c>
      <c r="Q996" s="8" t="inlineStr">
        <is>
          <t>Ver</t>
        </is>
      </c>
      <c r="R996" s="8" t="inlineStr">
        <is>
          <t>PCAP</t>
        </is>
      </c>
      <c r="S996" s="9" t="n">
        <v>46314</v>
      </c>
      <c r="T996" s="3" t="n">
        <v>46311.42549768519</v>
      </c>
      <c r="U996" s="2" t="n"/>
    </row>
    <row r="997">
      <c r="A997" s="2" t="inlineStr">
        <is>
          <t>Adjudicada</t>
        </is>
      </c>
      <c r="B997" s="3" t="n"/>
      <c r="C997" s="5" t="n">
        <v>13990</v>
      </c>
      <c r="D997" s="5" t="n">
        <v>13990</v>
      </c>
      <c r="E997" s="2" t="inlineStr">
        <is>
          <t>Andalucía</t>
        </is>
      </c>
      <c r="F997" s="2" t="inlineStr">
        <is>
          <t>Córdoba</t>
        </is>
      </c>
      <c r="G997" s="2" t="inlineStr">
        <is>
          <t>Córdoba</t>
        </is>
      </c>
      <c r="H997" s="2" t="inlineStr">
        <is>
          <t>Aena. Dirección del Aeropuerto de Córdoba</t>
        </is>
      </c>
      <c r="I997" s="2" t="inlineStr">
        <is>
          <t>Suministro Con Instalación Bomba Drenaje Fecales Torre Afis</t>
        </is>
      </c>
      <c r="J997" s="2" t="inlineStr">
        <is>
          <t>ODB-31/2026</t>
        </is>
      </c>
      <c r="K997" s="2" t="inlineStr">
        <is>
          <t>Normas internas</t>
        </is>
      </c>
      <c r="L997" s="6" t="n">
        <v>0.5</v>
      </c>
      <c r="M997" s="2" t="n"/>
      <c r="N997" s="7" t="n"/>
      <c r="O997" s="4" t="n"/>
      <c r="P997" s="2" t="inlineStr">
        <is>
          <t>45332000</t>
        </is>
      </c>
      <c r="Q997" s="8" t="inlineStr">
        <is>
          <t>Ver</t>
        </is>
      </c>
      <c r="R997" s="2" t="n"/>
      <c r="S997" s="9" t="n">
        <v>46314</v>
      </c>
      <c r="T997" s="3" t="n">
        <v>46311.42436342593</v>
      </c>
      <c r="U997" s="2" t="n"/>
    </row>
    <row r="998">
      <c r="A998" s="2" t="inlineStr">
        <is>
          <t>Adjudicada</t>
        </is>
      </c>
      <c r="B998" s="3" t="n"/>
      <c r="C998" s="5" t="n">
        <v>39800</v>
      </c>
      <c r="D998" s="5" t="n">
        <v>39800</v>
      </c>
      <c r="E998" s="2" t="inlineStr">
        <is>
          <t>Andalucía</t>
        </is>
      </c>
      <c r="F998" s="2" t="inlineStr">
        <is>
          <t>Córdoba</t>
        </is>
      </c>
      <c r="G998" s="2" t="inlineStr">
        <is>
          <t>Córdoba</t>
        </is>
      </c>
      <c r="H998" s="2" t="inlineStr">
        <is>
          <t>Aena. Dirección del Aeropuerto de Córdoba</t>
        </is>
      </c>
      <c r="I998" s="2" t="inlineStr">
        <is>
          <t>Recrecido Pavimento Pista Y Twy a</t>
        </is>
      </c>
      <c r="J998" s="2" t="inlineStr">
        <is>
          <t>ODB-30/2026</t>
        </is>
      </c>
      <c r="K998" s="2" t="inlineStr">
        <is>
          <t>Normas internas</t>
        </is>
      </c>
      <c r="L998" s="6" t="n">
        <v>0.2</v>
      </c>
      <c r="M998" s="2" t="n"/>
      <c r="N998" s="7" t="n"/>
      <c r="O998" s="4" t="n"/>
      <c r="P998" s="2" t="inlineStr">
        <is>
          <t>45235210</t>
        </is>
      </c>
      <c r="Q998" s="8" t="inlineStr">
        <is>
          <t>Ver</t>
        </is>
      </c>
      <c r="R998" s="2" t="n"/>
      <c r="S998" s="9" t="n">
        <v>46314</v>
      </c>
      <c r="T998" s="3" t="n">
        <v>46311.42420138889</v>
      </c>
      <c r="U998" s="2" t="n"/>
    </row>
    <row r="999">
      <c r="A999" s="2" t="inlineStr">
        <is>
          <t>En plazo</t>
        </is>
      </c>
      <c r="B999" s="3" t="n">
        <v>46331.99930555555</v>
      </c>
      <c r="C999" s="5" t="n">
        <v>71103.22</v>
      </c>
      <c r="D999" s="5" t="n">
        <v>71103.22</v>
      </c>
      <c r="E999" s="2" t="inlineStr">
        <is>
          <t>Comunitat Valenciana</t>
        </is>
      </c>
      <c r="F999" s="2" t="inlineStr">
        <is>
          <t>Valencia</t>
        </is>
      </c>
      <c r="G999" s="2" t="n"/>
      <c r="H999" s="2" t="inlineStr">
        <is>
          <t>Alcaldía del Ayuntamiento de Llombai</t>
        </is>
      </c>
      <c r="I999" s="2" t="inlineStr">
        <is>
          <t>Restauracion del firme en Calles Milagros Espert i Peixquera de Llombai financiada al amparo de la Orden TMD/101/2025, de 31 de enero, el Ministerio de Política Territorial y Memoria Democrática</t>
        </is>
      </c>
      <c r="J999" s="2" t="inlineStr">
        <is>
          <t>1517/2026</t>
        </is>
      </c>
      <c r="K999" s="2" t="inlineStr">
        <is>
          <t>Abierto simplificado</t>
        </is>
      </c>
      <c r="L999" s="6" t="n">
        <v>1</v>
      </c>
      <c r="M999" s="2" t="n"/>
      <c r="N999" s="7" t="n">
        <v>0</v>
      </c>
      <c r="O999" s="4" t="n"/>
      <c r="P999" s="2" t="inlineStr">
        <is>
          <t>45233200; 45233252; 45233251</t>
        </is>
      </c>
      <c r="Q999" s="8" t="inlineStr">
        <is>
          <t>Ver</t>
        </is>
      </c>
      <c r="R999" s="8" t="inlineStr">
        <is>
          <t>PCAP</t>
        </is>
      </c>
      <c r="S999" s="9" t="n">
        <v>46314</v>
      </c>
      <c r="T999" s="3" t="n">
        <v>46311.42418981482</v>
      </c>
      <c r="U999" s="2" t="n"/>
    </row>
    <row r="1000">
      <c r="A1000" s="2" t="inlineStr">
        <is>
          <t>Adjudicada</t>
        </is>
      </c>
      <c r="B1000" s="3" t="n">
        <v>46294.99930555555</v>
      </c>
      <c r="C1000" s="5" t="n">
        <v>76680.16</v>
      </c>
      <c r="D1000" s="5" t="n">
        <v>76680.16</v>
      </c>
      <c r="E1000" s="2" t="inlineStr">
        <is>
          <t>Andalucía</t>
        </is>
      </c>
      <c r="F1000" s="2" t="inlineStr">
        <is>
          <t>Málaga</t>
        </is>
      </c>
      <c r="G1000" s="2" t="n"/>
      <c r="H1000" s="2" t="inlineStr">
        <is>
          <t>Alcaldía del Ayuntamiento de Cútar</t>
        </is>
      </c>
      <c r="I1000" s="2" t="inlineStr">
        <is>
          <t>Reforma de la Casa Museo Nazarí, sita en Calle Molino 3, Cútar.</t>
        </is>
      </c>
      <c r="J1000" s="2" t="inlineStr">
        <is>
          <t>2026/305</t>
        </is>
      </c>
      <c r="K1000" s="2" t="inlineStr">
        <is>
          <t>Abierto simplificado</t>
        </is>
      </c>
      <c r="L1000" s="6" t="n">
        <v>6</v>
      </c>
      <c r="M1000" s="2" t="inlineStr">
        <is>
          <t>C*-3</t>
        </is>
      </c>
      <c r="N1000" s="7" t="n">
        <v>0</v>
      </c>
      <c r="O1000" s="4" t="n"/>
      <c r="P1000" s="2" t="inlineStr">
        <is>
          <t>45454100; 45262700</t>
        </is>
      </c>
      <c r="Q1000" s="8" t="inlineStr">
        <is>
          <t>Ver</t>
        </is>
      </c>
      <c r="R1000" s="8" t="inlineStr">
        <is>
          <t>PCAP</t>
        </is>
      </c>
      <c r="S1000" s="9" t="n">
        <v>46314</v>
      </c>
      <c r="T1000" s="3" t="n">
        <v>46311.42130787037</v>
      </c>
      <c r="U1000" s="2" t="n"/>
    </row>
    <row r="1001">
      <c r="A1001" s="2" t="inlineStr">
        <is>
          <t>En plazo</t>
        </is>
      </c>
      <c r="B1001" s="3" t="n">
        <v>46331.99930555555</v>
      </c>
      <c r="C1001" s="5" t="n">
        <v>117812.44</v>
      </c>
      <c r="D1001" s="5" t="n">
        <v>117812.44</v>
      </c>
      <c r="E1001" s="2" t="inlineStr">
        <is>
          <t>Andalucía</t>
        </is>
      </c>
      <c r="F1001" s="2" t="inlineStr">
        <is>
          <t>Málaga</t>
        </is>
      </c>
      <c r="G1001" s="2" t="inlineStr">
        <is>
          <t>Pizarra (Málaga)</t>
        </is>
      </c>
      <c r="H1001" s="2" t="inlineStr">
        <is>
          <t>Alcaldía del Ayuntamiento de Pizarra</t>
        </is>
      </c>
      <c r="I1001" s="2" t="inlineStr">
        <is>
          <t>La ejecución de las obras de culminación de urbanización de la calle Higuera (Manzana 50, parcelas 5-14) del sector UR-1, El Olivar, Pizarra (Málaga)</t>
        </is>
      </c>
      <c r="J1001" s="2" t="inlineStr">
        <is>
          <t>1239/2026</t>
        </is>
      </c>
      <c r="K1001" s="2" t="inlineStr">
        <is>
          <t>Abierto simplificado</t>
        </is>
      </c>
      <c r="L1001" s="6" t="n">
        <v>4</v>
      </c>
      <c r="M1001" s="2" t="n"/>
      <c r="N1001" s="7" t="n">
        <v>0</v>
      </c>
      <c r="O1001" s="4" t="n"/>
      <c r="P1001" s="2" t="inlineStr">
        <is>
          <t>45000000; 45233140</t>
        </is>
      </c>
      <c r="Q1001" s="8" t="inlineStr">
        <is>
          <t>Ver</t>
        </is>
      </c>
      <c r="R1001" s="8" t="inlineStr">
        <is>
          <t>PCAP</t>
        </is>
      </c>
      <c r="S1001" s="9" t="n">
        <v>46314</v>
      </c>
      <c r="T1001" s="3" t="n">
        <v>46311.41952546296</v>
      </c>
      <c r="U1001" s="2" t="n"/>
    </row>
    <row r="1002">
      <c r="A1002" s="2" t="inlineStr">
        <is>
          <t>Pendiente de adjudicación</t>
        </is>
      </c>
      <c r="B1002" s="3" t="n">
        <v>46224.99930555555</v>
      </c>
      <c r="C1002" s="5" t="n">
        <v>1742416.42</v>
      </c>
      <c r="D1002" s="5" t="n">
        <v>1742416.42</v>
      </c>
      <c r="E1002" s="2" t="inlineStr">
        <is>
          <t>Andalucía</t>
        </is>
      </c>
      <c r="F1002" s="2" t="inlineStr">
        <is>
          <t>Málaga</t>
        </is>
      </c>
      <c r="G1002" s="2" t="n"/>
      <c r="H1002" s="2" t="inlineStr">
        <is>
          <t>Presidencia de la Diputación Provincial de Málaga</t>
        </is>
      </c>
      <c r="I1002" s="2" t="inlineStr">
        <is>
          <t>PSH.-2026/001. Mejora de señalización horizontal en la red de carreteras provincial.</t>
        </is>
      </c>
      <c r="J1002" s="2" t="inlineStr">
        <is>
          <t>PSH.-2026/001</t>
        </is>
      </c>
      <c r="K1002" s="2" t="inlineStr">
        <is>
          <t>Abierto</t>
        </is>
      </c>
      <c r="L1002" s="6" t="n">
        <v>3</v>
      </c>
      <c r="M1002" s="2" t="n"/>
      <c r="N1002" s="7" t="n">
        <v>0</v>
      </c>
      <c r="O1002" s="4" t="n">
        <v>4</v>
      </c>
      <c r="P1002" s="2" t="inlineStr">
        <is>
          <t>45233221</t>
        </is>
      </c>
      <c r="Q1002" s="8" t="inlineStr">
        <is>
          <t>Ver</t>
        </is>
      </c>
      <c r="R1002" s="8" t="inlineStr">
        <is>
          <t>PCAP</t>
        </is>
      </c>
      <c r="S1002" s="9" t="n">
        <v>46310</v>
      </c>
      <c r="T1002" s="3" t="n">
        <v>46311.41844907407</v>
      </c>
      <c r="U1002" s="2" t="n"/>
    </row>
    <row r="1003">
      <c r="A1003" s="2" t="inlineStr">
        <is>
          <t>Adjudicada</t>
        </is>
      </c>
      <c r="B1003" s="3" t="n">
        <v>46218.5</v>
      </c>
      <c r="C1003" s="5" t="n">
        <v>19726247.63</v>
      </c>
      <c r="D1003" s="5" t="n">
        <v>20515297.54</v>
      </c>
      <c r="E1003" s="2" t="inlineStr">
        <is>
          <t>Andalucía</t>
        </is>
      </c>
      <c r="F1003" s="2" t="inlineStr">
        <is>
          <t>Granada</t>
        </is>
      </c>
      <c r="G1003" s="2" t="inlineStr">
        <is>
          <t>Granada</t>
        </is>
      </c>
      <c r="H1003" s="2" t="inlineStr">
        <is>
          <t>Aena. Consejo de Administración</t>
        </is>
      </c>
      <c r="I1003" s="2" t="inlineStr">
        <is>
          <t>Actuación De Renovación Pavimento Pista De Vuelos. Aeropuerto De Federico Garcia Lorca Granada-Jaen</t>
        </is>
      </c>
      <c r="J1003" s="2" t="inlineStr">
        <is>
          <t>DIN-640/2025</t>
        </is>
      </c>
      <c r="K1003" s="2" t="inlineStr">
        <is>
          <t>Licitación con negociación</t>
        </is>
      </c>
      <c r="L1003" s="6" t="n">
        <v>20</v>
      </c>
      <c r="M1003" s="2" t="n"/>
      <c r="N1003" s="7" t="n">
        <v>0</v>
      </c>
      <c r="O1003" s="4" t="n"/>
      <c r="P1003" s="2" t="inlineStr">
        <is>
          <t>45235210</t>
        </is>
      </c>
      <c r="Q1003" s="8" t="inlineStr">
        <is>
          <t>Ver</t>
        </is>
      </c>
      <c r="R1003" s="8" t="inlineStr">
        <is>
          <t>PCAP</t>
        </is>
      </c>
      <c r="S1003" s="9" t="n">
        <v>46314</v>
      </c>
      <c r="T1003" s="3" t="n">
        <v>46311.41643518519</v>
      </c>
      <c r="U1003" s="2" t="n"/>
    </row>
    <row r="1004">
      <c r="A1004" s="2" t="inlineStr">
        <is>
          <t>Adjudicada</t>
        </is>
      </c>
      <c r="B1004" s="3" t="n">
        <v>45994.99930555555</v>
      </c>
      <c r="C1004" s="5" t="n">
        <v>3481281.37</v>
      </c>
      <c r="D1004" s="5" t="n">
        <v>3829409.51</v>
      </c>
      <c r="E1004" s="2" t="inlineStr">
        <is>
          <t>Comunitat Valenciana</t>
        </is>
      </c>
      <c r="F1004" s="2" t="inlineStr">
        <is>
          <t>Valencia</t>
        </is>
      </c>
      <c r="G1004" s="2" t="inlineStr">
        <is>
          <t>Algemesí</t>
        </is>
      </c>
      <c r="H1004" s="2" t="inlineStr">
        <is>
          <t>Dirección General de Gestión Económica, Contratación e Infraestructuras de la Conselleria de Sanidad</t>
        </is>
      </c>
      <c r="I1004" s="2" t="inlineStr">
        <is>
          <t>obras de ampliación y adecuación puntual del centro de salud de algemesí (valencia)</t>
        </is>
      </c>
      <c r="J1004" s="2" t="inlineStr">
        <is>
          <t>45/2026</t>
        </is>
      </c>
      <c r="K1004" s="2" t="inlineStr">
        <is>
          <t>Abierto</t>
        </is>
      </c>
      <c r="L1004" s="6" t="n">
        <v>24</v>
      </c>
      <c r="M1004" s="2" t="inlineStr">
        <is>
          <t>C*-4</t>
        </is>
      </c>
      <c r="N1004" s="7" t="n">
        <v>0.1</v>
      </c>
      <c r="O1004" s="4" t="n"/>
      <c r="P1004" s="2" t="inlineStr">
        <is>
          <t>45215100</t>
        </is>
      </c>
      <c r="Q1004" s="8" t="inlineStr">
        <is>
          <t>Ver</t>
        </is>
      </c>
      <c r="R1004" s="8" t="inlineStr">
        <is>
          <t>PCAP</t>
        </is>
      </c>
      <c r="S1004" s="9" t="n">
        <v>46314</v>
      </c>
      <c r="T1004" s="3" t="n">
        <v>46311.41351851852</v>
      </c>
      <c r="U1004" s="2" t="n"/>
    </row>
    <row r="1005">
      <c r="A1005" s="2" t="inlineStr">
        <is>
          <t>Resuelta</t>
        </is>
      </c>
      <c r="B1005" s="3" t="n">
        <v>46190.5625</v>
      </c>
      <c r="C1005" s="5" t="n">
        <v>236034.55</v>
      </c>
      <c r="D1005" s="5" t="n">
        <v>236034.55</v>
      </c>
      <c r="E1005" s="2" t="inlineStr">
        <is>
          <t>Andalucía</t>
        </is>
      </c>
      <c r="F1005" s="2" t="inlineStr">
        <is>
          <t>Cádiz</t>
        </is>
      </c>
      <c r="G1005" s="2" t="n"/>
      <c r="H1005" s="2" t="inlineStr">
        <is>
          <t>Junta de Gobierno del Ayuntamiento de Chiclana de la Frontera</t>
        </is>
      </c>
      <c r="I1005" s="2" t="inlineStr">
        <is>
          <t>Obras de caseta prefabricada para centro de transformación y canalizaciones de media y baja tensión para traslado de centro de transformación emplazado en Alameda del Río, cofinanciadas como parte del Plan de Actuación Integrado (PAI) de Chiclana de la Frontera, en el marco del Desarrollo Urbano Sostenible, con cargo a fondos FEDER en el periodo de programación 2021-2027.</t>
        </is>
      </c>
      <c r="J1005" s="2" t="inlineStr">
        <is>
          <t>27/2026</t>
        </is>
      </c>
      <c r="K1005" s="2" t="inlineStr">
        <is>
          <t>Abierto simplificado</t>
        </is>
      </c>
      <c r="L1005" s="6" t="n">
        <v>4.6</v>
      </c>
      <c r="M1005" s="2" t="n"/>
      <c r="N1005" s="7" t="n">
        <v>0.25</v>
      </c>
      <c r="O1005" s="4" t="n"/>
      <c r="P1005" s="2" t="inlineStr">
        <is>
          <t>45310000; 45311000</t>
        </is>
      </c>
      <c r="Q1005" s="8" t="inlineStr">
        <is>
          <t>Ver</t>
        </is>
      </c>
      <c r="R1005" s="8" t="inlineStr">
        <is>
          <t>PCAP</t>
        </is>
      </c>
      <c r="S1005" s="9" t="n">
        <v>46314</v>
      </c>
      <c r="T1005" s="3" t="n">
        <v>46311.41303240741</v>
      </c>
      <c r="U1005" s="2" t="n"/>
    </row>
    <row r="1006">
      <c r="A1006" s="2" t="inlineStr">
        <is>
          <t>Resuelta</t>
        </is>
      </c>
      <c r="B1006" s="3" t="n">
        <v>46234.5</v>
      </c>
      <c r="C1006" s="5" t="n">
        <v>450000</v>
      </c>
      <c r="D1006" s="5" t="n">
        <v>450000</v>
      </c>
      <c r="E1006" s="2" t="inlineStr">
        <is>
          <t>Andalucía</t>
        </is>
      </c>
      <c r="F1006" s="2" t="inlineStr">
        <is>
          <t>Málaga</t>
        </is>
      </c>
      <c r="G1006" s="2" t="inlineStr">
        <is>
          <t>Málaga</t>
        </is>
      </c>
      <c r="H1006" s="2" t="inlineStr">
        <is>
          <t>Aena. Dirección del Aeropuerto de Málaga-Costa del Sol</t>
        </is>
      </c>
      <c r="I1006" s="2" t="inlineStr">
        <is>
          <t>Despliegue Del Sistema De Llaves Inteligentes En El Aeropuerto De Málaga-Costa Del Sol</t>
        </is>
      </c>
      <c r="J1006" s="2" t="inlineStr">
        <is>
          <t>AGP-107/2026</t>
        </is>
      </c>
      <c r="K1006" s="2" t="inlineStr">
        <is>
          <t>Normas internas</t>
        </is>
      </c>
      <c r="L1006" s="6" t="n"/>
      <c r="M1006" s="2" t="n"/>
      <c r="N1006" s="7" t="n">
        <v>0</v>
      </c>
      <c r="O1006" s="4" t="n"/>
      <c r="P1006" s="2" t="inlineStr">
        <is>
          <t>45312100</t>
        </is>
      </c>
      <c r="Q1006" s="8" t="inlineStr">
        <is>
          <t>Ver</t>
        </is>
      </c>
      <c r="R1006" s="8" t="inlineStr">
        <is>
          <t>PCAP</t>
        </is>
      </c>
      <c r="S1006" s="9" t="n">
        <v>46310</v>
      </c>
      <c r="T1006" s="3" t="n">
        <v>46311.40923611111</v>
      </c>
      <c r="U1006" s="2" t="inlineStr">
        <is>
          <t>2026-10-19: estado ADJ → RES</t>
        </is>
      </c>
    </row>
    <row r="1007">
      <c r="A1007" s="2" t="inlineStr">
        <is>
          <t>Resuelta</t>
        </is>
      </c>
      <c r="B1007" s="3" t="n">
        <v>46157.99930555555</v>
      </c>
      <c r="C1007" s="5" t="n">
        <v>215874.26</v>
      </c>
      <c r="D1007" s="5" t="n">
        <v>215874.26</v>
      </c>
      <c r="E1007" s="2" t="inlineStr">
        <is>
          <t>Comunitat Valenciana</t>
        </is>
      </c>
      <c r="F1007" s="2" t="inlineStr">
        <is>
          <t>Alicante</t>
        </is>
      </c>
      <c r="G1007" s="2" t="n"/>
      <c r="H1007" s="2" t="inlineStr">
        <is>
          <t>Presidencia de la Diputación Provincial de Alicante</t>
        </is>
      </c>
      <c r="I1007" s="2" t="inlineStr">
        <is>
          <t>Obras de mejora urbana c/ Almendros de Alcalá de la Jovada, en el municipio de La Vall d'Alcalà (2024.PLA.139).</t>
        </is>
      </c>
      <c r="J1007" s="2" t="inlineStr">
        <is>
          <t>O6S-022/2026</t>
        </is>
      </c>
      <c r="K1007" s="2" t="inlineStr">
        <is>
          <t>Abierto simplificado</t>
        </is>
      </c>
      <c r="L1007" s="6" t="n">
        <v>5</v>
      </c>
      <c r="M1007" s="2" t="n"/>
      <c r="N1007" s="7" t="n">
        <v>0</v>
      </c>
      <c r="O1007" s="4" t="n"/>
      <c r="P1007" s="2" t="inlineStr">
        <is>
          <t>45200000</t>
        </is>
      </c>
      <c r="Q1007" s="8" t="inlineStr">
        <is>
          <t>Ver</t>
        </is>
      </c>
      <c r="R1007" s="8" t="inlineStr">
        <is>
          <t>PCAP</t>
        </is>
      </c>
      <c r="S1007" s="9" t="n">
        <v>46311</v>
      </c>
      <c r="T1007" s="3" t="n">
        <v>46311.40800925926</v>
      </c>
      <c r="U1007" s="2" t="inlineStr">
        <is>
          <t>2026-10-19: estado ADJ → RES</t>
        </is>
      </c>
    </row>
    <row r="1008">
      <c r="A1008" s="2" t="inlineStr">
        <is>
          <t>En plazo</t>
        </is>
      </c>
      <c r="B1008" s="3" t="n">
        <v>46325.99930555555</v>
      </c>
      <c r="C1008" s="5" t="n">
        <v>64751.8</v>
      </c>
      <c r="D1008" s="5" t="n">
        <v>64751.8</v>
      </c>
      <c r="E1008" s="2" t="inlineStr">
        <is>
          <t>Andalucía</t>
        </is>
      </c>
      <c r="F1008" s="2" t="inlineStr">
        <is>
          <t>Córdoba</t>
        </is>
      </c>
      <c r="G1008" s="2" t="n"/>
      <c r="H1008" s="2" t="inlineStr">
        <is>
          <t>Diputado delegado de Infraestructuras, Sostenibilidad y Agricultura</t>
        </is>
      </c>
      <c r="I1008" s="2" t="inlineStr">
        <is>
          <t>Contratación de la obra "Embellecimiento y mejora de peanas en la c/Julio Romero de Torres 2ª fase, en Rute (Córdoba)", obra incluida en el Plan de Humanización de Entornos Urbanos y Agenda Rural 24-27</t>
        </is>
      </c>
      <c r="J1008" s="2" t="inlineStr">
        <is>
          <t>867/26</t>
        </is>
      </c>
      <c r="K1008" s="2" t="inlineStr">
        <is>
          <t>Abierto simplificado</t>
        </is>
      </c>
      <c r="L1008" s="6" t="n">
        <v>4</v>
      </c>
      <c r="M1008" s="2" t="n"/>
      <c r="N1008" s="7" t="n">
        <v>0</v>
      </c>
      <c r="O1008" s="4" t="n"/>
      <c r="P1008" s="2" t="inlineStr">
        <is>
          <t>45233252</t>
        </is>
      </c>
      <c r="Q1008" s="8" t="inlineStr">
        <is>
          <t>Ver</t>
        </is>
      </c>
      <c r="R1008" s="8" t="inlineStr">
        <is>
          <t>PCAP</t>
        </is>
      </c>
      <c r="S1008" s="9" t="n">
        <v>46314</v>
      </c>
      <c r="T1008" s="3" t="n">
        <v>46311.40645833333</v>
      </c>
      <c r="U1008" s="2" t="n"/>
    </row>
    <row r="1009">
      <c r="A1009" s="2" t="inlineStr">
        <is>
          <t>Pendiente de adjudicación</t>
        </is>
      </c>
      <c r="B1009" s="3" t="n">
        <v>46287.58333333334</v>
      </c>
      <c r="C1009" s="5" t="n">
        <v>523679.39</v>
      </c>
      <c r="D1009" s="5" t="n">
        <v>523679.39</v>
      </c>
      <c r="E1009" s="2" t="inlineStr">
        <is>
          <t>Comunitat Valenciana</t>
        </is>
      </c>
      <c r="F1009" s="2" t="inlineStr">
        <is>
          <t>Valencia</t>
        </is>
      </c>
      <c r="G1009" s="2" t="n"/>
      <c r="H1009" s="2" t="inlineStr">
        <is>
          <t>Pleno del Ayuntamiento de Macastre</t>
        </is>
      </c>
      <c r="I1009" s="2" t="inlineStr">
        <is>
          <t>Contrato de obras de protección de desprendimientos en la ladera entre Calle Dula y el Castillo de Macastre.</t>
        </is>
      </c>
      <c r="J1009" s="2" t="inlineStr">
        <is>
          <t>883/2026</t>
        </is>
      </c>
      <c r="K1009" s="2" t="inlineStr">
        <is>
          <t>Abierto simplificado</t>
        </is>
      </c>
      <c r="L1009" s="6" t="n">
        <v>4</v>
      </c>
      <c r="M1009" s="2" t="inlineStr">
        <is>
          <t>K2-3</t>
        </is>
      </c>
      <c r="N1009" s="7" t="n">
        <v>0</v>
      </c>
      <c r="O1009" s="4" t="n"/>
      <c r="P1009" s="2" t="inlineStr">
        <is>
          <t>45111230</t>
        </is>
      </c>
      <c r="Q1009" s="8" t="inlineStr">
        <is>
          <t>Ver</t>
        </is>
      </c>
      <c r="R1009" s="8" t="inlineStr">
        <is>
          <t>PCAP</t>
        </is>
      </c>
      <c r="S1009" s="9" t="n">
        <v>46310</v>
      </c>
      <c r="T1009" s="3" t="n">
        <v>46311.40202546296</v>
      </c>
      <c r="U1009" s="2" t="n"/>
    </row>
    <row r="1010">
      <c r="A1010" s="2" t="inlineStr">
        <is>
          <t>Resuelta</t>
        </is>
      </c>
      <c r="B1010" s="3" t="n">
        <v>46286.58333333334</v>
      </c>
      <c r="C1010" s="5" t="n">
        <v>85680</v>
      </c>
      <c r="D1010" s="5" t="n">
        <v>85680</v>
      </c>
      <c r="E1010" s="2" t="inlineStr">
        <is>
          <t>Comunitat Valenciana</t>
        </is>
      </c>
      <c r="F1010" s="2" t="inlineStr">
        <is>
          <t>Castellón</t>
        </is>
      </c>
      <c r="G1010" s="2" t="n"/>
      <c r="H1010" s="2" t="inlineStr">
        <is>
          <t>Empresa de Transformación Agraria S.A.,S.M.E., M.P., (TRAGSA)</t>
        </is>
      </c>
      <c r="I1010" s="2" t="inlineStr">
        <is>
          <t>UT2 obra ejecución de las obras de revestimiento compuesto para la impermeabilización de la balsa de abastecimiento ganadero en el término municipal de Morella Castellón a adjudicar por procedimiento abierto simplificado</t>
        </is>
      </c>
      <c r="J1010" s="2" t="inlineStr">
        <is>
          <t>TSA0083894</t>
        </is>
      </c>
      <c r="K1010" s="2" t="inlineStr">
        <is>
          <t>Abierto simplificado</t>
        </is>
      </c>
      <c r="L1010" s="6" t="n">
        <v>2</v>
      </c>
      <c r="M1010" s="2" t="n"/>
      <c r="N1010" s="7" t="n">
        <v>0</v>
      </c>
      <c r="O1010" s="4" t="n"/>
      <c r="P1010" s="2" t="inlineStr">
        <is>
          <t>45261420</t>
        </is>
      </c>
      <c r="Q1010" s="8" t="inlineStr">
        <is>
          <t>Ver</t>
        </is>
      </c>
      <c r="R1010" s="8" t="inlineStr">
        <is>
          <t>PCAP</t>
        </is>
      </c>
      <c r="S1010" s="9" t="n">
        <v>46310</v>
      </c>
      <c r="T1010" s="3" t="n">
        <v>46311.39993055556</v>
      </c>
      <c r="U1010" s="2" t="inlineStr">
        <is>
          <t>2026-10-19: estado ADJ → RES</t>
        </is>
      </c>
    </row>
    <row r="1011">
      <c r="A1011" s="2" t="inlineStr">
        <is>
          <t>Pendiente de adjudicación</t>
        </is>
      </c>
      <c r="B1011" s="3" t="n">
        <v>46280.99930555555</v>
      </c>
      <c r="C1011" s="5" t="n">
        <v>269845.17</v>
      </c>
      <c r="D1011" s="5" t="n">
        <v>269845.17</v>
      </c>
      <c r="E1011" s="2" t="inlineStr">
        <is>
          <t>Andalucía</t>
        </is>
      </c>
      <c r="F1011" s="2" t="inlineStr">
        <is>
          <t>Jaén</t>
        </is>
      </c>
      <c r="G1011" s="2" t="inlineStr">
        <is>
          <t>Santiago-Pontones (Jaén)</t>
        </is>
      </c>
      <c r="H1011" s="2" t="inlineStr">
        <is>
          <t>Alcaldía del Ayuntamiento de Santiago-Pontones</t>
        </is>
      </c>
      <c r="I1011" s="2" t="inlineStr">
        <is>
          <t>Reforma de edificio para dos viviendas de protección pública energéticamente eficiente con destino a alquiler social en aldea casas de carrasco, número 27, de Santiago-Pontones, promovido por el Ayuntamiento de Santiago-Pontones, acogido al Plan de Recuperación, Transformación y Resiliencia, Financiado por la Unión Europea, NextGenerationEU.</t>
        </is>
      </c>
      <c r="J1011" s="2" t="inlineStr">
        <is>
          <t>601/2024_CC</t>
        </is>
      </c>
      <c r="K1011" s="2" t="inlineStr">
        <is>
          <t>Abierto simplificado</t>
        </is>
      </c>
      <c r="L1011" s="6" t="n"/>
      <c r="M1011" s="2" t="inlineStr">
        <is>
          <t>C8-1; C6-1; C5-1; C1-1; C9-1; C3-1; C7-1; C2-1; C4-1</t>
        </is>
      </c>
      <c r="N1011" s="7" t="n">
        <v>0</v>
      </c>
      <c r="O1011" s="4" t="n"/>
      <c r="P1011" s="2" t="inlineStr">
        <is>
          <t>45211340; 45211300</t>
        </is>
      </c>
      <c r="Q1011" s="8" t="inlineStr">
        <is>
          <t>Ver</t>
        </is>
      </c>
      <c r="R1011" s="8" t="inlineStr">
        <is>
          <t>PCAP</t>
        </is>
      </c>
      <c r="S1011" s="9" t="n">
        <v>46310</v>
      </c>
      <c r="T1011" s="3" t="n">
        <v>46311.39715277778</v>
      </c>
      <c r="U1011" s="2" t="n"/>
    </row>
    <row r="1012">
      <c r="A1012" s="2" t="inlineStr">
        <is>
          <t>Adjudicada</t>
        </is>
      </c>
      <c r="B1012" s="3" t="n">
        <v>46265.58333333334</v>
      </c>
      <c r="C1012" s="5" t="n">
        <v>84047.8</v>
      </c>
      <c r="D1012" s="5" t="n">
        <v>84047.8</v>
      </c>
      <c r="E1012" s="2" t="inlineStr">
        <is>
          <t>Comunitat Valenciana</t>
        </is>
      </c>
      <c r="F1012" s="2" t="inlineStr">
        <is>
          <t>Valencia</t>
        </is>
      </c>
      <c r="G1012" s="2" t="inlineStr">
        <is>
          <t>Requena</t>
        </is>
      </c>
      <c r="H1012" s="2" t="inlineStr">
        <is>
          <t>Alcaldía del Ayuntamiento de Requena</t>
        </is>
      </c>
      <c r="I1012" s="2" t="inlineStr">
        <is>
          <t>Reforma parcial cafetería y aledaños del Centro Social de Casas de Eufemia</t>
        </is>
      </c>
      <c r="J1012" s="2" t="inlineStr">
        <is>
          <t>2910093X</t>
        </is>
      </c>
      <c r="K1012" s="2" t="inlineStr">
        <is>
          <t>Abierto simplificado</t>
        </is>
      </c>
      <c r="L1012" s="6" t="n">
        <v>3</v>
      </c>
      <c r="M1012" s="2" t="n"/>
      <c r="N1012" s="7" t="n">
        <v>0</v>
      </c>
      <c r="O1012" s="4" t="n"/>
      <c r="P1012" s="2" t="inlineStr">
        <is>
          <t>45000000</t>
        </is>
      </c>
      <c r="Q1012" s="8" t="inlineStr">
        <is>
          <t>Ver</t>
        </is>
      </c>
      <c r="R1012" s="8" t="inlineStr">
        <is>
          <t>PCAP</t>
        </is>
      </c>
      <c r="S1012" s="9" t="n">
        <v>46314</v>
      </c>
      <c r="T1012" s="3" t="n">
        <v>46311.39710648148</v>
      </c>
      <c r="U1012" s="2" t="n"/>
    </row>
    <row r="1013">
      <c r="A1013" s="2" t="inlineStr">
        <is>
          <t>Adjudicada</t>
        </is>
      </c>
      <c r="B1013" s="3" t="n">
        <v>46128.58333333334</v>
      </c>
      <c r="C1013" s="5" t="n">
        <v>3616207.43</v>
      </c>
      <c r="D1013" s="5" t="n">
        <v>3977828.17</v>
      </c>
      <c r="E1013" s="2" t="inlineStr">
        <is>
          <t>Comunitat Valenciana</t>
        </is>
      </c>
      <c r="F1013" s="2" t="inlineStr">
        <is>
          <t>Alicante</t>
        </is>
      </c>
      <c r="G1013" s="2" t="inlineStr">
        <is>
          <t>Dénia, Alicante</t>
        </is>
      </c>
      <c r="H1013" s="2" t="inlineStr">
        <is>
          <t>Dirección General de Gestión Económica, Contratación e Infraestructuras de la Conselleria de Sanidad</t>
        </is>
      </c>
      <c r="I1013" s="2" t="inlineStr">
        <is>
          <t>obras mediante procedimiento abierto, para la mejora de la eficiencia energetica de la produccion del sistema de refrigeracion del hospital la pedrera (denia).</t>
        </is>
      </c>
      <c r="J1013" s="2" t="inlineStr">
        <is>
          <t>82/2026</t>
        </is>
      </c>
      <c r="K1013" s="2" t="inlineStr">
        <is>
          <t>Abierto</t>
        </is>
      </c>
      <c r="L1013" s="6" t="n">
        <v>9</v>
      </c>
      <c r="M1013" s="2" t="inlineStr">
        <is>
          <t>J2-4</t>
        </is>
      </c>
      <c r="N1013" s="7" t="n">
        <v>0.1</v>
      </c>
      <c r="O1013" s="4" t="n"/>
      <c r="P1013" s="2" t="inlineStr">
        <is>
          <t>45331220</t>
        </is>
      </c>
      <c r="Q1013" s="8" t="inlineStr">
        <is>
          <t>Ver</t>
        </is>
      </c>
      <c r="R1013" s="8" t="inlineStr">
        <is>
          <t>PCAP</t>
        </is>
      </c>
      <c r="S1013" s="9" t="n">
        <v>46314</v>
      </c>
      <c r="T1013" s="3" t="n">
        <v>46311.39643518518</v>
      </c>
      <c r="U1013" s="2" t="n"/>
    </row>
    <row r="1014">
      <c r="A1014" s="2" t="inlineStr">
        <is>
          <t>Pendiente de adjudicación</t>
        </is>
      </c>
      <c r="B1014" s="3" t="n">
        <v>46288.58333333334</v>
      </c>
      <c r="C1014" s="5" t="n">
        <v>175123.22</v>
      </c>
      <c r="D1014" s="5" t="n">
        <v>175123.22</v>
      </c>
      <c r="E1014" s="2" t="inlineStr">
        <is>
          <t>Andalucía</t>
        </is>
      </c>
      <c r="F1014" s="2" t="inlineStr">
        <is>
          <t>Sevilla</t>
        </is>
      </c>
      <c r="G1014" s="2" t="n"/>
      <c r="H1014" s="2" t="inlineStr">
        <is>
          <t>Junta de Gobierno Local del Ayuntamiento de Osuna</t>
        </is>
      </c>
      <c r="I1014" s="2" t="inlineStr">
        <is>
          <t>Reforzamiento de la red de saneamiento en la calle Arcipreste Valderrama de Osuna (Sevilla). Subvención de la Consejería de Justicia, Administración local y función pública de la Junta de Andalucía, dentro del ámbito del Plan de Cooperación Municipal</t>
        </is>
      </c>
      <c r="J1014" s="2" t="inlineStr">
        <is>
          <t>2342/2026</t>
        </is>
      </c>
      <c r="K1014" s="2" t="inlineStr">
        <is>
          <t>Abierto</t>
        </is>
      </c>
      <c r="L1014" s="6" t="n">
        <v>8</v>
      </c>
      <c r="M1014" s="2" t="n"/>
      <c r="N1014" s="7" t="n">
        <v>0.45</v>
      </c>
      <c r="O1014" s="4" t="n"/>
      <c r="P1014" s="2" t="inlineStr">
        <is>
          <t>45232400; 45233252; 45232150</t>
        </is>
      </c>
      <c r="Q1014" s="8" t="inlineStr">
        <is>
          <t>Ver</t>
        </is>
      </c>
      <c r="R1014" s="8" t="inlineStr">
        <is>
          <t>PCAP</t>
        </is>
      </c>
      <c r="S1014" s="9" t="n">
        <v>46310</v>
      </c>
      <c r="T1014" s="3" t="n">
        <v>46311.39373842593</v>
      </c>
      <c r="U1014" s="2" t="n"/>
    </row>
    <row r="1015">
      <c r="A1015" s="2" t="inlineStr">
        <is>
          <t>Resuelta</t>
        </is>
      </c>
      <c r="B1015" s="3" t="n">
        <v>46296.35416666666</v>
      </c>
      <c r="C1015" s="5" t="n">
        <v>30924.58</v>
      </c>
      <c r="D1015" s="5" t="n">
        <v>30924.58</v>
      </c>
      <c r="E1015" s="2" t="inlineStr">
        <is>
          <t>Andalucía</t>
        </is>
      </c>
      <c r="F1015" s="2" t="inlineStr">
        <is>
          <t>Cádiz</t>
        </is>
      </c>
      <c r="G1015" s="2" t="n"/>
      <c r="H1015" s="2" t="inlineStr">
        <is>
          <t>Intendente de San Fernando</t>
        </is>
      </c>
      <c r="I1015" s="2" t="inlineStr">
        <is>
          <t>INFRA 26-061 CB Reparaciones de línea eléctrica en baja tensión en canalización subterránea en la Clica. Lote 7</t>
        </is>
      </c>
      <c r="J1015" s="2" t="inlineStr">
        <is>
          <t>2026/AR43U/00002530E</t>
        </is>
      </c>
      <c r="K1015" s="2" t="inlineStr">
        <is>
          <t>Abierto</t>
        </is>
      </c>
      <c r="L1015" s="6" t="n">
        <v>0.3</v>
      </c>
      <c r="M1015" s="2" t="n"/>
      <c r="N1015" s="7" t="n">
        <v>0</v>
      </c>
      <c r="O1015" s="4" t="n"/>
      <c r="P1015" s="2" t="inlineStr">
        <is>
          <t>45310000</t>
        </is>
      </c>
      <c r="Q1015" s="8" t="inlineStr">
        <is>
          <t>Ver</t>
        </is>
      </c>
      <c r="R1015" s="8" t="inlineStr">
        <is>
          <t>PCAP</t>
        </is>
      </c>
      <c r="S1015" s="9" t="n">
        <v>46310</v>
      </c>
      <c r="T1015" s="3" t="n">
        <v>46311.39293981482</v>
      </c>
      <c r="U1015" s="2" t="n"/>
    </row>
    <row r="1016">
      <c r="A1016" s="2" t="inlineStr">
        <is>
          <t>Pendiente de adjudicación</t>
        </is>
      </c>
      <c r="B1016" s="3" t="n">
        <v>46310.99930555555</v>
      </c>
      <c r="C1016" s="5" t="n">
        <v>58267.78</v>
      </c>
      <c r="D1016" s="5" t="n">
        <v>58267.78</v>
      </c>
      <c r="E1016" s="2" t="inlineStr">
        <is>
          <t>Andalucía</t>
        </is>
      </c>
      <c r="F1016" s="2" t="inlineStr">
        <is>
          <t>Jaén</t>
        </is>
      </c>
      <c r="G1016" s="2" t="inlineStr">
        <is>
          <t>Lahiguera</t>
        </is>
      </c>
      <c r="H1016" s="2" t="inlineStr">
        <is>
          <t>Alcaldía del Ayuntamiento de Lahiguera</t>
        </is>
      </c>
      <c r="I1016" s="2" t="inlineStr">
        <is>
          <t>Nueva zona deportiva para fomento del envejecimiento activo en la piscina municipal de Lahiguera (Jaén).</t>
        </is>
      </c>
      <c r="J1016" s="2" t="inlineStr">
        <is>
          <t>491/2026</t>
        </is>
      </c>
      <c r="K1016" s="2" t="inlineStr">
        <is>
          <t>Abierto simplificado</t>
        </is>
      </c>
      <c r="L1016" s="6" t="n">
        <v>4</v>
      </c>
      <c r="M1016" s="2" t="n"/>
      <c r="N1016" s="7" t="n">
        <v>0</v>
      </c>
      <c r="O1016" s="4" t="n"/>
      <c r="P1016" s="2" t="inlineStr">
        <is>
          <t>45212200; 45212290; 45000000</t>
        </is>
      </c>
      <c r="Q1016" s="8" t="inlineStr">
        <is>
          <t>Ver</t>
        </is>
      </c>
      <c r="R1016" s="8" t="inlineStr">
        <is>
          <t>PCAP</t>
        </is>
      </c>
      <c r="S1016" s="9" t="n">
        <v>46314</v>
      </c>
      <c r="T1016" s="3" t="n">
        <v>46311.39043981482</v>
      </c>
      <c r="U1016" s="2" t="n"/>
    </row>
    <row r="1017">
      <c r="A1017" s="2" t="inlineStr">
        <is>
          <t>En plazo</t>
        </is>
      </c>
      <c r="B1017" s="3" t="n">
        <v>46323.41666666666</v>
      </c>
      <c r="C1017" s="5" t="n">
        <v>87105.03999999999</v>
      </c>
      <c r="D1017" s="5" t="n">
        <v>87105.03999999999</v>
      </c>
      <c r="E1017" s="2" t="inlineStr">
        <is>
          <t>Andalucía</t>
        </is>
      </c>
      <c r="F1017" s="2" t="inlineStr">
        <is>
          <t>Sevilla</t>
        </is>
      </c>
      <c r="G1017" s="2" t="n"/>
      <c r="H1017" s="2" t="inlineStr">
        <is>
          <t>ADIF - Presidencia</t>
        </is>
      </c>
      <c r="I1017" s="2" t="inlineStr">
        <is>
          <t>Obras de ejecución del proyecto simplificado de mejora de las instalaciones de la estación de Marchena (Sevilla).</t>
        </is>
      </c>
      <c r="J1017" s="2" t="inlineStr">
        <is>
          <t>3.26/32108.0164</t>
        </is>
      </c>
      <c r="K1017" s="2" t="inlineStr">
        <is>
          <t>Abierto simplificado</t>
        </is>
      </c>
      <c r="L1017" s="6" t="n">
        <v>5</v>
      </c>
      <c r="M1017" s="2" t="n"/>
      <c r="N1017" s="7" t="n">
        <v>0</v>
      </c>
      <c r="O1017" s="4" t="n"/>
      <c r="P1017" s="2" t="inlineStr">
        <is>
          <t>45453000</t>
        </is>
      </c>
      <c r="Q1017" s="8" t="inlineStr">
        <is>
          <t>Ver</t>
        </is>
      </c>
      <c r="R1017" s="8" t="inlineStr">
        <is>
          <t>PCAP</t>
        </is>
      </c>
      <c r="S1017" s="9" t="n">
        <v>46310</v>
      </c>
      <c r="T1017" s="3" t="n">
        <v>46311.39019675926</v>
      </c>
      <c r="U1017" s="2" t="n"/>
    </row>
    <row r="1018">
      <c r="A1018" s="2" t="inlineStr">
        <is>
          <t>Pendiente de adjudicación</t>
        </is>
      </c>
      <c r="B1018" s="3" t="n">
        <v>46303.99930555555</v>
      </c>
      <c r="C1018" s="5" t="n">
        <v>44165.57</v>
      </c>
      <c r="D1018" s="5" t="n">
        <v>48582.12</v>
      </c>
      <c r="E1018" s="2" t="inlineStr">
        <is>
          <t>Comunitat Valenciana</t>
        </is>
      </c>
      <c r="F1018" s="2" t="inlineStr">
        <is>
          <t>Castellón</t>
        </is>
      </c>
      <c r="G1018" s="2" t="n"/>
      <c r="H1018" s="2" t="inlineStr">
        <is>
          <t>Junta de Gobierno del Ayuntamiento de La Vall d'Uixó</t>
        </is>
      </c>
      <c r="I1018" s="2" t="inlineStr">
        <is>
          <t>Obras de remodelación viaria de la C/ Sanchis Tarazona entre la Pza. Del Centro y la C/ Concepción ( PLAN IMPULSA)</t>
        </is>
      </c>
      <c r="J1018" s="2" t="inlineStr">
        <is>
          <t>JGL-OBR/2026000046</t>
        </is>
      </c>
      <c r="K1018" s="2" t="inlineStr">
        <is>
          <t>Abierto simplificado</t>
        </is>
      </c>
      <c r="L1018" s="6" t="n">
        <v>2</v>
      </c>
      <c r="M1018" s="2" t="n"/>
      <c r="N1018" s="7" t="n">
        <v>0</v>
      </c>
      <c r="O1018" s="4" t="n"/>
      <c r="P1018" s="2" t="inlineStr">
        <is>
          <t>45233200</t>
        </is>
      </c>
      <c r="Q1018" s="8" t="inlineStr">
        <is>
          <t>Ver</t>
        </is>
      </c>
      <c r="R1018" s="8" t="inlineStr">
        <is>
          <t>PCAP</t>
        </is>
      </c>
      <c r="S1018" s="9" t="n">
        <v>46314</v>
      </c>
      <c r="T1018" s="3" t="n">
        <v>46311.38953703704</v>
      </c>
      <c r="U1018" s="2" t="n"/>
    </row>
    <row r="1019">
      <c r="A1019" s="2" t="inlineStr">
        <is>
          <t>Pendiente de adjudicación</t>
        </is>
      </c>
      <c r="B1019" s="3" t="n">
        <v>46302.99930555555</v>
      </c>
      <c r="C1019" s="5" t="n">
        <v>46392.86</v>
      </c>
      <c r="D1019" s="5" t="n">
        <v>46392.86</v>
      </c>
      <c r="E1019" s="2" t="inlineStr">
        <is>
          <t>Comunitat Valenciana</t>
        </is>
      </c>
      <c r="F1019" s="2" t="inlineStr">
        <is>
          <t>Valencia</t>
        </is>
      </c>
      <c r="G1019" s="2" t="inlineStr">
        <is>
          <t>Mislata</t>
        </is>
      </c>
      <c r="H1019" s="2" t="inlineStr">
        <is>
          <t>Alcaldía del Ayuntamiento de Mislata</t>
        </is>
      </c>
      <c r="I1019" s="2" t="inlineStr">
        <is>
          <t>Ejecución de la obra denominada Reconstrucción de los contenedores soterrados dispuestos en la Avenida de la Paz de Mislata, financiada por la Administración General del Estado, a través del Ministerio de Política Territorial y Memoria Democrática.</t>
        </is>
      </c>
      <c r="J1019" s="2" t="inlineStr">
        <is>
          <t>26-O-11</t>
        </is>
      </c>
      <c r="K1019" s="2" t="inlineStr">
        <is>
          <t>Abierto simplificado</t>
        </is>
      </c>
      <c r="L1019" s="6" t="n">
        <v>5</v>
      </c>
      <c r="M1019" s="2" t="n"/>
      <c r="N1019" s="7" t="n">
        <v>0</v>
      </c>
      <c r="O1019" s="4" t="n"/>
      <c r="P1019" s="2" t="inlineStr">
        <is>
          <t>45233222; 45351000; 45310000</t>
        </is>
      </c>
      <c r="Q1019" s="8" t="inlineStr">
        <is>
          <t>Ver</t>
        </is>
      </c>
      <c r="R1019" s="8" t="inlineStr">
        <is>
          <t>PCAP</t>
        </is>
      </c>
      <c r="S1019" s="9" t="n">
        <v>46314</v>
      </c>
      <c r="T1019" s="3" t="n">
        <v>46311.38917824074</v>
      </c>
      <c r="U1019" s="2" t="n"/>
    </row>
    <row r="1020">
      <c r="A1020" s="2" t="inlineStr">
        <is>
          <t>Adjudicada</t>
        </is>
      </c>
      <c r="B1020" s="3" t="n">
        <v>46260.99930555555</v>
      </c>
      <c r="C1020" s="5" t="n">
        <v>398798.83</v>
      </c>
      <c r="D1020" s="5" t="n">
        <v>398798.83</v>
      </c>
      <c r="E1020" s="2" t="inlineStr">
        <is>
          <t>Comunitat Valenciana</t>
        </is>
      </c>
      <c r="F1020" s="2" t="inlineStr">
        <is>
          <t>Castellón</t>
        </is>
      </c>
      <c r="G1020" s="2" t="n"/>
      <c r="H1020" s="2" t="inlineStr">
        <is>
          <t>Junta de Gobierno del Ayuntamiento de Castellón de la Plana</t>
        </is>
      </c>
      <c r="I1020" s="2" t="inlineStr">
        <is>
          <t>Obras de adecuación a normativa de los ascensores en edificios del Ayuntamiento de Castelló de la Plana</t>
        </is>
      </c>
      <c r="J1020" s="2" t="inlineStr">
        <is>
          <t>58157/2026</t>
        </is>
      </c>
      <c r="K1020" s="2" t="inlineStr">
        <is>
          <t>Abierto</t>
        </is>
      </c>
      <c r="L1020" s="6" t="n">
        <v>4</v>
      </c>
      <c r="M1020" s="2" t="n"/>
      <c r="N1020" s="7" t="n">
        <v>0.364</v>
      </c>
      <c r="O1020" s="4" t="n"/>
      <c r="P1020" s="2" t="inlineStr">
        <is>
          <t>45313100; 45331210; 45310000; 45350000</t>
        </is>
      </c>
      <c r="Q1020" s="8" t="inlineStr">
        <is>
          <t>Ver</t>
        </is>
      </c>
      <c r="R1020" s="8" t="inlineStr">
        <is>
          <t>PCAP</t>
        </is>
      </c>
      <c r="S1020" s="9" t="n">
        <v>46314</v>
      </c>
      <c r="T1020" s="3" t="n">
        <v>46311.38188657408</v>
      </c>
      <c r="U1020" s="2" t="n"/>
    </row>
    <row r="1021">
      <c r="A1021" s="2" t="inlineStr">
        <is>
          <t>Resuelta</t>
        </is>
      </c>
      <c r="B1021" s="3" t="n">
        <v>46308.99930555555</v>
      </c>
      <c r="C1021" s="5" t="n">
        <v>114889.02</v>
      </c>
      <c r="D1021" s="5" t="n">
        <v>114889.02</v>
      </c>
      <c r="E1021" s="2" t="inlineStr">
        <is>
          <t>Andalucía</t>
        </is>
      </c>
      <c r="F1021" s="2" t="inlineStr">
        <is>
          <t>Málaga</t>
        </is>
      </c>
      <c r="G1021" s="2" t="inlineStr">
        <is>
          <t>Villanueva del Rosario</t>
        </is>
      </c>
      <c r="H1021" s="2" t="inlineStr">
        <is>
          <t>Alcaldía del Ayuntamiento de Villanueva del Rosario</t>
        </is>
      </c>
      <c r="I1021" s="2" t="inlineStr">
        <is>
          <t>El objeto de la licitación es la ejecución de las Obras contempladas en el Proyecto de Obras de demolición y cerramiento provisional de almacén municipal (PO-IM 7/2026).</t>
        </is>
      </c>
      <c r="J1021" s="2" t="inlineStr">
        <is>
          <t>VR20261775</t>
        </is>
      </c>
      <c r="K1021" s="2" t="inlineStr">
        <is>
          <t>Abierto simplificado</t>
        </is>
      </c>
      <c r="L1021" s="6" t="n">
        <v>4</v>
      </c>
      <c r="M1021" s="2" t="n"/>
      <c r="N1021" s="7" t="n">
        <v>0</v>
      </c>
      <c r="O1021" s="4" t="n"/>
      <c r="P1021" s="2" t="inlineStr">
        <is>
          <t>45111000; 45262660; 45000000; 45261000</t>
        </is>
      </c>
      <c r="Q1021" s="8" t="inlineStr">
        <is>
          <t>Ver</t>
        </is>
      </c>
      <c r="R1021" s="8" t="inlineStr">
        <is>
          <t>PCAP</t>
        </is>
      </c>
      <c r="S1021" s="9" t="n">
        <v>46314</v>
      </c>
      <c r="T1021" s="3" t="n">
        <v>46311.38104166667</v>
      </c>
      <c r="U1021" s="2" t="n"/>
    </row>
    <row r="1022">
      <c r="A1022" s="2" t="inlineStr">
        <is>
          <t>Anuncio previo</t>
        </is>
      </c>
      <c r="B1022" s="3" t="n"/>
      <c r="C1022" s="5" t="n">
        <v>15851835.13</v>
      </c>
      <c r="D1022" s="5" t="n">
        <v>15851835.13</v>
      </c>
      <c r="E1022" s="2" t="inlineStr">
        <is>
          <t>Andalucía</t>
        </is>
      </c>
      <c r="F1022" s="2" t="inlineStr">
        <is>
          <t>Granada</t>
        </is>
      </c>
      <c r="G1022" s="2" t="n"/>
      <c r="H1022" s="2" t="inlineStr">
        <is>
          <t>Pleno de la Diputación Provincial de Granada</t>
        </is>
      </c>
      <c r="I1022" s="2" t="inlineStr">
        <is>
          <t>Obra de equipamiento de interés público y social senior tropical y centro de día para adultos con necesidades especiales 2024/4/mante-4 y 2026/2/edils 06-15, cofinanciado en un 85% por la unión europea, a través del fondo europeo de desarrollo regional, Feder, en el marco del programa plurirregional de España 2021-2027, dentro de la estrategia de desarrollo integrado local, plan Edil</t>
        </is>
      </c>
      <c r="J1022" s="2" t="inlineStr">
        <is>
          <t>OB-083/26</t>
        </is>
      </c>
      <c r="K1022" s="2" t="inlineStr">
        <is>
          <t>Abierto</t>
        </is>
      </c>
      <c r="L1022" s="6" t="n"/>
      <c r="M1022" s="2" t="n"/>
      <c r="N1022" s="7" t="n"/>
      <c r="O1022" s="4" t="n"/>
      <c r="P1022" s="2" t="inlineStr">
        <is>
          <t>45215221; 45210000</t>
        </is>
      </c>
      <c r="Q1022" s="8" t="inlineStr">
        <is>
          <t>Ver</t>
        </is>
      </c>
      <c r="R1022" s="2" t="n"/>
      <c r="S1022" s="9" t="n">
        <v>46311</v>
      </c>
      <c r="T1022" s="3" t="n">
        <v>46311.375</v>
      </c>
      <c r="U1022" s="2" t="n"/>
    </row>
    <row r="1023">
      <c r="A1023" s="2" t="inlineStr">
        <is>
          <t>Resuelta</t>
        </is>
      </c>
      <c r="B1023" s="3" t="n">
        <v>46296.35416666666</v>
      </c>
      <c r="C1023" s="5" t="n">
        <v>112882.05</v>
      </c>
      <c r="D1023" s="5" t="n">
        <v>112882.05</v>
      </c>
      <c r="E1023" s="2" t="inlineStr">
        <is>
          <t>Andalucía</t>
        </is>
      </c>
      <c r="F1023" s="2" t="inlineStr">
        <is>
          <t>Cádiz</t>
        </is>
      </c>
      <c r="G1023" s="2" t="n"/>
      <c r="H1023" s="2" t="inlineStr">
        <is>
          <t>Intendente de San Fernando</t>
        </is>
      </c>
      <c r="I1023" s="2" t="inlineStr">
        <is>
          <t>INFRA 26-050 CB Resanado elementos estructurales en edificio Barrio industrial Esubo. Lote 1</t>
        </is>
      </c>
      <c r="J1023" s="2" t="inlineStr">
        <is>
          <t>2026/AR43U/00002548E</t>
        </is>
      </c>
      <c r="K1023" s="2" t="inlineStr">
        <is>
          <t>Abierto</t>
        </is>
      </c>
      <c r="L1023" s="6" t="n">
        <v>3.7</v>
      </c>
      <c r="M1023" s="2" t="n"/>
      <c r="N1023" s="7" t="n">
        <v>0</v>
      </c>
      <c r="O1023" s="4" t="n"/>
      <c r="P1023" s="2" t="inlineStr">
        <is>
          <t>45000000</t>
        </is>
      </c>
      <c r="Q1023" s="8" t="inlineStr">
        <is>
          <t>Ver</t>
        </is>
      </c>
      <c r="R1023" s="8" t="inlineStr">
        <is>
          <t>PCAP</t>
        </is>
      </c>
      <c r="S1023" s="9" t="n">
        <v>46311</v>
      </c>
      <c r="T1023" s="3" t="n">
        <v>46311.37362268518</v>
      </c>
      <c r="U1023" s="2" t="n"/>
    </row>
    <row r="1024">
      <c r="A1024" s="2" t="inlineStr">
        <is>
          <t>Adjudicada</t>
        </is>
      </c>
      <c r="B1024" s="3" t="n">
        <v>46289.99930555555</v>
      </c>
      <c r="C1024" s="5" t="n">
        <v>183051.18</v>
      </c>
      <c r="D1024" s="5" t="n">
        <v>183051.18</v>
      </c>
      <c r="E1024" s="2" t="inlineStr">
        <is>
          <t>Andalucía</t>
        </is>
      </c>
      <c r="F1024" s="2" t="inlineStr">
        <is>
          <t>Almería</t>
        </is>
      </c>
      <c r="G1024" s="2" t="inlineStr">
        <is>
          <t>Albox</t>
        </is>
      </c>
      <c r="H1024" s="2" t="inlineStr">
        <is>
          <t>Alcaldía del Ayuntamiento de Albox</t>
        </is>
      </c>
      <c r="I1024" s="2" t="inlineStr">
        <is>
          <t>Obras de Saneamiento y pavimentacion para reparacion de daños por roturas y arrastres en varias calles por temporal 2026, varios lotes. (Subvencion FMA 2026)</t>
        </is>
      </c>
      <c r="J1024" s="2" t="inlineStr">
        <is>
          <t>29/2026-G1815</t>
        </is>
      </c>
      <c r="K1024" s="2" t="inlineStr">
        <is>
          <t>Abierto simplificado</t>
        </is>
      </c>
      <c r="L1024" s="6" t="n">
        <v>3</v>
      </c>
      <c r="M1024" s="2" t="n"/>
      <c r="N1024" s="7" t="n">
        <v>0.25</v>
      </c>
      <c r="O1024" s="4" t="n">
        <v>3</v>
      </c>
      <c r="P1024" s="2" t="inlineStr">
        <is>
          <t>45232410; 45233252</t>
        </is>
      </c>
      <c r="Q1024" s="8" t="inlineStr">
        <is>
          <t>Ver</t>
        </is>
      </c>
      <c r="R1024" s="8" t="inlineStr">
        <is>
          <t>PCAP</t>
        </is>
      </c>
      <c r="S1024" s="9" t="n">
        <v>46314</v>
      </c>
      <c r="T1024" s="3" t="n">
        <v>46311.37320601852</v>
      </c>
      <c r="U1024" s="2" t="n"/>
    </row>
    <row r="1025">
      <c r="A1025" s="2" t="inlineStr">
        <is>
          <t>Pendiente de adjudicación</t>
        </is>
      </c>
      <c r="B1025" s="3" t="n">
        <v>46302.99930555555</v>
      </c>
      <c r="C1025" s="5" t="n">
        <v>195218.29</v>
      </c>
      <c r="D1025" s="5" t="n">
        <v>253783.78</v>
      </c>
      <c r="E1025" s="2" t="inlineStr">
        <is>
          <t>Comunitat Valenciana</t>
        </is>
      </c>
      <c r="F1025" s="2" t="inlineStr">
        <is>
          <t>Valencia</t>
        </is>
      </c>
      <c r="G1025" s="2" t="n"/>
      <c r="H1025" s="2" t="inlineStr">
        <is>
          <t>Consorcio Hospital General Universitario de Valencia</t>
        </is>
      </c>
      <c r="I1025" s="2" t="inlineStr">
        <is>
          <t>Es la ejecuciin de la obra de derribo del edificio de cogeneración del hospital general universitario de valencia</t>
        </is>
      </c>
      <c r="J1025" s="2" t="inlineStr">
        <is>
          <t>CMAYOR/2026/HGUV/2032</t>
        </is>
      </c>
      <c r="K1025" s="2" t="inlineStr">
        <is>
          <t>Abierto simplificado</t>
        </is>
      </c>
      <c r="L1025" s="6" t="n">
        <v>2.1</v>
      </c>
      <c r="M1025" s="2" t="n"/>
      <c r="N1025" s="7" t="n">
        <v>0.25</v>
      </c>
      <c r="O1025" s="4" t="n"/>
      <c r="P1025" s="2" t="inlineStr">
        <is>
          <t>45215140; 45215100</t>
        </is>
      </c>
      <c r="Q1025" s="8" t="inlineStr">
        <is>
          <t>Ver</t>
        </is>
      </c>
      <c r="R1025" s="8" t="inlineStr">
        <is>
          <t>PCAP</t>
        </is>
      </c>
      <c r="S1025" s="9" t="n">
        <v>46314</v>
      </c>
      <c r="T1025" s="3" t="n">
        <v>46311.3708449074</v>
      </c>
      <c r="U1025" s="2" t="n"/>
    </row>
    <row r="1026">
      <c r="A1026" s="2" t="inlineStr">
        <is>
          <t>En plazo</t>
        </is>
      </c>
      <c r="B1026" s="3" t="n">
        <v>46324.99930555555</v>
      </c>
      <c r="C1026" s="5" t="n">
        <v>82644.63</v>
      </c>
      <c r="D1026" s="5" t="n">
        <v>82644.63</v>
      </c>
      <c r="E1026" s="2" t="inlineStr">
        <is>
          <t>Andalucía</t>
        </is>
      </c>
      <c r="F1026" s="2" t="inlineStr">
        <is>
          <t>Sevilla</t>
        </is>
      </c>
      <c r="G1026" s="2" t="inlineStr">
        <is>
          <t>Morón de la Frontera</t>
        </is>
      </c>
      <c r="H1026" s="2" t="inlineStr">
        <is>
          <t>Alcaldía del Ayuntamiento de Morón de la Frontera</t>
        </is>
      </c>
      <c r="I1026" s="2" t="inlineStr">
        <is>
          <t>Ejecución de las obras definidas en el proyecto técnico denominado "Mejoras en instalaciones de juegos infantiles y gimnásticos".</t>
        </is>
      </c>
      <c r="J1026" s="2" t="inlineStr">
        <is>
          <t>1113/2026</t>
        </is>
      </c>
      <c r="K1026" s="2" t="inlineStr">
        <is>
          <t>Abierto simplificado</t>
        </is>
      </c>
      <c r="L1026" s="6" t="n">
        <v>3</v>
      </c>
      <c r="M1026" s="2" t="n"/>
      <c r="N1026" s="7" t="n">
        <v>0.2</v>
      </c>
      <c r="O1026" s="4" t="n"/>
      <c r="P1026" s="2" t="inlineStr">
        <is>
          <t>45212140; 45236210; 37440000; 45236290; 45212200; 37535200; 37410000</t>
        </is>
      </c>
      <c r="Q1026" s="8" t="inlineStr">
        <is>
          <t>Ver</t>
        </is>
      </c>
      <c r="R1026" s="8" t="inlineStr">
        <is>
          <t>PCAP</t>
        </is>
      </c>
      <c r="S1026" s="9" t="n">
        <v>46310</v>
      </c>
      <c r="T1026" s="3" t="n">
        <v>46311.3669212963</v>
      </c>
      <c r="U1026" s="2" t="n"/>
    </row>
    <row r="1027">
      <c r="A1027" s="2" t="inlineStr">
        <is>
          <t>Resuelta</t>
        </is>
      </c>
      <c r="B1027" s="3" t="n">
        <v>46223.99930555555</v>
      </c>
      <c r="C1027" s="5" t="n">
        <v>194214.88</v>
      </c>
      <c r="D1027" s="5" t="n">
        <v>194214.88</v>
      </c>
      <c r="E1027" s="2" t="inlineStr">
        <is>
          <t>Comunitat Valenciana</t>
        </is>
      </c>
      <c r="F1027" s="2" t="inlineStr">
        <is>
          <t>Valencia</t>
        </is>
      </c>
      <c r="G1027" s="2" t="n"/>
      <c r="H1027" s="2" t="inlineStr">
        <is>
          <t>Alcaldía del Ayuntamiento de Mislata</t>
        </is>
      </c>
      <c r="I1027" s="2" t="inlineStr">
        <is>
          <t>Ejecución de la obra denominada "Reforma del alumbrado público en diversas zonas del municipio de Mislata".</t>
        </is>
      </c>
      <c r="J1027" s="2" t="inlineStr">
        <is>
          <t>26-O-05</t>
        </is>
      </c>
      <c r="K1027" s="2" t="inlineStr">
        <is>
          <t>Abierto simplificado</t>
        </is>
      </c>
      <c r="L1027" s="6" t="n">
        <v>5</v>
      </c>
      <c r="M1027" s="2" t="n"/>
      <c r="N1027" s="7" t="n">
        <v>0</v>
      </c>
      <c r="O1027" s="4" t="n"/>
      <c r="P1027" s="2" t="inlineStr">
        <is>
          <t>45310000; 45316100; 45311100; 45311200</t>
        </is>
      </c>
      <c r="Q1027" s="8" t="inlineStr">
        <is>
          <t>Ver</t>
        </is>
      </c>
      <c r="R1027" s="8" t="inlineStr">
        <is>
          <t>PCAP</t>
        </is>
      </c>
      <c r="S1027" s="9" t="n">
        <v>46311</v>
      </c>
      <c r="T1027" s="3" t="n">
        <v>46311.3630324074</v>
      </c>
      <c r="U1027" s="2" t="inlineStr">
        <is>
          <t>2026-10-19: estado ADJ → RES</t>
        </is>
      </c>
    </row>
    <row r="1028">
      <c r="A1028" s="2" t="inlineStr">
        <is>
          <t>En plazo</t>
        </is>
      </c>
      <c r="B1028" s="3" t="n">
        <v>46324.99930555555</v>
      </c>
      <c r="C1028" s="5" t="n">
        <v>198888.96</v>
      </c>
      <c r="D1028" s="5" t="n">
        <v>198888.96</v>
      </c>
      <c r="E1028" s="2" t="inlineStr">
        <is>
          <t>Andalucía</t>
        </is>
      </c>
      <c r="F1028" s="2" t="inlineStr">
        <is>
          <t>Cádiz</t>
        </is>
      </c>
      <c r="G1028" s="2" t="inlineStr">
        <is>
          <t>San Roque</t>
        </is>
      </c>
      <c r="H1028" s="2" t="inlineStr">
        <is>
          <t>Alcaldía del Ayuntamiento de San Roque</t>
        </is>
      </c>
      <c r="I1028" s="2" t="inlineStr">
        <is>
          <t>Reparación de las cubiertas del Asilo Municipal y antigua Casa Consistorial</t>
        </is>
      </c>
      <c r="J1028" s="2" t="inlineStr">
        <is>
          <t>5599/2026</t>
        </is>
      </c>
      <c r="K1028" s="2" t="inlineStr">
        <is>
          <t>Abierto simplificado</t>
        </is>
      </c>
      <c r="L1028" s="6" t="n">
        <v>2</v>
      </c>
      <c r="M1028" s="2" t="n"/>
      <c r="N1028" s="7" t="n">
        <v>0</v>
      </c>
      <c r="O1028" s="4" t="n"/>
      <c r="P1028" s="2" t="inlineStr">
        <is>
          <t>45259000</t>
        </is>
      </c>
      <c r="Q1028" s="8" t="inlineStr">
        <is>
          <t>Ver</t>
        </is>
      </c>
      <c r="R1028" s="8" t="inlineStr">
        <is>
          <t>PCAP</t>
        </is>
      </c>
      <c r="S1028" s="9" t="n">
        <v>46314</v>
      </c>
      <c r="T1028" s="3" t="n">
        <v>46311.36070601852</v>
      </c>
      <c r="U1028" s="2" t="n"/>
    </row>
    <row r="1029">
      <c r="A1029" s="2" t="inlineStr">
        <is>
          <t>Adjudicada</t>
        </is>
      </c>
      <c r="B1029" s="3" t="n">
        <v>46262.99930555555</v>
      </c>
      <c r="C1029" s="5" t="n">
        <v>141126.3</v>
      </c>
      <c r="D1029" s="5" t="n">
        <v>155238.93</v>
      </c>
      <c r="E1029" s="2" t="inlineStr">
        <is>
          <t>Comunitat Valenciana</t>
        </is>
      </c>
      <c r="F1029" s="2" t="inlineStr">
        <is>
          <t>Alicante</t>
        </is>
      </c>
      <c r="G1029" s="2" t="n"/>
      <c r="H1029" s="2" t="inlineStr">
        <is>
          <t>Alcaldía del Ayuntamiento de Villena</t>
        </is>
      </c>
      <c r="I1029" s="2" t="inlineStr">
        <is>
          <t>Obras de renovación de la red de saneamiento en la Calle Maestro Guillén.</t>
        </is>
      </c>
      <c r="J1029" s="2" t="inlineStr">
        <is>
          <t>1831542J</t>
        </is>
      </c>
      <c r="K1029" s="2" t="inlineStr">
        <is>
          <t>Abierto simplificado</t>
        </is>
      </c>
      <c r="L1029" s="6" t="n">
        <v>3</v>
      </c>
      <c r="M1029" s="2" t="n"/>
      <c r="N1029" s="7" t="n">
        <v>0</v>
      </c>
      <c r="O1029" s="4" t="n"/>
      <c r="P1029" s="2" t="inlineStr">
        <is>
          <t>45232400; 45232411; 45232410</t>
        </is>
      </c>
      <c r="Q1029" s="8" t="inlineStr">
        <is>
          <t>Ver</t>
        </is>
      </c>
      <c r="R1029" s="8" t="inlineStr">
        <is>
          <t>PCAP</t>
        </is>
      </c>
      <c r="S1029" s="9" t="n">
        <v>46314</v>
      </c>
      <c r="T1029" s="3" t="n">
        <v>46311.35890046296</v>
      </c>
      <c r="U1029" s="2" t="n"/>
    </row>
    <row r="1030">
      <c r="A1030" s="2" t="inlineStr">
        <is>
          <t>Pendiente de adjudicación</t>
        </is>
      </c>
      <c r="B1030" s="3" t="n">
        <v>46258.99930555555</v>
      </c>
      <c r="C1030" s="5" t="n">
        <v>209818.49</v>
      </c>
      <c r="D1030" s="5" t="n">
        <v>209818.49</v>
      </c>
      <c r="E1030" s="2" t="inlineStr">
        <is>
          <t>Andalucía</t>
        </is>
      </c>
      <c r="F1030" s="2" t="inlineStr">
        <is>
          <t>Almería</t>
        </is>
      </c>
      <c r="G1030" s="2" t="n"/>
      <c r="H1030" s="2" t="inlineStr">
        <is>
          <t>Alcaldía del Ayuntamiento de Níjar</t>
        </is>
      </c>
      <c r="I1030" s="2" t="inlineStr">
        <is>
          <t>Rehabilitación de calles en Fernán Pérez, Término Municipal de Níjar (Almería)</t>
        </is>
      </c>
      <c r="J1030" s="2" t="inlineStr">
        <is>
          <t>4604/2026</t>
        </is>
      </c>
      <c r="K1030" s="2" t="inlineStr">
        <is>
          <t>Abierto simplificado</t>
        </is>
      </c>
      <c r="L1030" s="6" t="n">
        <v>4</v>
      </c>
      <c r="M1030" s="2" t="n"/>
      <c r="N1030" s="7" t="n">
        <v>0.25</v>
      </c>
      <c r="O1030" s="4" t="n"/>
      <c r="P1030" s="2" t="inlineStr">
        <is>
          <t>45233252</t>
        </is>
      </c>
      <c r="Q1030" s="8" t="inlineStr">
        <is>
          <t>Ver</t>
        </is>
      </c>
      <c r="R1030" s="8" t="inlineStr">
        <is>
          <t>PCAP</t>
        </is>
      </c>
      <c r="S1030" s="9" t="n">
        <v>46314</v>
      </c>
      <c r="T1030" s="3" t="n">
        <v>46311.35327546296</v>
      </c>
      <c r="U1030" s="2" t="n"/>
    </row>
    <row r="1031">
      <c r="A1031" s="2" t="inlineStr">
        <is>
          <t>Pendiente de adjudicación</t>
        </is>
      </c>
      <c r="B1031" s="3" t="n">
        <v>46267.99930555555</v>
      </c>
      <c r="C1031" s="5" t="n">
        <v>495867.77</v>
      </c>
      <c r="D1031" s="5" t="n">
        <v>495867.77</v>
      </c>
      <c r="E1031" s="2" t="inlineStr">
        <is>
          <t>Andalucía</t>
        </is>
      </c>
      <c r="F1031" s="2" t="inlineStr">
        <is>
          <t>Almería</t>
        </is>
      </c>
      <c r="G1031" s="2" t="n"/>
      <c r="H1031" s="2" t="inlineStr">
        <is>
          <t>Alcaldía del Ayuntamiento de Níjar</t>
        </is>
      </c>
      <c r="I1031" s="2" t="inlineStr">
        <is>
          <t>Obras de adecuación y mejora de Camino del Campo, Níjar (Almería)</t>
        </is>
      </c>
      <c r="J1031" s="2" t="inlineStr">
        <is>
          <t>11761/2026</t>
        </is>
      </c>
      <c r="K1031" s="2" t="inlineStr">
        <is>
          <t>Abierto simplificado</t>
        </is>
      </c>
      <c r="L1031" s="6" t="n">
        <v>4</v>
      </c>
      <c r="M1031" s="2" t="n"/>
      <c r="N1031" s="7" t="n">
        <v>0.25</v>
      </c>
      <c r="O1031" s="4" t="n"/>
      <c r="P1031" s="2" t="inlineStr">
        <is>
          <t>45233222</t>
        </is>
      </c>
      <c r="Q1031" s="8" t="inlineStr">
        <is>
          <t>Ver</t>
        </is>
      </c>
      <c r="R1031" s="8" t="inlineStr">
        <is>
          <t>PCAP</t>
        </is>
      </c>
      <c r="S1031" s="9" t="n">
        <v>46314</v>
      </c>
      <c r="T1031" s="3" t="n">
        <v>46311.35079861111</v>
      </c>
      <c r="U1031" s="2" t="n"/>
    </row>
    <row r="1032">
      <c r="A1032" s="2" t="inlineStr">
        <is>
          <t>Pendiente de adjudicación</t>
        </is>
      </c>
      <c r="B1032" s="3" t="n">
        <v>46272.99930555555</v>
      </c>
      <c r="C1032" s="5" t="n">
        <v>147239.67</v>
      </c>
      <c r="D1032" s="5" t="n">
        <v>147239.67</v>
      </c>
      <c r="E1032" s="2" t="inlineStr">
        <is>
          <t>Andalucía</t>
        </is>
      </c>
      <c r="F1032" s="2" t="inlineStr">
        <is>
          <t>Córdoba</t>
        </is>
      </c>
      <c r="G1032" s="2" t="n"/>
      <c r="H1032" s="2" t="inlineStr">
        <is>
          <t>Diputado delegado de Infraestructuras, Sostenibilidad y Agricultura</t>
        </is>
      </c>
      <c r="I1032" s="2" t="inlineStr">
        <is>
          <t>Contratación de las obras de 2ª Fase mejora del Camino del Calderín, en Obejo (Córdoba). Obra incluida en el Plan de Humanización de Entornos Urbanos y Agenda Rural 2024-2027 (Programa de Agenda Rural, bienio 26-27).</t>
        </is>
      </c>
      <c r="J1032" s="2" t="inlineStr">
        <is>
          <t>495/26</t>
        </is>
      </c>
      <c r="K1032" s="2" t="inlineStr">
        <is>
          <t>Abierto</t>
        </is>
      </c>
      <c r="L1032" s="6" t="n">
        <v>3</v>
      </c>
      <c r="M1032" s="2" t="n"/>
      <c r="N1032" s="7" t="n">
        <v>0.4</v>
      </c>
      <c r="O1032" s="4" t="n"/>
      <c r="P1032" s="2" t="inlineStr">
        <is>
          <t>45233160</t>
        </is>
      </c>
      <c r="Q1032" s="8" t="inlineStr">
        <is>
          <t>Ver</t>
        </is>
      </c>
      <c r="R1032" s="8" t="inlineStr">
        <is>
          <t>PCAP</t>
        </is>
      </c>
      <c r="S1032" s="9" t="n">
        <v>46314</v>
      </c>
      <c r="T1032" s="3" t="n">
        <v>46311.34951388889</v>
      </c>
      <c r="U1032" s="2" t="n"/>
    </row>
    <row r="1033">
      <c r="A1033" s="2" t="inlineStr">
        <is>
          <t>Resuelta</t>
        </is>
      </c>
      <c r="B1033" s="3" t="n">
        <v>46195.58333333334</v>
      </c>
      <c r="C1033" s="5" t="n">
        <v>4051488.88</v>
      </c>
      <c r="D1033" s="5" t="n">
        <v>4051488.88</v>
      </c>
      <c r="E1033" s="2" t="inlineStr">
        <is>
          <t>Andalucía</t>
        </is>
      </c>
      <c r="F1033" s="2" t="inlineStr">
        <is>
          <t>Cádiz</t>
        </is>
      </c>
      <c r="G1033" s="2" t="inlineStr">
        <is>
          <t>La Línea de La Concepción</t>
        </is>
      </c>
      <c r="H1033" s="2" t="inlineStr">
        <is>
          <t>Alcaldía del Ayuntamiento de la Línea de la Concepción</t>
        </is>
      </c>
      <c r="I1033" s="2" t="inlineStr">
        <is>
          <t>obra de remodelación de la Plaza de la Constitución de La Línea de la Concepción, cofinanciado mediante senda financiera FEDER a Planes de Actuación Integrados de entidades locales, en el marco de Desarrollo Urbano Sostenible con cargo al Fondo Europeo de Desarrollo Regional en periodo programación 2021-27.</t>
        </is>
      </c>
      <c r="J1033" s="2" t="inlineStr">
        <is>
          <t>46/26</t>
        </is>
      </c>
      <c r="K1033" s="2" t="inlineStr">
        <is>
          <t>Abierto</t>
        </is>
      </c>
      <c r="L1033" s="6" t="n">
        <v>12</v>
      </c>
      <c r="M1033" s="2" t="inlineStr">
        <is>
          <t>C3-3</t>
        </is>
      </c>
      <c r="N1033" s="7" t="n">
        <v>0.25</v>
      </c>
      <c r="O1033" s="4" t="n"/>
      <c r="P1033" s="2" t="inlineStr">
        <is>
          <t>45261420; 45000000; 45261000; 45261400; 45200000; 45260000</t>
        </is>
      </c>
      <c r="Q1033" s="8" t="inlineStr">
        <is>
          <t>Ver</t>
        </is>
      </c>
      <c r="R1033" s="8" t="inlineStr">
        <is>
          <t>PCAP</t>
        </is>
      </c>
      <c r="S1033" s="9" t="n">
        <v>46314</v>
      </c>
      <c r="T1033" s="3" t="n">
        <v>46311.34869212963</v>
      </c>
      <c r="U1033" s="2" t="n"/>
    </row>
    <row r="1034">
      <c r="A1034" s="2" t="inlineStr">
        <is>
          <t>Plazo vencido</t>
        </is>
      </c>
      <c r="B1034" s="3" t="n">
        <v>46314.99930555555</v>
      </c>
      <c r="C1034" s="5" t="n">
        <v>102133.58</v>
      </c>
      <c r="D1034" s="5" t="n">
        <v>102133.58</v>
      </c>
      <c r="E1034" s="2" t="inlineStr">
        <is>
          <t>Andalucía</t>
        </is>
      </c>
      <c r="F1034" s="2" t="inlineStr">
        <is>
          <t>Málaga</t>
        </is>
      </c>
      <c r="G1034" s="2" t="n"/>
      <c r="H1034" s="2" t="inlineStr">
        <is>
          <t>Concejalía de Hacienda del Ayuntamiento de Benalmádena</t>
        </is>
      </c>
      <c r="I1034" s="2" t="inlineStr">
        <is>
          <t>Trabajos de reposición y nuevo trazado de cableado, la sustitución de lámparas por otras más eficientes de tipo led así como de instalación de farolas nuevas y el acondicionamiento y ajuste del cuadro eléctrico.</t>
        </is>
      </c>
      <c r="J1034" s="2" t="inlineStr">
        <is>
          <t>2026/44010A</t>
        </is>
      </c>
      <c r="K1034" s="2" t="inlineStr">
        <is>
          <t>Abierto simplificado</t>
        </is>
      </c>
      <c r="L1034" s="6" t="n">
        <v>2</v>
      </c>
      <c r="M1034" s="2" t="n"/>
      <c r="N1034" s="7" t="n">
        <v>0</v>
      </c>
      <c r="O1034" s="4" t="n"/>
      <c r="P1034" s="2" t="inlineStr">
        <is>
          <t>45310000; 45262520</t>
        </is>
      </c>
      <c r="Q1034" s="8" t="inlineStr">
        <is>
          <t>Ver</t>
        </is>
      </c>
      <c r="R1034" s="8" t="inlineStr">
        <is>
          <t>PCAP</t>
        </is>
      </c>
      <c r="S1034" s="9" t="n">
        <v>46314</v>
      </c>
      <c r="T1034" s="3" t="n">
        <v>46311.34633101852</v>
      </c>
      <c r="U1034" s="2" t="n"/>
    </row>
    <row r="1035">
      <c r="A1035" s="2" t="inlineStr">
        <is>
          <t>Plazo vencido</t>
        </is>
      </c>
      <c r="B1035" s="3" t="n">
        <v>46313.99930555555</v>
      </c>
      <c r="C1035" s="5" t="n">
        <v>415566.92</v>
      </c>
      <c r="D1035" s="5" t="n">
        <v>415566.92</v>
      </c>
      <c r="E1035" s="2" t="inlineStr">
        <is>
          <t>Andalucía</t>
        </is>
      </c>
      <c r="F1035" s="2" t="inlineStr">
        <is>
          <t>Córdoba</t>
        </is>
      </c>
      <c r="G1035" s="2" t="n"/>
      <c r="H1035" s="2" t="inlineStr">
        <is>
          <t>Junta de Gobierno Local del Ayuntamiento de Hornachuelos</t>
        </is>
      </c>
      <c r="I1035" s="2" t="inlineStr">
        <is>
          <t>Obra de construcción de pabellón polivalente en las casetas del recinto ferial (zona sur) de Hornachuelos por procedimiento abierto, con carga los Planes Provinciales de obras y servicios 2024-2027 de la Excma. Diputación Provincial de Córdoba</t>
        </is>
      </c>
      <c r="J1035" s="2" t="inlineStr">
        <is>
          <t>10889/2026</t>
        </is>
      </c>
      <c r="K1035" s="2" t="inlineStr">
        <is>
          <t>Abierto</t>
        </is>
      </c>
      <c r="L1035" s="6" t="n">
        <v>7</v>
      </c>
      <c r="M1035" s="2" t="n"/>
      <c r="N1035" s="7" t="n">
        <v>0</v>
      </c>
      <c r="O1035" s="4" t="n"/>
      <c r="P1035" s="2" t="inlineStr">
        <is>
          <t>45212000</t>
        </is>
      </c>
      <c r="Q1035" s="8" t="inlineStr">
        <is>
          <t>Ver</t>
        </is>
      </c>
      <c r="R1035" s="8" t="inlineStr">
        <is>
          <t>PCAP</t>
        </is>
      </c>
      <c r="S1035" s="9" t="n">
        <v>46314</v>
      </c>
      <c r="T1035" s="3" t="n">
        <v>46311.34313657408</v>
      </c>
      <c r="U1035" s="2" t="n"/>
    </row>
    <row r="1036">
      <c r="A1036" s="2" t="inlineStr">
        <is>
          <t>En plazo</t>
        </is>
      </c>
      <c r="B1036" s="3" t="n">
        <v>46331.58333333334</v>
      </c>
      <c r="C1036" s="5" t="n">
        <v>77863.62</v>
      </c>
      <c r="D1036" s="5" t="n">
        <v>77863.62</v>
      </c>
      <c r="E1036" s="2" t="inlineStr">
        <is>
          <t>Comunitat Valenciana</t>
        </is>
      </c>
      <c r="F1036" s="2" t="inlineStr">
        <is>
          <t>Valencia</t>
        </is>
      </c>
      <c r="G1036" s="2" t="inlineStr">
        <is>
          <t>HORTUNAS-REQUENA</t>
        </is>
      </c>
      <c r="H1036" s="2" t="inlineStr">
        <is>
          <t>Alcaldía del Ayuntamiento de Requena</t>
        </is>
      </c>
      <c r="I1036" s="2" t="inlineStr">
        <is>
          <t>Reforma del bar - Centro sociocultural de Hortunas :accesibilidad, climatización, y ventilacion, iluminacion y equipamiento</t>
        </is>
      </c>
      <c r="J1036" s="2" t="inlineStr">
        <is>
          <t>2982725Z</t>
        </is>
      </c>
      <c r="K1036" s="2" t="inlineStr">
        <is>
          <t>Abierto simplificado</t>
        </is>
      </c>
      <c r="L1036" s="6" t="n">
        <v>3</v>
      </c>
      <c r="M1036" s="2" t="n"/>
      <c r="N1036" s="7" t="n">
        <v>0</v>
      </c>
      <c r="O1036" s="4" t="n"/>
      <c r="P1036" s="2" t="inlineStr">
        <is>
          <t>45000000</t>
        </is>
      </c>
      <c r="Q1036" s="8" t="inlineStr">
        <is>
          <t>Ver</t>
        </is>
      </c>
      <c r="R1036" s="8" t="inlineStr">
        <is>
          <t>PCAP</t>
        </is>
      </c>
      <c r="S1036" s="9" t="n">
        <v>46310</v>
      </c>
      <c r="T1036" s="3" t="n">
        <v>46311.34266203704</v>
      </c>
      <c r="U1036" s="2" t="inlineStr">
        <is>
          <t>2026-10-19: plazo 2026-11-02 14:00 → 2026-11-05 14:00</t>
        </is>
      </c>
    </row>
    <row r="1037">
      <c r="A1037" s="2" t="inlineStr">
        <is>
          <t>Plazo vencido</t>
        </is>
      </c>
      <c r="B1037" s="3" t="n">
        <v>46317.99930555555</v>
      </c>
      <c r="C1037" s="5" t="n">
        <v>700330.77</v>
      </c>
      <c r="D1037" s="5" t="n">
        <v>700330.77</v>
      </c>
      <c r="E1037" s="2" t="inlineStr">
        <is>
          <t>Andalucía</t>
        </is>
      </c>
      <c r="F1037" s="2" t="inlineStr">
        <is>
          <t>Córdoba</t>
        </is>
      </c>
      <c r="G1037" s="2" t="n"/>
      <c r="H1037" s="2" t="inlineStr">
        <is>
          <t>Junta de Gobierno Local del Ayuntamiento de Hornachuelos</t>
        </is>
      </c>
      <c r="I1037" s="2" t="inlineStr">
        <is>
          <t>Contratación de la obra relativa al proyecto de construcción de pabellón polivalente para actividades relacionadas con el desarrollo económico en el recinto ferial Las Erillas (zona norte) de Hornachuelos (Córdoba)</t>
        </is>
      </c>
      <c r="J1037" s="2" t="inlineStr">
        <is>
          <t>10893/2026</t>
        </is>
      </c>
      <c r="K1037" s="2" t="inlineStr">
        <is>
          <t>Abierto</t>
        </is>
      </c>
      <c r="L1037" s="6" t="n">
        <v>7</v>
      </c>
      <c r="M1037" s="2" t="inlineStr">
        <is>
          <t>C4-2</t>
        </is>
      </c>
      <c r="N1037" s="7" t="n">
        <v>0</v>
      </c>
      <c r="O1037" s="4" t="n"/>
      <c r="P1037" s="2" t="inlineStr">
        <is>
          <t>45212000</t>
        </is>
      </c>
      <c r="Q1037" s="8" t="inlineStr">
        <is>
          <t>Ver</t>
        </is>
      </c>
      <c r="R1037" s="8" t="inlineStr">
        <is>
          <t>PCAP</t>
        </is>
      </c>
      <c r="S1037" s="9" t="n">
        <v>46310</v>
      </c>
      <c r="T1037" s="3" t="n">
        <v>46311.34251157408</v>
      </c>
      <c r="U1037" s="2" t="n"/>
    </row>
    <row r="1038">
      <c r="A1038" s="2" t="inlineStr">
        <is>
          <t>Resuelta</t>
        </is>
      </c>
      <c r="B1038" s="3" t="n">
        <v>46050.99930555555</v>
      </c>
      <c r="C1038" s="5" t="n">
        <v>60429.42</v>
      </c>
      <c r="D1038" s="5" t="n">
        <v>60429.42</v>
      </c>
      <c r="E1038" s="2" t="inlineStr">
        <is>
          <t>Comunitat Valenciana</t>
        </is>
      </c>
      <c r="F1038" s="2" t="inlineStr">
        <is>
          <t>Alicante</t>
        </is>
      </c>
      <c r="G1038" s="2" t="n"/>
      <c r="H1038" s="2" t="inlineStr">
        <is>
          <t>Presidencia de la Diputación Provincial de Alicante</t>
        </is>
      </c>
      <c r="I1038" s="2" t="inlineStr">
        <is>
          <t>O4S-257/2025 Obras de rehabilitación y sellado del depósito “Atalaya Park” de Benijófar</t>
        </is>
      </c>
      <c r="J1038" s="2" t="inlineStr">
        <is>
          <t>O4S-257/2025</t>
        </is>
      </c>
      <c r="K1038" s="2" t="inlineStr">
        <is>
          <t>Abierto simplificado</t>
        </is>
      </c>
      <c r="L1038" s="6" t="n">
        <v>3</v>
      </c>
      <c r="M1038" s="2" t="n"/>
      <c r="N1038" s="7" t="n">
        <v>0.2</v>
      </c>
      <c r="O1038" s="4" t="n"/>
      <c r="P1038" s="2" t="inlineStr">
        <is>
          <t>45261420</t>
        </is>
      </c>
      <c r="Q1038" s="8" t="inlineStr">
        <is>
          <t>Ver</t>
        </is>
      </c>
      <c r="R1038" s="8" t="inlineStr">
        <is>
          <t>PCAP</t>
        </is>
      </c>
      <c r="S1038" s="9" t="n">
        <v>46310</v>
      </c>
      <c r="T1038" s="3" t="n">
        <v>46311.3402662037</v>
      </c>
      <c r="U1038" s="2" t="inlineStr">
        <is>
          <t>2026-10-19: estado ADJ → RES</t>
        </is>
      </c>
    </row>
    <row r="1039">
      <c r="A1039" s="2" t="inlineStr">
        <is>
          <t>En plazo</t>
        </is>
      </c>
      <c r="B1039" s="3" t="n">
        <v>46325.99930555555</v>
      </c>
      <c r="C1039" s="5" t="n">
        <v>52609.09</v>
      </c>
      <c r="D1039" s="5" t="n">
        <v>52609.09</v>
      </c>
      <c r="E1039" s="2" t="inlineStr">
        <is>
          <t>Andalucía</t>
        </is>
      </c>
      <c r="F1039" s="2" t="inlineStr">
        <is>
          <t>Jaén</t>
        </is>
      </c>
      <c r="G1039" s="2" t="n"/>
      <c r="H1039" s="2" t="inlineStr">
        <is>
          <t>Alcaldía del Ayuntamiento de Bailén</t>
        </is>
      </c>
      <c r="I1039" s="2" t="inlineStr">
        <is>
          <t>Demolición de edificación de vivienda en calle Amargura, nº 4 de Bailén</t>
        </is>
      </c>
      <c r="J1039" s="2" t="inlineStr">
        <is>
          <t>EXPTE. 93/2026</t>
        </is>
      </c>
      <c r="K1039" s="2" t="inlineStr">
        <is>
          <t>Abierto simplificado</t>
        </is>
      </c>
      <c r="L1039" s="6" t="n">
        <v>1</v>
      </c>
      <c r="M1039" s="2" t="n"/>
      <c r="N1039" s="7" t="n">
        <v>0</v>
      </c>
      <c r="O1039" s="4" t="n"/>
      <c r="P1039" s="2" t="inlineStr">
        <is>
          <t>45110000</t>
        </is>
      </c>
      <c r="Q1039" s="8" t="inlineStr">
        <is>
          <t>Ver</t>
        </is>
      </c>
      <c r="R1039" s="8" t="inlineStr">
        <is>
          <t>PCAP</t>
        </is>
      </c>
      <c r="S1039" s="9" t="n">
        <v>46314</v>
      </c>
      <c r="T1039" s="3" t="n">
        <v>46311.3395949074</v>
      </c>
      <c r="U1039" s="2" t="n"/>
    </row>
    <row r="1040">
      <c r="A1040" s="2" t="inlineStr">
        <is>
          <t>Adjudicada</t>
        </is>
      </c>
      <c r="B1040" s="3" t="n">
        <v>46275.58333333334</v>
      </c>
      <c r="C1040" s="5" t="n">
        <v>138404.66</v>
      </c>
      <c r="D1040" s="5" t="n">
        <v>138404.66</v>
      </c>
      <c r="E1040" s="2" t="inlineStr">
        <is>
          <t>Andalucía</t>
        </is>
      </c>
      <c r="F1040" s="2" t="inlineStr">
        <is>
          <t>Córdoba</t>
        </is>
      </c>
      <c r="G1040" s="2" t="inlineStr">
        <is>
          <t>Hinojosa del Duque</t>
        </is>
      </c>
      <c r="H1040" s="2" t="inlineStr">
        <is>
          <t>Alcaldía del Ayuntamiento de Hinojosa del Duque</t>
        </is>
      </c>
      <c r="I1040" s="2" t="inlineStr">
        <is>
          <t>La construcción de un pabellón de nichos en el cementerio municipal de Hinojosa del Duque.</t>
        </is>
      </c>
      <c r="J1040" s="2" t="inlineStr">
        <is>
          <t>GEX 4004/2026</t>
        </is>
      </c>
      <c r="K1040" s="2" t="inlineStr">
        <is>
          <t>Abierto simplificado</t>
        </is>
      </c>
      <c r="L1040" s="6" t="n">
        <v>3</v>
      </c>
      <c r="M1040" s="2" t="n"/>
      <c r="N1040" s="7" t="n">
        <v>0</v>
      </c>
      <c r="O1040" s="4" t="n"/>
      <c r="P1040" s="2" t="inlineStr">
        <is>
          <t>45215400</t>
        </is>
      </c>
      <c r="Q1040" s="8" t="inlineStr">
        <is>
          <t>Ver</t>
        </is>
      </c>
      <c r="R1040" s="8" t="inlineStr">
        <is>
          <t>PCAP</t>
        </is>
      </c>
      <c r="S1040" s="9" t="n">
        <v>46314</v>
      </c>
      <c r="T1040" s="3" t="n">
        <v>46311.33869212963</v>
      </c>
      <c r="U1040" s="2" t="n"/>
    </row>
    <row r="1041">
      <c r="A1041" s="2" t="inlineStr">
        <is>
          <t>Pendiente de adjudicación</t>
        </is>
      </c>
      <c r="B1041" s="3" t="n">
        <v>46280.99930555555</v>
      </c>
      <c r="C1041" s="5" t="n">
        <v>80029.7</v>
      </c>
      <c r="D1041" s="5" t="n">
        <v>80029.7</v>
      </c>
      <c r="E1041" s="2" t="inlineStr">
        <is>
          <t>Andalucía</t>
        </is>
      </c>
      <c r="F1041" s="2" t="inlineStr">
        <is>
          <t>Córdoba</t>
        </is>
      </c>
      <c r="G1041" s="2" t="n"/>
      <c r="H1041" s="2" t="inlineStr">
        <is>
          <t>Diputado delegado de Infraestructuras, Sostenibilidad y Agricultura</t>
        </is>
      </c>
      <c r="I1041" s="2" t="inlineStr">
        <is>
          <t>Contrato de obra de Instalación de juegos infantiles en Parque "Llanos de Cristo", en Puente Genil (Córdoba). Obra incluida en el Plan de Humanización de Entornos Urbanos y Agenda Rural 2024-2027 (bienio 2026-2027).</t>
        </is>
      </c>
      <c r="J1041" s="2" t="inlineStr">
        <is>
          <t>682/26</t>
        </is>
      </c>
      <c r="K1041" s="2" t="inlineStr">
        <is>
          <t>Abierto</t>
        </is>
      </c>
      <c r="L1041" s="6" t="n">
        <v>3</v>
      </c>
      <c r="M1041" s="2" t="n"/>
      <c r="N1041" s="7" t="n">
        <v>0.25</v>
      </c>
      <c r="O1041" s="4" t="n"/>
      <c r="P1041" s="2" t="inlineStr">
        <is>
          <t>45212100</t>
        </is>
      </c>
      <c r="Q1041" s="8" t="inlineStr">
        <is>
          <t>Ver</t>
        </is>
      </c>
      <c r="R1041" s="8" t="inlineStr">
        <is>
          <t>PCAP</t>
        </is>
      </c>
      <c r="S1041" s="9" t="n">
        <v>46314</v>
      </c>
      <c r="T1041" s="3" t="n">
        <v>46311.33755787037</v>
      </c>
      <c r="U1041" s="2" t="n"/>
    </row>
    <row r="1042">
      <c r="A1042" s="2" t="inlineStr">
        <is>
          <t>En plazo</t>
        </is>
      </c>
      <c r="B1042" s="3" t="n">
        <v>46321.99930555555</v>
      </c>
      <c r="C1042" s="5" t="n">
        <v>144086.69</v>
      </c>
      <c r="D1042" s="5" t="n">
        <v>174344.89</v>
      </c>
      <c r="E1042" s="2" t="inlineStr">
        <is>
          <t>Comunitat Valenciana</t>
        </is>
      </c>
      <c r="F1042" s="2" t="inlineStr">
        <is>
          <t>Alicante</t>
        </is>
      </c>
      <c r="G1042" s="2" t="n"/>
      <c r="H1042" s="2" t="inlineStr">
        <is>
          <t>Junta de Gobierno del Ayuntamiento de Elche</t>
        </is>
      </c>
      <c r="I1042" s="2" t="inlineStr">
        <is>
          <t>Obras de reurbanización de las calles Andrés Torrejón y Antonio Flores.</t>
        </is>
      </c>
      <c r="J1042" s="2" t="inlineStr">
        <is>
          <t>OBR/ABR_SMPL/2026000157</t>
        </is>
      </c>
      <c r="K1042" s="2" t="inlineStr">
        <is>
          <t>Abierto simplificado</t>
        </is>
      </c>
      <c r="L1042" s="6" t="n">
        <v>3</v>
      </c>
      <c r="M1042" s="2" t="n"/>
      <c r="N1042" s="7" t="n">
        <v>0.2</v>
      </c>
      <c r="O1042" s="4" t="n"/>
      <c r="P1042" s="2" t="inlineStr">
        <is>
          <t>45233140</t>
        </is>
      </c>
      <c r="Q1042" s="8" t="inlineStr">
        <is>
          <t>Ver</t>
        </is>
      </c>
      <c r="R1042" s="8" t="inlineStr">
        <is>
          <t>PCAP</t>
        </is>
      </c>
      <c r="S1042" s="9" t="n">
        <v>46314</v>
      </c>
      <c r="T1042" s="3" t="n">
        <v>46311.33726851852</v>
      </c>
      <c r="U1042" s="2" t="n"/>
    </row>
    <row r="1043">
      <c r="A1043" s="2" t="inlineStr">
        <is>
          <t>Resuelta</t>
        </is>
      </c>
      <c r="B1043" s="3" t="n">
        <v>45947.625</v>
      </c>
      <c r="C1043" s="5" t="n">
        <v>20278154.99</v>
      </c>
      <c r="D1043" s="5" t="n">
        <v>20278154.99</v>
      </c>
      <c r="E1043" s="2" t="inlineStr">
        <is>
          <t>Andalucía</t>
        </is>
      </c>
      <c r="F1043" s="2" t="inlineStr">
        <is>
          <t>Sevilla</t>
        </is>
      </c>
      <c r="G1043" s="2" t="n"/>
      <c r="H1043" s="2" t="inlineStr">
        <is>
          <t>Dirección General de Carreteras</t>
        </is>
      </c>
      <c r="I1043" s="2" t="inlineStr">
        <is>
          <t>39-SE-5240;54.477/25 Actuaciones para el desarrollo del plan de acción contra el ruido de la fase II en la Autovía A-49, P.K. 0+000 A 3+000. Provincia de Sevilla</t>
        </is>
      </c>
      <c r="J1043" s="2" t="inlineStr">
        <is>
          <t>C54254152400</t>
        </is>
      </c>
      <c r="K1043" s="2" t="inlineStr">
        <is>
          <t>Abierto</t>
        </is>
      </c>
      <c r="L1043" s="6" t="n">
        <v>29</v>
      </c>
      <c r="M1043" s="2" t="inlineStr">
        <is>
          <t>B2-6</t>
        </is>
      </c>
      <c r="N1043" s="7" t="n">
        <v>0.49</v>
      </c>
      <c r="O1043" s="4" t="n"/>
      <c r="P1043" s="2" t="inlineStr">
        <is>
          <t>45233000</t>
        </is>
      </c>
      <c r="Q1043" s="8" t="inlineStr">
        <is>
          <t>Ver</t>
        </is>
      </c>
      <c r="R1043" s="8" t="inlineStr">
        <is>
          <t>PCAP</t>
        </is>
      </c>
      <c r="S1043" s="9" t="n">
        <v>46310</v>
      </c>
      <c r="T1043" s="3" t="n">
        <v>46311.33704861111</v>
      </c>
      <c r="U1043" s="2" t="n"/>
    </row>
    <row r="1044">
      <c r="A1044" s="2" t="inlineStr">
        <is>
          <t>Resuelta</t>
        </is>
      </c>
      <c r="B1044" s="3" t="n">
        <v>46269.99930555555</v>
      </c>
      <c r="C1044" s="5" t="n">
        <v>1644013.49</v>
      </c>
      <c r="D1044" s="5" t="n">
        <v>1644013.49</v>
      </c>
      <c r="E1044" s="2" t="inlineStr">
        <is>
          <t>Andalucía</t>
        </is>
      </c>
      <c r="F1044" s="2" t="inlineStr">
        <is>
          <t>Sevilla</t>
        </is>
      </c>
      <c r="G1044" s="2" t="inlineStr">
        <is>
          <t>Alcalá de Guadaíra</t>
        </is>
      </c>
      <c r="H1044" s="2" t="inlineStr">
        <is>
          <t>Junta de Gobierno Local del Ayuntamiento de Alcalá de Guadaíra</t>
        </is>
      </c>
      <c r="I1044" s="2" t="inlineStr">
        <is>
          <t>obra de construcción de la piscina de verano en Polígono Cabeza Hermosa (C-2026/028)</t>
        </is>
      </c>
      <c r="J1044" s="2" t="inlineStr">
        <is>
          <t>6086/2026</t>
        </is>
      </c>
      <c r="K1044" s="2" t="inlineStr">
        <is>
          <t>Abierto simplificado</t>
        </is>
      </c>
      <c r="L1044" s="6" t="n">
        <v>8</v>
      </c>
      <c r="M1044" s="2" t="n"/>
      <c r="N1044" s="7" t="n">
        <v>0</v>
      </c>
      <c r="O1044" s="4" t="n"/>
      <c r="P1044" s="2" t="inlineStr">
        <is>
          <t>45212212; 45212000</t>
        </is>
      </c>
      <c r="Q1044" s="8" t="inlineStr">
        <is>
          <t>Ver</t>
        </is>
      </c>
      <c r="R1044" s="8" t="inlineStr">
        <is>
          <t>PCAP</t>
        </is>
      </c>
      <c r="S1044" s="9" t="n">
        <v>46314</v>
      </c>
      <c r="T1044" s="3" t="n">
        <v>46311.33530092592</v>
      </c>
      <c r="U1044" s="2" t="n"/>
    </row>
    <row r="1045">
      <c r="A1045" s="2" t="inlineStr">
        <is>
          <t>Pendiente de adjudicación</t>
        </is>
      </c>
      <c r="B1045" s="3" t="n">
        <v>46302.99930555555</v>
      </c>
      <c r="C1045" s="5" t="n">
        <v>69594.24000000001</v>
      </c>
      <c r="D1045" s="5" t="n">
        <v>69594.24000000001</v>
      </c>
      <c r="E1045" s="2" t="inlineStr">
        <is>
          <t>Comunitat Valenciana</t>
        </is>
      </c>
      <c r="F1045" s="2" t="inlineStr">
        <is>
          <t>Alicante</t>
        </is>
      </c>
      <c r="G1045" s="2" t="n"/>
      <c r="H1045" s="2" t="inlineStr">
        <is>
          <t>Consejo de Administración de Promociones e Iniciativas Municipales de Elche, S.A. (PIMESA)</t>
        </is>
      </c>
      <c r="I1045" s="2" t="inlineStr">
        <is>
          <t>Obras de finalización del acabado superficial del Local 1e del Edificio "La Magrana".</t>
        </is>
      </c>
      <c r="J1045" s="2" t="inlineStr">
        <is>
          <t>2026/AS/022</t>
        </is>
      </c>
      <c r="K1045" s="2" t="inlineStr">
        <is>
          <t>Abierto simplificado</t>
        </is>
      </c>
      <c r="L1045" s="6" t="n">
        <v>3</v>
      </c>
      <c r="M1045" s="2" t="n"/>
      <c r="N1045" s="7" t="n">
        <v>0</v>
      </c>
      <c r="O1045" s="4" t="n"/>
      <c r="P1045" s="2" t="inlineStr">
        <is>
          <t>45213000; 45215221</t>
        </is>
      </c>
      <c r="Q1045" s="8" t="inlineStr">
        <is>
          <t>Ver</t>
        </is>
      </c>
      <c r="R1045" s="8" t="inlineStr">
        <is>
          <t>PCAP</t>
        </is>
      </c>
      <c r="S1045" s="9" t="n">
        <v>46310</v>
      </c>
      <c r="T1045" s="3" t="n">
        <v>46311.3309837963</v>
      </c>
      <c r="U1045" s="2" t="n"/>
    </row>
    <row r="1046">
      <c r="A1046" s="2" t="inlineStr">
        <is>
          <t>En plazo</t>
        </is>
      </c>
      <c r="B1046" s="3" t="n">
        <v>46330.58333333334</v>
      </c>
      <c r="C1046" s="5" t="n">
        <v>166226.69</v>
      </c>
      <c r="D1046" s="5" t="n">
        <v>166226.69</v>
      </c>
      <c r="E1046" s="2" t="inlineStr">
        <is>
          <t>Andalucía</t>
        </is>
      </c>
      <c r="F1046" s="2" t="inlineStr">
        <is>
          <t>Córdoba</t>
        </is>
      </c>
      <c r="G1046" s="2" t="inlineStr">
        <is>
          <t>Hinojosa del Duque</t>
        </is>
      </c>
      <c r="H1046" s="2" t="inlineStr">
        <is>
          <t>Alcaldía del Ayuntamiento de Hinojosa del Duque</t>
        </is>
      </c>
      <c r="I1046" s="2" t="inlineStr">
        <is>
          <t>Reparación del pavimento y renovación de la red de saneamiento en Calle Caridad</t>
        </is>
      </c>
      <c r="J1046" s="2" t="inlineStr">
        <is>
          <t>GEX 4627/2026</t>
        </is>
      </c>
      <c r="K1046" s="2" t="inlineStr">
        <is>
          <t>Abierto simplificado</t>
        </is>
      </c>
      <c r="L1046" s="6" t="n">
        <v>1.2</v>
      </c>
      <c r="M1046" s="2" t="inlineStr">
        <is>
          <t>G6-2</t>
        </is>
      </c>
      <c r="N1046" s="7" t="n">
        <v>0</v>
      </c>
      <c r="O1046" s="4" t="n"/>
      <c r="P1046" s="2" t="inlineStr">
        <is>
          <t>45220000; 45232410; 45233251; 45233252</t>
        </is>
      </c>
      <c r="Q1046" s="8" t="inlineStr">
        <is>
          <t>Ver</t>
        </is>
      </c>
      <c r="R1046" s="8" t="inlineStr">
        <is>
          <t>PCAP</t>
        </is>
      </c>
      <c r="S1046" s="9" t="n">
        <v>46311</v>
      </c>
      <c r="T1046" s="3" t="n">
        <v>46311.32927083333</v>
      </c>
      <c r="U1046" s="2" t="n"/>
    </row>
    <row r="1047">
      <c r="A1047" s="2" t="inlineStr">
        <is>
          <t>En plazo</t>
        </is>
      </c>
      <c r="B1047" s="3" t="n">
        <v>46323.99930555555</v>
      </c>
      <c r="C1047" s="5" t="n">
        <v>400115.19</v>
      </c>
      <c r="D1047" s="5" t="n">
        <v>400115.19</v>
      </c>
      <c r="E1047" s="2" t="inlineStr">
        <is>
          <t>Comunitat Valenciana</t>
        </is>
      </c>
      <c r="F1047" s="2" t="inlineStr">
        <is>
          <t>Alicante</t>
        </is>
      </c>
      <c r="G1047" s="2" t="n"/>
      <c r="H1047" s="2" t="inlineStr">
        <is>
          <t>Junta de Gobierno del Ayuntamiento Dénia</t>
        </is>
      </c>
      <c r="I1047" s="2" t="inlineStr">
        <is>
          <t>Obras de instalación de pistas multideportivas en Av. Alicante y C. Hermanos Maristas</t>
        </is>
      </c>
      <c r="J1047" s="2" t="inlineStr">
        <is>
          <t>OBR/2026000061</t>
        </is>
      </c>
      <c r="K1047" s="2" t="inlineStr">
        <is>
          <t>Abierto simplificado</t>
        </is>
      </c>
      <c r="L1047" s="6" t="n">
        <v>4</v>
      </c>
      <c r="M1047" s="2" t="n"/>
      <c r="N1047" s="7" t="n">
        <v>0</v>
      </c>
      <c r="O1047" s="4" t="n">
        <v>2</v>
      </c>
      <c r="P1047" s="2" t="inlineStr">
        <is>
          <t>45212200; 45212100</t>
        </is>
      </c>
      <c r="Q1047" s="8" t="inlineStr">
        <is>
          <t>Ver</t>
        </is>
      </c>
      <c r="R1047" s="8" t="inlineStr">
        <is>
          <t>PCAP</t>
        </is>
      </c>
      <c r="S1047" s="9" t="n">
        <v>46310</v>
      </c>
      <c r="T1047" s="3" t="n">
        <v>46311.32519675926</v>
      </c>
      <c r="U1047" s="2" t="n"/>
    </row>
    <row r="1048">
      <c r="A1048" s="2" t="inlineStr">
        <is>
          <t>Pendiente de adjudicación</t>
        </is>
      </c>
      <c r="B1048" s="3" t="n">
        <v>46301.79166666666</v>
      </c>
      <c r="C1048" s="5" t="n">
        <v>1344250.8</v>
      </c>
      <c r="D1048" s="5" t="n">
        <v>1344250.8</v>
      </c>
      <c r="E1048" s="2" t="inlineStr">
        <is>
          <t>Comunitat Valenciana</t>
        </is>
      </c>
      <c r="F1048" s="2" t="inlineStr">
        <is>
          <t>Valencia</t>
        </is>
      </c>
      <c r="G1048" s="2" t="inlineStr">
        <is>
          <t>Algemesí</t>
        </is>
      </c>
      <c r="H1048" s="2" t="inlineStr">
        <is>
          <t>Junta de Gobierno del Ayuntamiento de Algemesí</t>
        </is>
      </c>
      <c r="I1048" s="2" t="inlineStr">
        <is>
          <t>Ejecución de obras «Renovación del colector unitario de salida para la CV-515 hasta el EBAR en Algemesí»</t>
        </is>
      </c>
      <c r="J1048" s="2" t="inlineStr">
        <is>
          <t>7493/2026</t>
        </is>
      </c>
      <c r="K1048" s="2" t="inlineStr">
        <is>
          <t>Abierto simplificado</t>
        </is>
      </c>
      <c r="L1048" s="6" t="n">
        <v>7</v>
      </c>
      <c r="M1048" s="2" t="inlineStr">
        <is>
          <t>E1-4</t>
        </is>
      </c>
      <c r="N1048" s="7" t="n">
        <v>0</v>
      </c>
      <c r="O1048" s="4" t="n"/>
      <c r="P1048" s="2" t="inlineStr">
        <is>
          <t>45453000</t>
        </is>
      </c>
      <c r="Q1048" s="8" t="inlineStr">
        <is>
          <t>Ver</t>
        </is>
      </c>
      <c r="R1048" s="8" t="inlineStr">
        <is>
          <t>PCAP</t>
        </is>
      </c>
      <c r="S1048" s="9" t="n">
        <v>46310</v>
      </c>
      <c r="T1048" s="3" t="n">
        <v>46311.32423611111</v>
      </c>
      <c r="U1048" s="2" t="n"/>
    </row>
    <row r="1049">
      <c r="A1049" s="2" t="inlineStr">
        <is>
          <t>Adjudicada</t>
        </is>
      </c>
      <c r="B1049" s="3" t="n">
        <v>46274.79166666666</v>
      </c>
      <c r="C1049" s="5" t="n">
        <v>93776.00999999999</v>
      </c>
      <c r="D1049" s="5" t="n">
        <v>93776.00999999999</v>
      </c>
      <c r="E1049" s="2" t="inlineStr">
        <is>
          <t>Andalucía</t>
        </is>
      </c>
      <c r="F1049" s="2" t="inlineStr">
        <is>
          <t>Córdoba</t>
        </is>
      </c>
      <c r="G1049" s="2" t="inlineStr">
        <is>
          <t>Espejo</t>
        </is>
      </c>
      <c r="H1049" s="2" t="inlineStr">
        <is>
          <t>Alcaldia del Ayuntamiento de Espejo</t>
        </is>
      </c>
      <c r="I1049" s="2" t="inlineStr">
        <is>
          <t>Proyecto de intervención parcial en Edificio Municipal</t>
        </is>
      </c>
      <c r="J1049" s="2" t="inlineStr">
        <is>
          <t>2026/2434</t>
        </is>
      </c>
      <c r="K1049" s="2" t="inlineStr">
        <is>
          <t>Abierto simplificado</t>
        </is>
      </c>
      <c r="L1049" s="6" t="n">
        <v>6</v>
      </c>
      <c r="M1049" s="2" t="n"/>
      <c r="N1049" s="7" t="n">
        <v>0</v>
      </c>
      <c r="O1049" s="4" t="n"/>
      <c r="P1049" s="2" t="inlineStr">
        <is>
          <t>45000000; 45212300</t>
        </is>
      </c>
      <c r="Q1049" s="8" t="inlineStr">
        <is>
          <t>Ver</t>
        </is>
      </c>
      <c r="R1049" s="8" t="inlineStr">
        <is>
          <t>PCAP</t>
        </is>
      </c>
      <c r="S1049" s="9" t="n">
        <v>46310</v>
      </c>
      <c r="T1049" s="3" t="n">
        <v>46310.77736111111</v>
      </c>
      <c r="U1049" s="2" t="inlineStr">
        <is>
          <t>2026-10-16: estado EV → ADJ</t>
        </is>
      </c>
    </row>
    <row r="1050">
      <c r="A1050" s="2" t="inlineStr">
        <is>
          <t>En plazo</t>
        </is>
      </c>
      <c r="B1050" s="3" t="n">
        <v>46330.99930555555</v>
      </c>
      <c r="C1050" s="5" t="n">
        <v>50605.36</v>
      </c>
      <c r="D1050" s="5" t="n">
        <v>50605.36</v>
      </c>
      <c r="E1050" s="2" t="inlineStr">
        <is>
          <t>Comunitat Valenciana</t>
        </is>
      </c>
      <c r="F1050" s="2" t="inlineStr">
        <is>
          <t>Valencia</t>
        </is>
      </c>
      <c r="G1050" s="2" t="inlineStr">
        <is>
          <t>Tavernes Blanques</t>
        </is>
      </c>
      <c r="H1050" s="2" t="inlineStr">
        <is>
          <t>Alcaldía del Ayuntamiento de Tavernes Blanques</t>
        </is>
      </c>
      <c r="I1050" s="2" t="inlineStr">
        <is>
          <t>obra de instalación de placas fotovoltaicas para autoconsumo</t>
        </is>
      </c>
      <c r="J1050" s="2" t="inlineStr">
        <is>
          <t>OB-2026-3</t>
        </is>
      </c>
      <c r="K1050" s="2" t="inlineStr">
        <is>
          <t>Abierto simplificado</t>
        </is>
      </c>
      <c r="L1050" s="6" t="n">
        <v>2</v>
      </c>
      <c r="M1050" s="2" t="n"/>
      <c r="N1050" s="7" t="n">
        <v>0</v>
      </c>
      <c r="O1050" s="4" t="n">
        <v>2</v>
      </c>
      <c r="P1050" s="2" t="inlineStr">
        <is>
          <t>45000000; 45261215; 09000000; 09332000; 09330000; 09331200; 09331000</t>
        </is>
      </c>
      <c r="Q1050" s="8" t="inlineStr">
        <is>
          <t>Ver</t>
        </is>
      </c>
      <c r="R1050" s="8" t="inlineStr">
        <is>
          <t>PCAP</t>
        </is>
      </c>
      <c r="S1050" s="9" t="n">
        <v>46311</v>
      </c>
      <c r="T1050" s="3" t="n">
        <v>46310.76719907407</v>
      </c>
      <c r="U1050" s="2" t="n"/>
    </row>
    <row r="1051">
      <c r="A1051" s="2" t="inlineStr">
        <is>
          <t>Resuelta</t>
        </is>
      </c>
      <c r="B1051" s="3" t="n">
        <v>46219.99930555555</v>
      </c>
      <c r="C1051" s="5" t="n">
        <v>195842.94</v>
      </c>
      <c r="D1051" s="5" t="n">
        <v>195842.94</v>
      </c>
      <c r="E1051" s="2" t="inlineStr">
        <is>
          <t>Comunitat Valenciana</t>
        </is>
      </c>
      <c r="F1051" s="2" t="inlineStr">
        <is>
          <t>Valencia</t>
        </is>
      </c>
      <c r="G1051" s="2" t="inlineStr">
        <is>
          <t>Ayora</t>
        </is>
      </c>
      <c r="H1051" s="2" t="inlineStr">
        <is>
          <t>Junta de Gobierno Local del Ayuntamiento de Ayora</t>
        </is>
      </c>
      <c r="I1051" s="2" t="inlineStr">
        <is>
          <t>Obra de renovación del césped artificial del campo de fútbol municipal.</t>
        </is>
      </c>
      <c r="J1051" s="2" t="inlineStr">
        <is>
          <t>1291/2026</t>
        </is>
      </c>
      <c r="K1051" s="2" t="inlineStr">
        <is>
          <t>Abierto simplificado</t>
        </is>
      </c>
      <c r="L1051" s="6" t="n">
        <v>2</v>
      </c>
      <c r="M1051" s="2" t="n"/>
      <c r="N1051" s="7" t="n">
        <v>0</v>
      </c>
      <c r="O1051" s="4" t="n"/>
      <c r="P1051" s="2" t="inlineStr">
        <is>
          <t>45212200; 45212213</t>
        </is>
      </c>
      <c r="Q1051" s="8" t="inlineStr">
        <is>
          <t>Ver</t>
        </is>
      </c>
      <c r="R1051" s="8" t="inlineStr">
        <is>
          <t>PCAP</t>
        </is>
      </c>
      <c r="S1051" s="9" t="n">
        <v>46311</v>
      </c>
      <c r="T1051" s="3" t="n">
        <v>46310.75731481481</v>
      </c>
      <c r="U1051" s="2" t="n"/>
    </row>
    <row r="1052">
      <c r="A1052" s="2" t="inlineStr">
        <is>
          <t>En plazo</t>
        </is>
      </c>
      <c r="B1052" s="3" t="n">
        <v>46324.99930555555</v>
      </c>
      <c r="C1052" s="5" t="n">
        <v>667189.24</v>
      </c>
      <c r="D1052" s="5" t="n">
        <v>667189.24</v>
      </c>
      <c r="E1052" s="2" t="inlineStr">
        <is>
          <t>Andalucía</t>
        </is>
      </c>
      <c r="F1052" s="2" t="inlineStr">
        <is>
          <t>Huelva</t>
        </is>
      </c>
      <c r="G1052" s="2" t="inlineStr">
        <is>
          <t>ISLA CRISTINA</t>
        </is>
      </c>
      <c r="H1052" s="2" t="inlineStr">
        <is>
          <t>Alcaldía del Ayuntamiento de Isla Cristina</t>
        </is>
      </c>
      <c r="I1052" s="2" t="inlineStr">
        <is>
          <t>Obras Proyecto de renovación y mejora de la eficiencia energética de las instalaciones de alumbrado público exterior del municipio de Isla Cristina.</t>
        </is>
      </c>
      <c r="J1052" s="2" t="inlineStr">
        <is>
          <t>5773/2026</t>
        </is>
      </c>
      <c r="K1052" s="2" t="inlineStr">
        <is>
          <t>Abierto simplificado</t>
        </is>
      </c>
      <c r="L1052" s="6" t="n">
        <v>6.1</v>
      </c>
      <c r="M1052" s="2" t="inlineStr">
        <is>
          <t>I1-3</t>
        </is>
      </c>
      <c r="N1052" s="7" t="n">
        <v>0.25</v>
      </c>
      <c r="O1052" s="4" t="n"/>
      <c r="P1052" s="2" t="inlineStr">
        <is>
          <t>45316100; 45315600</t>
        </is>
      </c>
      <c r="Q1052" s="8" t="inlineStr">
        <is>
          <t>Ver</t>
        </is>
      </c>
      <c r="R1052" s="8" t="inlineStr">
        <is>
          <t>PCAP</t>
        </is>
      </c>
      <c r="S1052" s="9" t="n">
        <v>46310</v>
      </c>
      <c r="T1052" s="3" t="n">
        <v>46310.62149305556</v>
      </c>
      <c r="U1052" s="2" t="n"/>
    </row>
    <row r="1053">
      <c r="A1053" s="2" t="inlineStr">
        <is>
          <t>En plazo</t>
        </is>
      </c>
      <c r="B1053" s="3" t="n">
        <v>46330.58333333334</v>
      </c>
      <c r="C1053" s="5" t="n">
        <v>216953.84</v>
      </c>
      <c r="D1053" s="5" t="n">
        <v>216953.84</v>
      </c>
      <c r="E1053" s="2" t="inlineStr">
        <is>
          <t>Comunitat Valenciana</t>
        </is>
      </c>
      <c r="F1053" s="2" t="inlineStr">
        <is>
          <t>Valencia</t>
        </is>
      </c>
      <c r="G1053" s="2" t="inlineStr">
        <is>
          <t>REQUENA</t>
        </is>
      </c>
      <c r="H1053" s="2" t="inlineStr">
        <is>
          <t>Junta de Gobierno Local del Ayuntamiento de Requena</t>
        </is>
      </c>
      <c r="I1053" s="2" t="inlineStr">
        <is>
          <t>Ampliación de pabellón polideportivo y reforma de pista de tenis en polideportivo municipal de Requena</t>
        </is>
      </c>
      <c r="J1053" s="2" t="inlineStr">
        <is>
          <t>2984396W</t>
        </is>
      </c>
      <c r="K1053" s="2" t="inlineStr">
        <is>
          <t>Abierto simplificado</t>
        </is>
      </c>
      <c r="L1053" s="6" t="n">
        <v>12</v>
      </c>
      <c r="M1053" s="2" t="n"/>
      <c r="N1053" s="7" t="n">
        <v>0</v>
      </c>
      <c r="O1053" s="4" t="n"/>
      <c r="P1053" s="2" t="inlineStr">
        <is>
          <t>45212200</t>
        </is>
      </c>
      <c r="Q1053" s="8" t="inlineStr">
        <is>
          <t>Ver</t>
        </is>
      </c>
      <c r="R1053" s="8" t="inlineStr">
        <is>
          <t>PCAP</t>
        </is>
      </c>
      <c r="S1053" s="9" t="n">
        <v>46311</v>
      </c>
      <c r="T1053" s="3" t="n">
        <v>46310.6174537037</v>
      </c>
      <c r="U1053" s="2" t="n"/>
    </row>
    <row r="1054">
      <c r="A1054" s="2" t="inlineStr">
        <is>
          <t>En plazo</t>
        </is>
      </c>
      <c r="B1054" s="3" t="n">
        <v>46330.99930555555</v>
      </c>
      <c r="C1054" s="5" t="n">
        <v>77500</v>
      </c>
      <c r="D1054" s="5" t="n">
        <v>77500</v>
      </c>
      <c r="E1054" s="2" t="inlineStr">
        <is>
          <t>Andalucía</t>
        </is>
      </c>
      <c r="F1054" s="2" t="inlineStr">
        <is>
          <t>Jaén</t>
        </is>
      </c>
      <c r="G1054" s="2" t="inlineStr">
        <is>
          <t>Noalejo, Jaén</t>
        </is>
      </c>
      <c r="H1054" s="2" t="inlineStr">
        <is>
          <t>Alcaldía del Ayuntamiento de Noalejo</t>
        </is>
      </c>
      <c r="I1054" s="2" t="inlineStr">
        <is>
          <t>Contrato de obra por lotes (2) para el arreglo de los accesos al núcleo urbano de Noalejo por La Cañada y Valdepeñas, en el marco del Real Decreto 5/2026, de 17 de febrero, por el que se adoptan medidas urgentes en respuesta a los daños causados por diversos fenómenos meteorológicos adversos, de especial afectación en las comunidades autónomas de Andalucía y Extremadura</t>
        </is>
      </c>
      <c r="J1054" s="2" t="inlineStr">
        <is>
          <t>145/2026 Lic2</t>
        </is>
      </c>
      <c r="K1054" s="2" t="inlineStr">
        <is>
          <t>Abierto simplificado</t>
        </is>
      </c>
      <c r="L1054" s="6" t="n">
        <v>10</v>
      </c>
      <c r="M1054" s="2" t="inlineStr">
        <is>
          <t>G4-1</t>
        </is>
      </c>
      <c r="N1054" s="7" t="n">
        <v>0</v>
      </c>
      <c r="O1054" s="4" t="n">
        <v>2</v>
      </c>
      <c r="P1054" s="2" t="inlineStr">
        <is>
          <t>45233142; 45233222; 45233141; 45232452</t>
        </is>
      </c>
      <c r="Q1054" s="8" t="inlineStr">
        <is>
          <t>Ver</t>
        </is>
      </c>
      <c r="R1054" s="8" t="inlineStr">
        <is>
          <t>PCAP</t>
        </is>
      </c>
      <c r="S1054" s="9" t="n">
        <v>46311</v>
      </c>
      <c r="T1054" s="3" t="n">
        <v>46310.6118287037</v>
      </c>
      <c r="U1054" s="2" t="n"/>
    </row>
    <row r="1055">
      <c r="A1055" s="2" t="inlineStr">
        <is>
          <t>En plazo</t>
        </is>
      </c>
      <c r="B1055" s="3" t="n">
        <v>46321.99930555555</v>
      </c>
      <c r="C1055" s="5" t="n">
        <v>39624.98</v>
      </c>
      <c r="D1055" s="5" t="n">
        <v>47549.98</v>
      </c>
      <c r="E1055" s="2" t="inlineStr">
        <is>
          <t>Andalucía</t>
        </is>
      </c>
      <c r="F1055" s="2" t="inlineStr">
        <is>
          <t>Almería</t>
        </is>
      </c>
      <c r="G1055" s="2" t="n"/>
      <c r="H1055" s="2" t="inlineStr">
        <is>
          <t>Alcaldía del Ayuntamiento de El Ejido</t>
        </is>
      </c>
      <c r="I1055" s="2" t="inlineStr">
        <is>
          <t>Ejecución de la memoria de obras denominadas: Suministro de elementos de calistenia en Paseo Marítimo de Almerimar, de El Ejido (Almería).</t>
        </is>
      </c>
      <c r="J1055" s="2" t="inlineStr">
        <is>
          <t>2026 1401</t>
        </is>
      </c>
      <c r="K1055" s="2" t="inlineStr">
        <is>
          <t>Abierto simplificado</t>
        </is>
      </c>
      <c r="L1055" s="6" t="n">
        <v>2</v>
      </c>
      <c r="M1055" s="2" t="n"/>
      <c r="N1055" s="7" t="n">
        <v>0</v>
      </c>
      <c r="O1055" s="4" t="n"/>
      <c r="P1055" s="2" t="inlineStr">
        <is>
          <t>45233140; 37535200; 45212200</t>
        </is>
      </c>
      <c r="Q1055" s="8" t="inlineStr">
        <is>
          <t>Ver</t>
        </is>
      </c>
      <c r="R1055" s="8" t="inlineStr">
        <is>
          <t>PCAP</t>
        </is>
      </c>
      <c r="S1055" s="9" t="n">
        <v>46311</v>
      </c>
      <c r="T1055" s="3" t="n">
        <v>46310.6061574074</v>
      </c>
      <c r="U1055" s="2" t="n"/>
    </row>
    <row r="1056">
      <c r="A1056" s="2" t="inlineStr">
        <is>
          <t>En plazo</t>
        </is>
      </c>
      <c r="B1056" s="3" t="n">
        <v>46330.99930555555</v>
      </c>
      <c r="C1056" s="5" t="n">
        <v>77850</v>
      </c>
      <c r="D1056" s="5" t="n">
        <v>77850</v>
      </c>
      <c r="E1056" s="2" t="inlineStr">
        <is>
          <t>Andalucía</t>
        </is>
      </c>
      <c r="F1056" s="2" t="inlineStr">
        <is>
          <t>Jaén</t>
        </is>
      </c>
      <c r="G1056" s="2" t="inlineStr">
        <is>
          <t>Noalejo, Jaén</t>
        </is>
      </c>
      <c r="H1056" s="2" t="inlineStr">
        <is>
          <t>Alcaldía del Ayuntamiento de Noalejo</t>
        </is>
      </c>
      <c r="I1056" s="2" t="inlineStr">
        <is>
          <t>Contrato de obra por lotes (2) denominado "Rehabilitación de la cubierta de la Biblioteca y la rehabilitación de la cubierta del Centro de Educación Especial del municipio de Noalejo, en el marco del Real Decreto-Ley 5/2026, de 17 de febrero, por el que se adoptan medidas urgentes en respuesta a los daños causados por diversos fenómenos meteorológicos adversos".</t>
        </is>
      </c>
      <c r="J1056" s="2" t="inlineStr">
        <is>
          <t>145/2026 Lic1</t>
        </is>
      </c>
      <c r="K1056" s="2" t="inlineStr">
        <is>
          <t>Abierto simplificado</t>
        </is>
      </c>
      <c r="L1056" s="6" t="n">
        <v>10</v>
      </c>
      <c r="M1056" s="2" t="inlineStr">
        <is>
          <t>C7-1</t>
        </is>
      </c>
      <c r="N1056" s="7" t="n">
        <v>0</v>
      </c>
      <c r="O1056" s="4" t="n">
        <v>2</v>
      </c>
      <c r="P1056" s="2" t="inlineStr">
        <is>
          <t>45260000; 45453100; 45261900; 45261210; 45453000</t>
        </is>
      </c>
      <c r="Q1056" s="8" t="inlineStr">
        <is>
          <t>Ver</t>
        </is>
      </c>
      <c r="R1056" s="8" t="inlineStr">
        <is>
          <t>PCAP</t>
        </is>
      </c>
      <c r="S1056" s="9" t="n">
        <v>46311</v>
      </c>
      <c r="T1056" s="3" t="n">
        <v>46310.60447916666</v>
      </c>
      <c r="U1056" s="2" t="n"/>
    </row>
    <row r="1057">
      <c r="A1057" s="2" t="inlineStr">
        <is>
          <t>Resuelta</t>
        </is>
      </c>
      <c r="B1057" s="3" t="n">
        <v>46300.58333333334</v>
      </c>
      <c r="C1057" s="5" t="n">
        <v>74005.75</v>
      </c>
      <c r="D1057" s="5" t="n">
        <v>74005.75</v>
      </c>
      <c r="E1057" s="2" t="inlineStr">
        <is>
          <t>Comunitat Valenciana</t>
        </is>
      </c>
      <c r="F1057" s="2" t="inlineStr">
        <is>
          <t>Valencia</t>
        </is>
      </c>
      <c r="G1057" s="2" t="inlineStr">
        <is>
          <t>REQUENA</t>
        </is>
      </c>
      <c r="H1057" s="2" t="inlineStr">
        <is>
          <t>Alcaldía del Ayuntamiento de Requena</t>
        </is>
      </c>
      <c r="I1057" s="2" t="inlineStr">
        <is>
          <t>Instalacion de ascensor en edificio existente en calle San Fernando 2 de Requena</t>
        </is>
      </c>
      <c r="J1057" s="2" t="inlineStr">
        <is>
          <t>2794928W</t>
        </is>
      </c>
      <c r="K1057" s="2" t="inlineStr">
        <is>
          <t>Abierto simplificado</t>
        </is>
      </c>
      <c r="L1057" s="6" t="n">
        <v>6</v>
      </c>
      <c r="M1057" s="2" t="n"/>
      <c r="N1057" s="7" t="n">
        <v>0</v>
      </c>
      <c r="O1057" s="4" t="n"/>
      <c r="P1057" s="2" t="inlineStr">
        <is>
          <t>45313100</t>
        </is>
      </c>
      <c r="Q1057" s="8" t="inlineStr">
        <is>
          <t>Ver</t>
        </is>
      </c>
      <c r="R1057" s="8" t="inlineStr">
        <is>
          <t>PCAP</t>
        </is>
      </c>
      <c r="S1057" s="9" t="n">
        <v>46311</v>
      </c>
      <c r="T1057" s="3" t="n">
        <v>46310.60190972222</v>
      </c>
      <c r="U1057" s="2" t="n"/>
    </row>
    <row r="1058">
      <c r="A1058" s="2" t="inlineStr">
        <is>
          <t>En plazo</t>
        </is>
      </c>
      <c r="B1058" s="3" t="n">
        <v>46328.99930555555</v>
      </c>
      <c r="C1058" s="5" t="n">
        <v>171523.49</v>
      </c>
      <c r="D1058" s="5" t="n">
        <v>171523.49</v>
      </c>
      <c r="E1058" s="2" t="inlineStr">
        <is>
          <t>Andalucía</t>
        </is>
      </c>
      <c r="F1058" s="2" t="inlineStr">
        <is>
          <t>Málaga</t>
        </is>
      </c>
      <c r="G1058" s="2" t="n"/>
      <c r="H1058" s="2" t="inlineStr">
        <is>
          <t>Junta de Gobierno del Ayuntamiento de Nerja</t>
        </is>
      </c>
      <c r="I1058" s="2" t="inlineStr">
        <is>
          <t>Obras correspondientes al Proyecto de urbanización de las actuaciones aisladas AA-14 y AA-35 del P.G.O.U. de Nerja.</t>
        </is>
      </c>
      <c r="J1058" s="2" t="inlineStr">
        <is>
          <t>2026/6/S245</t>
        </is>
      </c>
      <c r="K1058" s="2" t="inlineStr">
        <is>
          <t>Abierto simplificado</t>
        </is>
      </c>
      <c r="L1058" s="6" t="n">
        <v>3</v>
      </c>
      <c r="M1058" s="2" t="n"/>
      <c r="N1058" s="7" t="n">
        <v>0</v>
      </c>
      <c r="O1058" s="4" t="n"/>
      <c r="P1058" s="2" t="inlineStr">
        <is>
          <t>45231100; 45220000; 45233252; 45233140</t>
        </is>
      </c>
      <c r="Q1058" s="8" t="inlineStr">
        <is>
          <t>Ver</t>
        </is>
      </c>
      <c r="R1058" s="8" t="inlineStr">
        <is>
          <t>PCAP</t>
        </is>
      </c>
      <c r="S1058" s="9" t="n">
        <v>46310</v>
      </c>
      <c r="T1058" s="3" t="n">
        <v>46310.60112268518</v>
      </c>
      <c r="U1058" s="2" t="n"/>
    </row>
    <row r="1059">
      <c r="A1059" s="2" t="inlineStr">
        <is>
          <t>Resuelta</t>
        </is>
      </c>
      <c r="B1059" s="3" t="n">
        <v>46304.99930555555</v>
      </c>
      <c r="C1059" s="5" t="n">
        <v>69132.25</v>
      </c>
      <c r="D1059" s="5" t="n">
        <v>69132.25</v>
      </c>
      <c r="E1059" s="2" t="inlineStr">
        <is>
          <t>Andalucía</t>
        </is>
      </c>
      <c r="F1059" s="2" t="inlineStr">
        <is>
          <t>Huelva</t>
        </is>
      </c>
      <c r="G1059" s="2" t="inlineStr">
        <is>
          <t>Lepe</t>
        </is>
      </c>
      <c r="H1059" s="2" t="inlineStr">
        <is>
          <t>Junta de Gobierno del Ayuntamiento de Lepe</t>
        </is>
      </c>
      <c r="I1059" s="2" t="inlineStr">
        <is>
          <t>obras contenidas en el proyecto referido, consistentes en la reposición del firme asfáltico en el ámbito definido en el Proyecto, aprobado por acuerdo de Junta de Gobierno de fecha 25/05/26</t>
        </is>
      </c>
      <c r="J1059" s="2" t="inlineStr">
        <is>
          <t>10551/2026</t>
        </is>
      </c>
      <c r="K1059" s="2" t="inlineStr">
        <is>
          <t>Abierto simplificado</t>
        </is>
      </c>
      <c r="L1059" s="6" t="n">
        <v>1</v>
      </c>
      <c r="M1059" s="2" t="n"/>
      <c r="N1059" s="7" t="n">
        <v>0</v>
      </c>
      <c r="O1059" s="4" t="n"/>
      <c r="P1059" s="2" t="inlineStr">
        <is>
          <t>45233142; 45233221; 45233223</t>
        </is>
      </c>
      <c r="Q1059" s="8" t="inlineStr">
        <is>
          <t>Ver</t>
        </is>
      </c>
      <c r="R1059" s="8" t="inlineStr">
        <is>
          <t>PCAP</t>
        </is>
      </c>
      <c r="S1059" s="9" t="n">
        <v>46311</v>
      </c>
      <c r="T1059" s="3" t="n">
        <v>46310.5994212963</v>
      </c>
      <c r="U1059" s="2" t="n"/>
    </row>
    <row r="1060">
      <c r="A1060" s="2" t="inlineStr">
        <is>
          <t>En plazo</t>
        </is>
      </c>
      <c r="B1060" s="3" t="n">
        <v>46336.99930555555</v>
      </c>
      <c r="C1060" s="5" t="n">
        <v>371900.83</v>
      </c>
      <c r="D1060" s="5" t="n">
        <v>371900.83</v>
      </c>
      <c r="E1060" s="2" t="inlineStr">
        <is>
          <t>Andalucía</t>
        </is>
      </c>
      <c r="F1060" s="2" t="inlineStr">
        <is>
          <t>Córdoba</t>
        </is>
      </c>
      <c r="G1060" s="2" t="inlineStr">
        <is>
          <t>Bujalance</t>
        </is>
      </c>
      <c r="H1060" s="2" t="inlineStr">
        <is>
          <t>Junta de Gobierno de la Diputación Provincial de Córdoba</t>
        </is>
      </c>
      <c r="I1060" s="2" t="inlineStr">
        <is>
          <t>Contratación de la obra reforma del Teatro Español en Bujalance(Córdoba), obra incluida en los Planes Provinciales de Obras y Servicios 2024-2027 (bienio 2026-2027).</t>
        </is>
      </c>
      <c r="J1060" s="2" t="inlineStr">
        <is>
          <t>627/26 BIS</t>
        </is>
      </c>
      <c r="K1060" s="2" t="inlineStr">
        <is>
          <t>Abierto</t>
        </is>
      </c>
      <c r="L1060" s="6" t="n">
        <v>6</v>
      </c>
      <c r="M1060" s="2" t="n"/>
      <c r="N1060" s="7" t="n">
        <v>0.25</v>
      </c>
      <c r="O1060" s="4" t="n"/>
      <c r="P1060" s="2" t="inlineStr">
        <is>
          <t>45220000</t>
        </is>
      </c>
      <c r="Q1060" s="8" t="inlineStr">
        <is>
          <t>Ver</t>
        </is>
      </c>
      <c r="R1060" s="8" t="inlineStr">
        <is>
          <t>PCAP</t>
        </is>
      </c>
      <c r="S1060" s="9" t="n">
        <v>46311</v>
      </c>
      <c r="T1060" s="3" t="n">
        <v>46310.5983449074</v>
      </c>
      <c r="U1060" s="2" t="n"/>
    </row>
    <row r="1061">
      <c r="A1061" s="2" t="inlineStr">
        <is>
          <t>Pendiente de adjudicación</t>
        </is>
      </c>
      <c r="B1061" s="3" t="n">
        <v>46258.99930555555</v>
      </c>
      <c r="C1061" s="5" t="n">
        <v>191799.63</v>
      </c>
      <c r="D1061" s="5" t="n">
        <v>191799.63</v>
      </c>
      <c r="E1061" s="2" t="inlineStr">
        <is>
          <t>Andalucía</t>
        </is>
      </c>
      <c r="F1061" s="2" t="inlineStr">
        <is>
          <t>Málaga</t>
        </is>
      </c>
      <c r="G1061" s="2" t="n"/>
      <c r="H1061" s="2" t="inlineStr">
        <is>
          <t>Dirección General de Servicios</t>
        </is>
      </c>
      <c r="I1061" s="2" t="inlineStr">
        <is>
          <t>Obra de sustitución de los sistemas de climatización y ventilación de la sede de la Demarcación de Costas de Andalucía-Mediterráneo, en Málaga. Pcpeco-06/08/19</t>
        </is>
      </c>
      <c r="J1061" s="2" t="inlineStr">
        <is>
          <t>20260000055B</t>
        </is>
      </c>
      <c r="K1061" s="2" t="inlineStr">
        <is>
          <t>Abierto simplificado</t>
        </is>
      </c>
      <c r="L1061" s="6" t="n">
        <v>3</v>
      </c>
      <c r="M1061" s="2" t="n"/>
      <c r="N1061" s="7" t="n">
        <v>0</v>
      </c>
      <c r="O1061" s="4" t="n"/>
      <c r="P1061" s="2" t="inlineStr">
        <is>
          <t>45259000; 45259900; 45331100; 45315300</t>
        </is>
      </c>
      <c r="Q1061" s="8" t="inlineStr">
        <is>
          <t>Ver</t>
        </is>
      </c>
      <c r="R1061" s="8" t="inlineStr">
        <is>
          <t>PCAP</t>
        </is>
      </c>
      <c r="S1061" s="9" t="n">
        <v>46311</v>
      </c>
      <c r="T1061" s="3" t="n">
        <v>46310.58960648148</v>
      </c>
      <c r="U1061" s="2" t="n"/>
    </row>
    <row r="1062">
      <c r="A1062" s="2" t="inlineStr">
        <is>
          <t>Adjudicada</t>
        </is>
      </c>
      <c r="B1062" s="3" t="n">
        <v>46238.99930555555</v>
      </c>
      <c r="C1062" s="5" t="n">
        <v>4947025.22</v>
      </c>
      <c r="D1062" s="5" t="n">
        <v>4947025.22</v>
      </c>
      <c r="E1062" s="2" t="inlineStr">
        <is>
          <t>Andalucía</t>
        </is>
      </c>
      <c r="F1062" s="2" t="inlineStr">
        <is>
          <t>Cádiz</t>
        </is>
      </c>
      <c r="G1062" s="2" t="inlineStr">
        <is>
          <t>Algeciras</t>
        </is>
      </c>
      <c r="H1062" s="2" t="inlineStr">
        <is>
          <t>Alcaldía del Ayuntamiento de Algeciras</t>
        </is>
      </c>
      <c r="I1062" s="2" t="inlineStr">
        <is>
          <t>OPA - Tren de Borrascas - Plan de Asfaltado en Viales de Algeciras</t>
        </is>
      </c>
      <c r="J1062" s="2" t="inlineStr">
        <is>
          <t>24747/2026</t>
        </is>
      </c>
      <c r="K1062" s="2" t="inlineStr">
        <is>
          <t>Abierto</t>
        </is>
      </c>
      <c r="L1062" s="6" t="n">
        <v>8</v>
      </c>
      <c r="M1062" s="2" t="n"/>
      <c r="N1062" s="7" t="n">
        <v>0</v>
      </c>
      <c r="O1062" s="4" t="n">
        <v>4</v>
      </c>
      <c r="P1062" s="2" t="inlineStr">
        <is>
          <t>45233140; 71317210</t>
        </is>
      </c>
      <c r="Q1062" s="8" t="inlineStr">
        <is>
          <t>Ver</t>
        </is>
      </c>
      <c r="R1062" s="8" t="inlineStr">
        <is>
          <t>PCAP</t>
        </is>
      </c>
      <c r="S1062" s="9" t="n">
        <v>46310</v>
      </c>
      <c r="T1062" s="3" t="n">
        <v>46310.58953703703</v>
      </c>
      <c r="U1062" s="2" t="n"/>
    </row>
    <row r="1063">
      <c r="A1063" s="2" t="inlineStr">
        <is>
          <t>Resuelta</t>
        </is>
      </c>
      <c r="B1063" s="3" t="n">
        <v>46252.99930555555</v>
      </c>
      <c r="C1063" s="5" t="n">
        <v>74267.38</v>
      </c>
      <c r="D1063" s="5" t="n">
        <v>74267.38</v>
      </c>
      <c r="E1063" s="2" t="inlineStr">
        <is>
          <t>Andalucía</t>
        </is>
      </c>
      <c r="F1063" s="2" t="inlineStr">
        <is>
          <t>Málaga</t>
        </is>
      </c>
      <c r="G1063" s="2" t="n"/>
      <c r="H1063" s="2" t="inlineStr">
        <is>
          <t>Alcaldía del Ayuntamiento de Casarabonela</t>
        </is>
      </c>
      <c r="I1063" s="2" t="inlineStr">
        <is>
          <t>Contrato de obras para la actuacion puesta en valor de restos arqueológicos en el Castillo-Fortaleza de Qasr Bunayra de Casarabonela mediante la ejecución de pasarela visitable, cofinanciada por el Fondo Europeo de Desarrollo Regional (FEDER), mediante fondos para la puesta en valor del patrimonio turístico-cultural de Andalucía (PATCUL 2025-Linea 1) de la Junta de Andalucia.</t>
        </is>
      </c>
      <c r="J1063" s="2" t="inlineStr">
        <is>
          <t>C2026409</t>
        </is>
      </c>
      <c r="K1063" s="2" t="inlineStr">
        <is>
          <t>Abierto simplificado</t>
        </is>
      </c>
      <c r="L1063" s="6" t="n">
        <v>2</v>
      </c>
      <c r="M1063" s="2" t="n"/>
      <c r="N1063" s="7" t="n">
        <v>0</v>
      </c>
      <c r="O1063" s="4" t="n"/>
      <c r="P1063" s="2" t="inlineStr">
        <is>
          <t>45221113; 45223210; 45422000; 45112450</t>
        </is>
      </c>
      <c r="Q1063" s="8" t="inlineStr">
        <is>
          <t>Ver</t>
        </is>
      </c>
      <c r="R1063" s="8" t="inlineStr">
        <is>
          <t>PCAP</t>
        </is>
      </c>
      <c r="S1063" s="9" t="n">
        <v>46310</v>
      </c>
      <c r="T1063" s="3" t="n">
        <v>46310.58418981481</v>
      </c>
      <c r="U1063" s="2" t="inlineStr">
        <is>
          <t>2026-10-16: estado ADJ → RES</t>
        </is>
      </c>
    </row>
    <row r="1064">
      <c r="A1064" s="2" t="inlineStr">
        <is>
          <t>En plazo</t>
        </is>
      </c>
      <c r="B1064" s="3" t="n">
        <v>46324.99930555555</v>
      </c>
      <c r="C1064" s="5" t="n">
        <v>45253.57</v>
      </c>
      <c r="D1064" s="5" t="n">
        <v>45253.57</v>
      </c>
      <c r="E1064" s="2" t="inlineStr">
        <is>
          <t>Andalucía</t>
        </is>
      </c>
      <c r="F1064" s="2" t="inlineStr">
        <is>
          <t>Sevilla</t>
        </is>
      </c>
      <c r="G1064" s="2" t="n"/>
      <c r="H1064" s="2" t="inlineStr">
        <is>
          <t>Alcaldia del Ayuntamiento de Alanís</t>
        </is>
      </c>
      <c r="I1064" s="2" t="inlineStr">
        <is>
          <t>Rehabilitación del camino Pista del IARA, caminos rural, expediente 2026/CTT_01/000054</t>
        </is>
      </c>
      <c r="J1064" s="2" t="inlineStr">
        <is>
          <t>P4100200G-2026/000044-PAAB</t>
        </is>
      </c>
      <c r="K1064" s="2" t="inlineStr">
        <is>
          <t>Abierto simplificado</t>
        </is>
      </c>
      <c r="L1064" s="6" t="n">
        <v>2</v>
      </c>
      <c r="M1064" s="2" t="n"/>
      <c r="N1064" s="7" t="n">
        <v>0</v>
      </c>
      <c r="O1064" s="4" t="n"/>
      <c r="P1064" s="2" t="inlineStr">
        <is>
          <t>45233160</t>
        </is>
      </c>
      <c r="Q1064" s="8" t="inlineStr">
        <is>
          <t>Ver</t>
        </is>
      </c>
      <c r="R1064" s="8" t="inlineStr">
        <is>
          <t>PCAP</t>
        </is>
      </c>
      <c r="S1064" s="9" t="n">
        <v>46311</v>
      </c>
      <c r="T1064" s="3" t="n">
        <v>46310.57896990741</v>
      </c>
      <c r="U1064" s="2" t="n"/>
    </row>
    <row r="1065">
      <c r="A1065" s="2" t="inlineStr">
        <is>
          <t>Adjudicada</t>
        </is>
      </c>
      <c r="B1065" s="3" t="n">
        <v>46276.41666666666</v>
      </c>
      <c r="C1065" s="5" t="n">
        <v>231106</v>
      </c>
      <c r="D1065" s="5" t="n">
        <v>231106</v>
      </c>
      <c r="E1065" s="2" t="inlineStr">
        <is>
          <t>Andalucía</t>
        </is>
      </c>
      <c r="F1065" s="2" t="inlineStr">
        <is>
          <t>Cádiz</t>
        </is>
      </c>
      <c r="G1065" s="2" t="n"/>
      <c r="H1065" s="2" t="inlineStr">
        <is>
          <t>Empresa de Transformación Agraria S.A.,S.M.E., M.P., (TRAGSA)</t>
        </is>
      </c>
      <c r="I1065" s="2" t="inlineStr">
        <is>
          <t>Suministro y montaje de protecciones de taludes en la actuación de "Servicio de actuaciones prioritarias en materia de seguridad y salud de las presas competencia de la Comunidad Autónoma de Andalucía (Cádiz)"</t>
        </is>
      </c>
      <c r="J1065" s="2" t="inlineStr">
        <is>
          <t>TSA0083943</t>
        </is>
      </c>
      <c r="K1065" s="2" t="inlineStr">
        <is>
          <t>Abierto simplificado</t>
        </is>
      </c>
      <c r="L1065" s="6" t="n">
        <v>2</v>
      </c>
      <c r="M1065" s="2" t="inlineStr">
        <is>
          <t>K2-2</t>
        </is>
      </c>
      <c r="N1065" s="7" t="n">
        <v>0</v>
      </c>
      <c r="O1065" s="4" t="n"/>
      <c r="P1065" s="2" t="inlineStr">
        <is>
          <t>45111230</t>
        </is>
      </c>
      <c r="Q1065" s="8" t="inlineStr">
        <is>
          <t>Ver</t>
        </is>
      </c>
      <c r="R1065" s="8" t="inlineStr">
        <is>
          <t>PCAP</t>
        </is>
      </c>
      <c r="S1065" s="9" t="n">
        <v>46311</v>
      </c>
      <c r="T1065" s="3" t="n">
        <v>46310.57519675926</v>
      </c>
      <c r="U1065" s="2" t="n"/>
    </row>
    <row r="1066">
      <c r="A1066" s="2" t="inlineStr">
        <is>
          <t>Resuelta</t>
        </is>
      </c>
      <c r="B1066" s="3" t="n">
        <v>46224.58333333334</v>
      </c>
      <c r="C1066" s="5" t="n">
        <v>73302.06</v>
      </c>
      <c r="D1066" s="5" t="n">
        <v>73302.06</v>
      </c>
      <c r="E1066" s="2" t="inlineStr">
        <is>
          <t>Andalucía</t>
        </is>
      </c>
      <c r="F1066" s="2" t="inlineStr">
        <is>
          <t>Sevilla</t>
        </is>
      </c>
      <c r="G1066" s="2" t="inlineStr">
        <is>
          <t>Sevilla</t>
        </is>
      </c>
      <c r="H1066" s="2" t="inlineStr">
        <is>
          <t>Compras de la Corporación de Radio y Televisión Española S.A.</t>
        </is>
      </c>
      <c r="I1066" s="2" t="inlineStr">
        <is>
          <t>Obras remodelación de seguridad accesos CPP Andalucía</t>
        </is>
      </c>
      <c r="J1066" s="2" t="inlineStr">
        <is>
          <t>S-02250-2026</t>
        </is>
      </c>
      <c r="K1066" s="2" t="inlineStr">
        <is>
          <t>Abierto simplificado</t>
        </is>
      </c>
      <c r="L1066" s="6" t="n">
        <v>3.4</v>
      </c>
      <c r="M1066" s="2" t="n"/>
      <c r="N1066" s="7" t="n">
        <v>0</v>
      </c>
      <c r="O1066" s="4" t="n"/>
      <c r="P1066" s="2" t="inlineStr">
        <is>
          <t>45233260; 45233250; 45000000; 45450000; 45400000</t>
        </is>
      </c>
      <c r="Q1066" s="8" t="inlineStr">
        <is>
          <t>Ver</t>
        </is>
      </c>
      <c r="R1066" s="8" t="inlineStr">
        <is>
          <t>PCAP</t>
        </is>
      </c>
      <c r="S1066" s="9" t="n">
        <v>46311</v>
      </c>
      <c r="T1066" s="3" t="n">
        <v>46310.57460648148</v>
      </c>
      <c r="U1066" s="2" t="n"/>
    </row>
    <row r="1067">
      <c r="A1067" s="2" t="inlineStr">
        <is>
          <t>Pendiente de adjudicación</t>
        </is>
      </c>
      <c r="B1067" s="3" t="n">
        <v>46302.79166666666</v>
      </c>
      <c r="C1067" s="5" t="n">
        <v>450336.58</v>
      </c>
      <c r="D1067" s="5" t="n">
        <v>450336.58</v>
      </c>
      <c r="E1067" s="2" t="inlineStr">
        <is>
          <t>Comunitat Valenciana</t>
        </is>
      </c>
      <c r="F1067" s="2" t="inlineStr">
        <is>
          <t>Valencia</t>
        </is>
      </c>
      <c r="G1067" s="2" t="inlineStr">
        <is>
          <t>Agullent</t>
        </is>
      </c>
      <c r="H1067" s="2" t="inlineStr">
        <is>
          <t>Alcaldía del Ayuntamiento de Agullent</t>
        </is>
      </c>
      <c r="I1067" s="2" t="inlineStr">
        <is>
          <t>Contractacions obres per a l’execució de projecte bàsic i d’execució d’habilitació de construcció en Biblioteca i sales multi-usos.</t>
        </is>
      </c>
      <c r="J1067" s="2" t="inlineStr">
        <is>
          <t>632/2025</t>
        </is>
      </c>
      <c r="K1067" s="2" t="inlineStr">
        <is>
          <t>Abierto simplificado</t>
        </is>
      </c>
      <c r="L1067" s="6" t="n">
        <v>7</v>
      </c>
      <c r="M1067" s="2" t="n"/>
      <c r="N1067" s="7" t="n">
        <v>0</v>
      </c>
      <c r="O1067" s="4" t="n"/>
      <c r="P1067" s="2" t="inlineStr">
        <is>
          <t>45262520; 45432100; 45432110; 45432210; 45262310; 44230000; 45431000</t>
        </is>
      </c>
      <c r="Q1067" s="8" t="inlineStr">
        <is>
          <t>Ver</t>
        </is>
      </c>
      <c r="R1067" s="8" t="inlineStr">
        <is>
          <t>PCAP</t>
        </is>
      </c>
      <c r="S1067" s="9" t="n">
        <v>46311</v>
      </c>
      <c r="T1067" s="3" t="n">
        <v>46310.57334490741</v>
      </c>
      <c r="U1067" s="2" t="n"/>
    </row>
    <row r="1068">
      <c r="A1068" s="2" t="inlineStr">
        <is>
          <t>Resuelta</t>
        </is>
      </c>
      <c r="B1068" s="3" t="n">
        <v>45610.58333333334</v>
      </c>
      <c r="C1068" s="5" t="n">
        <v>6018643.44</v>
      </c>
      <c r="D1068" s="5" t="n">
        <v>7222372.13</v>
      </c>
      <c r="E1068" s="2" t="inlineStr">
        <is>
          <t>Comunitat Valenciana</t>
        </is>
      </c>
      <c r="F1068" s="2" t="inlineStr">
        <is>
          <t>Valencia</t>
        </is>
      </c>
      <c r="G1068" s="2" t="inlineStr">
        <is>
          <t>Alicante.(Alicante)</t>
        </is>
      </c>
      <c r="H1068" s="2" t="inlineStr">
        <is>
          <t>Dirección General de Gestión Económica, Contratación e Infraestructuras de la Conselleria de Sanidad</t>
        </is>
      </c>
      <c r="I1068" s="2" t="inlineStr">
        <is>
          <t>Obra del Nuevo Centro de Salud Garbinet en Alicante</t>
        </is>
      </c>
      <c r="J1068" s="2" t="inlineStr">
        <is>
          <t>776/2024</t>
        </is>
      </c>
      <c r="K1068" s="2" t="inlineStr">
        <is>
          <t>Abierto</t>
        </is>
      </c>
      <c r="L1068" s="6" t="n">
        <v>18</v>
      </c>
      <c r="M1068" s="2" t="inlineStr">
        <is>
          <t>J2-3; I5-3; C*-5</t>
        </is>
      </c>
      <c r="N1068" s="7" t="n">
        <v>0.25</v>
      </c>
      <c r="O1068" s="4" t="n"/>
      <c r="P1068" s="2" t="inlineStr">
        <is>
          <t>45215100; 45215000</t>
        </is>
      </c>
      <c r="Q1068" s="8" t="inlineStr">
        <is>
          <t>Ver</t>
        </is>
      </c>
      <c r="R1068" s="8" t="inlineStr">
        <is>
          <t>PCAP</t>
        </is>
      </c>
      <c r="S1068" s="9" t="n">
        <v>46311</v>
      </c>
      <c r="T1068" s="3" t="n">
        <v>46310.57103009259</v>
      </c>
      <c r="U1068" s="2" t="n"/>
    </row>
    <row r="1069">
      <c r="A1069" s="2" t="inlineStr">
        <is>
          <t>Adjudicada</t>
        </is>
      </c>
      <c r="B1069" s="3" t="n">
        <v>46251.99930555555</v>
      </c>
      <c r="C1069" s="5" t="n">
        <v>190337.99</v>
      </c>
      <c r="D1069" s="5" t="n">
        <v>190337.99</v>
      </c>
      <c r="E1069" s="2" t="inlineStr">
        <is>
          <t>Andalucía</t>
        </is>
      </c>
      <c r="F1069" s="2" t="inlineStr">
        <is>
          <t>Córdoba</t>
        </is>
      </c>
      <c r="G1069" s="2" t="n"/>
      <c r="H1069" s="2" t="inlineStr">
        <is>
          <t>Junta de Gobierno del Ayuntamiento de Córdoba</t>
        </is>
      </c>
      <c r="I1069" s="2" t="inlineStr">
        <is>
          <t>Obra de remodelación de las calles Valencia y Palomares</t>
        </is>
      </c>
      <c r="J1069" s="2" t="inlineStr">
        <is>
          <t>2026/098</t>
        </is>
      </c>
      <c r="K1069" s="2" t="inlineStr">
        <is>
          <t>Negociado sin publicidad</t>
        </is>
      </c>
      <c r="L1069" s="6" t="n">
        <v>4</v>
      </c>
      <c r="M1069" s="2" t="n"/>
      <c r="N1069" s="7" t="n">
        <v>0</v>
      </c>
      <c r="O1069" s="4" t="n"/>
      <c r="P1069" s="2" t="inlineStr">
        <is>
          <t>45233252; 45233222</t>
        </is>
      </c>
      <c r="Q1069" s="8" t="inlineStr">
        <is>
          <t>Ver</t>
        </is>
      </c>
      <c r="R1069" s="8" t="inlineStr">
        <is>
          <t>PCAP</t>
        </is>
      </c>
      <c r="S1069" s="9" t="n">
        <v>46311</v>
      </c>
      <c r="T1069" s="3" t="n">
        <v>46310.56736111111</v>
      </c>
      <c r="U1069" s="2" t="n"/>
    </row>
    <row r="1070">
      <c r="A1070" s="2" t="inlineStr">
        <is>
          <t>Resuelta</t>
        </is>
      </c>
      <c r="B1070" s="3" t="n">
        <v>46321.41666666666</v>
      </c>
      <c r="C1070" s="5" t="n">
        <v>386082.62</v>
      </c>
      <c r="D1070" s="5" t="n">
        <v>386082.62</v>
      </c>
      <c r="E1070" s="2" t="inlineStr">
        <is>
          <t>Comunitat Valenciana</t>
        </is>
      </c>
      <c r="F1070" s="2" t="inlineStr">
        <is>
          <t>Alicante</t>
        </is>
      </c>
      <c r="G1070" s="2" t="inlineStr">
        <is>
          <t>Bigastro (Alicante)</t>
        </is>
      </c>
      <c r="H1070" s="2" t="inlineStr">
        <is>
          <t>Dirección Territorial de Educación, Universidades y Empleo de Alicante</t>
        </is>
      </c>
      <c r="I1070" s="2" t="inlineStr">
        <is>
          <t>IES Paco Ruiz de Bigastro. Instalación de climatización</t>
        </is>
      </c>
      <c r="J1070" s="2" t="inlineStr">
        <is>
          <t>CMAYOR/2026/39Y15/0054</t>
        </is>
      </c>
      <c r="K1070" s="2" t="inlineStr">
        <is>
          <t>Abierto simplificado</t>
        </is>
      </c>
      <c r="L1070" s="6" t="n">
        <v>3</v>
      </c>
      <c r="M1070" s="2" t="n"/>
      <c r="N1070" s="7" t="n">
        <v>0</v>
      </c>
      <c r="O1070" s="4" t="n"/>
      <c r="P1070" s="2" t="inlineStr">
        <is>
          <t>45330000</t>
        </is>
      </c>
      <c r="Q1070" s="8" t="inlineStr">
        <is>
          <t>Ver</t>
        </is>
      </c>
      <c r="R1070" s="8" t="inlineStr">
        <is>
          <t>PCAP</t>
        </is>
      </c>
      <c r="S1070" s="9" t="n">
        <v>46311</v>
      </c>
      <c r="T1070" s="3" t="n">
        <v>46310.56659722222</v>
      </c>
      <c r="U1070" s="2" t="n"/>
    </row>
    <row r="1071">
      <c r="A1071" s="2" t="inlineStr">
        <is>
          <t>Pendiente de adjudicación</t>
        </is>
      </c>
      <c r="B1071" s="3" t="n">
        <v>46203.99930555555</v>
      </c>
      <c r="C1071" s="5" t="n">
        <v>79590.64</v>
      </c>
      <c r="D1071" s="5" t="n">
        <v>79590.64</v>
      </c>
      <c r="E1071" s="2" t="inlineStr">
        <is>
          <t>Comunitat Valenciana</t>
        </is>
      </c>
      <c r="F1071" s="2" t="inlineStr">
        <is>
          <t>Alicante</t>
        </is>
      </c>
      <c r="G1071" s="2" t="n"/>
      <c r="H1071" s="2" t="inlineStr">
        <is>
          <t>Presidencia de la Diputación Provincial de Alicante</t>
        </is>
      </c>
      <c r="I1071" s="2" t="inlineStr">
        <is>
          <t>Obras de valorización del entorno del Puente-Acueducto del Barranc de la Mònica, en el municipio de Gorga (Alicante)</t>
        </is>
      </c>
      <c r="J1071" s="2" t="inlineStr">
        <is>
          <t>O4S-043/2026</t>
        </is>
      </c>
      <c r="K1071" s="2" t="inlineStr">
        <is>
          <t>Abierto simplificado</t>
        </is>
      </c>
      <c r="L1071" s="6" t="n">
        <v>4</v>
      </c>
      <c r="M1071" s="2" t="n"/>
      <c r="N1071" s="7" t="n">
        <v>0</v>
      </c>
      <c r="O1071" s="4" t="n"/>
      <c r="P1071" s="2" t="inlineStr">
        <is>
          <t>45212350; 45454100; 45262510; 45262520</t>
        </is>
      </c>
      <c r="Q1071" s="8" t="inlineStr">
        <is>
          <t>Ver</t>
        </is>
      </c>
      <c r="R1071" s="8" t="inlineStr">
        <is>
          <t>PCAP</t>
        </is>
      </c>
      <c r="S1071" s="9" t="n">
        <v>46311</v>
      </c>
      <c r="T1071" s="3" t="n">
        <v>46310.56581018519</v>
      </c>
      <c r="U1071" s="2" t="n"/>
    </row>
    <row r="1072">
      <c r="A1072" s="2" t="inlineStr">
        <is>
          <t>Resuelta</t>
        </is>
      </c>
      <c r="B1072" s="3" t="n">
        <v>46247.58333333334</v>
      </c>
      <c r="C1072" s="5" t="n">
        <v>1946023.42</v>
      </c>
      <c r="D1072" s="5" t="n">
        <v>1946023.42</v>
      </c>
      <c r="E1072" s="2" t="inlineStr">
        <is>
          <t>Comunitat Valenciana</t>
        </is>
      </c>
      <c r="F1072" s="2" t="inlineStr">
        <is>
          <t>Valencia</t>
        </is>
      </c>
      <c r="G1072" s="2" t="n"/>
      <c r="H1072" s="2" t="inlineStr">
        <is>
          <t>Empresa de Transformación Agraria S.A.,S.M.E., M.P., (TRAGSA)</t>
        </is>
      </c>
      <c r="I1072" s="2" t="inlineStr">
        <is>
          <t>UT2 Trabajos de reparación de la red de alumbrado público subterránea afectada por la DANA en el municipio de L´Alcudia</t>
        </is>
      </c>
      <c r="J1072" s="2" t="inlineStr">
        <is>
          <t>TSA0083975</t>
        </is>
      </c>
      <c r="K1072" s="2" t="inlineStr">
        <is>
          <t>Negociado sin publicidad</t>
        </is>
      </c>
      <c r="L1072" s="6" t="n"/>
      <c r="M1072" s="2" t="n"/>
      <c r="N1072" s="7" t="n">
        <v>0</v>
      </c>
      <c r="O1072" s="4" t="n"/>
      <c r="P1072" s="2" t="inlineStr">
        <is>
          <t>45000000</t>
        </is>
      </c>
      <c r="Q1072" s="8" t="inlineStr">
        <is>
          <t>Ver</t>
        </is>
      </c>
      <c r="R1072" s="8" t="inlineStr">
        <is>
          <t>PCAP</t>
        </is>
      </c>
      <c r="S1072" s="9" t="n">
        <v>46311</v>
      </c>
      <c r="T1072" s="3" t="n">
        <v>46310.5652662037</v>
      </c>
      <c r="U1072" s="2" t="n"/>
    </row>
    <row r="1073">
      <c r="A1073" s="2" t="inlineStr">
        <is>
          <t>Adjudicada</t>
        </is>
      </c>
      <c r="B1073" s="3" t="n">
        <v>46258.58333333334</v>
      </c>
      <c r="C1073" s="5" t="n">
        <v>244815.24</v>
      </c>
      <c r="D1073" s="5" t="n">
        <v>244815.24</v>
      </c>
      <c r="E1073" s="2" t="inlineStr">
        <is>
          <t>Comunitat Valenciana</t>
        </is>
      </c>
      <c r="F1073" s="2" t="inlineStr">
        <is>
          <t>Valencia</t>
        </is>
      </c>
      <c r="G1073" s="2" t="inlineStr">
        <is>
          <t>Torrent</t>
        </is>
      </c>
      <c r="H1073" s="2" t="inlineStr">
        <is>
          <t>Gerencia de Aigües de l'Horta S.A.</t>
        </is>
      </c>
      <c r="I1073" s="2" t="inlineStr">
        <is>
          <t>Obra del colector del poligono industrial Masía del Juez afectado por la DANA que vierte al colector norte (Torrent)</t>
        </is>
      </c>
      <c r="J1073" s="2" t="inlineStr">
        <is>
          <t>DANA_Tor11.4</t>
        </is>
      </c>
      <c r="K1073" s="2" t="inlineStr">
        <is>
          <t>Abierto</t>
        </is>
      </c>
      <c r="L1073" s="6" t="n">
        <v>3</v>
      </c>
      <c r="M1073" s="2" t="n"/>
      <c r="N1073" s="7" t="n">
        <v>0.24</v>
      </c>
      <c r="O1073" s="4" t="n"/>
      <c r="P1073" s="2" t="inlineStr">
        <is>
          <t>45231300</t>
        </is>
      </c>
      <c r="Q1073" s="8" t="inlineStr">
        <is>
          <t>Ver</t>
        </is>
      </c>
      <c r="R1073" s="8" t="inlineStr">
        <is>
          <t>PCAP</t>
        </is>
      </c>
      <c r="S1073" s="9" t="n">
        <v>46311</v>
      </c>
      <c r="T1073" s="3" t="n">
        <v>46310.5640162037</v>
      </c>
      <c r="U1073" s="2" t="n"/>
    </row>
    <row r="1074">
      <c r="A1074" s="2" t="inlineStr">
        <is>
          <t>Adjudicada</t>
        </is>
      </c>
      <c r="B1074" s="3" t="n">
        <v>46223.99930555555</v>
      </c>
      <c r="C1074" s="5" t="n">
        <v>73959.48</v>
      </c>
      <c r="D1074" s="5" t="n">
        <v>73959.48</v>
      </c>
      <c r="E1074" s="2" t="inlineStr">
        <is>
          <t>Andalucía</t>
        </is>
      </c>
      <c r="F1074" s="2" t="inlineStr">
        <is>
          <t>Córdoba</t>
        </is>
      </c>
      <c r="G1074" s="2" t="n"/>
      <c r="H1074" s="2" t="inlineStr">
        <is>
          <t>Junta de Gobierno del Ayuntamiento de Córdoba</t>
        </is>
      </c>
      <c r="I1074" s="2" t="inlineStr">
        <is>
          <t>Obras de renovación de solerías en la plaza los Califas</t>
        </is>
      </c>
      <c r="J1074" s="2" t="inlineStr">
        <is>
          <t>2026/052</t>
        </is>
      </c>
      <c r="K1074" s="2" t="inlineStr">
        <is>
          <t>Abierto</t>
        </is>
      </c>
      <c r="L1074" s="6" t="n">
        <v>2</v>
      </c>
      <c r="M1074" s="2" t="n"/>
      <c r="N1074" s="7" t="n">
        <v>0</v>
      </c>
      <c r="O1074" s="4" t="n"/>
      <c r="P1074" s="2" t="inlineStr">
        <is>
          <t>45233222</t>
        </is>
      </c>
      <c r="Q1074" s="8" t="inlineStr">
        <is>
          <t>Ver</t>
        </is>
      </c>
      <c r="R1074" s="8" t="inlineStr">
        <is>
          <t>PCAP</t>
        </is>
      </c>
      <c r="S1074" s="9" t="n">
        <v>46311</v>
      </c>
      <c r="T1074" s="3" t="n">
        <v>46310.56114583334</v>
      </c>
      <c r="U1074" s="2" t="n"/>
    </row>
    <row r="1075">
      <c r="A1075" s="2" t="inlineStr">
        <is>
          <t>Adjudicada</t>
        </is>
      </c>
      <c r="B1075" s="3" t="n">
        <v>46226.77083333334</v>
      </c>
      <c r="C1075" s="5" t="n">
        <v>2544409.61</v>
      </c>
      <c r="D1075" s="5" t="n">
        <v>2544409.61</v>
      </c>
      <c r="E1075" s="2" t="inlineStr">
        <is>
          <t>Andalucía</t>
        </is>
      </c>
      <c r="F1075" s="2" t="inlineStr">
        <is>
          <t>Granada</t>
        </is>
      </c>
      <c r="G1075" s="2" t="n"/>
      <c r="H1075" s="2" t="inlineStr">
        <is>
          <t>Junta de Gobierno del Ayuntamiento de Granada</t>
        </is>
      </c>
      <c r="I1075" s="2" t="inlineStr">
        <is>
          <t>Contrato de obras para la reparación, impermeabilización y adecuación funcional del Estadio Municipal Nuevo los Cármenes de Granada</t>
        </is>
      </c>
      <c r="J1075" s="2" t="inlineStr">
        <is>
          <t>OBR-2026000077</t>
        </is>
      </c>
      <c r="K1075" s="2" t="inlineStr">
        <is>
          <t>Abierto</t>
        </is>
      </c>
      <c r="L1075" s="6" t="n">
        <v>10</v>
      </c>
      <c r="M1075" s="2" t="n"/>
      <c r="N1075" s="7" t="n">
        <v>0.4</v>
      </c>
      <c r="O1075" s="4" t="n"/>
      <c r="P1075" s="2" t="inlineStr">
        <is>
          <t>45212200; 45212600; 45212290</t>
        </is>
      </c>
      <c r="Q1075" s="8" t="inlineStr">
        <is>
          <t>Ver</t>
        </is>
      </c>
      <c r="R1075" s="8" t="inlineStr">
        <is>
          <t>PCAP</t>
        </is>
      </c>
      <c r="S1075" s="9" t="n">
        <v>46311</v>
      </c>
      <c r="T1075" s="3" t="n">
        <v>46310.55931712963</v>
      </c>
      <c r="U1075" s="2" t="n"/>
    </row>
    <row r="1076">
      <c r="A1076" s="2" t="inlineStr">
        <is>
          <t>Pendiente de adjudicación</t>
        </is>
      </c>
      <c r="B1076" s="3" t="n">
        <v>46325.99930555555</v>
      </c>
      <c r="C1076" s="5" t="n">
        <v>598148.76</v>
      </c>
      <c r="D1076" s="5" t="n">
        <v>598148.76</v>
      </c>
      <c r="E1076" s="2" t="inlineStr">
        <is>
          <t>Andalucía</t>
        </is>
      </c>
      <c r="F1076" s="2" t="inlineStr">
        <is>
          <t>Córdoba</t>
        </is>
      </c>
      <c r="G1076" s="2" t="n"/>
      <c r="H1076" s="2" t="inlineStr">
        <is>
          <t>Junta de Gobierno de la Diputación Provincial de Córdoba</t>
        </is>
      </c>
      <c r="I1076" s="2" t="inlineStr">
        <is>
          <t>Contrato de obra de Terminación del Centro Cultural, 3ª fase, en Espejo (Córdoba) (352/26 BIS)</t>
        </is>
      </c>
      <c r="J1076" s="2" t="inlineStr">
        <is>
          <t>352/26 BIS</t>
        </is>
      </c>
      <c r="K1076" s="2" t="inlineStr">
        <is>
          <t>Negociado sin publicidad</t>
        </is>
      </c>
      <c r="L1076" s="6" t="n">
        <v>10</v>
      </c>
      <c r="M1076" s="2" t="n"/>
      <c r="N1076" s="7" t="n">
        <v>0.25</v>
      </c>
      <c r="O1076" s="4" t="n"/>
      <c r="P1076" s="2" t="inlineStr">
        <is>
          <t>45212322; 45210000</t>
        </is>
      </c>
      <c r="Q1076" s="8" t="inlineStr">
        <is>
          <t>Ver</t>
        </is>
      </c>
      <c r="R1076" s="8" t="inlineStr">
        <is>
          <t>PCAP</t>
        </is>
      </c>
      <c r="S1076" s="9" t="n">
        <v>46311</v>
      </c>
      <c r="T1076" s="3" t="n">
        <v>46310.55773148148</v>
      </c>
      <c r="U1076" s="2" t="n"/>
    </row>
    <row r="1077">
      <c r="A1077" s="2" t="inlineStr">
        <is>
          <t>Adjudicada</t>
        </is>
      </c>
      <c r="B1077" s="3" t="n">
        <v>46241.58333333334</v>
      </c>
      <c r="C1077" s="5" t="n">
        <v>12202260</v>
      </c>
      <c r="D1077" s="5" t="n">
        <v>12202260</v>
      </c>
      <c r="E1077" s="2" t="inlineStr">
        <is>
          <t>Comunitat Valenciana</t>
        </is>
      </c>
      <c r="F1077" s="2" t="inlineStr">
        <is>
          <t>Valencia</t>
        </is>
      </c>
      <c r="G1077" s="2" t="inlineStr">
        <is>
          <t>Valencia</t>
        </is>
      </c>
      <c r="H1077" s="2" t="inlineStr">
        <is>
          <t>Consejo de Administración de Plan Cabanyal-Canyamelar, S.A.</t>
        </is>
      </c>
      <c r="I1077" s="2" t="inlineStr">
        <is>
          <t>Obras de ejecución de dos edificios de 51 viviendas, aparcamiento subterráneo y plaza en la parcela recayente a la Calle Astilleros, Calle Vicente Guillot, Tio Bola y Calle Eugenia Viñes.</t>
        </is>
      </c>
      <c r="J1077" s="2" t="inlineStr">
        <is>
          <t>CMAYOR/2026/CABAN/0024</t>
        </is>
      </c>
      <c r="K1077" s="2" t="inlineStr">
        <is>
          <t>Abierto</t>
        </is>
      </c>
      <c r="L1077" s="6" t="n">
        <v>20</v>
      </c>
      <c r="M1077" s="2" t="inlineStr">
        <is>
          <t>C*-6</t>
        </is>
      </c>
      <c r="N1077" s="7" t="n">
        <v>0</v>
      </c>
      <c r="O1077" s="4" t="n"/>
      <c r="P1077" s="2" t="inlineStr">
        <is>
          <t>45000000; 45210000; 45211000; 45200000</t>
        </is>
      </c>
      <c r="Q1077" s="8" t="inlineStr">
        <is>
          <t>Ver</t>
        </is>
      </c>
      <c r="R1077" s="8" t="inlineStr">
        <is>
          <t>PCAP</t>
        </is>
      </c>
      <c r="S1077" s="9" t="n">
        <v>46311</v>
      </c>
      <c r="T1077" s="3" t="n">
        <v>46310.55422453704</v>
      </c>
      <c r="U1077" s="2" t="n"/>
    </row>
    <row r="1078">
      <c r="A1078" s="2" t="inlineStr">
        <is>
          <t>Resuelta</t>
        </is>
      </c>
      <c r="B1078" s="3" t="n">
        <v>46232.99930555555</v>
      </c>
      <c r="C1078" s="5" t="n">
        <v>392591.02</v>
      </c>
      <c r="D1078" s="5" t="n">
        <v>392591.02</v>
      </c>
      <c r="E1078" s="2" t="inlineStr">
        <is>
          <t>Andalucía</t>
        </is>
      </c>
      <c r="F1078" s="2" t="inlineStr">
        <is>
          <t>Sevilla</t>
        </is>
      </c>
      <c r="G1078" s="2" t="n"/>
      <c r="H1078" s="2" t="inlineStr">
        <is>
          <t>Comisión Ejecutiva de la Limpieza Pública y Protección Ambiental Sociedad Anónima Municipal (LIPASAM)</t>
        </is>
      </c>
      <c r="I1078" s="2" t="inlineStr">
        <is>
          <t>Rehabilitación y ampliación del edificio de la antigua Central de Recogida Neumática de residuos de San Diego-Miraflores</t>
        </is>
      </c>
      <c r="J1078" s="2" t="inlineStr">
        <is>
          <t>C.E. 17/2026</t>
        </is>
      </c>
      <c r="K1078" s="2" t="inlineStr">
        <is>
          <t>Abierto</t>
        </is>
      </c>
      <c r="L1078" s="6" t="n">
        <v>6</v>
      </c>
      <c r="M1078" s="2" t="n"/>
      <c r="N1078" s="7" t="n">
        <v>0.35</v>
      </c>
      <c r="O1078" s="4" t="n"/>
      <c r="P1078" s="2" t="inlineStr">
        <is>
          <t>45000000</t>
        </is>
      </c>
      <c r="Q1078" s="8" t="inlineStr">
        <is>
          <t>Ver</t>
        </is>
      </c>
      <c r="R1078" s="8" t="inlineStr">
        <is>
          <t>PCAP</t>
        </is>
      </c>
      <c r="S1078" s="9" t="n">
        <v>46311</v>
      </c>
      <c r="T1078" s="3" t="n">
        <v>46310.55280092593</v>
      </c>
      <c r="U1078" s="2" t="n"/>
    </row>
    <row r="1079">
      <c r="A1079" s="2" t="inlineStr">
        <is>
          <t>Resuelta</t>
        </is>
      </c>
      <c r="B1079" s="3" t="n">
        <v>46210.99930555555</v>
      </c>
      <c r="C1079" s="5" t="n">
        <v>120826.45</v>
      </c>
      <c r="D1079" s="5" t="n">
        <v>120826.45</v>
      </c>
      <c r="E1079" s="2" t="inlineStr">
        <is>
          <t>Andalucía</t>
        </is>
      </c>
      <c r="F1079" s="2" t="inlineStr">
        <is>
          <t>Almería</t>
        </is>
      </c>
      <c r="G1079" s="2" t="n"/>
      <c r="H1079" s="2" t="inlineStr">
        <is>
          <t>Junta de Gobierno de la Diputación Provincial de Almería</t>
        </is>
      </c>
      <c r="I1079" s="2" t="inlineStr">
        <is>
          <t>Obras De Acondicionamiento Y Mejora Del Abastecimiento Municipal. Bentarique. 25PPOS24-27BI</t>
        </is>
      </c>
      <c r="J1079" s="2" t="inlineStr">
        <is>
          <t>2026/D31000/006-013/00063</t>
        </is>
      </c>
      <c r="K1079" s="2" t="inlineStr">
        <is>
          <t>Abierto simplificado</t>
        </is>
      </c>
      <c r="L1079" s="6" t="n">
        <v>4</v>
      </c>
      <c r="M1079" s="2" t="n"/>
      <c r="N1079" s="7" t="n">
        <v>0.25</v>
      </c>
      <c r="O1079" s="4" t="n"/>
      <c r="P1079" s="2" t="inlineStr">
        <is>
          <t>45231223</t>
        </is>
      </c>
      <c r="Q1079" s="8" t="inlineStr">
        <is>
          <t>Ver</t>
        </is>
      </c>
      <c r="R1079" s="8" t="inlineStr">
        <is>
          <t>PCAP</t>
        </is>
      </c>
      <c r="S1079" s="9" t="n">
        <v>46311</v>
      </c>
      <c r="T1079" s="3" t="n">
        <v>46310.55021990741</v>
      </c>
      <c r="U1079" s="2" t="n"/>
    </row>
    <row r="1080">
      <c r="A1080" s="2" t="inlineStr">
        <is>
          <t>En plazo</t>
        </is>
      </c>
      <c r="B1080" s="3" t="n">
        <v>46330.99930555555</v>
      </c>
      <c r="C1080" s="5" t="n">
        <v>80251.53</v>
      </c>
      <c r="D1080" s="5" t="n">
        <v>80251.53</v>
      </c>
      <c r="E1080" s="2" t="inlineStr">
        <is>
          <t>Andalucía</t>
        </is>
      </c>
      <c r="F1080" s="2" t="inlineStr">
        <is>
          <t>Jaén</t>
        </is>
      </c>
      <c r="G1080" s="2" t="inlineStr">
        <is>
          <t>TORREPEROGIL</t>
        </is>
      </c>
      <c r="H1080" s="2" t="inlineStr">
        <is>
          <t>Alcaldía del Ayuntamiento de Torreperogil</t>
        </is>
      </c>
      <c r="I1080" s="2" t="inlineStr">
        <is>
          <t>Repavimentación de acerados de la C/. Río Guadiana en Torreperogil</t>
        </is>
      </c>
      <c r="J1080" s="2" t="inlineStr">
        <is>
          <t>2415/2026</t>
        </is>
      </c>
      <c r="K1080" s="2" t="inlineStr">
        <is>
          <t>Abierto simplificado</t>
        </is>
      </c>
      <c r="L1080" s="6" t="n">
        <v>6</v>
      </c>
      <c r="M1080" s="2" t="n"/>
      <c r="N1080" s="7" t="n">
        <v>0</v>
      </c>
      <c r="O1080" s="4" t="n"/>
      <c r="P1080" s="2" t="inlineStr">
        <is>
          <t>45233252</t>
        </is>
      </c>
      <c r="Q1080" s="8" t="inlineStr">
        <is>
          <t>Ver</t>
        </is>
      </c>
      <c r="R1080" s="8" t="inlineStr">
        <is>
          <t>PCAP</t>
        </is>
      </c>
      <c r="S1080" s="9" t="n">
        <v>46310</v>
      </c>
      <c r="T1080" s="3" t="n">
        <v>46310.54837962963</v>
      </c>
      <c r="U1080" s="2" t="inlineStr">
        <is>
          <t>2026-10-16: estado PRE → PUB; plazo 2026-11-03 23:59 → 2026-11-04 23:59</t>
        </is>
      </c>
    </row>
    <row r="1081">
      <c r="A1081" s="2" t="inlineStr">
        <is>
          <t>Pendiente de adjudicación</t>
        </is>
      </c>
      <c r="B1081" s="3" t="n">
        <v>46308.99930555555</v>
      </c>
      <c r="C1081" s="5" t="n">
        <v>129110.74</v>
      </c>
      <c r="D1081" s="5" t="n">
        <v>129110.74</v>
      </c>
      <c r="E1081" s="2" t="inlineStr">
        <is>
          <t>Andalucía</t>
        </is>
      </c>
      <c r="F1081" s="2" t="inlineStr">
        <is>
          <t>Málaga</t>
        </is>
      </c>
      <c r="G1081" s="2" t="inlineStr">
        <is>
          <t>Algarrobo</t>
        </is>
      </c>
      <c r="H1081" s="2" t="inlineStr">
        <is>
          <t>Alcaldía del Ayuntamiento de Algarrobo</t>
        </is>
      </c>
      <c r="I1081" s="2" t="inlineStr">
        <is>
          <t>Abastecimiento de agua en Calle Buenavista de Algarrobo.</t>
        </is>
      </c>
      <c r="J1081" s="2" t="inlineStr">
        <is>
          <t>672/2026</t>
        </is>
      </c>
      <c r="K1081" s="2" t="inlineStr">
        <is>
          <t>Abierto</t>
        </is>
      </c>
      <c r="L1081" s="6" t="n">
        <v>5</v>
      </c>
      <c r="M1081" s="2" t="n"/>
      <c r="N1081" s="7" t="n">
        <v>0</v>
      </c>
      <c r="O1081" s="4" t="n"/>
      <c r="P1081" s="2" t="inlineStr">
        <is>
          <t>45220000</t>
        </is>
      </c>
      <c r="Q1081" s="8" t="inlineStr">
        <is>
          <t>Ver</t>
        </is>
      </c>
      <c r="R1081" s="8" t="inlineStr">
        <is>
          <t>PCAP</t>
        </is>
      </c>
      <c r="S1081" s="9" t="n">
        <v>46311</v>
      </c>
      <c r="T1081" s="3" t="n">
        <v>46310.54565972222</v>
      </c>
      <c r="U1081" s="2" t="n"/>
    </row>
    <row r="1082">
      <c r="A1082" s="2" t="inlineStr">
        <is>
          <t>En plazo</t>
        </is>
      </c>
      <c r="B1082" s="3" t="n">
        <v>46328.99930555555</v>
      </c>
      <c r="C1082" s="5" t="n">
        <v>209438.33</v>
      </c>
      <c r="D1082" s="5" t="n">
        <v>209438.33</v>
      </c>
      <c r="E1082" s="2" t="inlineStr">
        <is>
          <t>Andalucía</t>
        </is>
      </c>
      <c r="F1082" s="2" t="inlineStr">
        <is>
          <t>Almería</t>
        </is>
      </c>
      <c r="G1082" s="2" t="n"/>
      <c r="H1082" s="2" t="inlineStr">
        <is>
          <t>Junta de Gobierno del Ayuntamiento de Serón</t>
        </is>
      </c>
      <c r="I1082" s="2" t="inlineStr">
        <is>
          <t>Fase 2 ejecución de la nave 1 del proyecto de cuatro naves industriales de promoción municipal sin uso específico octubre 2026</t>
        </is>
      </c>
      <c r="J1082" s="2" t="inlineStr">
        <is>
          <t>2026/408340/006-002/00003</t>
        </is>
      </c>
      <c r="K1082" s="2" t="inlineStr">
        <is>
          <t>Abierto simplificado</t>
        </is>
      </c>
      <c r="L1082" s="6" t="n">
        <v>12</v>
      </c>
      <c r="M1082" s="2" t="n"/>
      <c r="N1082" s="7" t="n">
        <v>0.25</v>
      </c>
      <c r="O1082" s="4" t="n"/>
      <c r="P1082" s="2" t="inlineStr">
        <is>
          <t>45213250; 45213251</t>
        </is>
      </c>
      <c r="Q1082" s="8" t="inlineStr">
        <is>
          <t>Ver</t>
        </is>
      </c>
      <c r="R1082" s="8" t="inlineStr">
        <is>
          <t>PCAP</t>
        </is>
      </c>
      <c r="S1082" s="9" t="n">
        <v>46310</v>
      </c>
      <c r="T1082" s="3" t="n">
        <v>46310.54269675926</v>
      </c>
      <c r="U1082" s="2" t="n"/>
    </row>
    <row r="1083">
      <c r="A1083" s="2" t="inlineStr">
        <is>
          <t>Resuelta</t>
        </is>
      </c>
      <c r="B1083" s="3" t="n">
        <v>46133.99930555555</v>
      </c>
      <c r="C1083" s="5" t="n">
        <v>419743.15</v>
      </c>
      <c r="D1083" s="5" t="n">
        <v>419743.15</v>
      </c>
      <c r="E1083" s="2" t="inlineStr">
        <is>
          <t>Andalucía</t>
        </is>
      </c>
      <c r="F1083" s="2" t="inlineStr">
        <is>
          <t>Jaén</t>
        </is>
      </c>
      <c r="G1083" s="2" t="inlineStr">
        <is>
          <t>JAEN</t>
        </is>
      </c>
      <c r="H1083" s="2" t="inlineStr">
        <is>
          <t>Presidencia de la Diputación Provincial de Jaén</t>
        </is>
      </c>
      <c r="I1083" s="2" t="inlineStr">
        <is>
          <t>Contrato de Obras JA-4106 Begijar a Ibros, mejora de firme.</t>
        </is>
      </c>
      <c r="J1083" s="2" t="inlineStr">
        <is>
          <t>CO-2025/002170</t>
        </is>
      </c>
      <c r="K1083" s="2" t="inlineStr">
        <is>
          <t>Abierto simplificado</t>
        </is>
      </c>
      <c r="L1083" s="6" t="n">
        <v>4</v>
      </c>
      <c r="M1083" s="2" t="n"/>
      <c r="N1083" s="7" t="n">
        <v>0.25</v>
      </c>
      <c r="O1083" s="4" t="n"/>
      <c r="P1083" s="2" t="inlineStr">
        <is>
          <t>45233223</t>
        </is>
      </c>
      <c r="Q1083" s="8" t="inlineStr">
        <is>
          <t>Ver</t>
        </is>
      </c>
      <c r="R1083" s="8" t="inlineStr">
        <is>
          <t>PCAP</t>
        </is>
      </c>
      <c r="S1083" s="9" t="n">
        <v>46310</v>
      </c>
      <c r="T1083" s="3" t="n">
        <v>46310.54201388889</v>
      </c>
      <c r="U1083" s="2" t="inlineStr">
        <is>
          <t>2026-10-16: estado ADJ → RES</t>
        </is>
      </c>
    </row>
    <row r="1084">
      <c r="A1084" s="2" t="inlineStr">
        <is>
          <t>Resuelta</t>
        </is>
      </c>
      <c r="B1084" s="3" t="n">
        <v>46077.99930555555</v>
      </c>
      <c r="C1084" s="5" t="n">
        <v>225000</v>
      </c>
      <c r="D1084" s="5" t="n">
        <v>225000</v>
      </c>
      <c r="E1084" s="2" t="inlineStr">
        <is>
          <t>Andalucía</t>
        </is>
      </c>
      <c r="F1084" s="2" t="inlineStr">
        <is>
          <t>Huelva</t>
        </is>
      </c>
      <c r="G1084" s="2" t="n"/>
      <c r="H1084" s="2" t="inlineStr">
        <is>
          <t>Presidencia de la Diputación Provincial de Huelva</t>
        </is>
      </c>
      <c r="I1084" s="2" t="inlineStr">
        <is>
          <t>El objeto del contrato es la contratación conjunta de la instalación, legalización y puesta en marcha de tres puntos de recarga ultra-rápida de vehículos eléctricos en los municipios de Galaroza, Rosa de la Frontera y Zufre en la provincia de Huelva</t>
        </is>
      </c>
      <c r="J1084" s="2" t="inlineStr">
        <is>
          <t>2025/CMY_03/000027</t>
        </is>
      </c>
      <c r="K1084" s="2" t="inlineStr">
        <is>
          <t>Abierto simplificado</t>
        </is>
      </c>
      <c r="L1084" s="6" t="n">
        <v>3.5</v>
      </c>
      <c r="M1084" s="2" t="n"/>
      <c r="N1084" s="7" t="n">
        <v>0</v>
      </c>
      <c r="O1084" s="4" t="n">
        <v>3</v>
      </c>
      <c r="P1084" s="2" t="inlineStr">
        <is>
          <t>45000000; 51100000; 31158100</t>
        </is>
      </c>
      <c r="Q1084" s="8" t="inlineStr">
        <is>
          <t>Ver</t>
        </is>
      </c>
      <c r="R1084" s="8" t="inlineStr">
        <is>
          <t>PCAP</t>
        </is>
      </c>
      <c r="S1084" s="9" t="n">
        <v>46311</v>
      </c>
      <c r="T1084" s="3" t="n">
        <v>46310.53982638889</v>
      </c>
      <c r="U1084" s="2" t="n"/>
    </row>
    <row r="1085">
      <c r="A1085" s="2" t="inlineStr">
        <is>
          <t>Pendiente de adjudicación</t>
        </is>
      </c>
      <c r="B1085" s="3" t="n">
        <v>46223.54166666666</v>
      </c>
      <c r="C1085" s="5" t="n">
        <v>232751.82</v>
      </c>
      <c r="D1085" s="5" t="n">
        <v>256027</v>
      </c>
      <c r="E1085" s="2" t="inlineStr">
        <is>
          <t>Comunitat Valenciana</t>
        </is>
      </c>
      <c r="F1085" s="2" t="inlineStr">
        <is>
          <t>Valencia</t>
        </is>
      </c>
      <c r="G1085" s="2" t="inlineStr">
        <is>
          <t>Valencia</t>
        </is>
      </c>
      <c r="H1085" s="2" t="inlineStr">
        <is>
          <t>Presidencia de la Autoridad Portuaria de Valencia</t>
        </is>
      </c>
      <c r="I1085" s="2" t="inlineStr">
        <is>
          <t>Nuevo centro de transformación (VCT-040) en el dique del este para el suministro eléctrico a autopista ferroviaria</t>
        </is>
      </c>
      <c r="J1085" s="2" t="inlineStr">
        <is>
          <t>EC26-C02-01210</t>
        </is>
      </c>
      <c r="K1085" s="2" t="inlineStr">
        <is>
          <t>Abierto</t>
        </is>
      </c>
      <c r="L1085" s="6" t="n">
        <v>6</v>
      </c>
      <c r="M1085" s="2" t="inlineStr">
        <is>
          <t>I5-2</t>
        </is>
      </c>
      <c r="N1085" s="7" t="n">
        <v>0.49</v>
      </c>
      <c r="O1085" s="4" t="n"/>
      <c r="P1085" s="2" t="inlineStr">
        <is>
          <t>45231400; 45315400</t>
        </is>
      </c>
      <c r="Q1085" s="8" t="inlineStr">
        <is>
          <t>Ver</t>
        </is>
      </c>
      <c r="R1085" s="8" t="inlineStr">
        <is>
          <t>PCAP</t>
        </is>
      </c>
      <c r="S1085" s="9" t="n">
        <v>46311</v>
      </c>
      <c r="T1085" s="3" t="n">
        <v>46310.53909722222</v>
      </c>
      <c r="U1085" s="2" t="n"/>
    </row>
    <row r="1086">
      <c r="A1086" s="2" t="inlineStr">
        <is>
          <t>Resuelta</t>
        </is>
      </c>
      <c r="B1086" s="3" t="n">
        <v>46132.99930555555</v>
      </c>
      <c r="C1086" s="5" t="n">
        <v>406642.94</v>
      </c>
      <c r="D1086" s="5" t="n">
        <v>406642.94</v>
      </c>
      <c r="E1086" s="2" t="inlineStr">
        <is>
          <t>Andalucía</t>
        </is>
      </c>
      <c r="F1086" s="2" t="inlineStr">
        <is>
          <t>Jaén</t>
        </is>
      </c>
      <c r="G1086" s="2" t="inlineStr">
        <is>
          <t>JAEN</t>
        </is>
      </c>
      <c r="H1086" s="2" t="inlineStr">
        <is>
          <t>Presidencia de la Diputación Provincial de Jaén</t>
        </is>
      </c>
      <c r="I1086" s="2" t="inlineStr">
        <is>
          <t>Contrato de Obras JA-3410 Villanueva de la Reina a Cazalilla, mejora de firme</t>
        </is>
      </c>
      <c r="J1086" s="2" t="inlineStr">
        <is>
          <t>CO-2025/002171</t>
        </is>
      </c>
      <c r="K1086" s="2" t="inlineStr">
        <is>
          <t>Abierto simplificado</t>
        </is>
      </c>
      <c r="L1086" s="6" t="n">
        <v>4</v>
      </c>
      <c r="M1086" s="2" t="n"/>
      <c r="N1086" s="7" t="n">
        <v>0.25</v>
      </c>
      <c r="O1086" s="4" t="n"/>
      <c r="P1086" s="2" t="inlineStr">
        <is>
          <t>45233223</t>
        </is>
      </c>
      <c r="Q1086" s="8" t="inlineStr">
        <is>
          <t>Ver</t>
        </is>
      </c>
      <c r="R1086" s="8" t="inlineStr">
        <is>
          <t>PCAP</t>
        </is>
      </c>
      <c r="S1086" s="9" t="n">
        <v>46311</v>
      </c>
      <c r="T1086" s="3" t="n">
        <v>46310.53753472222</v>
      </c>
      <c r="U1086" s="2" t="n"/>
    </row>
    <row r="1087">
      <c r="A1087" s="2" t="inlineStr">
        <is>
          <t>Pendiente de adjudicación</t>
        </is>
      </c>
      <c r="B1087" s="3" t="n">
        <v>46192.58333333334</v>
      </c>
      <c r="C1087" s="5" t="n">
        <v>11017565.3</v>
      </c>
      <c r="D1087" s="5" t="n">
        <v>12119321.83</v>
      </c>
      <c r="E1087" s="2" t="inlineStr">
        <is>
          <t>Comunitat Valenciana</t>
        </is>
      </c>
      <c r="F1087" s="2" t="inlineStr">
        <is>
          <t>Valencia</t>
        </is>
      </c>
      <c r="G1087" s="2" t="inlineStr">
        <is>
          <t>Requena</t>
        </is>
      </c>
      <c r="H1087" s="2" t="inlineStr">
        <is>
          <t>Dirección General de Gestión Económica, Contratación e Infraestructuras de la Conselleria de Sanidad</t>
        </is>
      </c>
      <c r="I1087" s="2" t="inlineStr">
        <is>
          <t>obras para la reforma integral del centro de salud de requena (valencia)</t>
        </is>
      </c>
      <c r="J1087" s="2" t="inlineStr">
        <is>
          <t>58/2026</t>
        </is>
      </c>
      <c r="K1087" s="2" t="inlineStr">
        <is>
          <t>Abierto</t>
        </is>
      </c>
      <c r="L1087" s="6" t="n">
        <v>20</v>
      </c>
      <c r="M1087" s="2" t="inlineStr">
        <is>
          <t>C*-6</t>
        </is>
      </c>
      <c r="N1087" s="7" t="n">
        <v>0.1</v>
      </c>
      <c r="O1087" s="4" t="n"/>
      <c r="P1087" s="2" t="inlineStr">
        <is>
          <t>45215100</t>
        </is>
      </c>
      <c r="Q1087" s="8" t="inlineStr">
        <is>
          <t>Ver</t>
        </is>
      </c>
      <c r="R1087" s="8" t="inlineStr">
        <is>
          <t>PCAP</t>
        </is>
      </c>
      <c r="S1087" s="9" t="n">
        <v>46311</v>
      </c>
      <c r="T1087" s="3" t="n">
        <v>46310.53547453704</v>
      </c>
      <c r="U1087" s="2" t="n"/>
    </row>
    <row r="1088">
      <c r="A1088" s="2" t="inlineStr">
        <is>
          <t>En plazo</t>
        </is>
      </c>
      <c r="B1088" s="3" t="n">
        <v>46330.99930555555</v>
      </c>
      <c r="C1088" s="5" t="n">
        <v>291670.12</v>
      </c>
      <c r="D1088" s="5" t="n">
        <v>291670.12</v>
      </c>
      <c r="E1088" s="2" t="inlineStr">
        <is>
          <t>Andalucía</t>
        </is>
      </c>
      <c r="F1088" s="2" t="inlineStr">
        <is>
          <t>Málaga</t>
        </is>
      </c>
      <c r="G1088" s="2" t="inlineStr">
        <is>
          <t>Salares</t>
        </is>
      </c>
      <c r="H1088" s="2" t="inlineStr">
        <is>
          <t>Alcaldía del Ayuntamiento de Salares</t>
        </is>
      </c>
      <c r="I1088" s="2" t="inlineStr">
        <is>
          <t>Cubrición de pista polideportiva en Salares</t>
        </is>
      </c>
      <c r="J1088" s="2" t="inlineStr">
        <is>
          <t>163/2026_CUBRICIÓN PISTA POLIDEPORTIVA EN SALARES</t>
        </is>
      </c>
      <c r="K1088" s="2" t="inlineStr">
        <is>
          <t>Abierto simplificado</t>
        </is>
      </c>
      <c r="L1088" s="6" t="n">
        <v>7</v>
      </c>
      <c r="M1088" s="2" t="n"/>
      <c r="N1088" s="7" t="n">
        <v>0</v>
      </c>
      <c r="O1088" s="4" t="n"/>
      <c r="P1088" s="2" t="inlineStr">
        <is>
          <t>45000000; 45261000; 45212200</t>
        </is>
      </c>
      <c r="Q1088" s="8" t="inlineStr">
        <is>
          <t>Ver</t>
        </is>
      </c>
      <c r="R1088" s="8" t="inlineStr">
        <is>
          <t>PCAP</t>
        </is>
      </c>
      <c r="S1088" s="9" t="n">
        <v>46311</v>
      </c>
      <c r="T1088" s="3" t="n">
        <v>46310.53189814815</v>
      </c>
      <c r="U1088" s="2" t="n"/>
    </row>
    <row r="1089">
      <c r="A1089" s="2" t="inlineStr">
        <is>
          <t>Pendiente de adjudicación</t>
        </is>
      </c>
      <c r="B1089" s="3" t="n">
        <v>46301.99930555555</v>
      </c>
      <c r="C1089" s="5" t="n">
        <v>82611.86</v>
      </c>
      <c r="D1089" s="5" t="n">
        <v>82611.86</v>
      </c>
      <c r="E1089" s="2" t="inlineStr">
        <is>
          <t>Andalucía</t>
        </is>
      </c>
      <c r="F1089" s="2" t="inlineStr">
        <is>
          <t>Sevilla</t>
        </is>
      </c>
      <c r="G1089" s="2" t="n"/>
      <c r="H1089" s="2" t="inlineStr">
        <is>
          <t>Junta de Gobierno del Ayuntamiento de La Rinconada</t>
        </is>
      </c>
      <c r="I1089" s="2" t="inlineStr">
        <is>
          <t>Contrato de obras Plan de mantenimiento y modernización de edificios centros culturales de La Rinconada. Fase de albañilería y revestimiento en: - Centro Cultural de la Villa. - Centro de Artes escénicas y visuales de La Rinconada (craes). - Casa de la música. - Biblioteca de La Rinconada. - Hacienda Santa Cruz.</t>
        </is>
      </c>
      <c r="J1089" s="2" t="inlineStr">
        <is>
          <t>16524/2026</t>
        </is>
      </c>
      <c r="K1089" s="2" t="inlineStr">
        <is>
          <t>Abierto simplificado</t>
        </is>
      </c>
      <c r="L1089" s="6" t="n">
        <v>2</v>
      </c>
      <c r="M1089" s="2" t="n"/>
      <c r="N1089" s="7" t="n">
        <v>0</v>
      </c>
      <c r="O1089" s="4" t="n"/>
      <c r="P1089" s="2" t="inlineStr">
        <is>
          <t>45453000</t>
        </is>
      </c>
      <c r="Q1089" s="8" t="inlineStr">
        <is>
          <t>Ver</t>
        </is>
      </c>
      <c r="R1089" s="8" t="inlineStr">
        <is>
          <t>PCAP</t>
        </is>
      </c>
      <c r="S1089" s="9" t="n">
        <v>46311</v>
      </c>
      <c r="T1089" s="3" t="n">
        <v>46310.52594907407</v>
      </c>
      <c r="U1089" s="2" t="n"/>
    </row>
    <row r="1090">
      <c r="A1090" s="2" t="inlineStr">
        <is>
          <t>Pendiente de adjudicación</t>
        </is>
      </c>
      <c r="B1090" s="3" t="n">
        <v>46276.54166666666</v>
      </c>
      <c r="C1090" s="5" t="n">
        <v>3822619.52</v>
      </c>
      <c r="D1090" s="5" t="n">
        <v>3822619.52</v>
      </c>
      <c r="E1090" s="2" t="inlineStr">
        <is>
          <t>Comunitat Valenciana</t>
        </is>
      </c>
      <c r="F1090" s="2" t="inlineStr">
        <is>
          <t>Alicante</t>
        </is>
      </c>
      <c r="G1090" s="2" t="n"/>
      <c r="H1090" s="2" t="inlineStr">
        <is>
          <t>ADIF - Presidencia</t>
        </is>
      </c>
      <c r="I1090" s="2" t="inlineStr">
        <is>
          <t>Ejecución de las obras del proyecto constructivo para la supresión de los pasos a nivel del pk 25/600 y 25/797 de la línea Red Ferroviaria de Interés General 336 El Reguerón - Alacant - Terminal. Término municipal de Elche (Alicante)</t>
        </is>
      </c>
      <c r="J1090" s="2" t="inlineStr">
        <is>
          <t>3.26/27507.0134</t>
        </is>
      </c>
      <c r="K1090" s="2" t="inlineStr">
        <is>
          <t>Abierto</t>
        </is>
      </c>
      <c r="L1090" s="6" t="n">
        <v>12</v>
      </c>
      <c r="M1090" s="2" t="inlineStr">
        <is>
          <t>B2-5</t>
        </is>
      </c>
      <c r="N1090" s="7" t="n">
        <v>0.49</v>
      </c>
      <c r="O1090" s="4" t="n"/>
      <c r="P1090" s="2" t="inlineStr">
        <is>
          <t>45221000</t>
        </is>
      </c>
      <c r="Q1090" s="8" t="inlineStr">
        <is>
          <t>Ver</t>
        </is>
      </c>
      <c r="R1090" s="8" t="inlineStr">
        <is>
          <t>PCAP</t>
        </is>
      </c>
      <c r="S1090" s="9" t="n">
        <v>46310</v>
      </c>
      <c r="T1090" s="3" t="n">
        <v>46310.52493055556</v>
      </c>
      <c r="U1090" s="2" t="n"/>
    </row>
    <row r="1091">
      <c r="A1091" s="2" t="inlineStr">
        <is>
          <t>Resuelta</t>
        </is>
      </c>
      <c r="B1091" s="3" t="n">
        <v>46000.75</v>
      </c>
      <c r="C1091" s="5" t="n">
        <v>289256.2</v>
      </c>
      <c r="D1091" s="5" t="n">
        <v>289256.2</v>
      </c>
      <c r="E1091" s="2" t="inlineStr">
        <is>
          <t>Andalucía</t>
        </is>
      </c>
      <c r="F1091" s="2" t="inlineStr">
        <is>
          <t>Cádiz</t>
        </is>
      </c>
      <c r="G1091" s="2" t="inlineStr">
        <is>
          <t>El Puerto de Santa María</t>
        </is>
      </c>
      <c r="H1091" s="2" t="inlineStr">
        <is>
          <t>Junta de Gobierno del Ayuntamiento de El Puerto de Santa María</t>
        </is>
      </c>
      <c r="I1091" s="2" t="inlineStr">
        <is>
          <t>Reforma integral del Parque de la Arboleda Perdida.</t>
        </is>
      </c>
      <c r="J1091" s="2" t="inlineStr">
        <is>
          <t>2025/6/S196</t>
        </is>
      </c>
      <c r="K1091" s="2" t="inlineStr">
        <is>
          <t>Abierto simplificado</t>
        </is>
      </c>
      <c r="L1091" s="6" t="n">
        <v>5</v>
      </c>
      <c r="M1091" s="2" t="n"/>
      <c r="N1091" s="7" t="n">
        <v>0</v>
      </c>
      <c r="O1091" s="4" t="n"/>
      <c r="P1091" s="2" t="inlineStr">
        <is>
          <t>45112700; 45112711; 45112712; 45112710</t>
        </is>
      </c>
      <c r="Q1091" s="8" t="inlineStr">
        <is>
          <t>Ver</t>
        </is>
      </c>
      <c r="R1091" s="8" t="inlineStr">
        <is>
          <t>PCAP</t>
        </is>
      </c>
      <c r="S1091" s="9" t="n">
        <v>46311</v>
      </c>
      <c r="T1091" s="3" t="n">
        <v>46310.5243287037</v>
      </c>
      <c r="U1091" s="2" t="n"/>
    </row>
    <row r="1092">
      <c r="A1092" s="2" t="inlineStr">
        <is>
          <t>En plazo</t>
        </is>
      </c>
      <c r="B1092" s="3" t="n">
        <v>46330.99930555555</v>
      </c>
      <c r="C1092" s="5" t="n">
        <v>1846516.62</v>
      </c>
      <c r="D1092" s="5" t="n">
        <v>1846516.62</v>
      </c>
      <c r="E1092" s="2" t="inlineStr">
        <is>
          <t>Andalucía</t>
        </is>
      </c>
      <c r="F1092" s="2" t="inlineStr">
        <is>
          <t>Sevilla</t>
        </is>
      </c>
      <c r="G1092" s="2" t="inlineStr">
        <is>
          <t>Bormujos</t>
        </is>
      </c>
      <c r="H1092" s="2" t="inlineStr">
        <is>
          <t>Alcaldía del Ayuntamiento de Bormujos</t>
        </is>
      </c>
      <c r="I1092" s="2" t="inlineStr">
        <is>
          <t>Ejecución de las obras de “Remodelación de Bulevar Avenida San Juan de Dios”.</t>
        </is>
      </c>
      <c r="J1092" s="2" t="inlineStr">
        <is>
          <t>12483/2026</t>
        </is>
      </c>
      <c r="K1092" s="2" t="inlineStr">
        <is>
          <t>Abierto simplificado</t>
        </is>
      </c>
      <c r="L1092" s="6" t="n">
        <v>5</v>
      </c>
      <c r="M1092" s="2" t="inlineStr">
        <is>
          <t>G6-4</t>
        </is>
      </c>
      <c r="N1092" s="7" t="n">
        <v>0.2</v>
      </c>
      <c r="O1092" s="4" t="n"/>
      <c r="P1092" s="2" t="inlineStr">
        <is>
          <t>45233252</t>
        </is>
      </c>
      <c r="Q1092" s="8" t="inlineStr">
        <is>
          <t>Ver</t>
        </is>
      </c>
      <c r="R1092" s="8" t="inlineStr">
        <is>
          <t>PCAP</t>
        </is>
      </c>
      <c r="S1092" s="9" t="n">
        <v>46311</v>
      </c>
      <c r="T1092" s="3" t="n">
        <v>46310.52320601852</v>
      </c>
      <c r="U1092" s="2" t="n"/>
    </row>
    <row r="1093">
      <c r="A1093" s="2" t="inlineStr">
        <is>
          <t>En plazo</t>
        </is>
      </c>
      <c r="B1093" s="3" t="n">
        <v>46330.99930555555</v>
      </c>
      <c r="C1093" s="5" t="n">
        <v>202467.96</v>
      </c>
      <c r="D1093" s="5" t="n">
        <v>202467.96</v>
      </c>
      <c r="E1093" s="2" t="inlineStr">
        <is>
          <t>Andalucía</t>
        </is>
      </c>
      <c r="F1093" s="2" t="inlineStr">
        <is>
          <t>Cádiz</t>
        </is>
      </c>
      <c r="G1093" s="2" t="inlineStr">
        <is>
          <t>Puerto Real (Cádiz).</t>
        </is>
      </c>
      <c r="H1093" s="2" t="inlineStr">
        <is>
          <t>Rectorado de la Universidad de Cádiz</t>
        </is>
      </c>
      <c r="I1093" s="2" t="inlineStr">
        <is>
          <t>Obras de adecuación y acondicionamiento mediante la unificación de 3 laboratorios para la instalación de equipamiento científico-técnico, a desarrollar en la planta baja de la Facultad de Ciencias del Campus de Puerto Real de la Universidad de Cádiz.</t>
        </is>
      </c>
      <c r="J1093" s="2" t="inlineStr">
        <is>
          <t>EXP045/2026/19</t>
        </is>
      </c>
      <c r="K1093" s="2" t="inlineStr">
        <is>
          <t>Abierto simplificado</t>
        </is>
      </c>
      <c r="L1093" s="6" t="n">
        <v>4</v>
      </c>
      <c r="M1093" s="2" t="inlineStr">
        <is>
          <t>C*-2; J2-2; A1-2; I7-2; I6-2</t>
        </is>
      </c>
      <c r="N1093" s="7" t="n">
        <v>0.25</v>
      </c>
      <c r="O1093" s="4" t="n"/>
      <c r="P1093" s="2" t="inlineStr">
        <is>
          <t>45214610</t>
        </is>
      </c>
      <c r="Q1093" s="8" t="inlineStr">
        <is>
          <t>Ver</t>
        </is>
      </c>
      <c r="R1093" s="8" t="inlineStr">
        <is>
          <t>PCAP</t>
        </is>
      </c>
      <c r="S1093" s="9" t="n">
        <v>46311</v>
      </c>
      <c r="T1093" s="3" t="n">
        <v>46310.52008101852</v>
      </c>
      <c r="U1093" s="2" t="n"/>
    </row>
    <row r="1094">
      <c r="A1094" s="2" t="inlineStr">
        <is>
          <t>Pendiente de adjudicación</t>
        </is>
      </c>
      <c r="B1094" s="3" t="n">
        <v>46269.54166666666</v>
      </c>
      <c r="C1094" s="5" t="n">
        <v>250224.45</v>
      </c>
      <c r="D1094" s="5" t="n">
        <v>275246.9</v>
      </c>
      <c r="E1094" s="2" t="inlineStr">
        <is>
          <t>Comunitat Valenciana</t>
        </is>
      </c>
      <c r="F1094" s="2" t="inlineStr">
        <is>
          <t>Valencia</t>
        </is>
      </c>
      <c r="G1094" s="2" t="inlineStr">
        <is>
          <t>Valencia</t>
        </is>
      </c>
      <c r="H1094" s="2" t="inlineStr">
        <is>
          <t>Presidencia de la Diputación Provincial de Valencia</t>
        </is>
      </c>
      <c r="I1094" s="2" t="inlineStr">
        <is>
          <t>Ejecución de obras de Mejora en el Edificio (Sustitución de Carpintería de Fachada) Hugo de Moncada, 9 de Valencia.</t>
        </is>
      </c>
      <c r="J1094" s="2" t="inlineStr">
        <is>
          <t>35/26/PRT</t>
        </is>
      </c>
      <c r="K1094" s="2" t="inlineStr">
        <is>
          <t>Abierto simplificado</t>
        </is>
      </c>
      <c r="L1094" s="6" t="n">
        <v>3</v>
      </c>
      <c r="M1094" s="2" t="inlineStr">
        <is>
          <t>C4-2; C9-2</t>
        </is>
      </c>
      <c r="N1094" s="7" t="n">
        <v>0</v>
      </c>
      <c r="O1094" s="4" t="n"/>
      <c r="P1094" s="2" t="inlineStr">
        <is>
          <t>45421132</t>
        </is>
      </c>
      <c r="Q1094" s="8" t="inlineStr">
        <is>
          <t>Ver</t>
        </is>
      </c>
      <c r="R1094" s="8" t="inlineStr">
        <is>
          <t>PCAP</t>
        </is>
      </c>
      <c r="S1094" s="9" t="n">
        <v>46311</v>
      </c>
      <c r="T1094" s="3" t="n">
        <v>46310.51923611111</v>
      </c>
      <c r="U1094" s="2" t="n"/>
    </row>
    <row r="1095">
      <c r="A1095" s="2" t="inlineStr">
        <is>
          <t>En plazo</t>
        </is>
      </c>
      <c r="B1095" s="3" t="n">
        <v>46330.99930555555</v>
      </c>
      <c r="C1095" s="5" t="n">
        <v>161510.39</v>
      </c>
      <c r="D1095" s="5" t="n">
        <v>161510.39</v>
      </c>
      <c r="E1095" s="2" t="inlineStr">
        <is>
          <t>Andalucía</t>
        </is>
      </c>
      <c r="F1095" s="2" t="inlineStr">
        <is>
          <t>Cádiz</t>
        </is>
      </c>
      <c r="G1095" s="2" t="inlineStr">
        <is>
          <t>Villamartin</t>
        </is>
      </c>
      <c r="H1095" s="2" t="inlineStr">
        <is>
          <t>Alcaldía del Ayuntamiento de Villamartín</t>
        </is>
      </c>
      <c r="I1095" s="2" t="inlineStr">
        <is>
          <t>"Reurbanización de la Calle Cronista José Bernal", en el término municipal de Villamartín.</t>
        </is>
      </c>
      <c r="J1095" s="2" t="inlineStr">
        <is>
          <t>2024/2026</t>
        </is>
      </c>
      <c r="K1095" s="2" t="inlineStr">
        <is>
          <t>Abierto simplificado</t>
        </is>
      </c>
      <c r="L1095" s="6" t="n">
        <v>3</v>
      </c>
      <c r="M1095" s="2" t="n"/>
      <c r="N1095" s="7" t="n">
        <v>0</v>
      </c>
      <c r="O1095" s="4" t="n"/>
      <c r="P1095" s="2" t="inlineStr">
        <is>
          <t>45112000; 45232400; 45112100; 45233252</t>
        </is>
      </c>
      <c r="Q1095" s="8" t="inlineStr">
        <is>
          <t>Ver</t>
        </is>
      </c>
      <c r="R1095" s="8" t="inlineStr">
        <is>
          <t>PCAP</t>
        </is>
      </c>
      <c r="S1095" s="9" t="n">
        <v>46311</v>
      </c>
      <c r="T1095" s="3" t="n">
        <v>46310.51563657408</v>
      </c>
      <c r="U1095" s="2" t="n"/>
    </row>
    <row r="1096">
      <c r="A1096" s="2" t="inlineStr">
        <is>
          <t>En plazo</t>
        </is>
      </c>
      <c r="B1096" s="3" t="n">
        <v>46331.79166666666</v>
      </c>
      <c r="C1096" s="5" t="n">
        <v>175206.62</v>
      </c>
      <c r="D1096" s="5" t="n">
        <v>175206.62</v>
      </c>
      <c r="E1096" s="2" t="inlineStr">
        <is>
          <t>Comunitat Valenciana</t>
        </is>
      </c>
      <c r="F1096" s="2" t="inlineStr">
        <is>
          <t>Valencia</t>
        </is>
      </c>
      <c r="G1096" s="2" t="inlineStr">
        <is>
          <t>Xàtiva</t>
        </is>
      </c>
      <c r="H1096" s="2" t="inlineStr">
        <is>
          <t>Departamento de Salud de Xàtiva-Ontinyent. Dirección Económica-Gerencia</t>
        </is>
      </c>
      <c r="I1096" s="2" t="inlineStr">
        <is>
          <t>Dirección de obra y coordinación de seguridad y salud y ejecución de las obras de reforma de los ascensores limpio-sucio en el Hospital Universitario Lluís Alcanyís de Xàtiva.</t>
        </is>
      </c>
      <c r="J1096" s="2" t="inlineStr">
        <is>
          <t>PAS 1676 2026</t>
        </is>
      </c>
      <c r="K1096" s="2" t="inlineStr">
        <is>
          <t>Abierto simplificado</t>
        </is>
      </c>
      <c r="L1096" s="6" t="n">
        <v>9</v>
      </c>
      <c r="M1096" s="2" t="n"/>
      <c r="N1096" s="7" t="n">
        <v>0.45</v>
      </c>
      <c r="O1096" s="4" t="n">
        <v>2</v>
      </c>
      <c r="P1096" s="2" t="inlineStr">
        <is>
          <t>45000000; 45215100; 71520000; 45315600; 71317200; 71317210; 45259900; 71540000</t>
        </is>
      </c>
      <c r="Q1096" s="8" t="inlineStr">
        <is>
          <t>Ver</t>
        </is>
      </c>
      <c r="R1096" s="8" t="inlineStr">
        <is>
          <t>PCAP</t>
        </is>
      </c>
      <c r="S1096" s="9" t="n">
        <v>46311</v>
      </c>
      <c r="T1096" s="3" t="n">
        <v>46310.51527777778</v>
      </c>
      <c r="U1096" s="2" t="n"/>
    </row>
    <row r="1097">
      <c r="A1097" s="2" t="inlineStr">
        <is>
          <t>Resuelta</t>
        </is>
      </c>
      <c r="B1097" s="3" t="n">
        <v>46254.58333333334</v>
      </c>
      <c r="C1097" s="5" t="n">
        <v>61983.47</v>
      </c>
      <c r="D1097" s="5" t="n">
        <v>68181.82000000001</v>
      </c>
      <c r="E1097" s="2" t="inlineStr">
        <is>
          <t>Comunitat Valenciana</t>
        </is>
      </c>
      <c r="F1097" s="2" t="inlineStr">
        <is>
          <t>Valencia</t>
        </is>
      </c>
      <c r="G1097" s="2" t="n"/>
      <c r="H1097" s="2" t="inlineStr">
        <is>
          <t>Departamento de Salud de Sagunto. Dirección Económica-Gerencia</t>
        </is>
      </c>
      <c r="I1097" s="2" t="inlineStr">
        <is>
          <t>Obra de sustitución del ascensor existente en el Centro de Salud de Sagunto, Avda Sants de la Pedra, 81, Sagunto.</t>
        </is>
      </c>
      <c r="J1097" s="2" t="inlineStr">
        <is>
          <t>678/2026</t>
        </is>
      </c>
      <c r="K1097" s="2" t="inlineStr">
        <is>
          <t>Abierto simplificado</t>
        </is>
      </c>
      <c r="L1097" s="6" t="n">
        <v>3.5</v>
      </c>
      <c r="M1097" s="2" t="inlineStr">
        <is>
          <t>J1-1</t>
        </is>
      </c>
      <c r="N1097" s="7" t="n">
        <v>0</v>
      </c>
      <c r="O1097" s="4" t="n"/>
      <c r="P1097" s="2" t="inlineStr">
        <is>
          <t>45313100; 42416100</t>
        </is>
      </c>
      <c r="Q1097" s="8" t="inlineStr">
        <is>
          <t>Ver</t>
        </is>
      </c>
      <c r="R1097" s="8" t="inlineStr">
        <is>
          <t>PCAP</t>
        </is>
      </c>
      <c r="S1097" s="9" t="n">
        <v>46311</v>
      </c>
      <c r="T1097" s="3" t="n">
        <v>46310.51432870371</v>
      </c>
      <c r="U1097" s="2" t="n"/>
    </row>
    <row r="1098">
      <c r="A1098" s="2" t="inlineStr">
        <is>
          <t>Resuelta</t>
        </is>
      </c>
      <c r="B1098" s="3" t="n">
        <v>46295.375</v>
      </c>
      <c r="C1098" s="5" t="n">
        <v>165289.26</v>
      </c>
      <c r="D1098" s="5" t="n">
        <v>165289.26</v>
      </c>
      <c r="E1098" s="2" t="inlineStr">
        <is>
          <t>Andalucía</t>
        </is>
      </c>
      <c r="F1098" s="2" t="inlineStr">
        <is>
          <t>Granada</t>
        </is>
      </c>
      <c r="G1098" s="2" t="inlineStr">
        <is>
          <t>Armilla</t>
        </is>
      </c>
      <c r="H1098" s="2" t="inlineStr">
        <is>
          <t>Jefatura de la Sección Económico Administrativa 24 de la Base Aérea de Morón</t>
        </is>
      </c>
      <c r="I1098" s="2" t="inlineStr">
        <is>
          <t>2216/GRUAPO/INFRA Reparación de daños no estructurales ocasionados por seísmos</t>
        </is>
      </c>
      <c r="J1098" s="2" t="inlineStr">
        <is>
          <t>2026/EA24/00002210E</t>
        </is>
      </c>
      <c r="K1098" s="2" t="inlineStr">
        <is>
          <t>Abierto</t>
        </is>
      </c>
      <c r="L1098" s="6" t="n">
        <v>1.5</v>
      </c>
      <c r="M1098" s="2" t="n"/>
      <c r="N1098" s="7" t="n">
        <v>0</v>
      </c>
      <c r="O1098" s="4" t="n"/>
      <c r="P1098" s="2" t="inlineStr">
        <is>
          <t>45262690</t>
        </is>
      </c>
      <c r="Q1098" s="8" t="inlineStr">
        <is>
          <t>Ver</t>
        </is>
      </c>
      <c r="R1098" s="8" t="inlineStr">
        <is>
          <t>PCAP</t>
        </is>
      </c>
      <c r="S1098" s="9" t="n">
        <v>46310</v>
      </c>
      <c r="T1098" s="3" t="n">
        <v>46310.51386574074</v>
      </c>
      <c r="U1098" s="2" t="n"/>
    </row>
    <row r="1099">
      <c r="A1099" s="2" t="inlineStr">
        <is>
          <t>Resuelta</t>
        </is>
      </c>
      <c r="B1099" s="3" t="n">
        <v>46275.99930555555</v>
      </c>
      <c r="C1099" s="5" t="n">
        <v>148760.33</v>
      </c>
      <c r="D1099" s="5" t="n">
        <v>148760.33</v>
      </c>
      <c r="E1099" s="2" t="inlineStr">
        <is>
          <t>Andalucía</t>
        </is>
      </c>
      <c r="F1099" s="2" t="inlineStr">
        <is>
          <t>Almería</t>
        </is>
      </c>
      <c r="G1099" s="2" t="n"/>
      <c r="H1099" s="2" t="inlineStr">
        <is>
          <t>Alcaldía del Ayuntamiento de Níjar</t>
        </is>
      </c>
      <c r="I1099" s="2" t="inlineStr">
        <is>
          <t>Construcción de quiosco y núcleo de aseos en el Parque Los Olivicos de Campohermoso (Níjar)., con cargo al FEDER, en el marco de los PAI (NÍJAR PARA CONVIVIR).</t>
        </is>
      </c>
      <c r="J1099" s="2" t="inlineStr">
        <is>
          <t>10914/2026</t>
        </is>
      </c>
      <c r="K1099" s="2" t="inlineStr">
        <is>
          <t>Abierto simplificado</t>
        </is>
      </c>
      <c r="L1099" s="6" t="n">
        <v>6</v>
      </c>
      <c r="M1099" s="2" t="n"/>
      <c r="N1099" s="7" t="n">
        <v>0.25</v>
      </c>
      <c r="O1099" s="4" t="n"/>
      <c r="P1099" s="2" t="inlineStr">
        <is>
          <t>45212000</t>
        </is>
      </c>
      <c r="Q1099" s="8" t="inlineStr">
        <is>
          <t>Ver</t>
        </is>
      </c>
      <c r="R1099" s="8" t="inlineStr">
        <is>
          <t>PCAP</t>
        </is>
      </c>
      <c r="S1099" s="9" t="n">
        <v>46311</v>
      </c>
      <c r="T1099" s="3" t="n">
        <v>46310.51173611111</v>
      </c>
      <c r="U1099" s="2" t="n"/>
    </row>
    <row r="1100">
      <c r="A1100" s="2" t="inlineStr">
        <is>
          <t>Pendiente de adjudicación</t>
        </is>
      </c>
      <c r="B1100" s="3" t="n">
        <v>46294.99930555555</v>
      </c>
      <c r="C1100" s="5" t="n">
        <v>517071.63</v>
      </c>
      <c r="D1100" s="5" t="n">
        <v>517071.63</v>
      </c>
      <c r="E1100" s="2" t="inlineStr">
        <is>
          <t>Andalucía</t>
        </is>
      </c>
      <c r="F1100" s="2" t="inlineStr">
        <is>
          <t>Córdoba</t>
        </is>
      </c>
      <c r="G1100" s="2" t="n"/>
      <c r="H1100" s="2" t="inlineStr">
        <is>
          <t>Junta de Gobierno de la Diputación Provincial de Córdoba</t>
        </is>
      </c>
      <c r="I1100" s="2" t="inlineStr">
        <is>
          <t>Contratación de las obras de reparación parcial de la CO-3204 de Córdoba a A-309 por la campiña (p.k.k.0+000 al 5+250) (Córdoba)</t>
        </is>
      </c>
      <c r="J1100" s="2" t="inlineStr">
        <is>
          <t>711/26</t>
        </is>
      </c>
      <c r="K1100" s="2" t="inlineStr">
        <is>
          <t>Abierto</t>
        </is>
      </c>
      <c r="L1100" s="6" t="n">
        <v>4</v>
      </c>
      <c r="M1100" s="2" t="inlineStr">
        <is>
          <t>G6-3</t>
        </is>
      </c>
      <c r="N1100" s="7" t="n">
        <v>0.4</v>
      </c>
      <c r="O1100" s="4" t="n"/>
      <c r="P1100" s="2" t="inlineStr">
        <is>
          <t>45233142</t>
        </is>
      </c>
      <c r="Q1100" s="8" t="inlineStr">
        <is>
          <t>Ver</t>
        </is>
      </c>
      <c r="R1100" s="8" t="inlineStr">
        <is>
          <t>PCAP</t>
        </is>
      </c>
      <c r="S1100" s="9" t="n">
        <v>46310</v>
      </c>
      <c r="T1100" s="3" t="n">
        <v>46310.49884259259</v>
      </c>
      <c r="U1100" s="2" t="n"/>
    </row>
    <row r="1101">
      <c r="A1101" s="2" t="inlineStr">
        <is>
          <t>Resuelta</t>
        </is>
      </c>
      <c r="B1101" s="3" t="n">
        <v>45615.45833333334</v>
      </c>
      <c r="C1101" s="5" t="n">
        <v>1443421.47</v>
      </c>
      <c r="D1101" s="5" t="n">
        <v>1443421.47</v>
      </c>
      <c r="E1101" s="2" t="inlineStr">
        <is>
          <t>Andalucía</t>
        </is>
      </c>
      <c r="F1101" s="2" t="inlineStr">
        <is>
          <t>Sevilla</t>
        </is>
      </c>
      <c r="G1101" s="2" t="inlineStr">
        <is>
          <t>Sevilla</t>
        </is>
      </c>
      <c r="H1101" s="2" t="inlineStr">
        <is>
          <t>Consejería Delegada de la Empresa Metropolitana de Abastecimiento y Saneamiento de Aguas de Sevilla S.A. (EMASESA)</t>
        </is>
      </c>
      <c r="I1101" s="2" t="inlineStr">
        <is>
          <t>Proyecto de acondicionamiento y mejora de los sistemas de alimentación eléctrica, instrumentación, control y comunicaciones de la presa de la Minilla. El Garrobo (Sevilla).</t>
        </is>
      </c>
      <c r="J1101" s="2" t="inlineStr">
        <is>
          <t>0633/2024</t>
        </is>
      </c>
      <c r="K1101" s="2" t="inlineStr">
        <is>
          <t>Abierto</t>
        </is>
      </c>
      <c r="L1101" s="6" t="n">
        <v>10.3</v>
      </c>
      <c r="M1101" s="2" t="inlineStr">
        <is>
          <t>I6-4; E7-3</t>
        </is>
      </c>
      <c r="N1101" s="7" t="n">
        <v>0.45</v>
      </c>
      <c r="O1101" s="4" t="n"/>
      <c r="P1101" s="2" t="inlineStr">
        <is>
          <t>45247210</t>
        </is>
      </c>
      <c r="Q1101" s="8" t="inlineStr">
        <is>
          <t>Ver</t>
        </is>
      </c>
      <c r="R1101" s="8" t="inlineStr">
        <is>
          <t>PCAP</t>
        </is>
      </c>
      <c r="S1101" s="9" t="n">
        <v>46311</v>
      </c>
      <c r="T1101" s="3" t="n">
        <v>46310.49802083334</v>
      </c>
      <c r="U1101" s="2" t="n"/>
    </row>
    <row r="1102">
      <c r="A1102" s="2" t="inlineStr">
        <is>
          <t>Resuelta</t>
        </is>
      </c>
      <c r="B1102" s="3" t="n">
        <v>46279.99930555555</v>
      </c>
      <c r="C1102" s="5" t="n">
        <v>107538.84</v>
      </c>
      <c r="D1102" s="5" t="n">
        <v>107538.84</v>
      </c>
      <c r="E1102" s="2" t="inlineStr">
        <is>
          <t>Andalucía</t>
        </is>
      </c>
      <c r="F1102" s="2" t="inlineStr">
        <is>
          <t>Granada</t>
        </is>
      </c>
      <c r="G1102" s="2" t="inlineStr">
        <is>
          <t>CORTES Y GRAENA</t>
        </is>
      </c>
      <c r="H1102" s="2" t="inlineStr">
        <is>
          <t>Presidencia de la Diputación Provincial de Granada</t>
        </is>
      </c>
      <c r="I1102" s="2" t="inlineStr">
        <is>
          <t>2024/4/PPOYS-54/1 "Cortes y Graena, abastecimiento, saneamiento y pavimentación en calle Cervantes y calle Picasso -Los Baños-"</t>
        </is>
      </c>
      <c r="J1102" s="2" t="inlineStr">
        <is>
          <t>OB-070/26</t>
        </is>
      </c>
      <c r="K1102" s="2" t="inlineStr">
        <is>
          <t>Negociado sin publicidad</t>
        </is>
      </c>
      <c r="L1102" s="6" t="n">
        <v>4</v>
      </c>
      <c r="M1102" s="2" t="inlineStr">
        <is>
          <t>E7-1; G6-1</t>
        </is>
      </c>
      <c r="N1102" s="7" t="n">
        <v>0</v>
      </c>
      <c r="O1102" s="4" t="n"/>
      <c r="P1102" s="2" t="inlineStr">
        <is>
          <t>45231100; 45233252</t>
        </is>
      </c>
      <c r="Q1102" s="8" t="inlineStr">
        <is>
          <t>Ver</t>
        </is>
      </c>
      <c r="R1102" s="8" t="inlineStr">
        <is>
          <t>PCAP</t>
        </is>
      </c>
      <c r="S1102" s="9" t="n">
        <v>46311</v>
      </c>
      <c r="T1102" s="3" t="n">
        <v>46310.49021990741</v>
      </c>
      <c r="U1102" s="2" t="n"/>
    </row>
    <row r="1103">
      <c r="A1103" s="2" t="inlineStr">
        <is>
          <t>En plazo</t>
        </is>
      </c>
      <c r="B1103" s="3" t="n">
        <v>46321.99930555555</v>
      </c>
      <c r="C1103" s="5" t="n">
        <v>4198877.43</v>
      </c>
      <c r="D1103" s="5" t="n">
        <v>4198877.43</v>
      </c>
      <c r="E1103" s="2" t="inlineStr">
        <is>
          <t>Comunitat Valenciana</t>
        </is>
      </c>
      <c r="F1103" s="2" t="inlineStr">
        <is>
          <t>Alicante</t>
        </is>
      </c>
      <c r="G1103" s="2" t="n"/>
      <c r="H1103" s="2" t="inlineStr">
        <is>
          <t>Consejo de Administración de Promociones e Iniciativas Municipales de Elche, S.A. (PIMESA)</t>
        </is>
      </c>
      <c r="I1103" s="2" t="inlineStr">
        <is>
          <t>Obras de Construcción de un Edificio de 45 viviendas protegidas (VPNC), local, sótano para 44 aparcamientos y urbanización interior en la calle Obispo Cubero, nº2, Parcela nº5 del PRIM, Barrio San Antón de Elche.</t>
        </is>
      </c>
      <c r="J1103" s="2" t="inlineStr">
        <is>
          <t>2026/A/003</t>
        </is>
      </c>
      <c r="K1103" s="2" t="inlineStr">
        <is>
          <t>Abierto</t>
        </is>
      </c>
      <c r="L1103" s="6" t="n">
        <v>24</v>
      </c>
      <c r="M1103" s="2" t="inlineStr">
        <is>
          <t>C*-4</t>
        </is>
      </c>
      <c r="N1103" s="7" t="n">
        <v>0.25</v>
      </c>
      <c r="O1103" s="4" t="n"/>
      <c r="P1103" s="2" t="inlineStr">
        <is>
          <t>45211340</t>
        </is>
      </c>
      <c r="Q1103" s="8" t="inlineStr">
        <is>
          <t>Ver</t>
        </is>
      </c>
      <c r="R1103" s="8" t="inlineStr">
        <is>
          <t>PCAP</t>
        </is>
      </c>
      <c r="S1103" s="9" t="n">
        <v>46311</v>
      </c>
      <c r="T1103" s="3" t="n">
        <v>46310.49001157407</v>
      </c>
      <c r="U1103" s="2" t="n"/>
    </row>
    <row r="1104">
      <c r="A1104" s="2" t="inlineStr">
        <is>
          <t>Plazo vencido</t>
        </is>
      </c>
      <c r="B1104" s="3" t="n">
        <v>46314.99930555555</v>
      </c>
      <c r="C1104" s="5" t="n">
        <v>150720.12</v>
      </c>
      <c r="D1104" s="5" t="n">
        <v>195936.15</v>
      </c>
      <c r="E1104" s="2" t="inlineStr">
        <is>
          <t>Comunitat Valenciana</t>
        </is>
      </c>
      <c r="F1104" s="2" t="inlineStr">
        <is>
          <t>Valencia</t>
        </is>
      </c>
      <c r="G1104" s="2" t="n"/>
      <c r="H1104" s="2" t="inlineStr">
        <is>
          <t>Departamento de Salud de Manises. Dirección Económica-Gerencia</t>
        </is>
      </c>
      <c r="I1104" s="2" t="inlineStr">
        <is>
          <t>Ejecución de las OBRAS e INSTALACIONES para Transformación de Espacio en Almacén de Suministros en Hospital de Manises, con arreglo a las condiciones medioambientales</t>
        </is>
      </c>
      <c r="J1104" s="2" t="inlineStr">
        <is>
          <t>PA OB 1085/2026</t>
        </is>
      </c>
      <c r="K1104" s="2" t="inlineStr">
        <is>
          <t>Abierto</t>
        </is>
      </c>
      <c r="L1104" s="6" t="n">
        <v>6</v>
      </c>
      <c r="M1104" s="2" t="n"/>
      <c r="N1104" s="7" t="n">
        <v>0.35</v>
      </c>
      <c r="O1104" s="4" t="n"/>
      <c r="P1104" s="2" t="inlineStr">
        <is>
          <t>45215100; 45200000; 45450000</t>
        </is>
      </c>
      <c r="Q1104" s="8" t="inlineStr">
        <is>
          <t>Ver</t>
        </is>
      </c>
      <c r="R1104" s="8" t="inlineStr">
        <is>
          <t>PCAP</t>
        </is>
      </c>
      <c r="S1104" s="9" t="n">
        <v>46311</v>
      </c>
      <c r="T1104" s="3" t="n">
        <v>46310.486875</v>
      </c>
      <c r="U1104" s="2" t="n"/>
    </row>
    <row r="1105">
      <c r="A1105" s="2" t="inlineStr">
        <is>
          <t>Pendiente de adjudicación</t>
        </is>
      </c>
      <c r="B1105" s="3" t="n">
        <v>46303.99930555555</v>
      </c>
      <c r="C1105" s="5" t="n">
        <v>220127.55</v>
      </c>
      <c r="D1105" s="5" t="n">
        <v>220127.55</v>
      </c>
      <c r="E1105" s="2" t="inlineStr">
        <is>
          <t>Andalucía</t>
        </is>
      </c>
      <c r="F1105" s="2" t="inlineStr">
        <is>
          <t>Huelva</t>
        </is>
      </c>
      <c r="G1105" s="2" t="n"/>
      <c r="H1105" s="2" t="inlineStr">
        <is>
          <t>Presidencia de la Diputación Provincial de Huelva</t>
        </is>
      </c>
      <c r="I1105" s="2" t="inlineStr">
        <is>
          <t>Reforma de la Piscina Municipal de Sta. Olalla del Cala, Plan de Asistencia y Cooperación Económica "TDI"</t>
        </is>
      </c>
      <c r="J1105" s="2" t="inlineStr">
        <is>
          <t>2026/CMY_03/000100</t>
        </is>
      </c>
      <c r="K1105" s="2" t="inlineStr">
        <is>
          <t>Abierto simplificado</t>
        </is>
      </c>
      <c r="L1105" s="6" t="n">
        <v>6</v>
      </c>
      <c r="M1105" s="2" t="n"/>
      <c r="N1105" s="7" t="n">
        <v>0</v>
      </c>
      <c r="O1105" s="4" t="n"/>
      <c r="P1105" s="2" t="inlineStr">
        <is>
          <t>45212200; 45212290; 45212212</t>
        </is>
      </c>
      <c r="Q1105" s="8" t="inlineStr">
        <is>
          <t>Ver</t>
        </is>
      </c>
      <c r="R1105" s="8" t="inlineStr">
        <is>
          <t>PCAP</t>
        </is>
      </c>
      <c r="S1105" s="9" t="n">
        <v>46311</v>
      </c>
      <c r="T1105" s="3" t="n">
        <v>46310.48303240741</v>
      </c>
      <c r="U1105" s="2" t="n"/>
    </row>
    <row r="1106">
      <c r="A1106" s="2" t="inlineStr">
        <is>
          <t>Pendiente de adjudicación</t>
        </is>
      </c>
      <c r="B1106" s="3" t="n">
        <v>46224.99930555555</v>
      </c>
      <c r="C1106" s="5" t="n">
        <v>988457.3100000001</v>
      </c>
      <c r="D1106" s="5" t="n">
        <v>988457.3100000001</v>
      </c>
      <c r="E1106" s="2" t="inlineStr">
        <is>
          <t>Andalucía</t>
        </is>
      </c>
      <c r="F1106" s="2" t="inlineStr">
        <is>
          <t>Córdoba</t>
        </is>
      </c>
      <c r="G1106" s="2" t="inlineStr">
        <is>
          <t>Córdoba</t>
        </is>
      </c>
      <c r="H1106" s="2" t="inlineStr">
        <is>
          <t>Junta de Gobierno de la Diputación Provincial de Córdoba</t>
        </is>
      </c>
      <c r="I1106" s="2" t="inlineStr">
        <is>
          <t>Contratación de la obra de mejora de albergue provincial de Cerro Muriano, 1ª fase, en Córdoba, dividida en 2 lotes.</t>
        </is>
      </c>
      <c r="J1106" s="2" t="inlineStr">
        <is>
          <t>406/26</t>
        </is>
      </c>
      <c r="K1106" s="2" t="inlineStr">
        <is>
          <t>Abierto</t>
        </is>
      </c>
      <c r="L1106" s="6" t="n">
        <v>16</v>
      </c>
      <c r="M1106" s="2" t="n"/>
      <c r="N1106" s="7" t="n">
        <v>0.4</v>
      </c>
      <c r="O1106" s="4" t="n">
        <v>2</v>
      </c>
      <c r="P1106" s="2" t="inlineStr">
        <is>
          <t>45223000; 45315300; 45223210; 45315000; 45261215</t>
        </is>
      </c>
      <c r="Q1106" s="8" t="inlineStr">
        <is>
          <t>Ver</t>
        </is>
      </c>
      <c r="R1106" s="8" t="inlineStr">
        <is>
          <t>PCAP</t>
        </is>
      </c>
      <c r="S1106" s="9" t="n">
        <v>46310</v>
      </c>
      <c r="T1106" s="3" t="n">
        <v>46310.47987268519</v>
      </c>
      <c r="U1106" s="2" t="n"/>
    </row>
    <row r="1107">
      <c r="A1107" s="2" t="inlineStr">
        <is>
          <t>Adjudicada</t>
        </is>
      </c>
      <c r="B1107" s="3" t="n">
        <v>46287.99930555555</v>
      </c>
      <c r="C1107" s="5" t="n">
        <v>124721.41</v>
      </c>
      <c r="D1107" s="5" t="n">
        <v>150912.9</v>
      </c>
      <c r="E1107" s="2" t="inlineStr">
        <is>
          <t>Comunitat Valenciana</t>
        </is>
      </c>
      <c r="F1107" s="2" t="inlineStr">
        <is>
          <t>Valencia</t>
        </is>
      </c>
      <c r="G1107" s="2" t="n"/>
      <c r="H1107" s="2" t="inlineStr">
        <is>
          <t>Alcaldía del Ayuntamiento de Manuel</t>
        </is>
      </c>
      <c r="I1107" s="2" t="inlineStr">
        <is>
          <t>Renovación de juegos infantiles en parque de Pl Caixa d'Estalvis y parque de nueva creación situado en un area de juegos en el Polideportivo (POI 2024-2027- expte 24-47 20/26/COP)</t>
        </is>
      </c>
      <c r="J1107" s="2" t="inlineStr">
        <is>
          <t>PAS/5/2026</t>
        </is>
      </c>
      <c r="K1107" s="2" t="inlineStr">
        <is>
          <t>Abierto simplificado</t>
        </is>
      </c>
      <c r="L1107" s="6" t="n">
        <v>4</v>
      </c>
      <c r="M1107" s="2" t="n"/>
      <c r="N1107" s="7" t="n">
        <v>0</v>
      </c>
      <c r="O1107" s="4" t="n"/>
      <c r="P1107" s="2" t="inlineStr">
        <is>
          <t>45236210; 37535200; 45212140</t>
        </is>
      </c>
      <c r="Q1107" s="8" t="inlineStr">
        <is>
          <t>Ver</t>
        </is>
      </c>
      <c r="R1107" s="8" t="inlineStr">
        <is>
          <t>PCAP</t>
        </is>
      </c>
      <c r="S1107" s="9" t="n">
        <v>46311</v>
      </c>
      <c r="T1107" s="3" t="n">
        <v>46310.47605324074</v>
      </c>
      <c r="U1107" s="2" t="n"/>
    </row>
    <row r="1108">
      <c r="A1108" s="2" t="inlineStr">
        <is>
          <t>Resuelta</t>
        </is>
      </c>
      <c r="B1108" s="3" t="n">
        <v>46302.375</v>
      </c>
      <c r="C1108" s="5" t="n">
        <v>165289.26</v>
      </c>
      <c r="D1108" s="5" t="n">
        <v>165289.26</v>
      </c>
      <c r="E1108" s="2" t="inlineStr">
        <is>
          <t>Andalucía</t>
        </is>
      </c>
      <c r="F1108" s="2" t="inlineStr">
        <is>
          <t>Granada</t>
        </is>
      </c>
      <c r="G1108" s="2" t="inlineStr">
        <is>
          <t>Armilla</t>
        </is>
      </c>
      <c r="H1108" s="2" t="inlineStr">
        <is>
          <t>Jefatura de la Sección Económico Administrativa 24 de la Base Aérea de Morón</t>
        </is>
      </c>
      <c r="I1108" s="2" t="inlineStr">
        <is>
          <t>2216/GRUAPO/INFRA Reparación mediante trabajos de altura en la Base Aérea de Armilla</t>
        </is>
      </c>
      <c r="J1108" s="2" t="inlineStr">
        <is>
          <t>2026/EA24/00002306E</t>
        </is>
      </c>
      <c r="K1108" s="2" t="inlineStr">
        <is>
          <t>Abierto</t>
        </is>
      </c>
      <c r="L1108" s="6" t="n">
        <v>1.5</v>
      </c>
      <c r="M1108" s="2" t="n"/>
      <c r="N1108" s="7" t="n">
        <v>0</v>
      </c>
      <c r="O1108" s="4" t="n"/>
      <c r="P1108" s="2" t="inlineStr">
        <is>
          <t>45259000; 45261900</t>
        </is>
      </c>
      <c r="Q1108" s="8" t="inlineStr">
        <is>
          <t>Ver</t>
        </is>
      </c>
      <c r="R1108" s="8" t="inlineStr">
        <is>
          <t>PCAP</t>
        </is>
      </c>
      <c r="S1108" s="9" t="n">
        <v>46310</v>
      </c>
      <c r="T1108" s="3" t="n">
        <v>46310.47532407408</v>
      </c>
      <c r="U1108" s="2" t="n"/>
    </row>
    <row r="1109">
      <c r="A1109" s="2" t="inlineStr">
        <is>
          <t>Pendiente de adjudicación</t>
        </is>
      </c>
      <c r="B1109" s="3" t="n">
        <v>46308.99930555555</v>
      </c>
      <c r="C1109" s="5" t="n">
        <v>495828.4</v>
      </c>
      <c r="D1109" s="5" t="n">
        <v>495828.4</v>
      </c>
      <c r="E1109" s="2" t="inlineStr">
        <is>
          <t>Andalucía</t>
        </is>
      </c>
      <c r="F1109" s="2" t="inlineStr">
        <is>
          <t>Cádiz</t>
        </is>
      </c>
      <c r="G1109" s="2" t="inlineStr">
        <is>
          <t>Barbate (Cádiz)</t>
        </is>
      </c>
      <c r="H1109" s="2" t="inlineStr">
        <is>
          <t>Alcaldía de Ayuntamiento de Barbate</t>
        </is>
      </c>
      <c r="I1109" s="2" t="inlineStr">
        <is>
          <t>Obras de mejora de la pavimentación mediante reasfaltado y renovación de acerados en varias calles, y adecuación de la pavimentación de la Barriada San José de Barbate, en el marco del Plan Cádiz Marcha 2026, Plan Extraordinario de Inversiones de la Diputación Provincial de Cádiz 2026.</t>
        </is>
      </c>
      <c r="J1109" s="2" t="inlineStr">
        <is>
          <t>10122/2026</t>
        </is>
      </c>
      <c r="K1109" s="2" t="inlineStr">
        <is>
          <t>Abierto simplificado</t>
        </is>
      </c>
      <c r="L1109" s="6" t="n">
        <v>6</v>
      </c>
      <c r="M1109" s="2" t="n"/>
      <c r="N1109" s="7" t="n">
        <v>0</v>
      </c>
      <c r="O1109" s="4" t="n">
        <v>2</v>
      </c>
      <c r="P1109" s="2" t="inlineStr">
        <is>
          <t>45233222; 45233253; 45233260; 45233252</t>
        </is>
      </c>
      <c r="Q1109" s="8" t="inlineStr">
        <is>
          <t>Ver</t>
        </is>
      </c>
      <c r="R1109" s="8" t="inlineStr">
        <is>
          <t>PCAP</t>
        </is>
      </c>
      <c r="S1109" s="9" t="n">
        <v>46311</v>
      </c>
      <c r="T1109" s="3" t="n">
        <v>46310.47438657407</v>
      </c>
      <c r="U1109" s="2" t="n"/>
    </row>
    <row r="1110">
      <c r="A1110" s="2" t="inlineStr">
        <is>
          <t>Resuelta</t>
        </is>
      </c>
      <c r="B1110" s="3" t="n">
        <v>46279.99930555555</v>
      </c>
      <c r="C1110" s="5" t="n">
        <v>82644.63</v>
      </c>
      <c r="D1110" s="5" t="n">
        <v>82644.63</v>
      </c>
      <c r="E1110" s="2" t="inlineStr">
        <is>
          <t>Andalucía</t>
        </is>
      </c>
      <c r="F1110" s="2" t="inlineStr">
        <is>
          <t>Málaga</t>
        </is>
      </c>
      <c r="G1110" s="2" t="n"/>
      <c r="H1110" s="2" t="inlineStr">
        <is>
          <t>Alcaldía del Ayuntamiento de Villanueva de Algaidas</t>
        </is>
      </c>
      <c r="I1110" s="2" t="inlineStr">
        <is>
          <t>Asfaltado Caminos Rurales (Camino el Cuco y Camino Zamarra)</t>
        </is>
      </c>
      <c r="J1110" s="2" t="inlineStr">
        <is>
          <t>751/2026</t>
        </is>
      </c>
      <c r="K1110" s="2" t="inlineStr">
        <is>
          <t>Abierto simplificado</t>
        </is>
      </c>
      <c r="L1110" s="6" t="n">
        <v>1</v>
      </c>
      <c r="M1110" s="2" t="n"/>
      <c r="N1110" s="7" t="n">
        <v>0</v>
      </c>
      <c r="O1110" s="4" t="n"/>
      <c r="P1110" s="2" t="inlineStr">
        <is>
          <t>45233160</t>
        </is>
      </c>
      <c r="Q1110" s="8" t="inlineStr">
        <is>
          <t>Ver</t>
        </is>
      </c>
      <c r="R1110" s="8" t="inlineStr">
        <is>
          <t>PCAP</t>
        </is>
      </c>
      <c r="S1110" s="9" t="n">
        <v>46311</v>
      </c>
      <c r="T1110" s="3" t="n">
        <v>46310.47241898148</v>
      </c>
      <c r="U1110" s="2" t="n"/>
    </row>
    <row r="1111">
      <c r="A1111" s="2" t="inlineStr">
        <is>
          <t>Resuelta</t>
        </is>
      </c>
      <c r="B1111" s="3" t="n">
        <v>45257.54166666666</v>
      </c>
      <c r="C1111" s="5" t="n">
        <v>83571497.04000001</v>
      </c>
      <c r="D1111" s="5" t="n">
        <v>117036460.82</v>
      </c>
      <c r="E1111" s="2" t="inlineStr">
        <is>
          <t>Comunitat Valenciana</t>
        </is>
      </c>
      <c r="F1111" s="2" t="inlineStr">
        <is>
          <t>Valencia</t>
        </is>
      </c>
      <c r="G1111" s="2" t="n"/>
      <c r="H1111" s="2" t="inlineStr">
        <is>
          <t>ADIF -Consejo de Administración</t>
        </is>
      </c>
      <c r="I1111" s="2" t="inlineStr">
        <is>
          <t>Ejecución de las obras de los proyectos constructivos para la renovación de vía. Trayecto Xàtiva-Alcoi. Tramo: Xàtiva-Ontinyent y tramo: Ontinyent-Alcoi.</t>
        </is>
      </c>
      <c r="J1111" s="2" t="inlineStr">
        <is>
          <t>3.23/27507.0173</t>
        </is>
      </c>
      <c r="K1111" s="2" t="inlineStr">
        <is>
          <t>Abierto</t>
        </is>
      </c>
      <c r="L1111" s="6" t="n">
        <v>16</v>
      </c>
      <c r="M1111" s="2" t="inlineStr">
        <is>
          <t>D1-6; A5-6</t>
        </is>
      </c>
      <c r="N1111" s="7" t="n">
        <v>0.49</v>
      </c>
      <c r="O1111" s="4" t="n"/>
      <c r="P1111" s="2" t="inlineStr">
        <is>
          <t>45234110</t>
        </is>
      </c>
      <c r="Q1111" s="8" t="inlineStr">
        <is>
          <t>Ver</t>
        </is>
      </c>
      <c r="R1111" s="8" t="inlineStr">
        <is>
          <t>PCAP</t>
        </is>
      </c>
      <c r="S1111" s="9" t="n">
        <v>46311</v>
      </c>
      <c r="T1111" s="3" t="n">
        <v>46310.46278935186</v>
      </c>
      <c r="U1111" s="2" t="n"/>
    </row>
    <row r="1112">
      <c r="A1112" s="2" t="inlineStr">
        <is>
          <t>Resuelta</t>
        </is>
      </c>
      <c r="B1112" s="3" t="n">
        <v>46260.54166666666</v>
      </c>
      <c r="C1112" s="5" t="n">
        <v>88167.42999999999</v>
      </c>
      <c r="D1112" s="5" t="n">
        <v>88167.42999999999</v>
      </c>
      <c r="E1112" s="2" t="inlineStr">
        <is>
          <t>Comunitat Valenciana</t>
        </is>
      </c>
      <c r="F1112" s="2" t="inlineStr">
        <is>
          <t>Alicante</t>
        </is>
      </c>
      <c r="G1112" s="2" t="inlineStr">
        <is>
          <t>Onil</t>
        </is>
      </c>
      <c r="H1112" s="2" t="inlineStr">
        <is>
          <t>Junta de Gobierno Local del Ayuntamiento de Onil</t>
        </is>
      </c>
      <c r="I1112" s="2" t="inlineStr">
        <is>
          <t>Contratación de obras de instalación de ascensor en el CEIP Mare de Déu de la Salut de Onil</t>
        </is>
      </c>
      <c r="J1112" s="2" t="inlineStr">
        <is>
          <t>3138/2026</t>
        </is>
      </c>
      <c r="K1112" s="2" t="inlineStr">
        <is>
          <t>Abierto simplificado</t>
        </is>
      </c>
      <c r="L1112" s="6" t="n">
        <v>4</v>
      </c>
      <c r="M1112" s="2" t="n"/>
      <c r="N1112" s="7" t="n">
        <v>0</v>
      </c>
      <c r="O1112" s="4" t="n"/>
      <c r="P1112" s="2" t="inlineStr">
        <is>
          <t>45313100</t>
        </is>
      </c>
      <c r="Q1112" s="8" t="inlineStr">
        <is>
          <t>Ver</t>
        </is>
      </c>
      <c r="R1112" s="8" t="inlineStr">
        <is>
          <t>PCAP</t>
        </is>
      </c>
      <c r="S1112" s="9" t="n">
        <v>46311</v>
      </c>
      <c r="T1112" s="3" t="n">
        <v>46310.45982638889</v>
      </c>
      <c r="U1112" s="2" t="n"/>
    </row>
    <row r="1113">
      <c r="A1113" s="2" t="inlineStr">
        <is>
          <t>Resuelta</t>
        </is>
      </c>
      <c r="B1113" s="3" t="n">
        <v>46223.54166666666</v>
      </c>
      <c r="C1113" s="5" t="n">
        <v>247924.65</v>
      </c>
      <c r="D1113" s="5" t="n">
        <v>247924.65</v>
      </c>
      <c r="E1113" s="2" t="inlineStr">
        <is>
          <t>Comunitat Valenciana</t>
        </is>
      </c>
      <c r="F1113" s="2" t="inlineStr">
        <is>
          <t>Alicante</t>
        </is>
      </c>
      <c r="G1113" s="2" t="inlineStr">
        <is>
          <t>Onil</t>
        </is>
      </c>
      <c r="H1113" s="2" t="inlineStr">
        <is>
          <t>Junta de Gobierno Local del Ayuntamiento de Onil</t>
        </is>
      </c>
      <c r="I1113" s="2" t="inlineStr">
        <is>
          <t>Contratación de obras de recuperación del Convento de Montserrat de Onil. Fase 2ª</t>
        </is>
      </c>
      <c r="J1113" s="2" t="inlineStr">
        <is>
          <t>2119/2026</t>
        </is>
      </c>
      <c r="K1113" s="2" t="inlineStr">
        <is>
          <t>Abierto simplificado</t>
        </is>
      </c>
      <c r="L1113" s="6" t="n">
        <v>6</v>
      </c>
      <c r="M1113" s="2" t="n"/>
      <c r="N1113" s="7" t="n">
        <v>0</v>
      </c>
      <c r="O1113" s="4" t="n"/>
      <c r="P1113" s="2" t="inlineStr">
        <is>
          <t>45212314; 45454100; 45212350</t>
        </is>
      </c>
      <c r="Q1113" s="8" t="inlineStr">
        <is>
          <t>Ver</t>
        </is>
      </c>
      <c r="R1113" s="8" t="inlineStr">
        <is>
          <t>PCAP</t>
        </is>
      </c>
      <c r="S1113" s="9" t="n">
        <v>46311</v>
      </c>
      <c r="T1113" s="3" t="n">
        <v>46310.45722222222</v>
      </c>
      <c r="U1113" s="2" t="n"/>
    </row>
    <row r="1114">
      <c r="A1114" s="2" t="inlineStr">
        <is>
          <t>Pendiente de adjudicación</t>
        </is>
      </c>
      <c r="B1114" s="3" t="n">
        <v>46308.79166666666</v>
      </c>
      <c r="C1114" s="5" t="n">
        <v>12564818.65</v>
      </c>
      <c r="D1114" s="5" t="n">
        <v>12564818.65</v>
      </c>
      <c r="E1114" s="2" t="inlineStr">
        <is>
          <t>Andalucía</t>
        </is>
      </c>
      <c r="F1114" s="2" t="inlineStr">
        <is>
          <t>Almería</t>
        </is>
      </c>
      <c r="G1114" s="2" t="n"/>
      <c r="H1114" s="2" t="inlineStr">
        <is>
          <t>Dirección General de Carreteras</t>
        </is>
      </c>
      <c r="I1114" s="2" t="inlineStr">
        <is>
          <t>OC-AL-26004; 54.654/26 Refuerzo y rehabilitación de la estructura viaducto del barranco de El Caballar, calzada derecha, en el P.K. 441+500 de la A-7 en la Provincia de Almería. 38-AL-4900</t>
        </is>
      </c>
      <c r="J1114" s="2" t="inlineStr">
        <is>
          <t>C54260426004</t>
        </is>
      </c>
      <c r="K1114" s="2" t="inlineStr">
        <is>
          <t>Abierto</t>
        </is>
      </c>
      <c r="L1114" s="6" t="n">
        <v>28</v>
      </c>
      <c r="M1114" s="2" t="inlineStr">
        <is>
          <t>B4-6</t>
        </is>
      </c>
      <c r="N1114" s="7" t="n">
        <v>0.4</v>
      </c>
      <c r="O1114" s="4" t="n"/>
      <c r="P1114" s="2" t="inlineStr">
        <is>
          <t>45233000</t>
        </is>
      </c>
      <c r="Q1114" s="8" t="inlineStr">
        <is>
          <t>Ver</t>
        </is>
      </c>
      <c r="R1114" s="8" t="inlineStr">
        <is>
          <t>PCAP</t>
        </is>
      </c>
      <c r="S1114" s="9" t="n">
        <v>46311</v>
      </c>
      <c r="T1114" s="3" t="n">
        <v>46310.44894675926</v>
      </c>
      <c r="U1114" s="2" t="n"/>
    </row>
    <row r="1115">
      <c r="A1115" s="2" t="inlineStr">
        <is>
          <t>Resuelta</t>
        </is>
      </c>
      <c r="B1115" s="3" t="n">
        <v>45707.58333333334</v>
      </c>
      <c r="C1115" s="5" t="n">
        <v>2107450</v>
      </c>
      <c r="D1115" s="5" t="n">
        <v>2107450</v>
      </c>
      <c r="E1115" s="2" t="inlineStr">
        <is>
          <t>Andalucía</t>
        </is>
      </c>
      <c r="F1115" s="2" t="inlineStr">
        <is>
          <t>Málaga</t>
        </is>
      </c>
      <c r="G1115" s="2" t="n"/>
      <c r="H1115" s="2" t="inlineStr">
        <is>
          <t>Concejalía Delegada en Materia de Contratación del Ayuntamiento de Torremolinos</t>
        </is>
      </c>
      <c r="I1115" s="2" t="inlineStr">
        <is>
          <t>Obras ejecución Proyecto Básico y de ejecución Rehabilitación Casa María Barrabino (Torremolinos), incluida en el PIREP, en el marco del Plan de Recuperación Transformación y Resiliencia PRTR, Linea 2financiado por la Unión Europea - Next Generation EU</t>
        </is>
      </c>
      <c r="J1115" s="2" t="inlineStr">
        <is>
          <t>1275/2025</t>
        </is>
      </c>
      <c r="K1115" s="2" t="inlineStr">
        <is>
          <t>Abierto</t>
        </is>
      </c>
      <c r="L1115" s="6" t="n">
        <v>11</v>
      </c>
      <c r="M1115" s="2" t="n"/>
      <c r="N1115" s="7" t="n">
        <v>0.48</v>
      </c>
      <c r="O1115" s="4" t="n"/>
      <c r="P1115" s="2" t="inlineStr">
        <is>
          <t>45454100; 45210000</t>
        </is>
      </c>
      <c r="Q1115" s="8" t="inlineStr">
        <is>
          <t>Ver</t>
        </is>
      </c>
      <c r="R1115" s="8" t="inlineStr">
        <is>
          <t>PCAP</t>
        </is>
      </c>
      <c r="S1115" s="9" t="n">
        <v>46311</v>
      </c>
      <c r="T1115" s="3" t="n">
        <v>46310.44621527778</v>
      </c>
      <c r="U1115" s="2" t="n"/>
    </row>
    <row r="1116">
      <c r="A1116" s="2" t="inlineStr">
        <is>
          <t>Adjudicada</t>
        </is>
      </c>
      <c r="B1116" s="3" t="n">
        <v>45992.54166666666</v>
      </c>
      <c r="C1116" s="5" t="n">
        <v>301722.86</v>
      </c>
      <c r="D1116" s="5" t="n">
        <v>301722.86</v>
      </c>
      <c r="E1116" s="2" t="inlineStr">
        <is>
          <t>Comunitat Valenciana</t>
        </is>
      </c>
      <c r="F1116" s="2" t="inlineStr">
        <is>
          <t>Alicante</t>
        </is>
      </c>
      <c r="G1116" s="2" t="n"/>
      <c r="H1116" s="2" t="inlineStr">
        <is>
          <t>Junta de Gobierno Local del Ayuntamiento de Alicante</t>
        </is>
      </c>
      <c r="I1116" s="2" t="inlineStr">
        <is>
          <t>Rehabilitación muro mampostería (Vistahermosa) sito en C/ Padre Esplá con C/ Cruz de Piedra (túnel TRAM)</t>
        </is>
      </c>
      <c r="J1116" s="2" t="inlineStr">
        <is>
          <t>89/25</t>
        </is>
      </c>
      <c r="K1116" s="2" t="inlineStr">
        <is>
          <t>Abierto simplificado</t>
        </is>
      </c>
      <c r="L1116" s="6" t="n">
        <v>3</v>
      </c>
      <c r="M1116" s="2" t="n"/>
      <c r="N1116" s="7" t="n">
        <v>0</v>
      </c>
      <c r="O1116" s="4" t="n"/>
      <c r="P1116" s="2" t="inlineStr">
        <is>
          <t>45262522</t>
        </is>
      </c>
      <c r="Q1116" s="8" t="inlineStr">
        <is>
          <t>Ver</t>
        </is>
      </c>
      <c r="R1116" s="8" t="inlineStr">
        <is>
          <t>PCAP</t>
        </is>
      </c>
      <c r="S1116" s="9" t="n">
        <v>46311</v>
      </c>
      <c r="T1116" s="3" t="n">
        <v>46310.44440972222</v>
      </c>
      <c r="U1116" s="2" t="n"/>
    </row>
    <row r="1117">
      <c r="A1117" s="2" t="inlineStr">
        <is>
          <t>Resuelta</t>
        </is>
      </c>
      <c r="B1117" s="3" t="n">
        <v>46300.75</v>
      </c>
      <c r="C1117" s="5" t="n">
        <v>121800</v>
      </c>
      <c r="D1117" s="5" t="n">
        <v>121800</v>
      </c>
      <c r="E1117" s="2" t="inlineStr">
        <is>
          <t>Comunitat Valenciana</t>
        </is>
      </c>
      <c r="F1117" s="2" t="inlineStr">
        <is>
          <t>Alicante</t>
        </is>
      </c>
      <c r="G1117" s="2" t="n"/>
      <c r="H1117" s="2" t="inlineStr">
        <is>
          <t>Empresa de Transformación Agraria S.A.,S.M.E., M.P., (TRAGSA)</t>
        </is>
      </c>
      <c r="I1117" s="2" t="inlineStr">
        <is>
          <t>UT2 contrato derivado del acuerdo marco para arrendamiento de maquinaria autopropulsada con conductor en proyecto de mejora de la capacidad hidráulica en la vega baja del río segura. corredor verde azarbe el señor. fase 1 Nº 0745114 CORREDOR VERDE AZARBE I, PRTR</t>
        </is>
      </c>
      <c r="J1117" s="2" t="inlineStr">
        <is>
          <t>TSA0082640-039</t>
        </is>
      </c>
      <c r="K1117" s="2" t="inlineStr">
        <is>
          <t>Abierto</t>
        </is>
      </c>
      <c r="L1117" s="6" t="n">
        <v>6</v>
      </c>
      <c r="M1117" s="2" t="n"/>
      <c r="N1117" s="7" t="n">
        <v>0</v>
      </c>
      <c r="O1117" s="4" t="n"/>
      <c r="P1117" s="2" t="inlineStr">
        <is>
          <t>45500000</t>
        </is>
      </c>
      <c r="Q1117" s="8" t="inlineStr">
        <is>
          <t>Ver</t>
        </is>
      </c>
      <c r="R1117" s="8" t="inlineStr">
        <is>
          <t>PCAP</t>
        </is>
      </c>
      <c r="S1117" s="9" t="n">
        <v>46311</v>
      </c>
      <c r="T1117" s="3" t="n">
        <v>46310.44383101852</v>
      </c>
      <c r="U1117" s="2" t="n"/>
    </row>
    <row r="1118">
      <c r="A1118" s="2" t="inlineStr">
        <is>
          <t>En plazo</t>
        </is>
      </c>
      <c r="B1118" s="3" t="n">
        <v>46330.5</v>
      </c>
      <c r="C1118" s="5" t="n">
        <v>150000</v>
      </c>
      <c r="D1118" s="5" t="n">
        <v>150000</v>
      </c>
      <c r="E1118" s="2" t="inlineStr">
        <is>
          <t>Comunitat Valenciana</t>
        </is>
      </c>
      <c r="F1118" s="2" t="inlineStr">
        <is>
          <t>Valencia</t>
        </is>
      </c>
      <c r="G1118" s="2" t="inlineStr">
        <is>
          <t>Valencia / València</t>
        </is>
      </c>
      <c r="H1118" s="2" t="inlineStr">
        <is>
          <t>Aena. Dirección del Aeropuerto de Valencia</t>
        </is>
      </c>
      <c r="I1118" s="2" t="inlineStr">
        <is>
          <t>Adecuación Zona Descanso Al Aire Libre Terminal</t>
        </is>
      </c>
      <c r="J1118" s="2" t="inlineStr">
        <is>
          <t>VLC-81/2026</t>
        </is>
      </c>
      <c r="K1118" s="2" t="inlineStr">
        <is>
          <t>Normas internas</t>
        </is>
      </c>
      <c r="L1118" s="6" t="n">
        <v>4</v>
      </c>
      <c r="M1118" s="2" t="n"/>
      <c r="N1118" s="7" t="n">
        <v>0</v>
      </c>
      <c r="O1118" s="4" t="n"/>
      <c r="P1118" s="2" t="inlineStr">
        <is>
          <t>45453100</t>
        </is>
      </c>
      <c r="Q1118" s="8" t="inlineStr">
        <is>
          <t>Ver</t>
        </is>
      </c>
      <c r="R1118" s="8" t="inlineStr">
        <is>
          <t>PCAP</t>
        </is>
      </c>
      <c r="S1118" s="9" t="n">
        <v>46311</v>
      </c>
      <c r="T1118" s="3" t="n">
        <v>46310.43684027778</v>
      </c>
      <c r="U1118" s="2" t="n"/>
    </row>
    <row r="1119">
      <c r="A1119" s="2" t="inlineStr">
        <is>
          <t>Resuelta</t>
        </is>
      </c>
      <c r="B1119" s="3" t="n">
        <v>46251.99930555555</v>
      </c>
      <c r="C1119" s="5" t="n">
        <v>2090896.91</v>
      </c>
      <c r="D1119" s="5" t="n">
        <v>2090896.91</v>
      </c>
      <c r="E1119" s="2" t="inlineStr">
        <is>
          <t>Comunitat Valenciana</t>
        </is>
      </c>
      <c r="F1119" s="2" t="inlineStr">
        <is>
          <t>Valencia</t>
        </is>
      </c>
      <c r="G1119" s="2" t="inlineStr">
        <is>
          <t>Mislata</t>
        </is>
      </c>
      <c r="H1119" s="2" t="inlineStr">
        <is>
          <t>Alcaldía del Ayuntamiento de Mislata</t>
        </is>
      </c>
      <c r="I1119" s="2" t="inlineStr">
        <is>
          <t>Ejecución de las obras de recuperación y reurbanización de la Avenida de la Paz y entorno, afectadas por la DANA de octubre de 2024, financiadas por el Fondo de Solidaridad de la Unión Europea (FSUE).</t>
        </is>
      </c>
      <c r="J1119" s="2" t="inlineStr">
        <is>
          <t>26-O-09</t>
        </is>
      </c>
      <c r="K1119" s="2" t="inlineStr">
        <is>
          <t>Abierto</t>
        </is>
      </c>
      <c r="L1119" s="6" t="n">
        <v>12</v>
      </c>
      <c r="M1119" s="2" t="inlineStr">
        <is>
          <t>E1-4</t>
        </is>
      </c>
      <c r="N1119" s="7" t="n">
        <v>0</v>
      </c>
      <c r="O1119" s="4" t="n"/>
      <c r="P1119" s="2" t="inlineStr">
        <is>
          <t>45232410; 45233140; 45112710; 45316100</t>
        </is>
      </c>
      <c r="Q1119" s="8" t="inlineStr">
        <is>
          <t>Ver</t>
        </is>
      </c>
      <c r="R1119" s="8" t="inlineStr">
        <is>
          <t>PCAP</t>
        </is>
      </c>
      <c r="S1119" s="9" t="n">
        <v>46311</v>
      </c>
      <c r="T1119" s="3" t="n">
        <v>46310.43261574074</v>
      </c>
      <c r="U1119" s="2" t="n"/>
    </row>
    <row r="1120">
      <c r="A1120" s="2" t="inlineStr">
        <is>
          <t>Plazo vencido</t>
        </is>
      </c>
      <c r="B1120" s="3" t="n">
        <v>46317.5</v>
      </c>
      <c r="C1120" s="5" t="n">
        <v>200456.33</v>
      </c>
      <c r="D1120" s="5" t="n">
        <v>208474.58</v>
      </c>
      <c r="E1120" s="2" t="inlineStr">
        <is>
          <t>Andalucía</t>
        </is>
      </c>
      <c r="F1120" s="2" t="inlineStr">
        <is>
          <t>Granada</t>
        </is>
      </c>
      <c r="G1120" s="2" t="inlineStr">
        <is>
          <t>Granada</t>
        </is>
      </c>
      <c r="H1120" s="2" t="inlineStr">
        <is>
          <t>Aena. Dirección del Aeropuerto de Granada-Jaén F.G.L.</t>
        </is>
      </c>
      <c r="I1120" s="2" t="inlineStr">
        <is>
          <t>Reforma De Locales Para Nuevo Punto Comercial En Zona Pública</t>
        </is>
      </c>
      <c r="J1120" s="2" t="inlineStr">
        <is>
          <t>GRX-67/2026</t>
        </is>
      </c>
      <c r="K1120" s="2" t="inlineStr">
        <is>
          <t>Normas internas</t>
        </is>
      </c>
      <c r="L1120" s="6" t="n">
        <v>6</v>
      </c>
      <c r="M1120" s="2" t="n"/>
      <c r="N1120" s="7" t="n">
        <v>0</v>
      </c>
      <c r="O1120" s="4" t="n"/>
      <c r="P1120" s="2" t="inlineStr">
        <is>
          <t>45400000</t>
        </is>
      </c>
      <c r="Q1120" s="8" t="inlineStr">
        <is>
          <t>Ver</t>
        </is>
      </c>
      <c r="R1120" s="8" t="inlineStr">
        <is>
          <t>PCAP</t>
        </is>
      </c>
      <c r="S1120" s="9" t="n">
        <v>46310</v>
      </c>
      <c r="T1120" s="3" t="n">
        <v>46310.43252314815</v>
      </c>
      <c r="U1120" s="2" t="n"/>
    </row>
    <row r="1121">
      <c r="A1121" s="2" t="inlineStr">
        <is>
          <t>Resuelta</t>
        </is>
      </c>
      <c r="B1121" s="3" t="n">
        <v>46223.5</v>
      </c>
      <c r="C1121" s="5" t="n">
        <v>41800</v>
      </c>
      <c r="D1121" s="5" t="n">
        <v>43472</v>
      </c>
      <c r="E1121" s="2" t="inlineStr">
        <is>
          <t>Andalucía</t>
        </is>
      </c>
      <c r="F1121" s="2" t="inlineStr">
        <is>
          <t>Granada</t>
        </is>
      </c>
      <c r="G1121" s="2" t="inlineStr">
        <is>
          <t>Granada</t>
        </is>
      </c>
      <c r="H1121" s="2" t="inlineStr">
        <is>
          <t>Aena. Dirección del Aeropuerto de Granada-Jaén F.G.L.</t>
        </is>
      </c>
      <c r="I1121" s="2" t="inlineStr">
        <is>
          <t>Reforma Aseos Toam Y Oficinas Terminal</t>
        </is>
      </c>
      <c r="J1121" s="2" t="inlineStr">
        <is>
          <t>GRX-46/2026</t>
        </is>
      </c>
      <c r="K1121" s="2" t="inlineStr">
        <is>
          <t>Normas internas</t>
        </is>
      </c>
      <c r="L1121" s="6" t="n"/>
      <c r="M1121" s="2" t="n"/>
      <c r="N1121" s="7" t="n">
        <v>0</v>
      </c>
      <c r="O1121" s="4" t="n"/>
      <c r="P1121" s="2" t="inlineStr">
        <is>
          <t>45000000</t>
        </is>
      </c>
      <c r="Q1121" s="8" t="inlineStr">
        <is>
          <t>Ver</t>
        </is>
      </c>
      <c r="R1121" s="8" t="inlineStr">
        <is>
          <t>PCAP</t>
        </is>
      </c>
      <c r="S1121" s="9" t="n">
        <v>46311</v>
      </c>
      <c r="T1121" s="3" t="n">
        <v>46310.43122685186</v>
      </c>
      <c r="U1121" s="2" t="n"/>
    </row>
    <row r="1122">
      <c r="A1122" s="2" t="inlineStr">
        <is>
          <t>Adjudicada</t>
        </is>
      </c>
      <c r="B1122" s="3" t="n">
        <v>46206.5</v>
      </c>
      <c r="C1122" s="5" t="n">
        <v>25969860.95</v>
      </c>
      <c r="D1122" s="5" t="n">
        <v>27008655.39</v>
      </c>
      <c r="E1122" s="2" t="inlineStr">
        <is>
          <t>Andalucía</t>
        </is>
      </c>
      <c r="F1122" s="2" t="inlineStr">
        <is>
          <t>Málaga</t>
        </is>
      </c>
      <c r="G1122" s="2" t="inlineStr">
        <is>
          <t>Málaga</t>
        </is>
      </c>
      <c r="H1122" s="2" t="inlineStr">
        <is>
          <t>Aena. Consejo de Administración</t>
        </is>
      </c>
      <c r="I1122" s="2" t="inlineStr">
        <is>
          <t>Renovación Del Pavimento De Las Plataformas R1, R2, R3, R4 Y R5. .-Aeropuerto De Málaga-Costa Del Sol</t>
        </is>
      </c>
      <c r="J1122" s="2" t="inlineStr">
        <is>
          <t>DIN-358/2025</t>
        </is>
      </c>
      <c r="K1122" s="2" t="inlineStr">
        <is>
          <t>Licitación con negociación</t>
        </is>
      </c>
      <c r="L1122" s="6" t="n">
        <v>25</v>
      </c>
      <c r="M1122" s="2" t="n"/>
      <c r="N1122" s="7" t="n">
        <v>0</v>
      </c>
      <c r="O1122" s="4" t="n"/>
      <c r="P1122" s="2" t="inlineStr">
        <is>
          <t>45235210</t>
        </is>
      </c>
      <c r="Q1122" s="8" t="inlineStr">
        <is>
          <t>Ver</t>
        </is>
      </c>
      <c r="R1122" s="8" t="inlineStr">
        <is>
          <t>PCAP</t>
        </is>
      </c>
      <c r="S1122" s="9" t="n">
        <v>46311</v>
      </c>
      <c r="T1122" s="3" t="n">
        <v>46310.42868055555</v>
      </c>
      <c r="U1122" s="2" t="n"/>
    </row>
    <row r="1123">
      <c r="A1123" s="2" t="inlineStr">
        <is>
          <t>Resuelta</t>
        </is>
      </c>
      <c r="B1123" s="3" t="n">
        <v>45993.99930555555</v>
      </c>
      <c r="C1123" s="5" t="n">
        <v>5939940.8</v>
      </c>
      <c r="D1123" s="5" t="n">
        <v>6177538.43</v>
      </c>
      <c r="E1123" s="2" t="inlineStr">
        <is>
          <t>Comunitat Valenciana</t>
        </is>
      </c>
      <c r="F1123" s="2" t="inlineStr">
        <is>
          <t>Alicante</t>
        </is>
      </c>
      <c r="G1123" s="2" t="inlineStr">
        <is>
          <t>Alicante / Alacant</t>
        </is>
      </c>
      <c r="H1123" s="2" t="inlineStr">
        <is>
          <t>Aena. Presidencia. Consejero Delegado</t>
        </is>
      </c>
      <c r="I1123" s="2" t="inlineStr">
        <is>
          <t>Nueva Sala Vip. Aeropuerto De Alicante-Elche</t>
        </is>
      </c>
      <c r="J1123" s="2" t="inlineStr">
        <is>
          <t>DIN-271/2025</t>
        </is>
      </c>
      <c r="K1123" s="2" t="inlineStr">
        <is>
          <t>Licitación con negociación</t>
        </is>
      </c>
      <c r="L1123" s="6" t="n"/>
      <c r="M1123" s="2" t="n"/>
      <c r="N1123" s="7" t="n">
        <v>0</v>
      </c>
      <c r="O1123" s="4" t="n"/>
      <c r="P1123" s="2" t="inlineStr">
        <is>
          <t>45213331</t>
        </is>
      </c>
      <c r="Q1123" s="8" t="inlineStr">
        <is>
          <t>Ver</t>
        </is>
      </c>
      <c r="R1123" s="8" t="inlineStr">
        <is>
          <t>PCAP</t>
        </is>
      </c>
      <c r="S1123" s="9" t="n">
        <v>46310</v>
      </c>
      <c r="T1123" s="3" t="n">
        <v>46310.42820601852</v>
      </c>
      <c r="U1123" s="2" t="n"/>
    </row>
    <row r="1124">
      <c r="A1124" s="2" t="inlineStr">
        <is>
          <t>Resuelta</t>
        </is>
      </c>
      <c r="B1124" s="3" t="n">
        <v>45922.99930555555</v>
      </c>
      <c r="C1124" s="5" t="n">
        <v>150615.94</v>
      </c>
      <c r="D1124" s="5" t="n">
        <v>150615.94</v>
      </c>
      <c r="E1124" s="2" t="inlineStr">
        <is>
          <t>Andalucía</t>
        </is>
      </c>
      <c r="F1124" s="2" t="inlineStr">
        <is>
          <t>Málaga</t>
        </is>
      </c>
      <c r="G1124" s="2" t="inlineStr">
        <is>
          <t>Málaga</t>
        </is>
      </c>
      <c r="H1124" s="2" t="inlineStr">
        <is>
          <t>Aena. Dirección del Aeropuerto de Málaga-Costa del Sol</t>
        </is>
      </c>
      <c r="I1124" s="2" t="inlineStr">
        <is>
          <t>Adecuación De Iluminación En Nivel Salida Dique D En El Aeropuerto De Málaga-Costa Del Sol</t>
        </is>
      </c>
      <c r="J1124" s="2" t="inlineStr">
        <is>
          <t>AGP-169/2025</t>
        </is>
      </c>
      <c r="K1124" s="2" t="inlineStr">
        <is>
          <t>Normas internas</t>
        </is>
      </c>
      <c r="L1124" s="6" t="n"/>
      <c r="M1124" s="2" t="n"/>
      <c r="N1124" s="7" t="n">
        <v>0</v>
      </c>
      <c r="O1124" s="4" t="n"/>
      <c r="P1124" s="2" t="inlineStr">
        <is>
          <t>45310000</t>
        </is>
      </c>
      <c r="Q1124" s="8" t="inlineStr">
        <is>
          <t>Ver</t>
        </is>
      </c>
      <c r="R1124" s="8" t="inlineStr">
        <is>
          <t>PCAP</t>
        </is>
      </c>
      <c r="S1124" s="9" t="n">
        <v>46311</v>
      </c>
      <c r="T1124" s="3" t="n">
        <v>46310.42600694444</v>
      </c>
      <c r="U1124" s="2" t="n"/>
    </row>
    <row r="1125">
      <c r="A1125" s="2" t="inlineStr">
        <is>
          <t>En plazo</t>
        </is>
      </c>
      <c r="B1125" s="3" t="n">
        <v>46330.99930555555</v>
      </c>
      <c r="C1125" s="5" t="n">
        <v>281468.89</v>
      </c>
      <c r="D1125" s="5" t="n">
        <v>337762.67</v>
      </c>
      <c r="E1125" s="2" t="inlineStr">
        <is>
          <t>Andalucía</t>
        </is>
      </c>
      <c r="F1125" s="2" t="inlineStr">
        <is>
          <t>Granada</t>
        </is>
      </c>
      <c r="G1125" s="2" t="n"/>
      <c r="H1125" s="2" t="inlineStr">
        <is>
          <t>Alcaldía del Ayuntamiento de Atarfe</t>
        </is>
      </c>
      <c r="I1125" s="2" t="inlineStr">
        <is>
          <t>Obras de reparación de pavimentos y asfaltado de viales.</t>
        </is>
      </c>
      <c r="J1125" s="2" t="inlineStr">
        <is>
          <t>7454/2026</t>
        </is>
      </c>
      <c r="K1125" s="2" t="inlineStr">
        <is>
          <t>Abierto simplificado</t>
        </is>
      </c>
      <c r="L1125" s="6" t="n">
        <v>2.5</v>
      </c>
      <c r="M1125" s="2" t="n"/>
      <c r="N1125" s="7" t="n">
        <v>0</v>
      </c>
      <c r="O1125" s="4" t="n"/>
      <c r="P1125" s="2" t="inlineStr">
        <is>
          <t>45233210; 45233252; 45233142; 45233253; 45233223; 45233220; 45233221</t>
        </is>
      </c>
      <c r="Q1125" s="8" t="inlineStr">
        <is>
          <t>Ver</t>
        </is>
      </c>
      <c r="R1125" s="8" t="inlineStr">
        <is>
          <t>PCAP</t>
        </is>
      </c>
      <c r="S1125" s="9" t="n">
        <v>46311</v>
      </c>
      <c r="T1125" s="3" t="n">
        <v>46310.42534722222</v>
      </c>
      <c r="U1125" s="2" t="n"/>
    </row>
    <row r="1126">
      <c r="A1126" s="2" t="inlineStr">
        <is>
          <t>Resuelta</t>
        </is>
      </c>
      <c r="B1126" s="3" t="n">
        <v>46245.99930555555</v>
      </c>
      <c r="C1126" s="5" t="n">
        <v>377093.42</v>
      </c>
      <c r="D1126" s="5" t="n">
        <v>377093.42</v>
      </c>
      <c r="E1126" s="2" t="inlineStr">
        <is>
          <t>Comunitat Valenciana</t>
        </is>
      </c>
      <c r="F1126" s="2" t="inlineStr">
        <is>
          <t>Valencia</t>
        </is>
      </c>
      <c r="G1126" s="2" t="inlineStr">
        <is>
          <t>CULLERA</t>
        </is>
      </c>
      <c r="H1126" s="2" t="inlineStr">
        <is>
          <t>Alcaldía del Ayuntamiento de Cullera</t>
        </is>
      </c>
      <c r="I1126" s="2" t="inlineStr">
        <is>
          <t>Contrato de Obras de Restauración de Fachadas en la Residencia Municipal de Cullera para Personas Mayores ( DANA 2024)</t>
        </is>
      </c>
      <c r="J1126" s="2" t="inlineStr">
        <is>
          <t>2909923K</t>
        </is>
      </c>
      <c r="K1126" s="2" t="inlineStr">
        <is>
          <t>Abierto simplificado</t>
        </is>
      </c>
      <c r="L1126" s="6" t="n">
        <v>3</v>
      </c>
      <c r="M1126" s="2" t="n"/>
      <c r="N1126" s="7" t="n">
        <v>0.24</v>
      </c>
      <c r="O1126" s="4" t="n"/>
      <c r="P1126" s="2" t="inlineStr">
        <is>
          <t>45000000</t>
        </is>
      </c>
      <c r="Q1126" s="8" t="inlineStr">
        <is>
          <t>Ver</t>
        </is>
      </c>
      <c r="R1126" s="8" t="inlineStr">
        <is>
          <t>PCAP</t>
        </is>
      </c>
      <c r="S1126" s="9" t="n">
        <v>46311</v>
      </c>
      <c r="T1126" s="3" t="n">
        <v>46310.41454861111</v>
      </c>
      <c r="U1126" s="2" t="n"/>
    </row>
    <row r="1127">
      <c r="A1127" s="2" t="inlineStr">
        <is>
          <t>Pendiente de adjudicación</t>
        </is>
      </c>
      <c r="B1127" s="3" t="n">
        <v>46287.99930555555</v>
      </c>
      <c r="C1127" s="5" t="n">
        <v>1828053.54</v>
      </c>
      <c r="D1127" s="5" t="n">
        <v>1828053.54</v>
      </c>
      <c r="E1127" s="2" t="inlineStr">
        <is>
          <t>Andalucía</t>
        </is>
      </c>
      <c r="F1127" s="2" t="inlineStr">
        <is>
          <t>Málaga</t>
        </is>
      </c>
      <c r="G1127" s="2" t="n"/>
      <c r="H1127" s="2" t="inlineStr">
        <is>
          <t>Concejalía Delegada en Materia de Contratación del Ayuntamiento de Torremolinos</t>
        </is>
      </c>
      <c r="I1127" s="2" t="inlineStr">
        <is>
          <t>Obras del Proyecto de Plan de Asfaltado Municipal del Ayuntamiento de Torremolinos</t>
        </is>
      </c>
      <c r="J1127" s="2" t="inlineStr">
        <is>
          <t>18201/2026</t>
        </is>
      </c>
      <c r="K1127" s="2" t="inlineStr">
        <is>
          <t>Abierto</t>
        </is>
      </c>
      <c r="L1127" s="6" t="n">
        <v>5</v>
      </c>
      <c r="M1127" s="2" t="n"/>
      <c r="N1127" s="7" t="n">
        <v>0.25</v>
      </c>
      <c r="O1127" s="4" t="n"/>
      <c r="P1127" s="2" t="inlineStr">
        <is>
          <t>45233222; 45000000</t>
        </is>
      </c>
      <c r="Q1127" s="8" t="inlineStr">
        <is>
          <t>Ver</t>
        </is>
      </c>
      <c r="R1127" s="8" t="inlineStr">
        <is>
          <t>PCAP</t>
        </is>
      </c>
      <c r="S1127" s="9" t="n">
        <v>46310</v>
      </c>
      <c r="T1127" s="3" t="n">
        <v>46310.40723379629</v>
      </c>
      <c r="U1127" s="2" t="n"/>
    </row>
    <row r="1128">
      <c r="A1128" s="2" t="inlineStr">
        <is>
          <t>En plazo</t>
        </is>
      </c>
      <c r="B1128" s="3" t="n">
        <v>46330.99930555555</v>
      </c>
      <c r="C1128" s="5" t="n">
        <v>200602.4</v>
      </c>
      <c r="D1128" s="5" t="n">
        <v>200602.4</v>
      </c>
      <c r="E1128" s="2" t="inlineStr">
        <is>
          <t>Andalucía</t>
        </is>
      </c>
      <c r="F1128" s="2" t="inlineStr">
        <is>
          <t>Sevilla</t>
        </is>
      </c>
      <c r="G1128" s="2" t="inlineStr">
        <is>
          <t>Alcalá de Guadaíra</t>
        </is>
      </c>
      <c r="H1128" s="2" t="inlineStr">
        <is>
          <t>Junta de Gobierno Local del Ayuntamiento de Alcalá de Guadaíra</t>
        </is>
      </c>
      <c r="I1128" s="2" t="inlineStr">
        <is>
          <t>obras, en dos lotes, de reforma del salón de plenos de la Casa Consistorial, sita en Plaza del Duque nº 1 (C-2025/085)</t>
        </is>
      </c>
      <c r="J1128" s="2" t="inlineStr">
        <is>
          <t>14464/2025</t>
        </is>
      </c>
      <c r="K1128" s="2" t="inlineStr">
        <is>
          <t>Abierto simplificado</t>
        </is>
      </c>
      <c r="L1128" s="6" t="n">
        <v>6</v>
      </c>
      <c r="M1128" s="2" t="n"/>
      <c r="N1128" s="7" t="n">
        <v>0.25</v>
      </c>
      <c r="O1128" s="4" t="n">
        <v>2</v>
      </c>
      <c r="P1128" s="2" t="inlineStr">
        <is>
          <t>45200000; 44111400; 44112200; 45421146; 45223210; 42512000; 45212350; 45421153</t>
        </is>
      </c>
      <c r="Q1128" s="8" t="inlineStr">
        <is>
          <t>Ver</t>
        </is>
      </c>
      <c r="R1128" s="8" t="inlineStr">
        <is>
          <t>PCAP</t>
        </is>
      </c>
      <c r="S1128" s="9" t="n">
        <v>46311</v>
      </c>
      <c r="T1128" s="3" t="n">
        <v>46310.3999537037</v>
      </c>
      <c r="U1128" s="2" t="n"/>
    </row>
    <row r="1129">
      <c r="A1129" s="2" t="inlineStr">
        <is>
          <t>Resuelta</t>
        </is>
      </c>
      <c r="B1129" s="3" t="n">
        <v>46225.99930555555</v>
      </c>
      <c r="C1129" s="5" t="n">
        <v>124733.54</v>
      </c>
      <c r="D1129" s="5" t="n">
        <v>124733.54</v>
      </c>
      <c r="E1129" s="2" t="inlineStr">
        <is>
          <t>Comunitat Valenciana</t>
        </is>
      </c>
      <c r="F1129" s="2" t="inlineStr">
        <is>
          <t>Valencia</t>
        </is>
      </c>
      <c r="G1129" s="2" t="n"/>
      <c r="H1129" s="2" t="inlineStr">
        <is>
          <t>Concejalía Delegada de Contratación del Ajuntament de Tavernes de la Valldigna</t>
        </is>
      </c>
      <c r="I1129" s="2" t="inlineStr">
        <is>
          <t>Finalización obras de mejora Mercado Municipal</t>
        </is>
      </c>
      <c r="J1129" s="2" t="inlineStr">
        <is>
          <t>2961813E</t>
        </is>
      </c>
      <c r="K1129" s="2" t="inlineStr">
        <is>
          <t>Negociado sin publicidad</t>
        </is>
      </c>
      <c r="L1129" s="6" t="n">
        <v>3</v>
      </c>
      <c r="M1129" s="2" t="n"/>
      <c r="N1129" s="7" t="n">
        <v>0</v>
      </c>
      <c r="O1129" s="4" t="n">
        <v>2</v>
      </c>
      <c r="P1129" s="2" t="inlineStr">
        <is>
          <t>45000000</t>
        </is>
      </c>
      <c r="Q1129" s="8" t="inlineStr">
        <is>
          <t>Ver</t>
        </is>
      </c>
      <c r="R1129" s="8" t="inlineStr">
        <is>
          <t>PCAP</t>
        </is>
      </c>
      <c r="S1129" s="9" t="n">
        <v>46311</v>
      </c>
      <c r="T1129" s="3" t="n">
        <v>46310.39554398148</v>
      </c>
      <c r="U1129" s="2" t="n"/>
    </row>
    <row r="1130">
      <c r="A1130" s="2" t="inlineStr">
        <is>
          <t>En plazo</t>
        </is>
      </c>
      <c r="B1130" s="3" t="n">
        <v>46330.99930555555</v>
      </c>
      <c r="C1130" s="5" t="n">
        <v>82644.63</v>
      </c>
      <c r="D1130" s="5" t="n">
        <v>82644.63</v>
      </c>
      <c r="E1130" s="2" t="inlineStr">
        <is>
          <t>Andalucía</t>
        </is>
      </c>
      <c r="F1130" s="2" t="inlineStr">
        <is>
          <t>Granada</t>
        </is>
      </c>
      <c r="G1130" s="2" t="n"/>
      <c r="H1130" s="2" t="inlineStr">
        <is>
          <t>Alcaldía del Ayuntamiento de Las Gabias</t>
        </is>
      </c>
      <c r="I1130" s="2" t="inlineStr">
        <is>
          <t>Adecuación de la sala de usos múltiples Centro Cultural Siglo XXI de Las Gabias.</t>
        </is>
      </c>
      <c r="J1130" s="2" t="inlineStr">
        <is>
          <t>2291/2026</t>
        </is>
      </c>
      <c r="K1130" s="2" t="inlineStr">
        <is>
          <t>Abierto simplificado</t>
        </is>
      </c>
      <c r="L1130" s="6" t="n">
        <v>2</v>
      </c>
      <c r="M1130" s="2" t="n"/>
      <c r="N1130" s="7" t="n">
        <v>0</v>
      </c>
      <c r="O1130" s="4" t="n"/>
      <c r="P1130" s="2" t="inlineStr">
        <is>
          <t>45453100</t>
        </is>
      </c>
      <c r="Q1130" s="8" t="inlineStr">
        <is>
          <t>Ver</t>
        </is>
      </c>
      <c r="R1130" s="8" t="inlineStr">
        <is>
          <t>PCAP</t>
        </is>
      </c>
      <c r="S1130" s="9" t="n">
        <v>46311</v>
      </c>
      <c r="T1130" s="3" t="n">
        <v>46310.39225694445</v>
      </c>
      <c r="U1130" s="2" t="n"/>
    </row>
    <row r="1131">
      <c r="A1131" s="2" t="inlineStr">
        <is>
          <t>Pendiente de adjudicación</t>
        </is>
      </c>
      <c r="B1131" s="3" t="n">
        <v>46273.58333333334</v>
      </c>
      <c r="C1131" s="5" t="n">
        <v>63814.35</v>
      </c>
      <c r="D1131" s="5" t="n">
        <v>63814.35</v>
      </c>
      <c r="E1131" s="2" t="inlineStr">
        <is>
          <t>Comunitat Valenciana</t>
        </is>
      </c>
      <c r="F1131" s="2" t="inlineStr">
        <is>
          <t>Alicante</t>
        </is>
      </c>
      <c r="G1131" s="2" t="inlineStr">
        <is>
          <t>Alicante (Alacant)</t>
        </is>
      </c>
      <c r="H1131" s="2" t="inlineStr">
        <is>
          <t>Junta de Gobierno del Ayuntamiento de Altea</t>
        </is>
      </c>
      <c r="I1131" s="2" t="inlineStr">
        <is>
          <t>Obras de acondicionamiento del consultorio médico de Altea. Instalación de ascensor hidráulico accesible.</t>
        </is>
      </c>
      <c r="J1131" s="2" t="inlineStr">
        <is>
          <t>C12/2026 (Expte. Gestiona 3426/2026)</t>
        </is>
      </c>
      <c r="K1131" s="2" t="inlineStr">
        <is>
          <t>Abierto simplificado</t>
        </is>
      </c>
      <c r="L1131" s="6" t="n">
        <v>6</v>
      </c>
      <c r="M1131" s="2" t="n"/>
      <c r="N1131" s="7" t="n">
        <v>0</v>
      </c>
      <c r="O1131" s="4" t="n"/>
      <c r="P1131" s="2" t="inlineStr">
        <is>
          <t>45313100</t>
        </is>
      </c>
      <c r="Q1131" s="8" t="inlineStr">
        <is>
          <t>Ver</t>
        </is>
      </c>
      <c r="R1131" s="8" t="inlineStr">
        <is>
          <t>PCAP</t>
        </is>
      </c>
      <c r="S1131" s="9" t="n">
        <v>46311</v>
      </c>
      <c r="T1131" s="3" t="n">
        <v>46310.39222222222</v>
      </c>
      <c r="U1131" s="2" t="n"/>
    </row>
    <row r="1132">
      <c r="A1132" s="2" t="inlineStr">
        <is>
          <t>Plazo vencido</t>
        </is>
      </c>
      <c r="B1132" s="3" t="n">
        <v>46316.99930555555</v>
      </c>
      <c r="C1132" s="5" t="n">
        <v>5946722.56</v>
      </c>
      <c r="D1132" s="5" t="n">
        <v>5946722.56</v>
      </c>
      <c r="E1132" s="2" t="inlineStr">
        <is>
          <t>Comunitat Valenciana</t>
        </is>
      </c>
      <c r="F1132" s="2" t="inlineStr">
        <is>
          <t>Valencia</t>
        </is>
      </c>
      <c r="G1132" s="2" t="n"/>
      <c r="H1132" s="2" t="inlineStr">
        <is>
          <t>Departamento de Salud La Fe. Dirección Económica-Gerencia</t>
        </is>
      </c>
      <c r="I1132" s="2" t="inlineStr">
        <is>
          <t>Obra para la ejecución del proyecto de adecuación del alumbrado general a luminarias LED del Hospital Universitari i Politécnic La Fe</t>
        </is>
      </c>
      <c r="J1132" s="2" t="inlineStr">
        <is>
          <t>PA 1494/2026</t>
        </is>
      </c>
      <c r="K1132" s="2" t="inlineStr">
        <is>
          <t>Abierto</t>
        </is>
      </c>
      <c r="L1132" s="6" t="n">
        <v>40</v>
      </c>
      <c r="M1132" s="2" t="inlineStr">
        <is>
          <t>I6-4</t>
        </is>
      </c>
      <c r="N1132" s="7" t="n">
        <v>0.3</v>
      </c>
      <c r="O1132" s="4" t="n"/>
      <c r="P1132" s="2" t="inlineStr">
        <is>
          <t>45316000; 45316100</t>
        </is>
      </c>
      <c r="Q1132" s="8" t="inlineStr">
        <is>
          <t>Ver</t>
        </is>
      </c>
      <c r="R1132" s="8" t="inlineStr">
        <is>
          <t>PCAP</t>
        </is>
      </c>
      <c r="S1132" s="9" t="n">
        <v>46311</v>
      </c>
      <c r="T1132" s="3" t="n">
        <v>46310.3894212963</v>
      </c>
      <c r="U1132" s="2" t="n"/>
    </row>
    <row r="1133">
      <c r="A1133" s="2" t="inlineStr">
        <is>
          <t>Pendiente de adjudicación</t>
        </is>
      </c>
      <c r="B1133" s="3" t="n">
        <v>45985.99930555555</v>
      </c>
      <c r="C1133" s="5" t="n">
        <v>148760.33</v>
      </c>
      <c r="D1133" s="5" t="n">
        <v>148760.33</v>
      </c>
      <c r="E1133" s="2" t="inlineStr">
        <is>
          <t>Comunitat Valenciana</t>
        </is>
      </c>
      <c r="F1133" s="2" t="inlineStr">
        <is>
          <t>Alicante</t>
        </is>
      </c>
      <c r="G1133" s="2" t="n"/>
      <c r="H1133" s="2" t="inlineStr">
        <is>
          <t>Presidencia de la Diputación Provincial de Alicante</t>
        </is>
      </c>
      <c r="I1133" s="2" t="inlineStr">
        <is>
          <t>Obras de refuerzo de firme entre los PPKK 3+500 y 4+500 de la CV-849 y ampliación de plataforma entre los PPKK 4+500 y 6+100.</t>
        </is>
      </c>
      <c r="J1133" s="2" t="inlineStr">
        <is>
          <t>O4S-227/2025</t>
        </is>
      </c>
      <c r="K1133" s="2" t="inlineStr">
        <is>
          <t>Abierto simplificado</t>
        </is>
      </c>
      <c r="L1133" s="6" t="n">
        <v>3</v>
      </c>
      <c r="M1133" s="2" t="n"/>
      <c r="N1133" s="7" t="n">
        <v>0.25</v>
      </c>
      <c r="O1133" s="4" t="n"/>
      <c r="P1133" s="2" t="inlineStr">
        <is>
          <t>45233140</t>
        </is>
      </c>
      <c r="Q1133" s="8" t="inlineStr">
        <is>
          <t>Ver</t>
        </is>
      </c>
      <c r="R1133" s="8" t="inlineStr">
        <is>
          <t>PCAP</t>
        </is>
      </c>
      <c r="S1133" s="9" t="n">
        <v>46311</v>
      </c>
      <c r="T1133" s="3" t="n">
        <v>46310.38584490741</v>
      </c>
      <c r="U1133" s="2" t="n"/>
    </row>
    <row r="1134">
      <c r="A1134" s="2" t="inlineStr">
        <is>
          <t>Resuelta</t>
        </is>
      </c>
      <c r="B1134" s="3" t="n">
        <v>46272.99930555555</v>
      </c>
      <c r="C1134" s="5" t="n">
        <v>136013.07</v>
      </c>
      <c r="D1134" s="5" t="n">
        <v>136013.07</v>
      </c>
      <c r="E1134" s="2" t="inlineStr">
        <is>
          <t>Andalucía</t>
        </is>
      </c>
      <c r="F1134" s="2" t="inlineStr">
        <is>
          <t>Jaén</t>
        </is>
      </c>
      <c r="G1134" s="2" t="inlineStr">
        <is>
          <t>MARMOLEJO</t>
        </is>
      </c>
      <c r="H1134" s="2" t="inlineStr">
        <is>
          <t>Junta de Gobierno Local del Ayuntamiento de Marmolejo</t>
        </is>
      </c>
      <c r="I1134" s="2" t="inlineStr">
        <is>
          <t>Ejecución de las obras de reposición integral de redes y consolidación de plataforma en calle Divino Maestro, financiado por la Junta de Andalucía con cargo a las ayudas a EELL especialmente afectadas por fenómenos naturales adversos u otros supuestos de emergencia de protección civil y catástrofes públicas, por el enjambre de borrascas entre el 23 de enero y el 16 de febrero de 2026</t>
        </is>
      </c>
      <c r="J1134" s="2" t="inlineStr">
        <is>
          <t>2065/2026</t>
        </is>
      </c>
      <c r="K1134" s="2" t="inlineStr">
        <is>
          <t>Abierto simplificado</t>
        </is>
      </c>
      <c r="L1134" s="6" t="n">
        <v>6</v>
      </c>
      <c r="M1134" s="2" t="n"/>
      <c r="N1134" s="7" t="n">
        <v>0</v>
      </c>
      <c r="O1134" s="4" t="n"/>
      <c r="P1134" s="2" t="inlineStr">
        <is>
          <t>45233252; 45112100; 45232150; 45232400</t>
        </is>
      </c>
      <c r="Q1134" s="8" t="inlineStr">
        <is>
          <t>Ver</t>
        </is>
      </c>
      <c r="R1134" s="8" t="inlineStr">
        <is>
          <t>PCAP</t>
        </is>
      </c>
      <c r="S1134" s="9" t="n">
        <v>46310</v>
      </c>
      <c r="T1134" s="3" t="n">
        <v>46310.38498842593</v>
      </c>
      <c r="U1134" s="2" t="inlineStr">
        <is>
          <t>2026-10-16: estado ADJ → RES</t>
        </is>
      </c>
    </row>
    <row r="1135">
      <c r="A1135" s="2" t="inlineStr">
        <is>
          <t>Resuelta</t>
        </is>
      </c>
      <c r="B1135" s="3" t="n">
        <v>46308.375</v>
      </c>
      <c r="C1135" s="5" t="n">
        <v>55262.54</v>
      </c>
      <c r="D1135" s="5" t="n">
        <v>66315.05</v>
      </c>
      <c r="E1135" s="2" t="inlineStr">
        <is>
          <t>Andalucía</t>
        </is>
      </c>
      <c r="F1135" s="2" t="inlineStr">
        <is>
          <t>Málaga</t>
        </is>
      </c>
      <c r="G1135" s="2" t="inlineStr">
        <is>
          <t>Málaga</t>
        </is>
      </c>
      <c r="H1135" s="2" t="inlineStr">
        <is>
          <t>Jefatura de la Sección Económico Administrativa 24 de la Base Aérea de Morón</t>
        </is>
      </c>
      <c r="I1135" s="2" t="inlineStr">
        <is>
          <t>3402/RMD/Obra de reforma de playa en piscina del pabellón logístico de la Base Aérea de Málaga</t>
        </is>
      </c>
      <c r="J1135" s="2" t="inlineStr">
        <is>
          <t>2026/EA24/00002115E</t>
        </is>
      </c>
      <c r="K1135" s="2" t="inlineStr">
        <is>
          <t>Abierto simplificado</t>
        </is>
      </c>
      <c r="L1135" s="6" t="n">
        <v>2</v>
      </c>
      <c r="M1135" s="2" t="n"/>
      <c r="N1135" s="7" t="n">
        <v>0</v>
      </c>
      <c r="O1135" s="4" t="n"/>
      <c r="P1135" s="2" t="inlineStr">
        <is>
          <t>45212212</t>
        </is>
      </c>
      <c r="Q1135" s="8" t="inlineStr">
        <is>
          <t>Ver</t>
        </is>
      </c>
      <c r="R1135" s="8" t="inlineStr">
        <is>
          <t>PCAP</t>
        </is>
      </c>
      <c r="S1135" s="9" t="n">
        <v>46311</v>
      </c>
      <c r="T1135" s="3" t="n">
        <v>46310.3846875</v>
      </c>
      <c r="U1135" s="2" t="n"/>
    </row>
    <row r="1136">
      <c r="A1136" s="2" t="inlineStr">
        <is>
          <t>En plazo</t>
        </is>
      </c>
      <c r="B1136" s="3" t="n">
        <v>46337.99930555555</v>
      </c>
      <c r="C1136" s="5" t="n">
        <v>489919.76</v>
      </c>
      <c r="D1136" s="5" t="n">
        <v>489919.76</v>
      </c>
      <c r="E1136" s="2" t="inlineStr">
        <is>
          <t>Andalucía</t>
        </is>
      </c>
      <c r="F1136" s="2" t="inlineStr">
        <is>
          <t>Sevilla</t>
        </is>
      </c>
      <c r="G1136" s="2" t="n"/>
      <c r="H1136" s="2" t="inlineStr">
        <is>
          <t>Gerencia de Sevilla Activa SAU</t>
        </is>
      </c>
      <c r="I1136" s="2" t="inlineStr">
        <is>
          <t>Proyecto y obra Pabellón Barrio de Quarto. Cortijo de Cuarto.</t>
        </is>
      </c>
      <c r="J1136" s="2" t="inlineStr">
        <is>
          <t>A41420191-2026/000087-PaA</t>
        </is>
      </c>
      <c r="K1136" s="2" t="inlineStr">
        <is>
          <t>Abierto</t>
        </is>
      </c>
      <c r="L1136" s="6" t="n">
        <v>7</v>
      </c>
      <c r="M1136" s="2" t="n"/>
      <c r="N1136" s="7" t="n">
        <v>0.8</v>
      </c>
      <c r="O1136" s="4" t="n"/>
      <c r="P1136" s="2" t="inlineStr">
        <is>
          <t>45200000</t>
        </is>
      </c>
      <c r="Q1136" s="8" t="inlineStr">
        <is>
          <t>Ver</t>
        </is>
      </c>
      <c r="R1136" s="8" t="inlineStr">
        <is>
          <t>PCAP</t>
        </is>
      </c>
      <c r="S1136" s="9" t="n">
        <v>46311</v>
      </c>
      <c r="T1136" s="3" t="n">
        <v>46310.37565972222</v>
      </c>
      <c r="U1136" s="2" t="n"/>
    </row>
    <row r="1137">
      <c r="A1137" s="2" t="inlineStr">
        <is>
          <t>Resuelta</t>
        </is>
      </c>
      <c r="B1137" s="3" t="n">
        <v>45397.99930555555</v>
      </c>
      <c r="C1137" s="5" t="n">
        <v>20699296.23</v>
      </c>
      <c r="D1137" s="5" t="n">
        <v>24839155.48</v>
      </c>
      <c r="E1137" s="2" t="inlineStr">
        <is>
          <t>Comunitat Valenciana</t>
        </is>
      </c>
      <c r="F1137" s="2" t="inlineStr">
        <is>
          <t>Valencia</t>
        </is>
      </c>
      <c r="G1137" s="2" t="inlineStr">
        <is>
          <t>Valencia</t>
        </is>
      </c>
      <c r="H1137" s="2" t="inlineStr">
        <is>
          <t>Rectorado de la Universitat de València</t>
        </is>
      </c>
      <c r="I1137" s="2" t="inlineStr">
        <is>
          <t>Construcción de Aulari Oest 2 en el Campus de Tarongers de la Universitat de València</t>
        </is>
      </c>
      <c r="J1137" s="2" t="inlineStr">
        <is>
          <t>2024OB00001</t>
        </is>
      </c>
      <c r="K1137" s="2" t="inlineStr">
        <is>
          <t>Abierto</t>
        </is>
      </c>
      <c r="L1137" s="6" t="n">
        <v>20</v>
      </c>
      <c r="M1137" s="2" t="inlineStr">
        <is>
          <t>C*-6</t>
        </is>
      </c>
      <c r="N1137" s="7" t="n">
        <v>0.3</v>
      </c>
      <c r="O1137" s="4" t="n"/>
      <c r="P1137" s="2" t="inlineStr">
        <is>
          <t>45214400</t>
        </is>
      </c>
      <c r="Q1137" s="8" t="inlineStr">
        <is>
          <t>Ver</t>
        </is>
      </c>
      <c r="R1137" s="8" t="inlineStr">
        <is>
          <t>PCAP</t>
        </is>
      </c>
      <c r="S1137" s="9" t="n">
        <v>46310</v>
      </c>
      <c r="T1137" s="3" t="n">
        <v>46310.375</v>
      </c>
      <c r="U1137" s="2" t="n"/>
    </row>
    <row r="1138">
      <c r="A1138" s="2" t="inlineStr">
        <is>
          <t>En plazo</t>
        </is>
      </c>
      <c r="B1138" s="3" t="n">
        <v>46323.66666666666</v>
      </c>
      <c r="C1138" s="5" t="n">
        <v>192212.36</v>
      </c>
      <c r="D1138" s="5" t="n">
        <v>192212.36</v>
      </c>
      <c r="E1138" s="2" t="inlineStr">
        <is>
          <t>Comunitat Valenciana</t>
        </is>
      </c>
      <c r="F1138" s="2" t="inlineStr">
        <is>
          <t>Alicante</t>
        </is>
      </c>
      <c r="G1138" s="2" t="inlineStr">
        <is>
          <t>Alicante (Alacant)</t>
        </is>
      </c>
      <c r="H1138" s="2" t="inlineStr">
        <is>
          <t>Junta de Gobierno del Ayuntamiento de La Nucía</t>
        </is>
      </c>
      <c r="I1138" s="2" t="inlineStr">
        <is>
          <t>Obras de reposición de infraestructura en "El Calvari": Calle Tossalet y Calle Xiprer</t>
        </is>
      </c>
      <c r="J1138" s="2" t="inlineStr">
        <is>
          <t>12725/2026</t>
        </is>
      </c>
      <c r="K1138" s="2" t="inlineStr">
        <is>
          <t>Abierto simplificado</t>
        </is>
      </c>
      <c r="L1138" s="6" t="n">
        <v>2.3</v>
      </c>
      <c r="M1138" s="2" t="n"/>
      <c r="N1138" s="7" t="n"/>
      <c r="O1138" s="4" t="n"/>
      <c r="P1138" s="2" t="inlineStr">
        <is>
          <t>45211360; 34928510</t>
        </is>
      </c>
      <c r="Q1138" s="8" t="inlineStr">
        <is>
          <t>Ver</t>
        </is>
      </c>
      <c r="R1138" s="8" t="inlineStr">
        <is>
          <t>PCAP</t>
        </is>
      </c>
      <c r="S1138" s="9" t="n">
        <v>46310</v>
      </c>
      <c r="T1138" s="3" t="n">
        <v>46310.37109953703</v>
      </c>
      <c r="U1138" s="2" t="n"/>
    </row>
    <row r="1139">
      <c r="A1139" s="2" t="inlineStr">
        <is>
          <t>En plazo</t>
        </is>
      </c>
      <c r="B1139" s="3" t="n">
        <v>46329.99930555555</v>
      </c>
      <c r="C1139" s="5" t="n">
        <v>201033.24</v>
      </c>
      <c r="D1139" s="5" t="n">
        <v>241239.89</v>
      </c>
      <c r="E1139" s="2" t="inlineStr">
        <is>
          <t>Comunitat Valenciana</t>
        </is>
      </c>
      <c r="F1139" s="2" t="inlineStr">
        <is>
          <t>Valencia</t>
        </is>
      </c>
      <c r="G1139" s="2" t="n"/>
      <c r="H1139" s="2" t="inlineStr">
        <is>
          <t>Dirección Territorial de Educación, Investigación, Cultura y Deporte - Valencia</t>
        </is>
      </c>
      <c r="I1139" s="2" t="inlineStr">
        <is>
          <t>Reforma de aseos, cubierta y patios en el CEIP Mestalla de Valencia</t>
        </is>
      </c>
      <c r="J1139" s="2" t="inlineStr">
        <is>
          <t>CMAYOR/2026/19Y16/0061</t>
        </is>
      </c>
      <c r="K1139" s="2" t="inlineStr">
        <is>
          <t>Abierto simplificado</t>
        </is>
      </c>
      <c r="L1139" s="6" t="n">
        <v>6</v>
      </c>
      <c r="M1139" s="2" t="n"/>
      <c r="N1139" s="7" t="n">
        <v>0</v>
      </c>
      <c r="O1139" s="4" t="n"/>
      <c r="P1139" s="2" t="inlineStr">
        <is>
          <t>45214210</t>
        </is>
      </c>
      <c r="Q1139" s="8" t="inlineStr">
        <is>
          <t>Ver</t>
        </is>
      </c>
      <c r="R1139" s="8" t="inlineStr">
        <is>
          <t>PCAP</t>
        </is>
      </c>
      <c r="S1139" s="9" t="n">
        <v>46310</v>
      </c>
      <c r="T1139" s="3" t="n">
        <v>46310.36878472222</v>
      </c>
      <c r="U1139" s="2" t="n"/>
    </row>
    <row r="1140">
      <c r="A1140" s="2" t="inlineStr">
        <is>
          <t>Pendiente de adjudicación</t>
        </is>
      </c>
      <c r="B1140" s="3" t="n">
        <v>46301.54166666666</v>
      </c>
      <c r="C1140" s="5" t="n">
        <v>82641.58</v>
      </c>
      <c r="D1140" s="5" t="n">
        <v>90905.74000000001</v>
      </c>
      <c r="E1140" s="2" t="inlineStr">
        <is>
          <t>Comunitat Valenciana</t>
        </is>
      </c>
      <c r="F1140" s="2" t="inlineStr">
        <is>
          <t>Valencia</t>
        </is>
      </c>
      <c r="G1140" s="2" t="n"/>
      <c r="H1140" s="2" t="inlineStr">
        <is>
          <t>Presidencia de la Diputación Provincial de Valencia</t>
        </is>
      </c>
      <c r="I1140" s="2" t="inlineStr">
        <is>
          <t>Obras de Estabilización de taludes en el camino de acceso a la Ermita de Santa Bárbara en T.M. de Bolbaite</t>
        </is>
      </c>
      <c r="J1140" s="2" t="inlineStr">
        <is>
          <t>544/26/MAM</t>
        </is>
      </c>
      <c r="K1140" s="2" t="inlineStr">
        <is>
          <t>Abierto simplificado</t>
        </is>
      </c>
      <c r="L1140" s="6" t="n">
        <v>3</v>
      </c>
      <c r="M1140" s="2" t="n"/>
      <c r="N1140" s="7" t="n">
        <v>0</v>
      </c>
      <c r="O1140" s="4" t="n"/>
      <c r="P1140" s="2" t="inlineStr">
        <is>
          <t>45111230</t>
        </is>
      </c>
      <c r="Q1140" s="8" t="inlineStr">
        <is>
          <t>Ver</t>
        </is>
      </c>
      <c r="R1140" s="8" t="inlineStr">
        <is>
          <t>PCAP</t>
        </is>
      </c>
      <c r="S1140" s="9" t="n">
        <v>46311</v>
      </c>
      <c r="T1140" s="3" t="n">
        <v>46310.36464120371</v>
      </c>
      <c r="U1140" s="2" t="n"/>
    </row>
    <row r="1141">
      <c r="A1141" s="2" t="inlineStr">
        <is>
          <t>Resuelta</t>
        </is>
      </c>
      <c r="B1141" s="3" t="n">
        <v>46233.79166666666</v>
      </c>
      <c r="C1141" s="5" t="n">
        <v>1751705</v>
      </c>
      <c r="D1141" s="5" t="n">
        <v>658504.16</v>
      </c>
      <c r="E1141" s="2" t="inlineStr">
        <is>
          <t>Comunitat Valenciana</t>
        </is>
      </c>
      <c r="F1141" s="2" t="inlineStr">
        <is>
          <t>Valencia</t>
        </is>
      </c>
      <c r="G1141" s="2" t="inlineStr">
        <is>
          <t>Loriguilla</t>
        </is>
      </c>
      <c r="H1141" s="2" t="inlineStr">
        <is>
          <t>Ayuntamiento de Loriguilla</t>
        </is>
      </c>
      <c r="I1141" s="2" t="inlineStr">
        <is>
          <t>Las obras propuestas persiguen la captación, desvío y vertido al barranco del Pozalet previa laminación en balsas, de las aguas generadas en una cuenca hidrológica identificada al norte del núcleo urbano de Loriguilla, y que, en las condiciones actuales, previas a la actuación propuesta, atraviesan parte del municipio. ACTUACIÓN FINANCIADA POR MINISTERIO TMD (MUNICIPIOS AFECTADOS DANA).</t>
        </is>
      </c>
      <c r="J1141" s="2" t="inlineStr">
        <is>
          <t>1196/2026.- BALSAS LAMINACIÓN TMD- DANA</t>
        </is>
      </c>
      <c r="K1141" s="2" t="inlineStr">
        <is>
          <t>Abierto</t>
        </is>
      </c>
      <c r="L1141" s="6" t="n">
        <v>6</v>
      </c>
      <c r="M1141" s="2" t="inlineStr">
        <is>
          <t>E7-4</t>
        </is>
      </c>
      <c r="N1141" s="7" t="n">
        <v>0.75</v>
      </c>
      <c r="O1141" s="4" t="n"/>
      <c r="P1141" s="2" t="inlineStr">
        <is>
          <t>45240000; 71242000; 71420000; 45112710; 71310000; 71300000</t>
        </is>
      </c>
      <c r="Q1141" s="8" t="inlineStr">
        <is>
          <t>Ver</t>
        </is>
      </c>
      <c r="R1141" s="8" t="inlineStr">
        <is>
          <t>PCAP</t>
        </is>
      </c>
      <c r="S1141" s="9" t="n">
        <v>46310</v>
      </c>
      <c r="T1141" s="3" t="n">
        <v>46310.35854166667</v>
      </c>
      <c r="U1141" s="2" t="inlineStr">
        <is>
          <t>2026-10-16: estado ADJ → RES</t>
        </is>
      </c>
    </row>
    <row r="1142">
      <c r="A1142" s="2" t="inlineStr">
        <is>
          <t>Pendiente de adjudicación</t>
        </is>
      </c>
      <c r="B1142" s="3" t="n">
        <v>46301.99930555555</v>
      </c>
      <c r="C1142" s="5" t="n">
        <v>364387.68</v>
      </c>
      <c r="D1142" s="5" t="n">
        <v>364387.68</v>
      </c>
      <c r="E1142" s="2" t="inlineStr">
        <is>
          <t>Comunitat Valenciana</t>
        </is>
      </c>
      <c r="F1142" s="2" t="inlineStr">
        <is>
          <t>Alicante</t>
        </is>
      </c>
      <c r="G1142" s="2" t="inlineStr">
        <is>
          <t>Beniarbeig</t>
        </is>
      </c>
      <c r="H1142" s="2" t="inlineStr">
        <is>
          <t>Alcaldía del Ayuntamiento de Beniarbeig</t>
        </is>
      </c>
      <c r="I1142" s="2" t="inlineStr">
        <is>
          <t>"Rehabilitación Casas Maestros como Centro Social - Plan Conviure"</t>
        </is>
      </c>
      <c r="J1142" s="2" t="inlineStr">
        <is>
          <t>1285/2026</t>
        </is>
      </c>
      <c r="K1142" s="2" t="inlineStr">
        <is>
          <t>Abierto simplificado</t>
        </is>
      </c>
      <c r="L1142" s="6" t="n">
        <v>10</v>
      </c>
      <c r="M1142" s="2" t="n"/>
      <c r="N1142" s="7" t="n">
        <v>0</v>
      </c>
      <c r="O1142" s="4" t="n"/>
      <c r="P1142" s="2" t="inlineStr">
        <is>
          <t>45200000</t>
        </is>
      </c>
      <c r="Q1142" s="8" t="inlineStr">
        <is>
          <t>Ver</t>
        </is>
      </c>
      <c r="R1142" s="8" t="inlineStr">
        <is>
          <t>PCAP</t>
        </is>
      </c>
      <c r="S1142" s="9" t="n">
        <v>46311</v>
      </c>
      <c r="T1142" s="3" t="n">
        <v>46310.35746527778</v>
      </c>
      <c r="U1142" s="2" t="n"/>
    </row>
    <row r="1143">
      <c r="A1143" s="2" t="inlineStr">
        <is>
          <t>En plazo</t>
        </is>
      </c>
      <c r="B1143" s="3" t="n">
        <v>46330.99930555555</v>
      </c>
      <c r="C1143" s="5" t="n">
        <v>45600</v>
      </c>
      <c r="D1143" s="5" t="n">
        <v>54720</v>
      </c>
      <c r="E1143" s="2" t="inlineStr">
        <is>
          <t>Comunitat Valenciana</t>
        </is>
      </c>
      <c r="F1143" s="2" t="inlineStr">
        <is>
          <t>Valencia</t>
        </is>
      </c>
      <c r="G1143" s="2" t="inlineStr">
        <is>
          <t>Alzira</t>
        </is>
      </c>
      <c r="H1143" s="2" t="inlineStr">
        <is>
          <t>Valenciana d'Estrategies i Recursos per a la Sostenibilitat Ambiental, Sociedad Anónima</t>
        </is>
      </c>
      <c r="I1143" s="2" t="inlineStr">
        <is>
          <t>Ignifugacion de los elementos portantes de los recorridos de evacuación, en la Planta de Cllasificación de Envases Ligeros de VAERSA, sita en Alzira (Valencia)</t>
        </is>
      </c>
      <c r="J1143" s="2" t="inlineStr">
        <is>
          <t>CMAYOR/2026/VAERS/0085</t>
        </is>
      </c>
      <c r="K1143" s="2" t="inlineStr">
        <is>
          <t>Abierto simplificado</t>
        </is>
      </c>
      <c r="L1143" s="6" t="n">
        <v>3</v>
      </c>
      <c r="M1143" s="2" t="n"/>
      <c r="N1143" s="7" t="n">
        <v>0</v>
      </c>
      <c r="O1143" s="4" t="n"/>
      <c r="P1143" s="2" t="inlineStr">
        <is>
          <t>45343100</t>
        </is>
      </c>
      <c r="Q1143" s="8" t="inlineStr">
        <is>
          <t>Ver</t>
        </is>
      </c>
      <c r="R1143" s="8" t="inlineStr">
        <is>
          <t>PCAP</t>
        </is>
      </c>
      <c r="S1143" s="9" t="n">
        <v>46311</v>
      </c>
      <c r="T1143" s="3" t="n">
        <v>46310.35740740741</v>
      </c>
      <c r="U1143" s="2" t="n"/>
    </row>
    <row r="1144">
      <c r="A1144" s="2" t="inlineStr">
        <is>
          <t>En plazo</t>
        </is>
      </c>
      <c r="B1144" s="3" t="n">
        <v>46330.99930555555</v>
      </c>
      <c r="C1144" s="5" t="n">
        <v>184860.66</v>
      </c>
      <c r="D1144" s="5" t="n">
        <v>184860.66</v>
      </c>
      <c r="E1144" s="2" t="inlineStr">
        <is>
          <t>Andalucía</t>
        </is>
      </c>
      <c r="F1144" s="2" t="inlineStr">
        <is>
          <t>Sevilla</t>
        </is>
      </c>
      <c r="G1144" s="2" t="n"/>
      <c r="H1144" s="2" t="inlineStr">
        <is>
          <t>Alcaldía del Ayuntamiento de Espartinas</t>
        </is>
      </c>
      <c r="I1144" s="2" t="inlineStr">
        <is>
          <t>El objeto del contrato la ejecución de las obras del Proyecto de Rehabilitación y Mejora de Cuatro Rotondas en la A-8076 a su paso por el Término Municipal de Espartinas (Sevilla), conforme a lo previsto en el Proyecto Técnico que establece las características de la actuación.</t>
        </is>
      </c>
      <c r="J1144" s="2" t="inlineStr">
        <is>
          <t>2378/2026</t>
        </is>
      </c>
      <c r="K1144" s="2" t="inlineStr">
        <is>
          <t>Abierto simplificado</t>
        </is>
      </c>
      <c r="L1144" s="6" t="n">
        <v>3</v>
      </c>
      <c r="M1144" s="2" t="n"/>
      <c r="N1144" s="7" t="n">
        <v>0</v>
      </c>
      <c r="O1144" s="4" t="n"/>
      <c r="P1144" s="2" t="inlineStr">
        <is>
          <t>45233252; 45112710</t>
        </is>
      </c>
      <c r="Q1144" s="8" t="inlineStr">
        <is>
          <t>Ver</t>
        </is>
      </c>
      <c r="R1144" s="8" t="inlineStr">
        <is>
          <t>PCAP</t>
        </is>
      </c>
      <c r="S1144" s="9" t="n">
        <v>46311</v>
      </c>
      <c r="T1144" s="3" t="n">
        <v>46310.34202546296</v>
      </c>
      <c r="U1144" s="2" t="n"/>
    </row>
    <row r="1145">
      <c r="A1145" s="2" t="inlineStr">
        <is>
          <t>Plazo vencido</t>
        </is>
      </c>
      <c r="B1145" s="3" t="n">
        <v>46314.54166666666</v>
      </c>
      <c r="C1145" s="5" t="n">
        <v>3230429.22</v>
      </c>
      <c r="D1145" s="5" t="n">
        <v>3230429.22</v>
      </c>
      <c r="E1145" s="2" t="inlineStr">
        <is>
          <t>Andalucía</t>
        </is>
      </c>
      <c r="F1145" s="2" t="n"/>
      <c r="G1145" s="2" t="n"/>
      <c r="H1145" s="2" t="inlineStr">
        <is>
          <t>ADIF - Presidencia</t>
        </is>
      </c>
      <c r="I1145" s="2" t="inlineStr">
        <is>
          <t>Ejecución de las obras correspondientes a los proyectos de reposición y ejecución de cerramientos en el ámbito de la red convencional. Línea 400 (p.k. 16/717 al 24/380, 17/732 al 24/318, 121/210 al 122/140, 122/140 al 123/200, 142/800 al 144/550), línea 406 (p.k. 1/322 al 1/384, 131/848 al 132/215), línea 440 (p.k. 95/630 al 96/450) y línea 444 (p.k.3/170 al 9/940).</t>
        </is>
      </c>
      <c r="J1145" s="2" t="inlineStr">
        <is>
          <t>3.26/27507.0212</t>
        </is>
      </c>
      <c r="K1145" s="2" t="inlineStr">
        <is>
          <t>Abierto</t>
        </is>
      </c>
      <c r="L1145" s="6" t="n">
        <v>16</v>
      </c>
      <c r="M1145" s="2" t="inlineStr">
        <is>
          <t>D5-5</t>
        </is>
      </c>
      <c r="N1145" s="7" t="n">
        <v>0.49</v>
      </c>
      <c r="O1145" s="4" t="n"/>
      <c r="P1145" s="2" t="inlineStr">
        <is>
          <t>45234100</t>
        </is>
      </c>
      <c r="Q1145" s="8" t="inlineStr">
        <is>
          <t>Ver</t>
        </is>
      </c>
      <c r="R1145" s="8" t="inlineStr">
        <is>
          <t>PCAP</t>
        </is>
      </c>
      <c r="S1145" s="9" t="n">
        <v>46310</v>
      </c>
      <c r="T1145" s="3" t="n">
        <v>46310.336875</v>
      </c>
      <c r="U1145" s="2" t="n"/>
    </row>
    <row r="1146">
      <c r="A1146" s="2" t="inlineStr">
        <is>
          <t>Adjudicada</t>
        </is>
      </c>
      <c r="B1146" s="3" t="n">
        <v>46223.99930555555</v>
      </c>
      <c r="C1146" s="5" t="n">
        <v>103140.85</v>
      </c>
      <c r="D1146" s="5" t="n">
        <v>103140.85</v>
      </c>
      <c r="E1146" s="2" t="inlineStr">
        <is>
          <t>Andalucía</t>
        </is>
      </c>
      <c r="F1146" s="2" t="inlineStr">
        <is>
          <t>Sevilla</t>
        </is>
      </c>
      <c r="G1146" s="2" t="n"/>
      <c r="H1146" s="2" t="inlineStr">
        <is>
          <t>Presidencia de la Diputación Provincial de Sevilla</t>
        </is>
      </c>
      <c r="I1146" s="2" t="inlineStr">
        <is>
          <t>Obras de sustitución de canalización desde depósito de la Malena en Castilblanco de los Arroyos (Sevilla)</t>
        </is>
      </c>
      <c r="J1146" s="2" t="inlineStr">
        <is>
          <t>2026/000442-PAAS</t>
        </is>
      </c>
      <c r="K1146" s="2" t="inlineStr">
        <is>
          <t>Abierto simplificado</t>
        </is>
      </c>
      <c r="L1146" s="6" t="n">
        <v>2</v>
      </c>
      <c r="M1146" s="2" t="n"/>
      <c r="N1146" s="7" t="n">
        <v>0</v>
      </c>
      <c r="O1146" s="4" t="n"/>
      <c r="P1146" s="2" t="inlineStr">
        <is>
          <t>45232150</t>
        </is>
      </c>
      <c r="Q1146" s="8" t="inlineStr">
        <is>
          <t>Ver</t>
        </is>
      </c>
      <c r="R1146" s="8" t="inlineStr">
        <is>
          <t>PCAP</t>
        </is>
      </c>
      <c r="S1146" s="9" t="n">
        <v>46311</v>
      </c>
      <c r="T1146" s="3" t="n">
        <v>46310.33001157407</v>
      </c>
      <c r="U1146" s="2" t="n"/>
    </row>
    <row r="1147">
      <c r="A1147" s="2" t="inlineStr">
        <is>
          <t>Resuelta</t>
        </is>
      </c>
      <c r="B1147" s="3" t="n">
        <v>45608.99930555555</v>
      </c>
      <c r="C1147" s="5" t="n">
        <v>28800</v>
      </c>
      <c r="D1147" s="5" t="n">
        <v>172800</v>
      </c>
      <c r="E1147" s="2" t="inlineStr">
        <is>
          <t>Andalucía</t>
        </is>
      </c>
      <c r="F1147" s="2" t="inlineStr">
        <is>
          <t>Málaga</t>
        </is>
      </c>
      <c r="G1147" s="2" t="inlineStr">
        <is>
          <t>Málaga</t>
        </is>
      </c>
      <c r="H1147" s="2" t="inlineStr">
        <is>
          <t>Gerencia de la Empresa de Limpiezas Municipales y Parque del Oeste, S.A.M.</t>
        </is>
      </c>
      <c r="I1147" s="2" t="inlineStr">
        <is>
          <t>Ejecución de obras de construcción y obra civil que, de forma recurrente, deben realizarse en el Parque del Oeste para la reparación o mantenimiento de elementos existentes</t>
        </is>
      </c>
      <c r="J1147" s="2" t="inlineStr">
        <is>
          <t>32/24</t>
        </is>
      </c>
      <c r="K1147" s="2" t="inlineStr">
        <is>
          <t>Abierto</t>
        </is>
      </c>
      <c r="L1147" s="6" t="n"/>
      <c r="M1147" s="2" t="n"/>
      <c r="N1147" s="7" t="n">
        <v>0</v>
      </c>
      <c r="O1147" s="4" t="n"/>
      <c r="P1147" s="2" t="inlineStr">
        <is>
          <t>45000000</t>
        </is>
      </c>
      <c r="Q1147" s="8" t="inlineStr">
        <is>
          <t>Ver</t>
        </is>
      </c>
      <c r="R1147" s="8" t="inlineStr">
        <is>
          <t>PCAP</t>
        </is>
      </c>
      <c r="S1147" s="9" t="n">
        <v>46311</v>
      </c>
      <c r="T1147" s="3" t="n">
        <v>46310.31829861111</v>
      </c>
      <c r="U1147" s="2" t="n"/>
    </row>
    <row r="1148">
      <c r="A1148" s="2" t="inlineStr">
        <is>
          <t>Pendiente de adjudicación</t>
        </is>
      </c>
      <c r="B1148" s="3" t="n">
        <v>46226.99930555555</v>
      </c>
      <c r="C1148" s="5" t="n">
        <v>80000</v>
      </c>
      <c r="D1148" s="5" t="n">
        <v>160000</v>
      </c>
      <c r="E1148" s="2" t="inlineStr">
        <is>
          <t>Andalucía</t>
        </is>
      </c>
      <c r="F1148" s="2" t="inlineStr">
        <is>
          <t>Sevilla</t>
        </is>
      </c>
      <c r="G1148" s="2" t="inlineStr">
        <is>
          <t>Sanlúcar la Mayor</t>
        </is>
      </c>
      <c r="H1148" s="2" t="inlineStr">
        <is>
          <t>Alcaldía del Ayuntamiento de Sanlúcar la Mayor</t>
        </is>
      </c>
      <c r="I1148" s="2" t="inlineStr">
        <is>
          <t>Suministro, Instalación, desmontaje y mantenimiento del alumbrado decorativo de la NAVIDAD 2026 y 2027</t>
        </is>
      </c>
      <c r="J1148" s="2" t="inlineStr">
        <is>
          <t>2026/CTT_01/000016 - 28/26.-CTOS</t>
        </is>
      </c>
      <c r="K1148" s="2" t="inlineStr">
        <is>
          <t>Abierto simplificado</t>
        </is>
      </c>
      <c r="L1148" s="6" t="n"/>
      <c r="M1148" s="2" t="n"/>
      <c r="N1148" s="7" t="n">
        <v>0.4</v>
      </c>
      <c r="O1148" s="4" t="n"/>
      <c r="P1148" s="2" t="inlineStr">
        <is>
          <t>45310000</t>
        </is>
      </c>
      <c r="Q1148" s="8" t="inlineStr">
        <is>
          <t>Ver</t>
        </is>
      </c>
      <c r="R1148" s="8" t="inlineStr">
        <is>
          <t>PCAP</t>
        </is>
      </c>
      <c r="S1148" s="9" t="n">
        <v>46311</v>
      </c>
      <c r="T1148" s="3" t="n">
        <v>46310.29524305555</v>
      </c>
      <c r="U1148" s="2" t="n"/>
    </row>
    <row r="1149">
      <c r="A1149" s="2" t="inlineStr">
        <is>
          <t>Resuelta</t>
        </is>
      </c>
      <c r="B1149" s="3" t="n">
        <v>46174.54166666666</v>
      </c>
      <c r="C1149" s="5" t="n">
        <v>3353589.26</v>
      </c>
      <c r="D1149" s="5" t="n">
        <v>3606099.98</v>
      </c>
      <c r="E1149" s="2" t="inlineStr">
        <is>
          <t>Comunitat Valenciana</t>
        </is>
      </c>
      <c r="F1149" s="2" t="n"/>
      <c r="G1149" s="2" t="n"/>
      <c r="H1149" s="2" t="inlineStr">
        <is>
          <t>ADIF Alta Velocidad - Presidencia</t>
        </is>
      </c>
      <c r="I1149" s="2" t="inlineStr">
        <is>
          <t>Ejecución de las obras del proyecto sustitución del cable troncal de 64 F.O. en los tramos Alicante - Villena y Valencia - Castellón</t>
        </is>
      </c>
      <c r="J1149" s="2" t="inlineStr">
        <is>
          <t>3.26/25830.0063</t>
        </is>
      </c>
      <c r="K1149" s="2" t="inlineStr">
        <is>
          <t>Abierto</t>
        </is>
      </c>
      <c r="L1149" s="6" t="n">
        <v>24</v>
      </c>
      <c r="M1149" s="2" t="inlineStr">
        <is>
          <t>I7-4</t>
        </is>
      </c>
      <c r="N1149" s="7" t="n">
        <v>0</v>
      </c>
      <c r="O1149" s="4" t="n"/>
      <c r="P1149" s="2" t="inlineStr">
        <is>
          <t>45314300</t>
        </is>
      </c>
      <c r="Q1149" s="8" t="inlineStr">
        <is>
          <t>Ver</t>
        </is>
      </c>
      <c r="R1149" s="8" t="inlineStr">
        <is>
          <t>PCAP</t>
        </is>
      </c>
      <c r="S1149" s="9" t="n">
        <v>46311</v>
      </c>
      <c r="T1149" s="3" t="n">
        <v>46310.28876157408</v>
      </c>
      <c r="U1149" s="2" t="n"/>
    </row>
    <row r="1150">
      <c r="A1150" s="2" t="inlineStr">
        <is>
          <t>En plazo</t>
        </is>
      </c>
      <c r="B1150" s="3" t="n">
        <v>46323.99930555555</v>
      </c>
      <c r="C1150" s="5" t="n">
        <v>54218.51</v>
      </c>
      <c r="D1150" s="5" t="n">
        <v>54218.51</v>
      </c>
      <c r="E1150" s="2" t="inlineStr">
        <is>
          <t>Comunitat Valenciana</t>
        </is>
      </c>
      <c r="F1150" s="2" t="inlineStr">
        <is>
          <t>Valencia</t>
        </is>
      </c>
      <c r="G1150" s="2" t="inlineStr">
        <is>
          <t>Benimodo</t>
        </is>
      </c>
      <c r="H1150" s="2" t="inlineStr">
        <is>
          <t>Alcaldia del Ayuntamiento de Benimodo</t>
        </is>
      </c>
      <c r="I1150" s="2" t="inlineStr">
        <is>
          <t>Obres de captació de les aigües pluvials per a la mitigació d'inundacions en l'avinguda del Llaurador (FASE I)</t>
        </is>
      </c>
      <c r="J1150" s="2" t="inlineStr">
        <is>
          <t>1025/2026</t>
        </is>
      </c>
      <c r="K1150" s="2" t="inlineStr">
        <is>
          <t>Abierto simplificado</t>
        </is>
      </c>
      <c r="L1150" s="6" t="n">
        <v>3</v>
      </c>
      <c r="M1150" s="2" t="n"/>
      <c r="N1150" s="7" t="n">
        <v>0</v>
      </c>
      <c r="O1150" s="4" t="n"/>
      <c r="P1150" s="2" t="inlineStr">
        <is>
          <t>45232130; 45232452; 45232410</t>
        </is>
      </c>
      <c r="Q1150" s="8" t="inlineStr">
        <is>
          <t>Ver</t>
        </is>
      </c>
      <c r="R1150" s="8" t="inlineStr">
        <is>
          <t>PCAP</t>
        </is>
      </c>
      <c r="S1150" s="9" t="n">
        <v>46311</v>
      </c>
      <c r="T1150" s="3" t="n">
        <v>46309.9961574074</v>
      </c>
      <c r="U1150" s="2" t="n"/>
    </row>
    <row r="1151">
      <c r="A1151" s="2" t="inlineStr">
        <is>
          <t>Adjudicada</t>
        </is>
      </c>
      <c r="B1151" s="3" t="n">
        <v>46253.58263888889</v>
      </c>
      <c r="C1151" s="5" t="n">
        <v>114357.08</v>
      </c>
      <c r="D1151" s="5" t="n">
        <v>114357.08</v>
      </c>
      <c r="E1151" s="2" t="inlineStr">
        <is>
          <t>Comunitat Valenciana</t>
        </is>
      </c>
      <c r="F1151" s="2" t="inlineStr">
        <is>
          <t>Castellón</t>
        </is>
      </c>
      <c r="G1151" s="2" t="inlineStr">
        <is>
          <t>ARGELITA</t>
        </is>
      </c>
      <c r="H1151" s="2" t="inlineStr">
        <is>
          <t>Pleno del Ayuntamiento de Argelita</t>
        </is>
      </c>
      <c r="I1151" s="2" t="inlineStr">
        <is>
          <t>Obras Conservación, Protección y puesta en valor de los restos del Palacio de Ceyt Abu Ceyt. Fase 2.0</t>
        </is>
      </c>
      <c r="J1151" s="2" t="inlineStr">
        <is>
          <t>183/2026</t>
        </is>
      </c>
      <c r="K1151" s="2" t="inlineStr">
        <is>
          <t>Abierto simplificado</t>
        </is>
      </c>
      <c r="L1151" s="6" t="n">
        <v>5</v>
      </c>
      <c r="M1151" s="2" t="n"/>
      <c r="N1151" s="7" t="n">
        <v>0</v>
      </c>
      <c r="O1151" s="4" t="n"/>
      <c r="P1151" s="2" t="inlineStr">
        <is>
          <t>45000000; 45454100; 45212350</t>
        </is>
      </c>
      <c r="Q1151" s="8" t="inlineStr">
        <is>
          <t>Ver</t>
        </is>
      </c>
      <c r="R1151" s="8" t="inlineStr">
        <is>
          <t>PCAP</t>
        </is>
      </c>
      <c r="S1151" s="9" t="n">
        <v>46311</v>
      </c>
      <c r="T1151" s="3" t="n">
        <v>46309.97775462963</v>
      </c>
      <c r="U1151" s="2" t="n"/>
    </row>
    <row r="1152">
      <c r="A1152" s="2" t="inlineStr">
        <is>
          <t>En plazo</t>
        </is>
      </c>
      <c r="B1152" s="3" t="n">
        <v>46336.5</v>
      </c>
      <c r="C1152" s="5" t="n">
        <v>366093.61</v>
      </c>
      <c r="D1152" s="5" t="n">
        <v>366093.61</v>
      </c>
      <c r="E1152" s="2" t="inlineStr">
        <is>
          <t>Comunitat Valenciana</t>
        </is>
      </c>
      <c r="F1152" s="2" t="inlineStr">
        <is>
          <t>Valencia</t>
        </is>
      </c>
      <c r="G1152" s="2" t="n"/>
      <c r="H1152" s="2" t="inlineStr">
        <is>
          <t>Gerencia de Ferrocarrils de la Generalitat Valenciana</t>
        </is>
      </c>
      <c r="I1152" s="2" t="inlineStr">
        <is>
          <t>Suministro y sustitución de cabinas de alta tensión en 20 KV en el Centro de Transformación de Benimaclet y en el Centro de entrega de energía de la subestación de Quart de FGV en Metrovalencia.</t>
        </is>
      </c>
      <c r="J1152" s="2" t="inlineStr">
        <is>
          <t>26/054</t>
        </is>
      </c>
      <c r="K1152" s="2" t="inlineStr">
        <is>
          <t>Abierto</t>
        </is>
      </c>
      <c r="L1152" s="6" t="n">
        <v>9.300000000000001</v>
      </c>
      <c r="M1152" s="2" t="inlineStr">
        <is>
          <t>D4-1</t>
        </is>
      </c>
      <c r="N1152" s="7" t="n">
        <v>0.25</v>
      </c>
      <c r="O1152" s="4" t="n">
        <v>2</v>
      </c>
      <c r="P1152" s="2" t="inlineStr">
        <is>
          <t>45234170; 45315700; 45234181</t>
        </is>
      </c>
      <c r="Q1152" s="8" t="inlineStr">
        <is>
          <t>Ver</t>
        </is>
      </c>
      <c r="R1152" s="8" t="inlineStr">
        <is>
          <t>PCAP</t>
        </is>
      </c>
      <c r="S1152" s="9" t="n">
        <v>46310</v>
      </c>
      <c r="T1152" s="3" t="n">
        <v>46309.79041666666</v>
      </c>
      <c r="U1152" s="2" t="n"/>
    </row>
    <row r="1153">
      <c r="A1153" s="2" t="inlineStr">
        <is>
          <t>Adjudicada</t>
        </is>
      </c>
      <c r="B1153" s="3" t="n">
        <v>45940.99930555555</v>
      </c>
      <c r="C1153" s="5" t="n">
        <v>73744.50999999999</v>
      </c>
      <c r="D1153" s="5" t="n">
        <v>73744.50999999999</v>
      </c>
      <c r="E1153" s="2" t="inlineStr">
        <is>
          <t>Andalucía</t>
        </is>
      </c>
      <c r="F1153" s="2" t="inlineStr">
        <is>
          <t>Almería</t>
        </is>
      </c>
      <c r="G1153" s="2" t="inlineStr">
        <is>
          <t>Turre</t>
        </is>
      </c>
      <c r="H1153" s="2" t="inlineStr">
        <is>
          <t>Presidencia de la Mancomunidad de municipios del Levante Almeriense</t>
        </is>
      </c>
      <c r="I1153" s="2" t="inlineStr">
        <is>
          <t>Ejecución de diques de infiltración en Turre. El objeto del presente proyecto constructivo es la definición y valoración de las obras realizadas para la construcción de diques para la infiltración o almacenamiento de agua de escorrentía superficial, así como los caminos de acceso a dichos diques durante el proceso constructivo.</t>
        </is>
      </c>
      <c r="J1153" s="2" t="inlineStr">
        <is>
          <t>63/2025</t>
        </is>
      </c>
      <c r="K1153" s="2" t="inlineStr">
        <is>
          <t>Abierto simplificado</t>
        </is>
      </c>
      <c r="L1153" s="6" t="n">
        <v>1.2</v>
      </c>
      <c r="M1153" s="2" t="n"/>
      <c r="N1153" s="7" t="n">
        <v>0</v>
      </c>
      <c r="O1153" s="4" t="n"/>
      <c r="P1153" s="2" t="inlineStr">
        <is>
          <t>45240000; 45246000; 45248200</t>
        </is>
      </c>
      <c r="Q1153" s="8" t="inlineStr">
        <is>
          <t>Ver</t>
        </is>
      </c>
      <c r="R1153" s="8" t="inlineStr">
        <is>
          <t>PCAP</t>
        </is>
      </c>
      <c r="S1153" s="9" t="n">
        <v>46310</v>
      </c>
      <c r="T1153" s="3" t="n">
        <v>46309.74974537037</v>
      </c>
      <c r="U1153" s="2" t="n"/>
    </row>
    <row r="1154">
      <c r="A1154" s="2" t="inlineStr">
        <is>
          <t>Pendiente de adjudicación</t>
        </is>
      </c>
      <c r="B1154" s="3" t="n">
        <v>46230.54166666666</v>
      </c>
      <c r="C1154" s="5" t="n">
        <v>1539118.58</v>
      </c>
      <c r="D1154" s="5" t="n">
        <v>1539118.58</v>
      </c>
      <c r="E1154" s="2" t="inlineStr">
        <is>
          <t>Comunitat Valenciana</t>
        </is>
      </c>
      <c r="F1154" s="2" t="inlineStr">
        <is>
          <t>Alicante</t>
        </is>
      </c>
      <c r="G1154" s="2" t="n"/>
      <c r="H1154" s="2" t="inlineStr">
        <is>
          <t>Consejo de Administración de Aigües i Sanejament d'Elx S.A.</t>
        </is>
      </c>
      <c r="I1154" s="2" t="inlineStr">
        <is>
          <t>Obras de la Red de Ejecución del Coletor de Peña Águilas y Llano de San José. Enlaces Fases 1-4 con Colector Primario</t>
        </is>
      </c>
      <c r="J1154" s="2" t="inlineStr">
        <is>
          <t>2026/0012/OB</t>
        </is>
      </c>
      <c r="K1154" s="2" t="inlineStr">
        <is>
          <t>Abierto</t>
        </is>
      </c>
      <c r="L1154" s="6" t="n">
        <v>7</v>
      </c>
      <c r="M1154" s="2" t="n"/>
      <c r="N1154" s="7" t="n">
        <v>0.45</v>
      </c>
      <c r="O1154" s="4" t="n"/>
      <c r="P1154" s="2" t="inlineStr">
        <is>
          <t>45231300</t>
        </is>
      </c>
      <c r="Q1154" s="8" t="inlineStr">
        <is>
          <t>Ver</t>
        </is>
      </c>
      <c r="R1154" s="8" t="inlineStr">
        <is>
          <t>PCAP</t>
        </is>
      </c>
      <c r="S1154" s="9" t="n">
        <v>46310</v>
      </c>
      <c r="T1154" s="3" t="n">
        <v>46309.74383101852</v>
      </c>
      <c r="U1154" s="2" t="n"/>
    </row>
    <row r="1155">
      <c r="A1155" s="2" t="inlineStr">
        <is>
          <t>Pendiente de adjudicación</t>
        </is>
      </c>
      <c r="B1155" s="3" t="n">
        <v>46230.58333333334</v>
      </c>
      <c r="C1155" s="5" t="n">
        <v>351818.26</v>
      </c>
      <c r="D1155" s="5" t="n">
        <v>351818.26</v>
      </c>
      <c r="E1155" s="2" t="inlineStr">
        <is>
          <t>Andalucía</t>
        </is>
      </c>
      <c r="F1155" s="2" t="inlineStr">
        <is>
          <t>Málaga</t>
        </is>
      </c>
      <c r="G1155" s="2" t="n"/>
      <c r="H1155" s="2" t="inlineStr">
        <is>
          <t>Dirección General de Tráfico</t>
        </is>
      </c>
      <c r="I1155" s="2" t="inlineStr">
        <is>
          <t>Obra de instalación de equipamiento ITS en la A-7 tramo desde enlace A-7/A-357 hasta enlace A-7/AP-7 (Torremolinos).</t>
        </is>
      </c>
      <c r="J1155" s="2" t="inlineStr">
        <is>
          <t>3DGT6A000231</t>
        </is>
      </c>
      <c r="K1155" s="2" t="inlineStr">
        <is>
          <t>Abierto simplificado</t>
        </is>
      </c>
      <c r="L1155" s="6" t="n">
        <v>9</v>
      </c>
      <c r="M1155" s="2" t="n"/>
      <c r="N1155" s="7" t="n">
        <v>0.25</v>
      </c>
      <c r="O1155" s="4" t="n"/>
      <c r="P1155" s="2" t="inlineStr">
        <is>
          <t>45222300</t>
        </is>
      </c>
      <c r="Q1155" s="8" t="inlineStr">
        <is>
          <t>Ver</t>
        </is>
      </c>
      <c r="R1155" s="8" t="inlineStr">
        <is>
          <t>PCAP</t>
        </is>
      </c>
      <c r="S1155" s="9" t="n">
        <v>46310</v>
      </c>
      <c r="T1155" s="3" t="n">
        <v>46309.67</v>
      </c>
      <c r="U1155" s="2" t="n"/>
    </row>
    <row r="1156">
      <c r="A1156" s="2" t="inlineStr">
        <is>
          <t>En plazo</t>
        </is>
      </c>
      <c r="B1156" s="3" t="n">
        <v>46335.99930555555</v>
      </c>
      <c r="C1156" s="5" t="n">
        <v>929839.95</v>
      </c>
      <c r="D1156" s="5" t="n">
        <v>929839.95</v>
      </c>
      <c r="E1156" s="2" t="inlineStr">
        <is>
          <t>Andalucía</t>
        </is>
      </c>
      <c r="F1156" s="2" t="inlineStr">
        <is>
          <t>Córdoba</t>
        </is>
      </c>
      <c r="G1156" s="2" t="inlineStr">
        <is>
          <t>CABRA</t>
        </is>
      </c>
      <c r="H1156" s="2" t="inlineStr">
        <is>
          <t>Alcaldía del Ayuntamiento de Cabra</t>
        </is>
      </c>
      <c r="I1156" s="2" t="inlineStr">
        <is>
          <t>Servicio de redacción del proyecto básico y ejecución de obras, coordinación en materia de seguridad y salud durante la elaboración del proyecto, estudio de libro del edificio y la posterior ejecución de las obras de construcción de seis viviendas en alquiler social en edificios energéticamente eficientes, en el marco del capítulo VII del real decreto 853/2021 de 5 de octubre</t>
        </is>
      </c>
      <c r="J1156" s="2" t="inlineStr">
        <is>
          <t>2026/21080</t>
        </is>
      </c>
      <c r="K1156" s="2" t="inlineStr">
        <is>
          <t>Abierto</t>
        </is>
      </c>
      <c r="L1156" s="6" t="n">
        <v>12</v>
      </c>
      <c r="M1156" s="2" t="n"/>
      <c r="N1156" s="7" t="n">
        <v>0</v>
      </c>
      <c r="O1156" s="4" t="n"/>
      <c r="P1156" s="2" t="inlineStr">
        <is>
          <t>45211000; 71200000</t>
        </is>
      </c>
      <c r="Q1156" s="8" t="inlineStr">
        <is>
          <t>Ver</t>
        </is>
      </c>
      <c r="R1156" s="8" t="inlineStr">
        <is>
          <t>PCAP</t>
        </is>
      </c>
      <c r="S1156" s="9" t="n">
        <v>46310</v>
      </c>
      <c r="T1156" s="3" t="n">
        <v>46309.63292824074</v>
      </c>
      <c r="U1156" s="2" t="n"/>
    </row>
    <row r="1157">
      <c r="A1157" s="2" t="inlineStr">
        <is>
          <t>En plazo</t>
        </is>
      </c>
      <c r="B1157" s="3" t="n">
        <v>46330.79166666666</v>
      </c>
      <c r="C1157" s="5" t="n">
        <v>92561.98</v>
      </c>
      <c r="D1157" s="5" t="n">
        <v>92561.98</v>
      </c>
      <c r="E1157" s="2" t="inlineStr">
        <is>
          <t>Andalucía</t>
        </is>
      </c>
      <c r="F1157" s="2" t="inlineStr">
        <is>
          <t>Málaga</t>
        </is>
      </c>
      <c r="G1157" s="2" t="inlineStr">
        <is>
          <t>Yunquera</t>
        </is>
      </c>
      <c r="H1157" s="2" t="inlineStr">
        <is>
          <t>Alcaldía del Ayuntamiento de Yunquera</t>
        </is>
      </c>
      <c r="I1157" s="2" t="inlineStr">
        <is>
          <t>Adecuación Calle Calvario</t>
        </is>
      </c>
      <c r="J1157" s="2" t="inlineStr">
        <is>
          <t>307/2026</t>
        </is>
      </c>
      <c r="K1157" s="2" t="inlineStr">
        <is>
          <t>Abierto simplificado</t>
        </is>
      </c>
      <c r="L1157" s="6" t="n">
        <v>6</v>
      </c>
      <c r="M1157" s="2" t="n"/>
      <c r="N1157" s="7" t="n">
        <v>0.2</v>
      </c>
      <c r="O1157" s="4" t="n"/>
      <c r="P1157" s="2" t="inlineStr">
        <is>
          <t>45233251</t>
        </is>
      </c>
      <c r="Q1157" s="8" t="inlineStr">
        <is>
          <t>Ver</t>
        </is>
      </c>
      <c r="R1157" s="8" t="inlineStr">
        <is>
          <t>PCAP</t>
        </is>
      </c>
      <c r="S1157" s="9" t="n">
        <v>46310</v>
      </c>
      <c r="T1157" s="3" t="n">
        <v>46309.63162037037</v>
      </c>
      <c r="U1157" s="2" t="n"/>
    </row>
    <row r="1158">
      <c r="A1158" s="2" t="inlineStr">
        <is>
          <t>Pendiente de adjudicación</t>
        </is>
      </c>
      <c r="B1158" s="3" t="n">
        <v>46267.58333333334</v>
      </c>
      <c r="C1158" s="5" t="n">
        <v>74228.84</v>
      </c>
      <c r="D1158" s="5" t="n">
        <v>74228.84</v>
      </c>
      <c r="E1158" s="2" t="inlineStr">
        <is>
          <t>Andalucía</t>
        </is>
      </c>
      <c r="F1158" s="2" t="inlineStr">
        <is>
          <t>Granada</t>
        </is>
      </c>
      <c r="G1158" s="2" t="inlineStr">
        <is>
          <t>Albolote (Granada)</t>
        </is>
      </c>
      <c r="H1158" s="2" t="inlineStr">
        <is>
          <t>Junta de Gobierno del Ayuntamiento de Albolote</t>
        </is>
      </c>
      <c r="I1158" s="2" t="inlineStr">
        <is>
          <t>Obras de mejora del alumbrado publico en diversas calles de las urbanizaciones Loma Verde UE-21III y La Atalaya UE-23 de Albolote, en concreto las actuaciones sen van a llevar a cabo en dos urbanizaciones: Loma Verde y La Atalaya.</t>
        </is>
      </c>
      <c r="J1158" s="2" t="inlineStr">
        <is>
          <t>2951/2026</t>
        </is>
      </c>
      <c r="K1158" s="2" t="inlineStr">
        <is>
          <t>Abierto simplificado</t>
        </is>
      </c>
      <c r="L1158" s="6" t="n">
        <v>2</v>
      </c>
      <c r="M1158" s="2" t="inlineStr">
        <is>
          <t>I1-1</t>
        </is>
      </c>
      <c r="N1158" s="7" t="n">
        <v>0</v>
      </c>
      <c r="O1158" s="4" t="n"/>
      <c r="P1158" s="2" t="inlineStr">
        <is>
          <t>45316000; 45316100; 45259000</t>
        </is>
      </c>
      <c r="Q1158" s="8" t="inlineStr">
        <is>
          <t>Ver</t>
        </is>
      </c>
      <c r="R1158" s="8" t="inlineStr">
        <is>
          <t>PCAP</t>
        </is>
      </c>
      <c r="S1158" s="9" t="n">
        <v>46310</v>
      </c>
      <c r="T1158" s="3" t="n">
        <v>46309.63023148148</v>
      </c>
      <c r="U1158" s="2" t="n"/>
    </row>
    <row r="1159">
      <c r="A1159" s="2" t="inlineStr">
        <is>
          <t>Resuelta</t>
        </is>
      </c>
      <c r="B1159" s="3" t="n">
        <v>46219.99930555555</v>
      </c>
      <c r="C1159" s="5" t="n">
        <v>361903.75</v>
      </c>
      <c r="D1159" s="5" t="n">
        <v>361903.75</v>
      </c>
      <c r="E1159" s="2" t="inlineStr">
        <is>
          <t>Comunitat Valenciana</t>
        </is>
      </c>
      <c r="F1159" s="2" t="inlineStr">
        <is>
          <t>Valencia</t>
        </is>
      </c>
      <c r="G1159" s="2" t="n"/>
      <c r="H1159" s="2" t="inlineStr">
        <is>
          <t>Concejalía Delegada de Contratación del Ajuntament de Tavernes de la Valldigna</t>
        </is>
      </c>
      <c r="I1159" s="2" t="inlineStr">
        <is>
          <t>Finalización acondicionamiento ambiental vía ciclopeatonal río Vaca</t>
        </is>
      </c>
      <c r="J1159" s="2" t="inlineStr">
        <is>
          <t>2862369N</t>
        </is>
      </c>
      <c r="K1159" s="2" t="inlineStr">
        <is>
          <t>Negociado sin publicidad</t>
        </is>
      </c>
      <c r="L1159" s="6" t="n">
        <v>6</v>
      </c>
      <c r="M1159" s="2" t="n"/>
      <c r="N1159" s="7" t="n">
        <v>0</v>
      </c>
      <c r="O1159" s="4" t="n"/>
      <c r="P1159" s="2" t="inlineStr">
        <is>
          <t>45000000</t>
        </is>
      </c>
      <c r="Q1159" s="8" t="inlineStr">
        <is>
          <t>Ver</t>
        </is>
      </c>
      <c r="R1159" s="8" t="inlineStr">
        <is>
          <t>PCAP</t>
        </is>
      </c>
      <c r="S1159" s="9" t="n">
        <v>46310</v>
      </c>
      <c r="T1159" s="3" t="n">
        <v>46309.61981481482</v>
      </c>
      <c r="U1159" s="2" t="n"/>
    </row>
    <row r="1160">
      <c r="A1160" s="2" t="inlineStr">
        <is>
          <t>Resuelta</t>
        </is>
      </c>
      <c r="B1160" s="3" t="n">
        <v>46290.99930555555</v>
      </c>
      <c r="C1160" s="5" t="n">
        <v>47506.74</v>
      </c>
      <c r="D1160" s="5" t="n">
        <v>57483.16</v>
      </c>
      <c r="E1160" s="2" t="inlineStr">
        <is>
          <t>Andalucía</t>
        </is>
      </c>
      <c r="F1160" s="2" t="inlineStr">
        <is>
          <t>Almería</t>
        </is>
      </c>
      <c r="G1160" s="2" t="inlineStr">
        <is>
          <t>Pechina</t>
        </is>
      </c>
      <c r="H1160" s="2" t="inlineStr">
        <is>
          <t>Alcaldía del Ayuntamiento de Pechina</t>
        </is>
      </c>
      <c r="I1160" s="2" t="inlineStr">
        <is>
          <t>La ejecución de obras del "Proyecto de obra de adecuación de parcela a aparcamiento público", junto a Calle Turco nº 6 (zona de la Jarica) en Pechina (Almería)</t>
        </is>
      </c>
      <c r="J1160" s="2" t="inlineStr">
        <is>
          <t>1382/2026</t>
        </is>
      </c>
      <c r="K1160" s="2" t="inlineStr">
        <is>
          <t>Abierto simplificado</t>
        </is>
      </c>
      <c r="L1160" s="6" t="n">
        <v>3</v>
      </c>
      <c r="M1160" s="2" t="n"/>
      <c r="N1160" s="7" t="n">
        <v>0</v>
      </c>
      <c r="O1160" s="4" t="n"/>
      <c r="P1160" s="2" t="inlineStr">
        <is>
          <t>45223320</t>
        </is>
      </c>
      <c r="Q1160" s="8" t="inlineStr">
        <is>
          <t>Ver</t>
        </is>
      </c>
      <c r="R1160" s="8" t="inlineStr">
        <is>
          <t>PCAP</t>
        </is>
      </c>
      <c r="S1160" s="9" t="n">
        <v>46310</v>
      </c>
      <c r="T1160" s="3" t="n">
        <v>46309.61863425926</v>
      </c>
      <c r="U1160" s="2" t="n"/>
    </row>
    <row r="1161">
      <c r="A1161" s="2" t="inlineStr">
        <is>
          <t>Resuelta</t>
        </is>
      </c>
      <c r="B1161" s="3" t="n">
        <v>46272.99930555555</v>
      </c>
      <c r="C1161" s="5" t="n">
        <v>153266.31</v>
      </c>
      <c r="D1161" s="5" t="n">
        <v>153266.31</v>
      </c>
      <c r="E1161" s="2" t="inlineStr">
        <is>
          <t>Andalucía</t>
        </is>
      </c>
      <c r="F1161" s="2" t="inlineStr">
        <is>
          <t>Huelva</t>
        </is>
      </c>
      <c r="G1161" s="2" t="inlineStr">
        <is>
          <t>Punta Umbría</t>
        </is>
      </c>
      <c r="H1161" s="2" t="inlineStr">
        <is>
          <t>Alcaldía del Ayuntamiento de Punta umbría</t>
        </is>
      </c>
      <c r="I1161" s="2" t="inlineStr">
        <is>
          <t>Obras correspondientes al Proyecto de reposición de firmes de la Avda. Boulevar del Agua de Punta Umbría, incluido dentro del Programa de la Excma Provincial de Huelva: Tu Diputación actúa.</t>
        </is>
      </c>
      <c r="J1161" s="2" t="inlineStr">
        <is>
          <t>4595/2026</t>
        </is>
      </c>
      <c r="K1161" s="2" t="inlineStr">
        <is>
          <t>Abierto simplificado</t>
        </is>
      </c>
      <c r="L1161" s="6" t="n">
        <v>2</v>
      </c>
      <c r="M1161" s="2" t="n"/>
      <c r="N1161" s="7" t="n">
        <v>0</v>
      </c>
      <c r="O1161" s="4" t="n"/>
      <c r="P1161" s="2" t="inlineStr">
        <is>
          <t>45233222; 45233223; 45233252</t>
        </is>
      </c>
      <c r="Q1161" s="8" t="inlineStr">
        <is>
          <t>Ver</t>
        </is>
      </c>
      <c r="R1161" s="8" t="inlineStr">
        <is>
          <t>PCAP</t>
        </is>
      </c>
      <c r="S1161" s="9" t="n">
        <v>46310</v>
      </c>
      <c r="T1161" s="3" t="n">
        <v>46309.61835648148</v>
      </c>
      <c r="U1161" s="2" t="n"/>
    </row>
    <row r="1162">
      <c r="A1162" s="2" t="inlineStr">
        <is>
          <t>Pendiente de adjudicación</t>
        </is>
      </c>
      <c r="B1162" s="3" t="n">
        <v>46308.99930555555</v>
      </c>
      <c r="C1162" s="5" t="n">
        <v>49586.77</v>
      </c>
      <c r="D1162" s="5" t="n">
        <v>49586.77</v>
      </c>
      <c r="E1162" s="2" t="inlineStr">
        <is>
          <t>Andalucía</t>
        </is>
      </c>
      <c r="F1162" s="2" t="inlineStr">
        <is>
          <t>Málaga</t>
        </is>
      </c>
      <c r="G1162" s="2" t="n"/>
      <c r="H1162" s="2" t="inlineStr">
        <is>
          <t>Alcaldía del Ayuntamiento de Cortes de la Frontera</t>
        </is>
      </c>
      <c r="I1162" s="2" t="inlineStr">
        <is>
          <t>Ejecución de las obras correspondientes al proyecto de pavimentación y arreglo de vías publicas en Cortes de la Frontera,</t>
        </is>
      </c>
      <c r="J1162" s="2" t="inlineStr">
        <is>
          <t>2026/580</t>
        </is>
      </c>
      <c r="K1162" s="2" t="inlineStr">
        <is>
          <t>Abierto simplificado</t>
        </is>
      </c>
      <c r="L1162" s="6" t="n">
        <v>1</v>
      </c>
      <c r="M1162" s="2" t="n"/>
      <c r="N1162" s="7" t="n">
        <v>0</v>
      </c>
      <c r="O1162" s="4" t="n"/>
      <c r="P1162" s="2" t="inlineStr">
        <is>
          <t>45233300; 45233252</t>
        </is>
      </c>
      <c r="Q1162" s="8" t="inlineStr">
        <is>
          <t>Ver</t>
        </is>
      </c>
      <c r="R1162" s="8" t="inlineStr">
        <is>
          <t>PCAP</t>
        </is>
      </c>
      <c r="S1162" s="9" t="n">
        <v>46310</v>
      </c>
      <c r="T1162" s="3" t="n">
        <v>46309.61712962963</v>
      </c>
      <c r="U1162" s="2" t="n"/>
    </row>
    <row r="1163">
      <c r="A1163" s="2" t="inlineStr">
        <is>
          <t>Resuelta</t>
        </is>
      </c>
      <c r="B1163" s="3" t="n">
        <v>46245.99930555555</v>
      </c>
      <c r="C1163" s="5" t="n">
        <v>1307166.02</v>
      </c>
      <c r="D1163" s="5" t="n">
        <v>1307166.02</v>
      </c>
      <c r="E1163" s="2" t="inlineStr">
        <is>
          <t>Comunitat Valenciana</t>
        </is>
      </c>
      <c r="F1163" s="2" t="inlineStr">
        <is>
          <t>Valencia</t>
        </is>
      </c>
      <c r="G1163" s="2" t="inlineStr">
        <is>
          <t>Cullera</t>
        </is>
      </c>
      <c r="H1163" s="2" t="inlineStr">
        <is>
          <t>Alcaldía del Ayuntamiento de Cullera</t>
        </is>
      </c>
      <c r="I1163" s="2" t="inlineStr">
        <is>
          <t>Obras de Reurbanización de las calles:Dalt, San Francisco,Pl/Verdura, La Sèquia, Horts, Gils, Mare de Déu Bona Guia, Nou, San Vicente Ferrer, Ramón y Cajal y Santa Marta</t>
        </is>
      </c>
      <c r="J1163" s="2" t="inlineStr">
        <is>
          <t>2743309C</t>
        </is>
      </c>
      <c r="K1163" s="2" t="inlineStr">
        <is>
          <t>Abierto simplificado</t>
        </is>
      </c>
      <c r="L1163" s="6" t="n">
        <v>8</v>
      </c>
      <c r="M1163" s="2" t="inlineStr">
        <is>
          <t>G6-3; E1-3; A*-1</t>
        </is>
      </c>
      <c r="N1163" s="7" t="n">
        <v>0.15</v>
      </c>
      <c r="O1163" s="4" t="n"/>
      <c r="P1163" s="2" t="inlineStr">
        <is>
          <t>45111000; 45432112; 45233223; 44162500; 45233140; 45316000; 45233293</t>
        </is>
      </c>
      <c r="Q1163" s="8" t="inlineStr">
        <is>
          <t>Ver</t>
        </is>
      </c>
      <c r="R1163" s="8" t="inlineStr">
        <is>
          <t>PCAP</t>
        </is>
      </c>
      <c r="S1163" s="9" t="n">
        <v>46310</v>
      </c>
      <c r="T1163" s="3" t="n">
        <v>46309.61641203704</v>
      </c>
      <c r="U1163" s="2" t="n"/>
    </row>
    <row r="1164">
      <c r="A1164" s="2" t="inlineStr">
        <is>
          <t>En plazo</t>
        </is>
      </c>
      <c r="B1164" s="3" t="n">
        <v>46329.99930555555</v>
      </c>
      <c r="C1164" s="5" t="n">
        <v>128978.27</v>
      </c>
      <c r="D1164" s="5" t="n">
        <v>128978.27</v>
      </c>
      <c r="E1164" s="2" t="inlineStr">
        <is>
          <t>Andalucía</t>
        </is>
      </c>
      <c r="F1164" s="2" t="inlineStr">
        <is>
          <t>Granada</t>
        </is>
      </c>
      <c r="G1164" s="2" t="n"/>
      <c r="H1164" s="2" t="inlineStr">
        <is>
          <t>Junta de Gobierno del Ayuntamiento de Huétor Vega</t>
        </is>
      </c>
      <c r="I1164" s="2" t="inlineStr">
        <is>
          <t>Ejecución de las obras correspondientes al Pan de Pavimentación de Huétor Vega</t>
        </is>
      </c>
      <c r="J1164" s="2" t="inlineStr">
        <is>
          <t>4894-2026</t>
        </is>
      </c>
      <c r="K1164" s="2" t="inlineStr">
        <is>
          <t>Abierto simplificado</t>
        </is>
      </c>
      <c r="L1164" s="6" t="n">
        <v>1</v>
      </c>
      <c r="M1164" s="2" t="n"/>
      <c r="N1164" s="7" t="n">
        <v>0</v>
      </c>
      <c r="O1164" s="4" t="n"/>
      <c r="P1164" s="2" t="inlineStr">
        <is>
          <t>45233222; 45233223</t>
        </is>
      </c>
      <c r="Q1164" s="8" t="inlineStr">
        <is>
          <t>Ver</t>
        </is>
      </c>
      <c r="R1164" s="8" t="inlineStr">
        <is>
          <t>PCAP</t>
        </is>
      </c>
      <c r="S1164" s="9" t="n">
        <v>46310</v>
      </c>
      <c r="T1164" s="3" t="n">
        <v>46309.6054050926</v>
      </c>
      <c r="U1164" s="2" t="n"/>
    </row>
    <row r="1165">
      <c r="A1165" s="2" t="inlineStr">
        <is>
          <t>Pendiente de adjudicación</t>
        </is>
      </c>
      <c r="B1165" s="3" t="n">
        <v>46276.99930555555</v>
      </c>
      <c r="C1165" s="5" t="n">
        <v>130238.82</v>
      </c>
      <c r="D1165" s="5" t="n">
        <v>143262.7</v>
      </c>
      <c r="E1165" s="2" t="inlineStr">
        <is>
          <t>Andalucía</t>
        </is>
      </c>
      <c r="F1165" s="2" t="inlineStr">
        <is>
          <t>Sevilla</t>
        </is>
      </c>
      <c r="G1165" s="2" t="inlineStr">
        <is>
          <t>Sevilla</t>
        </is>
      </c>
      <c r="H1165" s="2" t="inlineStr">
        <is>
          <t>Dirección Provincial del Servicio Público de Empleo Estatal en Sevilla</t>
        </is>
      </c>
      <c r="I1165" s="2" t="inlineStr">
        <is>
          <t>Obra de sustitución de equipos de climatización en planta primera de Dirección Provincial de Sevilla del Servicio Público de Empleo Estatal</t>
        </is>
      </c>
      <c r="J1165" s="2" t="inlineStr">
        <is>
          <t>41/SE-1 /2026</t>
        </is>
      </c>
      <c r="K1165" s="2" t="inlineStr">
        <is>
          <t>Abierto simplificado</t>
        </is>
      </c>
      <c r="L1165" s="6" t="n">
        <v>2</v>
      </c>
      <c r="M1165" s="2" t="n"/>
      <c r="N1165" s="7" t="n">
        <v>0</v>
      </c>
      <c r="O1165" s="4" t="n"/>
      <c r="P1165" s="2" t="inlineStr">
        <is>
          <t>45000000; 45331220</t>
        </is>
      </c>
      <c r="Q1165" s="8" t="inlineStr">
        <is>
          <t>Ver</t>
        </is>
      </c>
      <c r="R1165" s="8" t="inlineStr">
        <is>
          <t>PCAP</t>
        </is>
      </c>
      <c r="S1165" s="9" t="n">
        <v>46310</v>
      </c>
      <c r="T1165" s="3" t="n">
        <v>46309.60180555555</v>
      </c>
      <c r="U1165" s="2" t="n"/>
    </row>
    <row r="1166">
      <c r="A1166" s="2" t="inlineStr">
        <is>
          <t>Resuelta</t>
        </is>
      </c>
      <c r="B1166" s="3" t="n">
        <v>46167.99930555555</v>
      </c>
      <c r="C1166" s="5" t="n">
        <v>451564.32</v>
      </c>
      <c r="D1166" s="5" t="n">
        <v>451564.32</v>
      </c>
      <c r="E1166" s="2" t="inlineStr">
        <is>
          <t>Comunitat Valenciana</t>
        </is>
      </c>
      <c r="F1166" s="2" t="inlineStr">
        <is>
          <t>Valencia</t>
        </is>
      </c>
      <c r="G1166" s="2" t="inlineStr">
        <is>
          <t>Valencia</t>
        </is>
      </c>
      <c r="H1166" s="2" t="inlineStr">
        <is>
          <t>Rectorado de la Universitat Politècnica de València</t>
        </is>
      </c>
      <c r="I1166" s="2" t="inlineStr">
        <is>
          <t>Obra de reparación de la cubierta de nivel 3 en el edificio 8B del campus de Vera de la Universitat Politècnica de València</t>
        </is>
      </c>
      <c r="J1166" s="2" t="inlineStr">
        <is>
          <t>MY26/VICC/O/23</t>
        </is>
      </c>
      <c r="K1166" s="2" t="inlineStr">
        <is>
          <t>Abierto</t>
        </is>
      </c>
      <c r="L1166" s="6" t="n">
        <v>3.5</v>
      </c>
      <c r="M1166" s="2" t="n"/>
      <c r="N1166" s="7" t="n">
        <v>0.45</v>
      </c>
      <c r="O1166" s="4" t="n"/>
      <c r="P1166" s="2" t="inlineStr">
        <is>
          <t>45430000</t>
        </is>
      </c>
      <c r="Q1166" s="8" t="inlineStr">
        <is>
          <t>Ver</t>
        </is>
      </c>
      <c r="R1166" s="2" t="n"/>
      <c r="S1166" s="9" t="n">
        <v>46310</v>
      </c>
      <c r="T1166" s="3" t="n">
        <v>46309.5996875</v>
      </c>
      <c r="U1166" s="2" t="n"/>
    </row>
    <row r="1167">
      <c r="A1167" s="2" t="inlineStr">
        <is>
          <t>Resuelta</t>
        </is>
      </c>
      <c r="B1167" s="3" t="n">
        <v>46252.99930555555</v>
      </c>
      <c r="C1167" s="5" t="n">
        <v>66287.97</v>
      </c>
      <c r="D1167" s="5" t="n">
        <v>66287.97</v>
      </c>
      <c r="E1167" s="2" t="inlineStr">
        <is>
          <t>Andalucía</t>
        </is>
      </c>
      <c r="F1167" s="2" t="inlineStr">
        <is>
          <t>Jaén</t>
        </is>
      </c>
      <c r="G1167" s="2" t="inlineStr">
        <is>
          <t>Castellar</t>
        </is>
      </c>
      <c r="H1167" s="2" t="inlineStr">
        <is>
          <t>Alcaldía del Ayuntamiento de Castellar</t>
        </is>
      </c>
      <c r="I1167" s="2" t="inlineStr">
        <is>
          <t>El objeto es regir la ejecución del contrato de obra REFORMA PARQUE INFANTIL.</t>
        </is>
      </c>
      <c r="J1167" s="2" t="inlineStr">
        <is>
          <t>466/2025</t>
        </is>
      </c>
      <c r="K1167" s="2" t="inlineStr">
        <is>
          <t>Abierto simplificado</t>
        </is>
      </c>
      <c r="L1167" s="6" t="n">
        <v>3</v>
      </c>
      <c r="M1167" s="2" t="n"/>
      <c r="N1167" s="7" t="n">
        <v>0</v>
      </c>
      <c r="O1167" s="4" t="n"/>
      <c r="P1167" s="2" t="inlineStr">
        <is>
          <t>45432111; 37535200</t>
        </is>
      </c>
      <c r="Q1167" s="8" t="inlineStr">
        <is>
          <t>Ver</t>
        </is>
      </c>
      <c r="R1167" s="8" t="inlineStr">
        <is>
          <t>PCAP</t>
        </is>
      </c>
      <c r="S1167" s="9" t="n">
        <v>46310</v>
      </c>
      <c r="T1167" s="3" t="n">
        <v>46309.59966435185</v>
      </c>
      <c r="U1167" s="2" t="n"/>
    </row>
    <row r="1168">
      <c r="A1168" s="2" t="inlineStr">
        <is>
          <t>En plazo</t>
        </is>
      </c>
      <c r="B1168" s="3" t="n">
        <v>46329.58333333334</v>
      </c>
      <c r="C1168" s="5" t="n">
        <v>58905</v>
      </c>
      <c r="D1168" s="5" t="n">
        <v>58905</v>
      </c>
      <c r="E1168" s="2" t="inlineStr">
        <is>
          <t>Comunitat Valenciana</t>
        </is>
      </c>
      <c r="F1168" s="2" t="inlineStr">
        <is>
          <t>Valencia</t>
        </is>
      </c>
      <c r="G1168" s="2" t="inlineStr">
        <is>
          <t>REQUENA</t>
        </is>
      </c>
      <c r="H1168" s="2" t="inlineStr">
        <is>
          <t>Alcaldía del Ayuntamiento de Requena</t>
        </is>
      </c>
      <c r="I1168" s="2" t="inlineStr">
        <is>
          <t>Ampliacion de centro Social en El Derramador - Requena</t>
        </is>
      </c>
      <c r="J1168" s="2" t="inlineStr">
        <is>
          <t>3022920A</t>
        </is>
      </c>
      <c r="K1168" s="2" t="inlineStr">
        <is>
          <t>Abierto simplificado</t>
        </is>
      </c>
      <c r="L1168" s="6" t="n">
        <v>6</v>
      </c>
      <c r="M1168" s="2" t="n"/>
      <c r="N1168" s="7" t="n">
        <v>0</v>
      </c>
      <c r="O1168" s="4" t="n"/>
      <c r="P1168" s="2" t="inlineStr">
        <is>
          <t>45000000</t>
        </is>
      </c>
      <c r="Q1168" s="8" t="inlineStr">
        <is>
          <t>Ver</t>
        </is>
      </c>
      <c r="R1168" s="8" t="inlineStr">
        <is>
          <t>PCAP</t>
        </is>
      </c>
      <c r="S1168" s="9" t="n">
        <v>46310</v>
      </c>
      <c r="T1168" s="3" t="n">
        <v>46309.59537037037</v>
      </c>
      <c r="U1168" s="2" t="n"/>
    </row>
    <row r="1169">
      <c r="A1169" s="2" t="inlineStr">
        <is>
          <t>Resuelta</t>
        </is>
      </c>
      <c r="B1169" s="3" t="n">
        <v>43487.45833333334</v>
      </c>
      <c r="C1169" s="5" t="n">
        <v>7098032.62</v>
      </c>
      <c r="D1169" s="5" t="n">
        <v>7098032.62</v>
      </c>
      <c r="E1169" s="2" t="inlineStr">
        <is>
          <t>Comunitat Valenciana</t>
        </is>
      </c>
      <c r="F1169" s="2" t="n"/>
      <c r="G1169" s="2" t="n"/>
      <c r="H1169" s="2" t="inlineStr">
        <is>
          <t>ADIF -Consejo de Administración</t>
        </is>
      </c>
      <c r="I1169" s="2" t="inlineStr">
        <is>
          <t>Redaccion de proyecto y ejecucion de obra: instalacion de bloqueo por liberacion automatica en via unica de la linea xativa - alcoi. plan nucleo de cercanias valencia/castello (2017 - 2025).</t>
        </is>
      </c>
      <c r="J1169" s="2" t="inlineStr">
        <is>
          <t>3.18/27507.0255</t>
        </is>
      </c>
      <c r="K1169" s="2" t="inlineStr">
        <is>
          <t>Abierto</t>
        </is>
      </c>
      <c r="L1169" s="6" t="n">
        <v>10</v>
      </c>
      <c r="M1169" s="2" t="n"/>
      <c r="N1169" s="7" t="n">
        <v>0.4</v>
      </c>
      <c r="O1169" s="4" t="n"/>
      <c r="P1169" s="2" t="inlineStr">
        <is>
          <t>45234115; 71300000</t>
        </is>
      </c>
      <c r="Q1169" s="8" t="inlineStr">
        <is>
          <t>Ver</t>
        </is>
      </c>
      <c r="R1169" s="8" t="inlineStr">
        <is>
          <t>PCAP</t>
        </is>
      </c>
      <c r="S1169" s="9" t="n">
        <v>46310</v>
      </c>
      <c r="T1169" s="3" t="n">
        <v>46309.59444444445</v>
      </c>
      <c r="U1169" s="2" t="n"/>
    </row>
    <row r="1170">
      <c r="A1170" s="2" t="inlineStr">
        <is>
          <t>Pendiente de adjudicación</t>
        </is>
      </c>
      <c r="B1170" s="3" t="n">
        <v>46262.99930555555</v>
      </c>
      <c r="C1170" s="5" t="n">
        <v>781819.35</v>
      </c>
      <c r="D1170" s="5" t="n">
        <v>781819.35</v>
      </c>
      <c r="E1170" s="2" t="inlineStr">
        <is>
          <t>Andalucía</t>
        </is>
      </c>
      <c r="F1170" s="2" t="inlineStr">
        <is>
          <t>Sevilla</t>
        </is>
      </c>
      <c r="G1170" s="2" t="n"/>
      <c r="H1170" s="2" t="inlineStr">
        <is>
          <t>Presidencia de la Diputación Provincial de Sevilla</t>
        </is>
      </c>
      <c r="I1170" s="2" t="inlineStr">
        <is>
          <t>Obras para la ejecución del proyecto de implantación de prensa de rechazo en la planta de tratamiento de residuos del complejo medioambiental Campiña 2000. (Marchena).</t>
        </is>
      </c>
      <c r="J1170" s="2" t="inlineStr">
        <is>
          <t>2026/000435-PAAS</t>
        </is>
      </c>
      <c r="K1170" s="2" t="inlineStr">
        <is>
          <t>Abierto simplificado</t>
        </is>
      </c>
      <c r="L1170" s="6" t="n">
        <v>4</v>
      </c>
      <c r="M1170" s="2" t="inlineStr">
        <is>
          <t>J5-3</t>
        </is>
      </c>
      <c r="N1170" s="7" t="n">
        <v>0.25</v>
      </c>
      <c r="O1170" s="4" t="n"/>
      <c r="P1170" s="2" t="inlineStr">
        <is>
          <t>45222100</t>
        </is>
      </c>
      <c r="Q1170" s="8" t="inlineStr">
        <is>
          <t>Ver</t>
        </is>
      </c>
      <c r="R1170" s="8" t="inlineStr">
        <is>
          <t>PCAP</t>
        </is>
      </c>
      <c r="S1170" s="9" t="n">
        <v>46310</v>
      </c>
      <c r="T1170" s="3" t="n">
        <v>46309.59226851852</v>
      </c>
      <c r="U1170" s="2" t="n"/>
    </row>
    <row r="1171">
      <c r="A1171" s="2" t="inlineStr">
        <is>
          <t>En plazo</t>
        </is>
      </c>
      <c r="B1171" s="3" t="n">
        <v>46329.99930555555</v>
      </c>
      <c r="C1171" s="5" t="n">
        <v>310701.71</v>
      </c>
      <c r="D1171" s="5" t="n">
        <v>310701.71</v>
      </c>
      <c r="E1171" s="2" t="inlineStr">
        <is>
          <t>Comunitat Valenciana</t>
        </is>
      </c>
      <c r="F1171" s="2" t="inlineStr">
        <is>
          <t>Valencia</t>
        </is>
      </c>
      <c r="G1171" s="2" t="inlineStr">
        <is>
          <t>Utiel</t>
        </is>
      </c>
      <c r="H1171" s="2" t="inlineStr">
        <is>
          <t>Alcaldía del Ayuntamiento de Utiel</t>
        </is>
      </c>
      <c r="I1171" s="2" t="inlineStr">
        <is>
          <t>Reurbanización de la C/ Beato Galvez de Utiel</t>
        </is>
      </c>
      <c r="J1171" s="2" t="inlineStr">
        <is>
          <t>431/2026</t>
        </is>
      </c>
      <c r="K1171" s="2" t="inlineStr">
        <is>
          <t>Abierto simplificado</t>
        </is>
      </c>
      <c r="L1171" s="6" t="n">
        <v>5</v>
      </c>
      <c r="M1171" s="2" t="n"/>
      <c r="N1171" s="7" t="n">
        <v>0</v>
      </c>
      <c r="O1171" s="4" t="n"/>
      <c r="P1171" s="2" t="inlineStr">
        <is>
          <t>45233252</t>
        </is>
      </c>
      <c r="Q1171" s="8" t="inlineStr">
        <is>
          <t>Ver</t>
        </is>
      </c>
      <c r="R1171" s="8" t="inlineStr">
        <is>
          <t>PCAP</t>
        </is>
      </c>
      <c r="S1171" s="9" t="n">
        <v>46310</v>
      </c>
      <c r="T1171" s="3" t="n">
        <v>46309.58885416666</v>
      </c>
      <c r="U1171" s="2" t="n"/>
    </row>
    <row r="1172">
      <c r="A1172" s="2" t="inlineStr">
        <is>
          <t>Resuelta</t>
        </is>
      </c>
      <c r="B1172" s="3" t="n">
        <v>46308.625</v>
      </c>
      <c r="C1172" s="5" t="n">
        <v>163682.17</v>
      </c>
      <c r="D1172" s="5" t="n">
        <v>163682.17</v>
      </c>
      <c r="E1172" s="2" t="inlineStr">
        <is>
          <t>Andalucía</t>
        </is>
      </c>
      <c r="F1172" s="2" t="inlineStr">
        <is>
          <t>Córdoba</t>
        </is>
      </c>
      <c r="G1172" s="2" t="n"/>
      <c r="H1172" s="2" t="inlineStr">
        <is>
          <t>Jefatura de Intendencia de Asuntos Económicos Sur</t>
        </is>
      </c>
      <c r="I1172" s="2" t="inlineStr">
        <is>
          <t>OBRA TC 204-21/25 de reparación y sustitución de la red de saneamiento y solería del patio/terraza, RLM Gran Capitán (Córdoba)</t>
        </is>
      </c>
      <c r="J1172" s="2" t="inlineStr">
        <is>
          <t>2026/ETSAE0226/00007415E</t>
        </is>
      </c>
      <c r="K1172" s="2" t="inlineStr">
        <is>
          <t>Abierto</t>
        </is>
      </c>
      <c r="L1172" s="6" t="n">
        <v>3</v>
      </c>
      <c r="M1172" s="2" t="n"/>
      <c r="N1172" s="7" t="n">
        <v>0</v>
      </c>
      <c r="O1172" s="4" t="n"/>
      <c r="P1172" s="2" t="inlineStr">
        <is>
          <t>45232410</t>
        </is>
      </c>
      <c r="Q1172" s="8" t="inlineStr">
        <is>
          <t>Ver</t>
        </is>
      </c>
      <c r="R1172" s="8" t="inlineStr">
        <is>
          <t>PCAP</t>
        </is>
      </c>
      <c r="S1172" s="9" t="n">
        <v>46310</v>
      </c>
      <c r="T1172" s="3" t="n">
        <v>46309.58866898148</v>
      </c>
      <c r="U1172" s="2" t="n"/>
    </row>
    <row r="1173">
      <c r="A1173" s="2" t="inlineStr">
        <is>
          <t>En plazo</t>
        </is>
      </c>
      <c r="B1173" s="3" t="n">
        <v>46338.99930555555</v>
      </c>
      <c r="C1173" s="5" t="n">
        <v>145132.82</v>
      </c>
      <c r="D1173" s="5" t="n">
        <v>145132.82</v>
      </c>
      <c r="E1173" s="2" t="inlineStr">
        <is>
          <t>Andalucía</t>
        </is>
      </c>
      <c r="F1173" s="2" t="inlineStr">
        <is>
          <t>Jaén</t>
        </is>
      </c>
      <c r="G1173" s="2" t="n"/>
      <c r="H1173" s="2" t="inlineStr">
        <is>
          <t>Alcaldía del Ayuntamiento de Jamilena</t>
        </is>
      </c>
      <c r="I1173" s="2" t="inlineStr">
        <is>
          <t>Construcción de Rotonda a la entrada del municipio de Jamilena</t>
        </is>
      </c>
      <c r="J1173" s="2" t="inlineStr">
        <is>
          <t>1137/2026</t>
        </is>
      </c>
      <c r="K1173" s="2" t="inlineStr">
        <is>
          <t>Abierto simplificado</t>
        </is>
      </c>
      <c r="L1173" s="6" t="n">
        <v>6</v>
      </c>
      <c r="M1173" s="2" t="n"/>
      <c r="N1173" s="7" t="n">
        <v>0</v>
      </c>
      <c r="O1173" s="4" t="n"/>
      <c r="P1173" s="2" t="inlineStr">
        <is>
          <t>45233128</t>
        </is>
      </c>
      <c r="Q1173" s="8" t="inlineStr">
        <is>
          <t>Ver</t>
        </is>
      </c>
      <c r="R1173" s="8" t="inlineStr">
        <is>
          <t>PCAP</t>
        </is>
      </c>
      <c r="S1173" s="9" t="n">
        <v>46310</v>
      </c>
      <c r="T1173" s="3" t="n">
        <v>46309.58770833333</v>
      </c>
      <c r="U1173" s="2" t="n"/>
    </row>
    <row r="1174">
      <c r="A1174" s="2" t="inlineStr">
        <is>
          <t>En plazo</t>
        </is>
      </c>
      <c r="B1174" s="3" t="n">
        <v>46323.99930555555</v>
      </c>
      <c r="C1174" s="5" t="n">
        <v>79995.87</v>
      </c>
      <c r="D1174" s="5" t="n">
        <v>79995.87</v>
      </c>
      <c r="E1174" s="2" t="inlineStr">
        <is>
          <t>Comunitat Valenciana</t>
        </is>
      </c>
      <c r="F1174" s="2" t="inlineStr">
        <is>
          <t>Alicante</t>
        </is>
      </c>
      <c r="G1174" s="2" t="n"/>
      <c r="H1174" s="2" t="inlineStr">
        <is>
          <t>Junta de Gobierno del Ayuntamiento de Mutxamel</t>
        </is>
      </c>
      <c r="I1174" s="2" t="inlineStr">
        <is>
          <t>Obras de nuevas cimentaciones y traslado de farolas de la Avda. Carlos Soler y adyacentes</t>
        </is>
      </c>
      <c r="J1174" s="2" t="inlineStr">
        <is>
          <t>47/26 MTX</t>
        </is>
      </c>
      <c r="K1174" s="2" t="inlineStr">
        <is>
          <t>Abierto simplificado</t>
        </is>
      </c>
      <c r="L1174" s="6" t="n">
        <v>3</v>
      </c>
      <c r="M1174" s="2" t="n"/>
      <c r="N1174" s="7" t="n">
        <v>0</v>
      </c>
      <c r="O1174" s="4" t="n"/>
      <c r="P1174" s="2" t="inlineStr">
        <is>
          <t>45316100; 45262210</t>
        </is>
      </c>
      <c r="Q1174" s="8" t="inlineStr">
        <is>
          <t>Ver</t>
        </is>
      </c>
      <c r="R1174" s="8" t="inlineStr">
        <is>
          <t>PCAP</t>
        </is>
      </c>
      <c r="S1174" s="9" t="n">
        <v>46310</v>
      </c>
      <c r="T1174" s="3" t="n">
        <v>46309.58753472222</v>
      </c>
      <c r="U1174" s="2" t="n"/>
    </row>
    <row r="1175">
      <c r="A1175" s="2" t="inlineStr">
        <is>
          <t>Adjudicada</t>
        </is>
      </c>
      <c r="B1175" s="3" t="n">
        <v>46279.99930555555</v>
      </c>
      <c r="C1175" s="5" t="n">
        <v>279230.28</v>
      </c>
      <c r="D1175" s="5" t="n">
        <v>279230.28</v>
      </c>
      <c r="E1175" s="2" t="inlineStr">
        <is>
          <t>Andalucía</t>
        </is>
      </c>
      <c r="F1175" s="2" t="inlineStr">
        <is>
          <t>Almería</t>
        </is>
      </c>
      <c r="G1175" s="2" t="inlineStr">
        <is>
          <t>VÍCAR</t>
        </is>
      </c>
      <c r="H1175" s="2" t="inlineStr">
        <is>
          <t>JUNTA DE GOBIERNO LOCAL AYUNTAMIENTO DE VÍCAR</t>
        </is>
      </c>
      <c r="I1175" s="2" t="inlineStr">
        <is>
          <t>Centro Social LLanos de Vícar (Almería), Act.nº15.1 Operación 4 del PAI-Vícar, Ciudad Verde, cofinanciado con un 85% por el Fondo Europeo de Desarrollo Regional (FEDER-PLAN EDIL), en el marco programa plurirregional de España del2021-2027</t>
        </is>
      </c>
      <c r="J1175" s="2" t="inlineStr">
        <is>
          <t>8532/2026</t>
        </is>
      </c>
      <c r="K1175" s="2" t="inlineStr">
        <is>
          <t>Abierto simplificado</t>
        </is>
      </c>
      <c r="L1175" s="6" t="n">
        <v>5</v>
      </c>
      <c r="M1175" s="2" t="n"/>
      <c r="N1175" s="7" t="n">
        <v>0.25</v>
      </c>
      <c r="O1175" s="4" t="n"/>
      <c r="P1175" s="2" t="inlineStr">
        <is>
          <t>45215200; 45262700; 45453000</t>
        </is>
      </c>
      <c r="Q1175" s="8" t="inlineStr">
        <is>
          <t>Ver</t>
        </is>
      </c>
      <c r="R1175" s="8" t="inlineStr">
        <is>
          <t>PCAP</t>
        </is>
      </c>
      <c r="S1175" s="9" t="n">
        <v>46310</v>
      </c>
      <c r="T1175" s="3" t="n">
        <v>46309.58424768518</v>
      </c>
      <c r="U1175" s="2" t="n"/>
    </row>
    <row r="1176">
      <c r="A1176" s="2" t="inlineStr">
        <is>
          <t>Resuelta</t>
        </is>
      </c>
      <c r="B1176" s="3" t="n">
        <v>46296.375</v>
      </c>
      <c r="C1176" s="5" t="n">
        <v>95612.73</v>
      </c>
      <c r="D1176" s="5" t="n">
        <v>95612.73</v>
      </c>
      <c r="E1176" s="2" t="inlineStr">
        <is>
          <t>Andalucía</t>
        </is>
      </c>
      <c r="F1176" s="2" t="inlineStr">
        <is>
          <t>Cádiz</t>
        </is>
      </c>
      <c r="G1176" s="2" t="n"/>
      <c r="H1176" s="2" t="inlineStr">
        <is>
          <t>Intendente de San Fernando</t>
        </is>
      </c>
      <c r="I1176" s="2" t="inlineStr">
        <is>
          <t>INFRA26-061 CB Reparación de carpinterías en la Escuela de Suboficiales. Lote 1</t>
        </is>
      </c>
      <c r="J1176" s="2" t="inlineStr">
        <is>
          <t>2026/AR43U/00002517E</t>
        </is>
      </c>
      <c r="K1176" s="2" t="inlineStr">
        <is>
          <t>Abierto</t>
        </is>
      </c>
      <c r="L1176" s="6" t="n">
        <v>2.3</v>
      </c>
      <c r="M1176" s="2" t="n"/>
      <c r="N1176" s="7" t="n">
        <v>0</v>
      </c>
      <c r="O1176" s="4" t="n"/>
      <c r="P1176" s="2" t="inlineStr">
        <is>
          <t>45000000</t>
        </is>
      </c>
      <c r="Q1176" s="8" t="inlineStr">
        <is>
          <t>Ver</t>
        </is>
      </c>
      <c r="R1176" s="8" t="inlineStr">
        <is>
          <t>PCAP</t>
        </is>
      </c>
      <c r="S1176" s="9" t="n">
        <v>46310</v>
      </c>
      <c r="T1176" s="3" t="n">
        <v>46309.58381944444</v>
      </c>
      <c r="U1176" s="2" t="n"/>
    </row>
    <row r="1177">
      <c r="A1177" s="2" t="inlineStr">
        <is>
          <t>Resuelta</t>
        </is>
      </c>
      <c r="B1177" s="3" t="n">
        <v>46295.375</v>
      </c>
      <c r="C1177" s="5" t="n">
        <v>339283.53</v>
      </c>
      <c r="D1177" s="5" t="n">
        <v>339283.53</v>
      </c>
      <c r="E1177" s="2" t="inlineStr">
        <is>
          <t>Andalucía</t>
        </is>
      </c>
      <c r="F1177" s="2" t="inlineStr">
        <is>
          <t>Cádiz</t>
        </is>
      </c>
      <c r="G1177" s="2" t="n"/>
      <c r="H1177" s="2" t="inlineStr">
        <is>
          <t>Intendente de San Fernando</t>
        </is>
      </c>
      <c r="I1177" s="2" t="inlineStr">
        <is>
          <t>INFRA 26-050 CB Obras de reparación y conservación cantina edif 2º camp Tear Lote 1</t>
        </is>
      </c>
      <c r="J1177" s="2" t="inlineStr">
        <is>
          <t>2026/AR43U/00002549E</t>
        </is>
      </c>
      <c r="K1177" s="2" t="inlineStr">
        <is>
          <t>Abierto</t>
        </is>
      </c>
      <c r="L1177" s="6" t="n">
        <v>2</v>
      </c>
      <c r="M1177" s="2" t="n"/>
      <c r="N1177" s="7" t="n">
        <v>0</v>
      </c>
      <c r="O1177" s="4" t="n"/>
      <c r="P1177" s="2" t="inlineStr">
        <is>
          <t>45400000</t>
        </is>
      </c>
      <c r="Q1177" s="8" t="inlineStr">
        <is>
          <t>Ver</t>
        </is>
      </c>
      <c r="R1177" s="8" t="inlineStr">
        <is>
          <t>PCAP</t>
        </is>
      </c>
      <c r="S1177" s="9" t="n">
        <v>46310</v>
      </c>
      <c r="T1177" s="3" t="n">
        <v>46309.58148148148</v>
      </c>
      <c r="U1177" s="2" t="n"/>
    </row>
    <row r="1178">
      <c r="A1178" s="2" t="inlineStr">
        <is>
          <t>Resuelta</t>
        </is>
      </c>
      <c r="B1178" s="3" t="n">
        <v>46190.95833333334</v>
      </c>
      <c r="C1178" s="5" t="n">
        <v>996058.12</v>
      </c>
      <c r="D1178" s="5" t="n">
        <v>1195264.74</v>
      </c>
      <c r="E1178" s="2" t="inlineStr">
        <is>
          <t>Comunitat Valenciana</t>
        </is>
      </c>
      <c r="F1178" s="2" t="inlineStr">
        <is>
          <t>Valencia</t>
        </is>
      </c>
      <c r="G1178" s="2" t="n"/>
      <c r="H1178" s="2" t="inlineStr">
        <is>
          <t>Consejo de Administración de la Societat Valenciana FIRA València S.A.</t>
        </is>
      </c>
      <c r="I1178" s="2" t="inlineStr">
        <is>
          <t>La renovación del sistema de detección de incendios y detección de CO del Parking de Societat Valenciana Fira València S.A</t>
        </is>
      </c>
      <c r="J1178" s="2" t="inlineStr">
        <is>
          <t>CMAYOR/2026/FIRAV/0028</t>
        </is>
      </c>
      <c r="K1178" s="2" t="inlineStr">
        <is>
          <t>Abierto</t>
        </is>
      </c>
      <c r="L1178" s="6" t="n">
        <v>5</v>
      </c>
      <c r="M1178" s="2" t="inlineStr">
        <is>
          <t>K9-4</t>
        </is>
      </c>
      <c r="N1178" s="7" t="n">
        <v>0.45</v>
      </c>
      <c r="O1178" s="4" t="n"/>
      <c r="P1178" s="2" t="inlineStr">
        <is>
          <t>45343000; 71321000; 45310000; 45331210; 31625100</t>
        </is>
      </c>
      <c r="Q1178" s="8" t="inlineStr">
        <is>
          <t>Ver</t>
        </is>
      </c>
      <c r="R1178" s="8" t="inlineStr">
        <is>
          <t>PCAP</t>
        </is>
      </c>
      <c r="S1178" s="9" t="n">
        <v>46310</v>
      </c>
      <c r="T1178" s="3" t="n">
        <v>46309.5781712963</v>
      </c>
      <c r="U1178" s="2" t="n"/>
    </row>
    <row r="1179">
      <c r="A1179" s="2" t="inlineStr">
        <is>
          <t>Resuelta</t>
        </is>
      </c>
      <c r="B1179" s="3" t="n">
        <v>46296.375</v>
      </c>
      <c r="C1179" s="5" t="n">
        <v>39789.66</v>
      </c>
      <c r="D1179" s="5" t="n">
        <v>39789.66</v>
      </c>
      <c r="E1179" s="2" t="inlineStr">
        <is>
          <t>Andalucía</t>
        </is>
      </c>
      <c r="F1179" s="2" t="inlineStr">
        <is>
          <t>Cádiz</t>
        </is>
      </c>
      <c r="G1179" s="2" t="n"/>
      <c r="H1179" s="2" t="inlineStr">
        <is>
          <t>Intendente de San Fernando</t>
        </is>
      </c>
      <c r="I1179" s="2" t="inlineStr">
        <is>
          <t>Reparaciones de carpinterias en los batallones del segundo campamento del TEAR Lote 7</t>
        </is>
      </c>
      <c r="J1179" s="2" t="inlineStr">
        <is>
          <t>2026/AR43U/00002521E</t>
        </is>
      </c>
      <c r="K1179" s="2" t="inlineStr">
        <is>
          <t>Abierto</t>
        </is>
      </c>
      <c r="L1179" s="6" t="n">
        <v>1.9</v>
      </c>
      <c r="M1179" s="2" t="n"/>
      <c r="N1179" s="7" t="n">
        <v>0</v>
      </c>
      <c r="O1179" s="4" t="n"/>
      <c r="P1179" s="2" t="inlineStr">
        <is>
          <t>45421100</t>
        </is>
      </c>
      <c r="Q1179" s="8" t="inlineStr">
        <is>
          <t>Ver</t>
        </is>
      </c>
      <c r="R1179" s="8" t="inlineStr">
        <is>
          <t>PCAP</t>
        </is>
      </c>
      <c r="S1179" s="9" t="n">
        <v>46310</v>
      </c>
      <c r="T1179" s="3" t="n">
        <v>46309.57776620371</v>
      </c>
      <c r="U1179" s="2" t="n"/>
    </row>
    <row r="1180">
      <c r="A1180" s="2" t="inlineStr">
        <is>
          <t>En plazo</t>
        </is>
      </c>
      <c r="B1180" s="3" t="n">
        <v>46323.99930555555</v>
      </c>
      <c r="C1180" s="5" t="n">
        <v>3936</v>
      </c>
      <c r="D1180" s="5" t="n">
        <v>3936</v>
      </c>
      <c r="E1180" s="2" t="inlineStr">
        <is>
          <t>Andalucía</t>
        </is>
      </c>
      <c r="F1180" s="2" t="inlineStr">
        <is>
          <t>Córdoba</t>
        </is>
      </c>
      <c r="G1180" s="2" t="n"/>
      <c r="H1180" s="2" t="inlineStr">
        <is>
          <t>Diputado delegado de Infraestructuras, Sostenibilidad y Agricultura</t>
        </is>
      </c>
      <c r="I1180" s="2" t="inlineStr">
        <is>
          <t>Contratación de la obra Remodelación de la instalación eléctrica de edificio para Consultorio Médico en la Aldea de Ojuelos Altos, en Fuente Obejuna (Córdoba). Obra incluida en el Plan de Aldeas 2024-2027.</t>
        </is>
      </c>
      <c r="J1180" s="2" t="inlineStr">
        <is>
          <t>714/26</t>
        </is>
      </c>
      <c r="K1180" s="2" t="inlineStr">
        <is>
          <t>Abierto simplificado</t>
        </is>
      </c>
      <c r="L1180" s="6" t="n">
        <v>1</v>
      </c>
      <c r="M1180" s="2" t="n"/>
      <c r="N1180" s="7" t="n">
        <v>0</v>
      </c>
      <c r="O1180" s="4" t="n"/>
      <c r="P1180" s="2" t="inlineStr">
        <is>
          <t>45310000</t>
        </is>
      </c>
      <c r="Q1180" s="8" t="inlineStr">
        <is>
          <t>Ver</t>
        </is>
      </c>
      <c r="R1180" s="8" t="inlineStr">
        <is>
          <t>PCAP</t>
        </is>
      </c>
      <c r="S1180" s="9" t="n">
        <v>46310</v>
      </c>
      <c r="T1180" s="3" t="n">
        <v>46309.57608796296</v>
      </c>
      <c r="U1180" s="2" t="n"/>
    </row>
    <row r="1181">
      <c r="A1181" s="2" t="inlineStr">
        <is>
          <t>Resuelta</t>
        </is>
      </c>
      <c r="B1181" s="3" t="n">
        <v>46216.99930555555</v>
      </c>
      <c r="C1181" s="5" t="n">
        <v>598148.76</v>
      </c>
      <c r="D1181" s="5" t="n">
        <v>598148.76</v>
      </c>
      <c r="E1181" s="2" t="inlineStr">
        <is>
          <t>Andalucía</t>
        </is>
      </c>
      <c r="F1181" s="2" t="inlineStr">
        <is>
          <t>Córdoba</t>
        </is>
      </c>
      <c r="G1181" s="2" t="n"/>
      <c r="H1181" s="2" t="inlineStr">
        <is>
          <t>Junta de Gobierno de la Diputación Provincial de Córdoba</t>
        </is>
      </c>
      <c r="I1181" s="2" t="inlineStr">
        <is>
          <t>Contrato de obra de Terminación del Centro Cultural, 3ª fase, en Espejo (Córdoba) (352/26)</t>
        </is>
      </c>
      <c r="J1181" s="2" t="inlineStr">
        <is>
          <t>352/26</t>
        </is>
      </c>
      <c r="K1181" s="2" t="inlineStr">
        <is>
          <t>Abierto</t>
        </is>
      </c>
      <c r="L1181" s="6" t="n">
        <v>10</v>
      </c>
      <c r="M1181" s="2" t="inlineStr">
        <is>
          <t>C6-2; C4-1; C7-1; C9-1</t>
        </is>
      </c>
      <c r="N1181" s="7" t="n">
        <v>0.25</v>
      </c>
      <c r="O1181" s="4" t="n"/>
      <c r="P1181" s="2" t="inlineStr">
        <is>
          <t>45212322; 45210000</t>
        </is>
      </c>
      <c r="Q1181" s="8" t="inlineStr">
        <is>
          <t>Ver</t>
        </is>
      </c>
      <c r="R1181" s="8" t="inlineStr">
        <is>
          <t>PCAP</t>
        </is>
      </c>
      <c r="S1181" s="9" t="n">
        <v>46310</v>
      </c>
      <c r="T1181" s="3" t="n">
        <v>46309.57240740741</v>
      </c>
      <c r="U1181" s="2" t="n"/>
    </row>
    <row r="1182">
      <c r="A1182" s="2" t="inlineStr">
        <is>
          <t>Resuelta</t>
        </is>
      </c>
      <c r="B1182" s="3" t="n">
        <v>46174.99930555555</v>
      </c>
      <c r="C1182" s="5" t="n">
        <v>120603.83</v>
      </c>
      <c r="D1182" s="5" t="n">
        <v>132664.21</v>
      </c>
      <c r="E1182" s="2" t="inlineStr">
        <is>
          <t>Comunitat Valenciana</t>
        </is>
      </c>
      <c r="F1182" s="2" t="inlineStr">
        <is>
          <t>Valencia</t>
        </is>
      </c>
      <c r="G1182" s="2" t="n"/>
      <c r="H1182" s="2" t="inlineStr">
        <is>
          <t>Junta de Gobierno del Ayuntamiento de Silla</t>
        </is>
      </c>
      <c r="I1182" s="2" t="inlineStr">
        <is>
          <t>Obra «Renovación y mejora del viario urbano: Calle Mare de Deu dels Desemparats, Avenida de la Generalitat y Avenida Ausiás March de Silla», incluida en el Plan Abierto de Inversiones 2024-2027 de la Diputación de Valencia</t>
        </is>
      </c>
      <c r="J1182" s="2" t="inlineStr">
        <is>
          <t>2793104M</t>
        </is>
      </c>
      <c r="K1182" s="2" t="inlineStr">
        <is>
          <t>Abierto simplificado</t>
        </is>
      </c>
      <c r="L1182" s="6" t="n">
        <v>6</v>
      </c>
      <c r="M1182" s="2" t="n"/>
      <c r="N1182" s="7" t="n">
        <v>0</v>
      </c>
      <c r="O1182" s="4" t="n">
        <v>3</v>
      </c>
      <c r="P1182" s="2" t="inlineStr">
        <is>
          <t>45233140; 45233221; 45112700</t>
        </is>
      </c>
      <c r="Q1182" s="8" t="inlineStr">
        <is>
          <t>Ver</t>
        </is>
      </c>
      <c r="R1182" s="8" t="inlineStr">
        <is>
          <t>PCAP</t>
        </is>
      </c>
      <c r="S1182" s="9" t="n">
        <v>46310</v>
      </c>
      <c r="T1182" s="3" t="n">
        <v>46309.56876157408</v>
      </c>
      <c r="U1182" s="2" t="n"/>
    </row>
    <row r="1183">
      <c r="A1183" s="2" t="inlineStr">
        <is>
          <t>Adjudicada</t>
        </is>
      </c>
      <c r="B1183" s="3" t="n">
        <v>46255.99930555555</v>
      </c>
      <c r="C1183" s="5" t="n">
        <v>70067.99000000001</v>
      </c>
      <c r="D1183" s="5" t="n">
        <v>70067.99000000001</v>
      </c>
      <c r="E1183" s="2" t="inlineStr">
        <is>
          <t>Andalucía</t>
        </is>
      </c>
      <c r="F1183" s="2" t="inlineStr">
        <is>
          <t>Córdoba</t>
        </is>
      </c>
      <c r="G1183" s="2" t="n"/>
      <c r="H1183" s="2" t="inlineStr">
        <is>
          <t>Alcaldia del Ayuntamiento de Palma del Río</t>
        </is>
      </c>
      <c r="I1183" s="2" t="inlineStr">
        <is>
          <t>Obras para el acondicionamiento y pintura fachadas del C.E.I.P. El Parque de Palma del Río (Córdoba), subvención excepcional de la Diputación Provincial de Córdoba</t>
        </is>
      </c>
      <c r="J1183" s="2" t="inlineStr">
        <is>
          <t>OB-05/2025</t>
        </is>
      </c>
      <c r="K1183" s="2" t="inlineStr">
        <is>
          <t>Abierto simplificado</t>
        </is>
      </c>
      <c r="L1183" s="6" t="n">
        <v>1.6</v>
      </c>
      <c r="M1183" s="2" t="n"/>
      <c r="N1183" s="7" t="n">
        <v>0</v>
      </c>
      <c r="O1183" s="4" t="n"/>
      <c r="P1183" s="2" t="inlineStr">
        <is>
          <t>45440000</t>
        </is>
      </c>
      <c r="Q1183" s="8" t="inlineStr">
        <is>
          <t>Ver</t>
        </is>
      </c>
      <c r="R1183" s="8" t="inlineStr">
        <is>
          <t>PCAP</t>
        </is>
      </c>
      <c r="S1183" s="9" t="n">
        <v>46310</v>
      </c>
      <c r="T1183" s="3" t="n">
        <v>46309.56763888889</v>
      </c>
      <c r="U1183" s="2" t="n"/>
    </row>
    <row r="1184">
      <c r="A1184" s="2" t="inlineStr">
        <is>
          <t>Pendiente de adjudicación</t>
        </is>
      </c>
      <c r="B1184" s="3" t="n">
        <v>46296.58333333334</v>
      </c>
      <c r="C1184" s="5" t="n">
        <v>97574.17999999999</v>
      </c>
      <c r="D1184" s="5" t="n">
        <v>97574.17999999999</v>
      </c>
      <c r="E1184" s="2" t="inlineStr">
        <is>
          <t>Comunitat Valenciana</t>
        </is>
      </c>
      <c r="F1184" s="2" t="inlineStr">
        <is>
          <t>Valencia</t>
        </is>
      </c>
      <c r="G1184" s="2" t="n"/>
      <c r="H1184" s="2" t="inlineStr">
        <is>
          <t>Concejalía Delegada de Contratación del Ayuntamiento de Gandía</t>
        </is>
      </c>
      <c r="I1184" s="2" t="inlineStr">
        <is>
          <t>Contrato de obra consistente en mejora, modernización y dotación de infraestructuras y servicios en el polígono Benieto, IVACE Ejercicios 2025-2026.</t>
        </is>
      </c>
      <c r="J1184" s="2" t="inlineStr">
        <is>
          <t>CONT-060/2026 (41988/2026)</t>
        </is>
      </c>
      <c r="K1184" s="2" t="inlineStr">
        <is>
          <t>Abierto simplificado</t>
        </is>
      </c>
      <c r="L1184" s="6" t="n">
        <v>2</v>
      </c>
      <c r="M1184" s="2" t="n"/>
      <c r="N1184" s="7" t="n">
        <v>0</v>
      </c>
      <c r="O1184" s="4" t="n"/>
      <c r="P1184" s="2" t="inlineStr">
        <is>
          <t>45233200; 45316100; 45112710</t>
        </is>
      </c>
      <c r="Q1184" s="8" t="inlineStr">
        <is>
          <t>Ver</t>
        </is>
      </c>
      <c r="R1184" s="8" t="inlineStr">
        <is>
          <t>PCAP</t>
        </is>
      </c>
      <c r="S1184" s="9" t="n">
        <v>46310</v>
      </c>
      <c r="T1184" s="3" t="n">
        <v>46309.56658564815</v>
      </c>
      <c r="U1184" s="2" t="n"/>
    </row>
    <row r="1185">
      <c r="A1185" s="2" t="inlineStr">
        <is>
          <t>En plazo</t>
        </is>
      </c>
      <c r="B1185" s="3" t="n">
        <v>46329.99930555555</v>
      </c>
      <c r="C1185" s="5" t="n">
        <v>102588.44</v>
      </c>
      <c r="D1185" s="5" t="n">
        <v>102588.44</v>
      </c>
      <c r="E1185" s="2" t="inlineStr">
        <is>
          <t>Andalucía</t>
        </is>
      </c>
      <c r="F1185" s="2" t="inlineStr">
        <is>
          <t>Granada</t>
        </is>
      </c>
      <c r="G1185" s="2" t="inlineStr">
        <is>
          <t>Santa Fe</t>
        </is>
      </c>
      <c r="H1185" s="2" t="inlineStr">
        <is>
          <t>Junta de Gobierno del Ayuntamiento de Santa Fe</t>
        </is>
      </c>
      <c r="I1185" s="2" t="inlineStr">
        <is>
          <t>Contrato administrativo de obras para la renovación del pavimento asfaltico en la calle Mariana Pineda de Santa Fe (Granada), financiada por la Administración General del Estado, a través del Ministerio de Política Territorial y Memoria Democrática.</t>
        </is>
      </c>
      <c r="J1185" s="2" t="inlineStr">
        <is>
          <t>5139/2026</t>
        </is>
      </c>
      <c r="K1185" s="2" t="inlineStr">
        <is>
          <t>Abierto simplificado</t>
        </is>
      </c>
      <c r="L1185" s="6" t="n">
        <v>1</v>
      </c>
      <c r="M1185" s="2" t="n"/>
      <c r="N1185" s="7" t="n">
        <v>0</v>
      </c>
      <c r="O1185" s="4" t="n"/>
      <c r="P1185" s="2" t="inlineStr">
        <is>
          <t>45233252</t>
        </is>
      </c>
      <c r="Q1185" s="8" t="inlineStr">
        <is>
          <t>Ver</t>
        </is>
      </c>
      <c r="R1185" s="8" t="inlineStr">
        <is>
          <t>PCAP</t>
        </is>
      </c>
      <c r="S1185" s="9" t="n">
        <v>46310</v>
      </c>
      <c r="T1185" s="3" t="n">
        <v>46309.56608796296</v>
      </c>
      <c r="U1185" s="2" t="n"/>
    </row>
    <row r="1186">
      <c r="A1186" s="2" t="inlineStr">
        <is>
          <t>Resuelta</t>
        </is>
      </c>
      <c r="B1186" s="3" t="n">
        <v>46280.99930555555</v>
      </c>
      <c r="C1186" s="5" t="n">
        <v>371900.83</v>
      </c>
      <c r="D1186" s="5" t="n">
        <v>371900.83</v>
      </c>
      <c r="E1186" s="2" t="inlineStr">
        <is>
          <t>Andalucía</t>
        </is>
      </c>
      <c r="F1186" s="2" t="inlineStr">
        <is>
          <t>Córdoba</t>
        </is>
      </c>
      <c r="G1186" s="2" t="inlineStr">
        <is>
          <t>Bujalance</t>
        </is>
      </c>
      <c r="H1186" s="2" t="inlineStr">
        <is>
          <t>Junta de Gobierno de la Diputación Provincial de Córdoba</t>
        </is>
      </c>
      <c r="I1186" s="2" t="inlineStr">
        <is>
          <t>Contratación de la obra reforma del Teatro Español en Bujalance(Córdoba), obra incluida en los Planes Provinciales de Obras y Servicios 2024-2027 (bienio 2026-2027).</t>
        </is>
      </c>
      <c r="J1186" s="2" t="inlineStr">
        <is>
          <t>627/26</t>
        </is>
      </c>
      <c r="K1186" s="2" t="inlineStr">
        <is>
          <t>Abierto</t>
        </is>
      </c>
      <c r="L1186" s="6" t="n">
        <v>6</v>
      </c>
      <c r="M1186" s="2" t="n"/>
      <c r="N1186" s="7" t="n">
        <v>0.25</v>
      </c>
      <c r="O1186" s="4" t="n"/>
      <c r="P1186" s="2" t="inlineStr">
        <is>
          <t>45220000</t>
        </is>
      </c>
      <c r="Q1186" s="8" t="inlineStr">
        <is>
          <t>Ver</t>
        </is>
      </c>
      <c r="R1186" s="8" t="inlineStr">
        <is>
          <t>PCAP</t>
        </is>
      </c>
      <c r="S1186" s="9" t="n">
        <v>46310</v>
      </c>
      <c r="T1186" s="3" t="n">
        <v>46309.56577546296</v>
      </c>
      <c r="U1186" s="2" t="n"/>
    </row>
    <row r="1187">
      <c r="A1187" s="2" t="inlineStr">
        <is>
          <t>Adjudicada</t>
        </is>
      </c>
      <c r="B1187" s="3" t="n">
        <v>46280.99930555555</v>
      </c>
      <c r="C1187" s="5" t="n">
        <v>93422.45</v>
      </c>
      <c r="D1187" s="5" t="n">
        <v>93422.45</v>
      </c>
      <c r="E1187" s="2" t="inlineStr">
        <is>
          <t>Andalucía</t>
        </is>
      </c>
      <c r="F1187" s="2" t="inlineStr">
        <is>
          <t>Málaga</t>
        </is>
      </c>
      <c r="G1187" s="2" t="n"/>
      <c r="H1187" s="2" t="inlineStr">
        <is>
          <t>Alcaldía del Ayuntamiento de Álora</t>
        </is>
      </c>
      <c r="I1187" s="2" t="inlineStr">
        <is>
          <t>Estabilización deslizamiento en Calle Uriquí y Santa Argentea</t>
        </is>
      </c>
      <c r="J1187" s="2" t="inlineStr">
        <is>
          <t>9/2026</t>
        </is>
      </c>
      <c r="K1187" s="2" t="inlineStr">
        <is>
          <t>Abierto</t>
        </is>
      </c>
      <c r="L1187" s="6" t="n">
        <v>4</v>
      </c>
      <c r="M1187" s="2" t="n"/>
      <c r="N1187" s="7" t="n">
        <v>0</v>
      </c>
      <c r="O1187" s="4" t="n"/>
      <c r="P1187" s="2" t="inlineStr">
        <is>
          <t>45262620; 45262311</t>
        </is>
      </c>
      <c r="Q1187" s="8" t="inlineStr">
        <is>
          <t>Ver</t>
        </is>
      </c>
      <c r="R1187" s="8" t="inlineStr">
        <is>
          <t>PCAP</t>
        </is>
      </c>
      <c r="S1187" s="9" t="n">
        <v>46310</v>
      </c>
      <c r="T1187" s="3" t="n">
        <v>46309.56518518519</v>
      </c>
      <c r="U1187" s="2" t="n"/>
    </row>
    <row r="1188">
      <c r="A1188" s="2" t="inlineStr">
        <is>
          <t>Pendiente de adjudicación</t>
        </is>
      </c>
      <c r="B1188" s="3" t="n">
        <v>46231.58333333334</v>
      </c>
      <c r="C1188" s="5" t="n">
        <v>11298571.19</v>
      </c>
      <c r="D1188" s="5" t="n">
        <v>11298571.19</v>
      </c>
      <c r="E1188" s="2" t="inlineStr">
        <is>
          <t>Comunitat Valenciana</t>
        </is>
      </c>
      <c r="F1188" s="2" t="inlineStr">
        <is>
          <t>Valencia</t>
        </is>
      </c>
      <c r="G1188" s="2" t="n"/>
      <c r="H1188" s="2" t="inlineStr">
        <is>
          <t>Presidencia de la Entidad Valenciana de Vivienda y Suelo</t>
        </is>
      </c>
      <c r="I1188" s="2" t="inlineStr">
        <is>
          <t>Obras de Edificio de 69 Viviendas de Protección Pública, y 77 Plazas de Aparcamiento, en la confluencia de las calles Vicente Alexandre y San Pedro Poveda, de Alicante.</t>
        </is>
      </c>
      <c r="J1188" s="2" t="inlineStr">
        <is>
          <t>CMAYOR/2026/EVHA/0006</t>
        </is>
      </c>
      <c r="K1188" s="2" t="inlineStr">
        <is>
          <t>Abierto</t>
        </is>
      </c>
      <c r="L1188" s="6" t="n">
        <v>24</v>
      </c>
      <c r="M1188" s="2" t="inlineStr">
        <is>
          <t>C6-6; C*-6; C2-6</t>
        </is>
      </c>
      <c r="N1188" s="7" t="n">
        <v>0.3</v>
      </c>
      <c r="O1188" s="4" t="n"/>
      <c r="P1188" s="2" t="inlineStr">
        <is>
          <t>45211340</t>
        </is>
      </c>
      <c r="Q1188" s="8" t="inlineStr">
        <is>
          <t>Ver</t>
        </is>
      </c>
      <c r="R1188" s="8" t="inlineStr">
        <is>
          <t>PCAP</t>
        </is>
      </c>
      <c r="S1188" s="9" t="n">
        <v>46310</v>
      </c>
      <c r="T1188" s="3" t="n">
        <v>46309.56424768519</v>
      </c>
      <c r="U1188" s="2" t="n"/>
    </row>
    <row r="1189">
      <c r="A1189" s="2" t="inlineStr">
        <is>
          <t>En plazo</t>
        </is>
      </c>
      <c r="B1189" s="3" t="n">
        <v>46329.99930555555</v>
      </c>
      <c r="C1189" s="5" t="n">
        <v>326532.3</v>
      </c>
      <c r="D1189" s="5" t="n">
        <v>326532.3</v>
      </c>
      <c r="E1189" s="2" t="inlineStr">
        <is>
          <t>Comunitat Valenciana</t>
        </is>
      </c>
      <c r="F1189" s="2" t="inlineStr">
        <is>
          <t>Valencia</t>
        </is>
      </c>
      <c r="G1189" s="2" t="inlineStr">
        <is>
          <t>Utiel</t>
        </is>
      </c>
      <c r="H1189" s="2" t="inlineStr">
        <is>
          <t>Alcaldía del Ayuntamiento de Utiel</t>
        </is>
      </c>
      <c r="I1189" s="2" t="inlineStr">
        <is>
          <t>Sede de banda de música de la Aldea de Las Cuevas de Utiel,</t>
        </is>
      </c>
      <c r="J1189" s="2" t="inlineStr">
        <is>
          <t>894/2026</t>
        </is>
      </c>
      <c r="K1189" s="2" t="inlineStr">
        <is>
          <t>Abierto simplificado</t>
        </is>
      </c>
      <c r="L1189" s="6" t="n">
        <v>12</v>
      </c>
      <c r="M1189" s="2" t="n"/>
      <c r="N1189" s="7" t="n">
        <v>0</v>
      </c>
      <c r="O1189" s="4" t="n"/>
      <c r="P1189" s="2" t="inlineStr">
        <is>
          <t>45210000</t>
        </is>
      </c>
      <c r="Q1189" s="8" t="inlineStr">
        <is>
          <t>Ver</t>
        </is>
      </c>
      <c r="R1189" s="8" t="inlineStr">
        <is>
          <t>PCAP</t>
        </is>
      </c>
      <c r="S1189" s="9" t="n">
        <v>46310</v>
      </c>
      <c r="T1189" s="3" t="n">
        <v>46309.56297453704</v>
      </c>
      <c r="U1189" s="2" t="n"/>
    </row>
    <row r="1190">
      <c r="A1190" s="2" t="inlineStr">
        <is>
          <t>Resuelta</t>
        </is>
      </c>
      <c r="B1190" s="3" t="n">
        <v>46273.99930555555</v>
      </c>
      <c r="C1190" s="5" t="n">
        <v>78512.39</v>
      </c>
      <c r="D1190" s="5" t="n">
        <v>86363.63</v>
      </c>
      <c r="E1190" s="2" t="inlineStr">
        <is>
          <t>Comunitat Valenciana</t>
        </is>
      </c>
      <c r="F1190" s="2" t="inlineStr">
        <is>
          <t>Alicante</t>
        </is>
      </c>
      <c r="G1190" s="2" t="inlineStr">
        <is>
          <t>Ondara</t>
        </is>
      </c>
      <c r="H1190" s="2" t="inlineStr">
        <is>
          <t>Junta de Gobierno del Ayuntamiento de Ondara</t>
        </is>
      </c>
      <c r="I1190" s="2" t="inlineStr">
        <is>
          <t>Millores a l'avinguda Marina Alta. Pla Inversions 2026 IFS</t>
        </is>
      </c>
      <c r="J1190" s="2" t="inlineStr">
        <is>
          <t>2637/2026</t>
        </is>
      </c>
      <c r="K1190" s="2" t="inlineStr">
        <is>
          <t>Abierto simplificado</t>
        </is>
      </c>
      <c r="L1190" s="6" t="n"/>
      <c r="M1190" s="2" t="n"/>
      <c r="N1190" s="7" t="n">
        <v>0</v>
      </c>
      <c r="O1190" s="4" t="n"/>
      <c r="P1190" s="2" t="inlineStr">
        <is>
          <t>45211360; 45316100</t>
        </is>
      </c>
      <c r="Q1190" s="8" t="inlineStr">
        <is>
          <t>Ver</t>
        </is>
      </c>
      <c r="R1190" s="8" t="inlineStr">
        <is>
          <t>PCAP</t>
        </is>
      </c>
      <c r="S1190" s="9" t="n">
        <v>46310</v>
      </c>
      <c r="T1190" s="3" t="n">
        <v>46309.55842592593</v>
      </c>
      <c r="U1190" s="2" t="n"/>
    </row>
    <row r="1191">
      <c r="A1191" s="2" t="inlineStr">
        <is>
          <t>Adjudicada</t>
        </is>
      </c>
      <c r="B1191" s="3" t="n">
        <v>46190.99930555555</v>
      </c>
      <c r="C1191" s="5" t="n">
        <v>232231.4</v>
      </c>
      <c r="D1191" s="5" t="n">
        <v>232231.4</v>
      </c>
      <c r="E1191" s="2" t="inlineStr">
        <is>
          <t>Andalucía</t>
        </is>
      </c>
      <c r="F1191" s="2" t="inlineStr">
        <is>
          <t>Almería</t>
        </is>
      </c>
      <c r="G1191" s="2" t="n"/>
      <c r="H1191" s="2" t="inlineStr">
        <is>
          <t>Junta de Gobierno de la Diputación Provincial de Almería</t>
        </is>
      </c>
      <c r="I1191" s="2" t="inlineStr">
        <is>
          <t>Mejora De Acceso A La Entrada A Alcontar 81PPOS24-27BI</t>
        </is>
      </c>
      <c r="J1191" s="2" t="inlineStr">
        <is>
          <t>2025/D31000/006-013/00201</t>
        </is>
      </c>
      <c r="K1191" s="2" t="inlineStr">
        <is>
          <t>Abierto simplificado</t>
        </is>
      </c>
      <c r="L1191" s="6" t="n">
        <v>4.1</v>
      </c>
      <c r="M1191" s="2" t="n"/>
      <c r="N1191" s="7" t="n">
        <v>0.25</v>
      </c>
      <c r="O1191" s="4" t="n"/>
      <c r="P1191" s="2" t="inlineStr">
        <is>
          <t>45233340</t>
        </is>
      </c>
      <c r="Q1191" s="8" t="inlineStr">
        <is>
          <t>Ver</t>
        </is>
      </c>
      <c r="R1191" s="8" t="inlineStr">
        <is>
          <t>PCAP</t>
        </is>
      </c>
      <c r="S1191" s="9" t="n">
        <v>46310</v>
      </c>
      <c r="T1191" s="3" t="n">
        <v>46309.5565162037</v>
      </c>
      <c r="U1191" s="2" t="n"/>
    </row>
    <row r="1192">
      <c r="A1192" s="2" t="inlineStr">
        <is>
          <t>En plazo</t>
        </is>
      </c>
      <c r="B1192" s="3" t="n">
        <v>46323.99930555555</v>
      </c>
      <c r="C1192" s="5" t="n">
        <v>49586.78</v>
      </c>
      <c r="D1192" s="5" t="n">
        <v>49586.78</v>
      </c>
      <c r="E1192" s="2" t="inlineStr">
        <is>
          <t>Andalucía</t>
        </is>
      </c>
      <c r="F1192" s="2" t="inlineStr">
        <is>
          <t>Cádiz</t>
        </is>
      </c>
      <c r="G1192" s="2" t="n"/>
      <c r="H1192" s="2" t="inlineStr">
        <is>
          <t>Alcaldía del Ayuntamiento de Trebujena</t>
        </is>
      </c>
      <c r="I1192" s="2" t="inlineStr">
        <is>
          <t>Contrato de obras consistente en la ejecución del proyecto "Restauración de fachadas exteriores en pabellón municipal de Trebujena" incluido en el plan de adecuación y mejora de instalaciones y espacios deportivos 2026 (PAMIED 2026), de la Excma. Diputación de Cádiz.</t>
        </is>
      </c>
      <c r="J1192" s="2" t="inlineStr">
        <is>
          <t>2026/2364/02</t>
        </is>
      </c>
      <c r="K1192" s="2" t="inlineStr">
        <is>
          <t>Abierto simplificado</t>
        </is>
      </c>
      <c r="L1192" s="6" t="n">
        <v>5</v>
      </c>
      <c r="M1192" s="2" t="n"/>
      <c r="N1192" s="7" t="n">
        <v>0</v>
      </c>
      <c r="O1192" s="4" t="n"/>
      <c r="P1192" s="2" t="inlineStr">
        <is>
          <t>45443000</t>
        </is>
      </c>
      <c r="Q1192" s="8" t="inlineStr">
        <is>
          <t>Ver</t>
        </is>
      </c>
      <c r="R1192" s="8" t="inlineStr">
        <is>
          <t>PCAP</t>
        </is>
      </c>
      <c r="S1192" s="9" t="n">
        <v>46310</v>
      </c>
      <c r="T1192" s="3" t="n">
        <v>46309.55476851852</v>
      </c>
      <c r="U1192" s="2" t="n"/>
    </row>
    <row r="1193">
      <c r="A1193" s="2" t="inlineStr">
        <is>
          <t>En plazo</t>
        </is>
      </c>
      <c r="B1193" s="3" t="n">
        <v>46329.99930555555</v>
      </c>
      <c r="C1193" s="5" t="n">
        <v>255330.58</v>
      </c>
      <c r="D1193" s="5" t="n">
        <v>255330.58</v>
      </c>
      <c r="E1193" s="2" t="inlineStr">
        <is>
          <t>Andalucía</t>
        </is>
      </c>
      <c r="F1193" s="2" t="inlineStr">
        <is>
          <t>Granada</t>
        </is>
      </c>
      <c r="G1193" s="2" t="inlineStr">
        <is>
          <t>Santa Fe</t>
        </is>
      </c>
      <c r="H1193" s="2" t="inlineStr">
        <is>
          <t>Junta de Gobierno del Ayuntamiento de Santa Fe</t>
        </is>
      </c>
      <c r="I1193" s="2" t="inlineStr">
        <is>
          <t>Contrato administrativo de obras para la ejecución del Plan de Asfaltado 2026 del municipio de Santa Fe (Granada)</t>
        </is>
      </c>
      <c r="J1193" s="2" t="inlineStr">
        <is>
          <t>4654/2026</t>
        </is>
      </c>
      <c r="K1193" s="2" t="inlineStr">
        <is>
          <t>Abierto simplificado</t>
        </is>
      </c>
      <c r="L1193" s="6" t="n">
        <v>2</v>
      </c>
      <c r="M1193" s="2" t="n"/>
      <c r="N1193" s="7" t="n">
        <v>0</v>
      </c>
      <c r="O1193" s="4" t="n"/>
      <c r="P1193" s="2" t="inlineStr">
        <is>
          <t>45233252</t>
        </is>
      </c>
      <c r="Q1193" s="8" t="inlineStr">
        <is>
          <t>Ver</t>
        </is>
      </c>
      <c r="R1193" s="8" t="inlineStr">
        <is>
          <t>PCAP</t>
        </is>
      </c>
      <c r="S1193" s="9" t="n">
        <v>46310</v>
      </c>
      <c r="T1193" s="3" t="n">
        <v>46309.55333333334</v>
      </c>
      <c r="U1193" s="2" t="n"/>
    </row>
    <row r="1194">
      <c r="A1194" s="2" t="inlineStr">
        <is>
          <t>Pendiente de adjudicación</t>
        </is>
      </c>
      <c r="B1194" s="3" t="n">
        <v>46195.99930555555</v>
      </c>
      <c r="C1194" s="5" t="n">
        <v>650987.6</v>
      </c>
      <c r="D1194" s="5" t="n">
        <v>650987.6</v>
      </c>
      <c r="E1194" s="2" t="inlineStr">
        <is>
          <t>Andalucía</t>
        </is>
      </c>
      <c r="F1194" s="2" t="inlineStr">
        <is>
          <t>Málaga</t>
        </is>
      </c>
      <c r="G1194" s="2" t="n"/>
      <c r="H1194" s="2" t="inlineStr">
        <is>
          <t>Junta de Gobierno del Ayuntamiento de Marbella</t>
        </is>
      </c>
      <c r="I1194" s="2" t="inlineStr">
        <is>
          <t>Contratación de la Obra Ejecución de Acerados en calle Incosol tramos numerados de 4 al 8, desde la comunidad Monte Salma en Avenida Ángel de Miguel hasta la comunidad Lomas de Río Real en avenida Alcudia. T.M. Marbella Málaga)</t>
        </is>
      </c>
      <c r="J1194" s="2" t="inlineStr">
        <is>
          <t>OB 185/26</t>
        </is>
      </c>
      <c r="K1194" s="2" t="inlineStr">
        <is>
          <t>Abierto</t>
        </is>
      </c>
      <c r="L1194" s="6" t="n">
        <v>5</v>
      </c>
      <c r="M1194" s="2" t="n"/>
      <c r="N1194" s="7" t="n">
        <v>0.45</v>
      </c>
      <c r="O1194" s="4" t="n"/>
      <c r="P1194" s="2" t="inlineStr">
        <is>
          <t>45233140; 45233340</t>
        </is>
      </c>
      <c r="Q1194" s="8" t="inlineStr">
        <is>
          <t>Ver</t>
        </is>
      </c>
      <c r="R1194" s="8" t="inlineStr">
        <is>
          <t>PCAP</t>
        </is>
      </c>
      <c r="S1194" s="9" t="n">
        <v>46310</v>
      </c>
      <c r="T1194" s="3" t="n">
        <v>46309.55333333334</v>
      </c>
      <c r="U1194" s="2" t="n"/>
    </row>
    <row r="1195">
      <c r="A1195" s="2" t="inlineStr">
        <is>
          <t>Resuelta</t>
        </is>
      </c>
      <c r="B1195" s="3" t="n">
        <v>46293.99930555555</v>
      </c>
      <c r="C1195" s="5" t="n">
        <v>4000</v>
      </c>
      <c r="D1195" s="5" t="n">
        <v>4000</v>
      </c>
      <c r="E1195" s="2" t="inlineStr">
        <is>
          <t>Comunitat Valenciana</t>
        </is>
      </c>
      <c r="F1195" s="2" t="inlineStr">
        <is>
          <t>Valencia</t>
        </is>
      </c>
      <c r="G1195" s="2" t="n"/>
      <c r="H1195" s="2" t="inlineStr">
        <is>
          <t>Junta de Gobierno del Ayuntamiento de Alzira</t>
        </is>
      </c>
      <c r="I1195" s="2" t="inlineStr">
        <is>
          <t>Mantenimiento de las instalaciones eléctricas de baja tensión y de alumbrado exterior</t>
        </is>
      </c>
      <c r="J1195" s="2" t="inlineStr">
        <is>
          <t>OC-7560/26 (BSDA)</t>
        </is>
      </c>
      <c r="K1195" s="2" t="inlineStr">
        <is>
          <t>Restringido</t>
        </is>
      </c>
      <c r="L1195" s="6" t="n">
        <v>12</v>
      </c>
      <c r="M1195" s="2" t="n"/>
      <c r="N1195" s="7" t="n">
        <v>0</v>
      </c>
      <c r="O1195" s="4" t="n">
        <v>1</v>
      </c>
      <c r="P1195" s="2" t="inlineStr">
        <is>
          <t>45262520; 45316000</t>
        </is>
      </c>
      <c r="Q1195" s="8" t="inlineStr">
        <is>
          <t>Ver</t>
        </is>
      </c>
      <c r="R1195" s="8" t="inlineStr">
        <is>
          <t>PCAP</t>
        </is>
      </c>
      <c r="S1195" s="9" t="n">
        <v>46310</v>
      </c>
      <c r="T1195" s="3" t="n">
        <v>46309.55318287037</v>
      </c>
      <c r="U1195" s="2" t="n"/>
    </row>
    <row r="1196">
      <c r="A1196" s="2" t="inlineStr">
        <is>
          <t>Resuelta</t>
        </is>
      </c>
      <c r="B1196" s="3" t="n">
        <v>46257.99930555555</v>
      </c>
      <c r="C1196" s="5" t="n">
        <v>1071532.4</v>
      </c>
      <c r="D1196" s="5" t="n">
        <v>1071532.4</v>
      </c>
      <c r="E1196" s="2" t="inlineStr">
        <is>
          <t>Comunitat Valenciana</t>
        </is>
      </c>
      <c r="F1196" s="2" t="inlineStr">
        <is>
          <t>Valencia</t>
        </is>
      </c>
      <c r="G1196" s="2" t="inlineStr">
        <is>
          <t>GESTALGAR</t>
        </is>
      </c>
      <c r="H1196" s="2" t="inlineStr">
        <is>
          <t>Alcaldía del Ayuntamiento de Gestalgar</t>
        </is>
      </c>
      <c r="I1196" s="2" t="inlineStr">
        <is>
          <t>Contratación. Subvención orden TMD/101/2025.Obras Restitución de daños tras la DANA en ladera Alto Gaspar en Gestalgar(Valencia).</t>
        </is>
      </c>
      <c r="J1196" s="2" t="inlineStr">
        <is>
          <t>2933943X</t>
        </is>
      </c>
      <c r="K1196" s="2" t="inlineStr">
        <is>
          <t>Abierto simplificado</t>
        </is>
      </c>
      <c r="L1196" s="6" t="n">
        <v>8</v>
      </c>
      <c r="M1196" s="2" t="n"/>
      <c r="N1196" s="7" t="n">
        <v>0</v>
      </c>
      <c r="O1196" s="4" t="n"/>
      <c r="P1196" s="2" t="inlineStr">
        <is>
          <t>45111230</t>
        </is>
      </c>
      <c r="Q1196" s="8" t="inlineStr">
        <is>
          <t>Ver</t>
        </is>
      </c>
      <c r="R1196" s="8" t="inlineStr">
        <is>
          <t>PCAP</t>
        </is>
      </c>
      <c r="S1196" s="9" t="n">
        <v>46310</v>
      </c>
      <c r="T1196" s="3" t="n">
        <v>46309.54679398148</v>
      </c>
      <c r="U1196" s="2" t="n"/>
    </row>
    <row r="1197">
      <c r="A1197" s="2" t="inlineStr">
        <is>
          <t>Resuelta</t>
        </is>
      </c>
      <c r="B1197" s="3" t="n">
        <v>46297.99930555555</v>
      </c>
      <c r="C1197" s="5" t="n">
        <v>150000</v>
      </c>
      <c r="D1197" s="5" t="n">
        <v>150000</v>
      </c>
      <c r="E1197" s="2" t="inlineStr">
        <is>
          <t>Andalucía</t>
        </is>
      </c>
      <c r="F1197" s="2" t="inlineStr">
        <is>
          <t>Sevilla</t>
        </is>
      </c>
      <c r="G1197" s="2" t="inlineStr">
        <is>
          <t>Carmona</t>
        </is>
      </c>
      <c r="H1197" s="2" t="inlineStr">
        <is>
          <t>Consejo de Administración de Limpieza y Mantenimiento de Carmona, S.L.U.</t>
        </is>
      </c>
      <c r="I1197" s="2" t="inlineStr">
        <is>
          <t>Trabajos para limpieza de cauces de arroyos a su paso por urbanizaciones y áreas de influencia, en función de las necesidades.</t>
        </is>
      </c>
      <c r="J1197" s="2" t="inlineStr">
        <is>
          <t>2026-L2-CB2</t>
        </is>
      </c>
      <c r="K1197" s="2" t="inlineStr">
        <is>
          <t>Abierto</t>
        </is>
      </c>
      <c r="L1197" s="6" t="n">
        <v>8</v>
      </c>
      <c r="M1197" s="2" t="n"/>
      <c r="N1197" s="7" t="n">
        <v>0</v>
      </c>
      <c r="O1197" s="4" t="n"/>
      <c r="P1197" s="2" t="inlineStr">
        <is>
          <t>45520000; 44110000; 44113100</t>
        </is>
      </c>
      <c r="Q1197" s="8" t="inlineStr">
        <is>
          <t>Ver</t>
        </is>
      </c>
      <c r="R1197" s="2" t="n"/>
      <c r="S1197" s="9" t="n">
        <v>46310</v>
      </c>
      <c r="T1197" s="3" t="n">
        <v>46309.54519675926</v>
      </c>
      <c r="U1197" s="2" t="n"/>
    </row>
    <row r="1198">
      <c r="A1198" s="2" t="inlineStr">
        <is>
          <t>Pendiente de adjudicación</t>
        </is>
      </c>
      <c r="B1198" s="3" t="n">
        <v>46161.75</v>
      </c>
      <c r="C1198" s="5" t="n">
        <v>661156.38</v>
      </c>
      <c r="D1198" s="5" t="n">
        <v>661156.38</v>
      </c>
      <c r="E1198" s="2" t="inlineStr">
        <is>
          <t>Andalucía</t>
        </is>
      </c>
      <c r="F1198" s="2" t="inlineStr">
        <is>
          <t>Cádiz</t>
        </is>
      </c>
      <c r="G1198" s="2" t="inlineStr">
        <is>
          <t>Conil de la Frontera</t>
        </is>
      </c>
      <c r="H1198" s="2" t="inlineStr">
        <is>
          <t>Alcaldia del Ayuntamiento de Conil de la Frontera</t>
        </is>
      </c>
      <c r="I1198" s="2" t="inlineStr">
        <is>
          <t>Obras de urbanización para la adecuación y regeneración espacio público para ocio y esparcimiento recreativo ámbito rural el colorado. (Cádiz) 1ª actuación., con objeto de realizar la construcción de tres pistas de pádel, una pista polideportiva de baloncesto - futsal y un pump track, así como la instalación de módulos de aseo accesibles y caseta de control de acceso prefabricados</t>
        </is>
      </c>
      <c r="J1198" s="2" t="inlineStr">
        <is>
          <t>1445/2026</t>
        </is>
      </c>
      <c r="K1198" s="2" t="inlineStr">
        <is>
          <t>Abierto simplificado</t>
        </is>
      </c>
      <c r="L1198" s="6" t="n">
        <v>8</v>
      </c>
      <c r="M1198" s="2" t="n"/>
      <c r="N1198" s="7" t="n">
        <v>0</v>
      </c>
      <c r="O1198" s="4" t="n"/>
      <c r="P1198" s="2" t="inlineStr">
        <is>
          <t>45100000; 45212220</t>
        </is>
      </c>
      <c r="Q1198" s="8" t="inlineStr">
        <is>
          <t>Ver</t>
        </is>
      </c>
      <c r="R1198" s="8" t="inlineStr">
        <is>
          <t>PCAP</t>
        </is>
      </c>
      <c r="S1198" s="9" t="n">
        <v>46310</v>
      </c>
      <c r="T1198" s="3" t="n">
        <v>46309.54258101852</v>
      </c>
      <c r="U1198" s="2" t="n"/>
    </row>
    <row r="1199">
      <c r="A1199" s="2" t="inlineStr">
        <is>
          <t>Adjudicada</t>
        </is>
      </c>
      <c r="B1199" s="3" t="n">
        <v>46041.54166666666</v>
      </c>
      <c r="C1199" s="5" t="n">
        <v>55995.53</v>
      </c>
      <c r="D1199" s="5" t="n">
        <v>55995.53</v>
      </c>
      <c r="E1199" s="2" t="inlineStr">
        <is>
          <t>Comunitat Valenciana</t>
        </is>
      </c>
      <c r="F1199" s="2" t="inlineStr">
        <is>
          <t>Alicante</t>
        </is>
      </c>
      <c r="G1199" s="2" t="n"/>
      <c r="H1199" s="2" t="inlineStr">
        <is>
          <t>Junta de Gobierno Local del Ayuntamiento de Alicante</t>
        </is>
      </c>
      <c r="I1199" s="2" t="inlineStr">
        <is>
          <t>Remodelación pistas deportivas de la calle Barítono Paco La Torre - Barrio Juan XXIII</t>
        </is>
      </c>
      <c r="J1199" s="2" t="inlineStr">
        <is>
          <t>128/25</t>
        </is>
      </c>
      <c r="K1199" s="2" t="inlineStr">
        <is>
          <t>Abierto simplificado</t>
        </is>
      </c>
      <c r="L1199" s="6" t="n">
        <v>2</v>
      </c>
      <c r="M1199" s="2" t="n"/>
      <c r="N1199" s="7" t="n">
        <v>0</v>
      </c>
      <c r="O1199" s="4" t="n"/>
      <c r="P1199" s="2" t="inlineStr">
        <is>
          <t>45236119</t>
        </is>
      </c>
      <c r="Q1199" s="8" t="inlineStr">
        <is>
          <t>Ver</t>
        </is>
      </c>
      <c r="R1199" s="8" t="inlineStr">
        <is>
          <t>PCAP</t>
        </is>
      </c>
      <c r="S1199" s="9" t="n">
        <v>46310</v>
      </c>
      <c r="T1199" s="3" t="n">
        <v>46309.54101851852</v>
      </c>
      <c r="U1199" s="2" t="n"/>
    </row>
    <row r="1200">
      <c r="A1200" s="2" t="inlineStr">
        <is>
          <t>En plazo</t>
        </is>
      </c>
      <c r="B1200" s="3" t="n">
        <v>46329.99930555555</v>
      </c>
      <c r="C1200" s="5" t="n">
        <v>120661.16</v>
      </c>
      <c r="D1200" s="5" t="n">
        <v>120661.16</v>
      </c>
      <c r="E1200" s="2" t="inlineStr">
        <is>
          <t>Andalucía</t>
        </is>
      </c>
      <c r="F1200" s="2" t="inlineStr">
        <is>
          <t>Jaén</t>
        </is>
      </c>
      <c r="G1200" s="2" t="n"/>
      <c r="H1200" s="2" t="inlineStr">
        <is>
          <t>Alcaldía del Ayuntamiento de Úbeda</t>
        </is>
      </c>
      <c r="I1200" s="2" t="inlineStr">
        <is>
          <t>"Adecuación de apeadero para autobuses turísticos en el Mirador de San Francisco de Úbeda"</t>
        </is>
      </c>
      <c r="J1200" s="2" t="inlineStr">
        <is>
          <t>OBR7476/2026</t>
        </is>
      </c>
      <c r="K1200" s="2" t="inlineStr">
        <is>
          <t>Abierto simplificado</t>
        </is>
      </c>
      <c r="L1200" s="6" t="n">
        <v>4</v>
      </c>
      <c r="M1200" s="2" t="n"/>
      <c r="N1200" s="7" t="n">
        <v>0</v>
      </c>
      <c r="O1200" s="4" t="n"/>
      <c r="P1200" s="2" t="inlineStr">
        <is>
          <t>45233200</t>
        </is>
      </c>
      <c r="Q1200" s="8" t="inlineStr">
        <is>
          <t>Ver</t>
        </is>
      </c>
      <c r="R1200" s="8" t="inlineStr">
        <is>
          <t>PCAP</t>
        </is>
      </c>
      <c r="S1200" s="9" t="n">
        <v>46310</v>
      </c>
      <c r="T1200" s="3" t="n">
        <v>46309.53690972222</v>
      </c>
      <c r="U1200" s="2" t="n"/>
    </row>
    <row r="1201">
      <c r="A1201" s="2" t="inlineStr">
        <is>
          <t>Resuelta</t>
        </is>
      </c>
      <c r="B1201" s="3" t="n">
        <v>46188.75</v>
      </c>
      <c r="C1201" s="5" t="n">
        <v>365638.97</v>
      </c>
      <c r="D1201" s="5" t="n">
        <v>365638.97</v>
      </c>
      <c r="E1201" s="2" t="inlineStr">
        <is>
          <t>Andalucía</t>
        </is>
      </c>
      <c r="F1201" s="2" t="inlineStr">
        <is>
          <t>Almería</t>
        </is>
      </c>
      <c r="G1201" s="2" t="inlineStr">
        <is>
          <t>Almería</t>
        </is>
      </c>
      <c r="H1201" s="2" t="inlineStr">
        <is>
          <t>Presidencia de la Autoridad Portuaria de Almería</t>
        </is>
      </c>
      <c r="I1201" s="2" t="inlineStr">
        <is>
          <t>Obras de Mejora y Rehabilitación del Edificio OTP (Organización de Trabajadores Portuarios)</t>
        </is>
      </c>
      <c r="J1201" s="2" t="inlineStr">
        <is>
          <t>21/O/AS/AL26</t>
        </is>
      </c>
      <c r="K1201" s="2" t="inlineStr">
        <is>
          <t>Abierto simplificado</t>
        </is>
      </c>
      <c r="L1201" s="6" t="n">
        <v>8</v>
      </c>
      <c r="M1201" s="2" t="n"/>
      <c r="N1201" s="7" t="n">
        <v>0.25</v>
      </c>
      <c r="O1201" s="4" t="n"/>
      <c r="P1201" s="2" t="inlineStr">
        <is>
          <t>45200000</t>
        </is>
      </c>
      <c r="Q1201" s="8" t="inlineStr">
        <is>
          <t>Ver</t>
        </is>
      </c>
      <c r="R1201" s="2" t="n"/>
      <c r="S1201" s="9" t="n">
        <v>46310</v>
      </c>
      <c r="T1201" s="3" t="n">
        <v>46309.53686342593</v>
      </c>
      <c r="U1201" s="2" t="n"/>
    </row>
    <row r="1202">
      <c r="A1202" s="2" t="inlineStr">
        <is>
          <t>Plazo vencido</t>
        </is>
      </c>
      <c r="B1202" s="3" t="n">
        <v>46316.625</v>
      </c>
      <c r="C1202" s="5" t="n">
        <v>35537.19</v>
      </c>
      <c r="D1202" s="5" t="n">
        <v>35537.19</v>
      </c>
      <c r="E1202" s="2" t="inlineStr">
        <is>
          <t>Andalucía</t>
        </is>
      </c>
      <c r="F1202" s="2" t="inlineStr">
        <is>
          <t>Málaga</t>
        </is>
      </c>
      <c r="G1202" s="2" t="inlineStr">
        <is>
          <t>fuente de piedra</t>
        </is>
      </c>
      <c r="H1202" s="2" t="inlineStr">
        <is>
          <t>Junta de Gobierno Local del Ayuntamiento de Fuente de Piedra</t>
        </is>
      </c>
      <c r="I1202" s="2" t="inlineStr">
        <is>
          <t>la ejecución de las obras contenidas en el Proyecto de Mejoras en el Polígono Industrial de Fuente de Piedra (Málaga) (actuaciones de acondicionamiento, repavimentación y mejora en la C/ Concejal Miguel Ángel Blanco, tramo de acceso desde la carretera MA-701), redactado por los Servicios Técnicos Municipales del Ayuntamiento de Fuente de Piedra</t>
        </is>
      </c>
      <c r="J1202" s="2" t="inlineStr">
        <is>
          <t>986/2024</t>
        </is>
      </c>
      <c r="K1202" s="2" t="inlineStr">
        <is>
          <t>Abierto simplificado</t>
        </is>
      </c>
      <c r="L1202" s="6" t="n">
        <v>3</v>
      </c>
      <c r="M1202" s="2" t="n"/>
      <c r="N1202" s="7" t="n">
        <v>0</v>
      </c>
      <c r="O1202" s="4" t="n"/>
      <c r="P1202" s="2" t="inlineStr">
        <is>
          <t>45233222</t>
        </is>
      </c>
      <c r="Q1202" s="8" t="inlineStr">
        <is>
          <t>Ver</t>
        </is>
      </c>
      <c r="R1202" s="8" t="inlineStr">
        <is>
          <t>PCAP</t>
        </is>
      </c>
      <c r="S1202" s="9" t="n">
        <v>46310</v>
      </c>
      <c r="T1202" s="3" t="n">
        <v>46309.53685185185</v>
      </c>
      <c r="U1202" s="2" t="n"/>
    </row>
    <row r="1203">
      <c r="A1203" s="2" t="inlineStr">
        <is>
          <t>En plazo</t>
        </is>
      </c>
      <c r="B1203" s="3" t="n">
        <v>46330.99930555555</v>
      </c>
      <c r="C1203" s="5" t="n">
        <v>127657.69</v>
      </c>
      <c r="D1203" s="5" t="n">
        <v>127657.69</v>
      </c>
      <c r="E1203" s="2" t="inlineStr">
        <is>
          <t>Comunitat Valenciana</t>
        </is>
      </c>
      <c r="F1203" s="2" t="inlineStr">
        <is>
          <t>Valencia</t>
        </is>
      </c>
      <c r="G1203" s="2" t="n"/>
      <c r="H1203" s="2" t="inlineStr">
        <is>
          <t>Alcaldía del Ayuntamiento de Alginet</t>
        </is>
      </c>
      <c r="I1203" s="2" t="inlineStr">
        <is>
          <t>Obra de cubrición del patio del almacén municipal d'Alginet consistente en una estructura metálica y cubierta ligera</t>
        </is>
      </c>
      <c r="J1203" s="2" t="inlineStr">
        <is>
          <t>2927457N</t>
        </is>
      </c>
      <c r="K1203" s="2" t="inlineStr">
        <is>
          <t>Abierto simplificado</t>
        </is>
      </c>
      <c r="L1203" s="6" t="n">
        <v>3</v>
      </c>
      <c r="M1203" s="2" t="n"/>
      <c r="N1203" s="7" t="n">
        <v>0</v>
      </c>
      <c r="O1203" s="4" t="n"/>
      <c r="P1203" s="2" t="inlineStr">
        <is>
          <t>45213221; 45223220; 45223110; 45261210</t>
        </is>
      </c>
      <c r="Q1203" s="8" t="inlineStr">
        <is>
          <t>Ver</t>
        </is>
      </c>
      <c r="R1203" s="8" t="inlineStr">
        <is>
          <t>PCAP</t>
        </is>
      </c>
      <c r="S1203" s="9" t="n">
        <v>46310</v>
      </c>
      <c r="T1203" s="3" t="n">
        <v>46309.53657407407</v>
      </c>
      <c r="U1203" s="2" t="n"/>
    </row>
    <row r="1204">
      <c r="A1204" s="2" t="inlineStr">
        <is>
          <t>Adjudicada</t>
        </is>
      </c>
      <c r="B1204" s="3" t="n">
        <v>46230.99930555555</v>
      </c>
      <c r="C1204" s="5" t="n">
        <v>297520.66</v>
      </c>
      <c r="D1204" s="5" t="n">
        <v>297520.66</v>
      </c>
      <c r="E1204" s="2" t="inlineStr">
        <is>
          <t>Andalucía</t>
        </is>
      </c>
      <c r="F1204" s="2" t="inlineStr">
        <is>
          <t>Almería</t>
        </is>
      </c>
      <c r="G1204" s="2" t="n"/>
      <c r="H1204" s="2" t="inlineStr">
        <is>
          <t>Junta de Gobierno de la Diputación Provincial de Almería</t>
        </is>
      </c>
      <c r="I1204" s="2" t="inlineStr">
        <is>
          <t>Rehabilitación Del Firme Y Mejora En C.p. Al-6300: De La A-7 A La A-1175 Por La Alquería De Adra 20RVP2025-2026</t>
        </is>
      </c>
      <c r="J1204" s="2" t="inlineStr">
        <is>
          <t>2026/D31000/006-013/00037</t>
        </is>
      </c>
      <c r="K1204" s="2" t="inlineStr">
        <is>
          <t>Abierto simplificado</t>
        </is>
      </c>
      <c r="L1204" s="6" t="n">
        <v>4</v>
      </c>
      <c r="M1204" s="2" t="n"/>
      <c r="N1204" s="7" t="n">
        <v>0.25</v>
      </c>
      <c r="O1204" s="4" t="n"/>
      <c r="P1204" s="2" t="inlineStr">
        <is>
          <t>45233220</t>
        </is>
      </c>
      <c r="Q1204" s="8" t="inlineStr">
        <is>
          <t>Ver</t>
        </is>
      </c>
      <c r="R1204" s="8" t="inlineStr">
        <is>
          <t>PCAP</t>
        </is>
      </c>
      <c r="S1204" s="9" t="n">
        <v>46310</v>
      </c>
      <c r="T1204" s="3" t="n">
        <v>46309.5358912037</v>
      </c>
      <c r="U1204" s="2" t="n"/>
    </row>
    <row r="1205">
      <c r="A1205" s="2" t="inlineStr">
        <is>
          <t>Resuelta</t>
        </is>
      </c>
      <c r="B1205" s="3" t="n">
        <v>46076.99930555555</v>
      </c>
      <c r="C1205" s="5" t="n">
        <v>220661.16</v>
      </c>
      <c r="D1205" s="5" t="n">
        <v>220661.16</v>
      </c>
      <c r="E1205" s="2" t="inlineStr">
        <is>
          <t>Comunitat Valenciana</t>
        </is>
      </c>
      <c r="F1205" s="2" t="inlineStr">
        <is>
          <t>Valencia</t>
        </is>
      </c>
      <c r="G1205" s="2" t="n"/>
      <c r="H1205" s="2" t="inlineStr">
        <is>
          <t>Junta de Gobierno del Ayuntamiento de Paiporta</t>
        </is>
      </c>
      <c r="I1205" s="2" t="inlineStr">
        <is>
          <t>Obras de mejora y modernización del POLÍGONO LA PASCUALETA, obra financiada por el Instituto Valenciano de Competitividad Empresarial (IVACE) para ayudas para proyectos de inversión para la mejora, modernización y dotación de infraestructuras y servicios en polígonos, áreas industriales y enclaves tecnológicos con cargo al presupuesto del ejercicio 2025, para el polígono de LA PASCUALETA.</t>
        </is>
      </c>
      <c r="J1205" s="2" t="inlineStr">
        <is>
          <t>2582938P</t>
        </is>
      </c>
      <c r="K1205" s="2" t="inlineStr">
        <is>
          <t>Abierto simplificado</t>
        </is>
      </c>
      <c r="L1205" s="6" t="n">
        <v>2</v>
      </c>
      <c r="M1205" s="2" t="n"/>
      <c r="N1205" s="7" t="n">
        <v>0</v>
      </c>
      <c r="O1205" s="4" t="n"/>
      <c r="P1205" s="2" t="inlineStr">
        <is>
          <t>45233161; 45233294; 45111000; 45233270; 45233221; 45233222; 45233293; 45233251</t>
        </is>
      </c>
      <c r="Q1205" s="8" t="inlineStr">
        <is>
          <t>Ver</t>
        </is>
      </c>
      <c r="R1205" s="8" t="inlineStr">
        <is>
          <t>PCAP</t>
        </is>
      </c>
      <c r="S1205" s="9" t="n">
        <v>46310</v>
      </c>
      <c r="T1205" s="3" t="n">
        <v>46309.53554398148</v>
      </c>
      <c r="U1205" s="2" t="n"/>
    </row>
    <row r="1206">
      <c r="A1206" s="2" t="inlineStr">
        <is>
          <t>Adjudicada</t>
        </is>
      </c>
      <c r="B1206" s="3" t="n">
        <v>46216.99930555555</v>
      </c>
      <c r="C1206" s="5" t="n">
        <v>214876.03</v>
      </c>
      <c r="D1206" s="5" t="n">
        <v>214876.03</v>
      </c>
      <c r="E1206" s="2" t="inlineStr">
        <is>
          <t>Andalucía</t>
        </is>
      </c>
      <c r="F1206" s="2" t="inlineStr">
        <is>
          <t>Almería</t>
        </is>
      </c>
      <c r="G1206" s="2" t="n"/>
      <c r="H1206" s="2" t="inlineStr">
        <is>
          <t>Junta de Gobierno de la Diputación Provincial de Almería</t>
        </is>
      </c>
      <c r="I1206" s="2" t="inlineStr">
        <is>
          <t>Rehabilitación Y Mejora Del Firme En C.p. Al-6107, De La A-1100 En Albanchez A La A-1101 En Rambla Aljibe De Lubrín Por Los Molinas 34RVP2025-2026</t>
        </is>
      </c>
      <c r="J1206" s="2" t="inlineStr">
        <is>
          <t>2026/D31000/006-013/00032</t>
        </is>
      </c>
      <c r="K1206" s="2" t="inlineStr">
        <is>
          <t>Abierto simplificado</t>
        </is>
      </c>
      <c r="L1206" s="6" t="n">
        <v>3</v>
      </c>
      <c r="M1206" s="2" t="n"/>
      <c r="N1206" s="7" t="n">
        <v>0.25</v>
      </c>
      <c r="O1206" s="4" t="n"/>
      <c r="P1206" s="2" t="inlineStr">
        <is>
          <t>45233220</t>
        </is>
      </c>
      <c r="Q1206" s="8" t="inlineStr">
        <is>
          <t>Ver</t>
        </is>
      </c>
      <c r="R1206" s="8" t="inlineStr">
        <is>
          <t>PCAP</t>
        </is>
      </c>
      <c r="S1206" s="9" t="n">
        <v>46310</v>
      </c>
      <c r="T1206" s="3" t="n">
        <v>46309.5347337963</v>
      </c>
      <c r="U1206" s="2" t="n"/>
    </row>
    <row r="1207">
      <c r="A1207" s="2" t="inlineStr">
        <is>
          <t>Adjudicada</t>
        </is>
      </c>
      <c r="B1207" s="3" t="n">
        <v>46274.99930555555</v>
      </c>
      <c r="C1207" s="5" t="n">
        <v>95041.32000000001</v>
      </c>
      <c r="D1207" s="5" t="n">
        <v>95041.32000000001</v>
      </c>
      <c r="E1207" s="2" t="inlineStr">
        <is>
          <t>Andalucía</t>
        </is>
      </c>
      <c r="F1207" s="2" t="inlineStr">
        <is>
          <t>Almería</t>
        </is>
      </c>
      <c r="G1207" s="2" t="n"/>
      <c r="H1207" s="2" t="inlineStr">
        <is>
          <t>Junta de Gobierno de la Diputación Provincial de Almería</t>
        </is>
      </c>
      <c r="I1207" s="2" t="inlineStr">
        <is>
          <t>Rehabilitación Del Firme Camino Gacia Alto-royo Morera. Tt.mm. De Sorbas Y Turre 57PG2025</t>
        </is>
      </c>
      <c r="J1207" s="2" t="inlineStr">
        <is>
          <t>2026/D31000/006-013/00028</t>
        </is>
      </c>
      <c r="K1207" s="2" t="inlineStr">
        <is>
          <t>Abierto simplificado</t>
        </is>
      </c>
      <c r="L1207" s="6" t="n">
        <v>2</v>
      </c>
      <c r="M1207" s="2" t="n"/>
      <c r="N1207" s="7" t="n">
        <v>0.25</v>
      </c>
      <c r="O1207" s="4" t="n"/>
      <c r="P1207" s="2" t="inlineStr">
        <is>
          <t>45233220</t>
        </is>
      </c>
      <c r="Q1207" s="8" t="inlineStr">
        <is>
          <t>Ver</t>
        </is>
      </c>
      <c r="R1207" s="8" t="inlineStr">
        <is>
          <t>PCAP</t>
        </is>
      </c>
      <c r="S1207" s="9" t="n">
        <v>46310</v>
      </c>
      <c r="T1207" s="3" t="n">
        <v>46309.53273148148</v>
      </c>
      <c r="U1207" s="2" t="n"/>
    </row>
    <row r="1208">
      <c r="A1208" s="2" t="inlineStr">
        <is>
          <t>En plazo</t>
        </is>
      </c>
      <c r="B1208" s="3" t="n">
        <v>46329.99930555555</v>
      </c>
      <c r="C1208" s="5" t="n">
        <v>564012.4</v>
      </c>
      <c r="D1208" s="5" t="n">
        <v>564012.4</v>
      </c>
      <c r="E1208" s="2" t="inlineStr">
        <is>
          <t>Comunitat Valenciana</t>
        </is>
      </c>
      <c r="F1208" s="2" t="n"/>
      <c r="G1208" s="2" t="inlineStr">
        <is>
          <t>Oliva</t>
        </is>
      </c>
      <c r="H1208" s="2" t="inlineStr">
        <is>
          <t>Concejal de Contratación del Ayuntamiento de Oliva</t>
        </is>
      </c>
      <c r="I1208" s="2" t="inlineStr">
        <is>
          <t>Mejora de la accesibilidad en espacios públicos y renovación de la red de abastecimiento de agua potable</t>
        </is>
      </c>
      <c r="J1208" s="2" t="inlineStr">
        <is>
          <t>15056/2026</t>
        </is>
      </c>
      <c r="K1208" s="2" t="inlineStr">
        <is>
          <t>Abierto simplificado</t>
        </is>
      </c>
      <c r="L1208" s="6" t="n">
        <v>5</v>
      </c>
      <c r="M1208" s="2" t="n"/>
      <c r="N1208" s="7" t="n">
        <v>0</v>
      </c>
      <c r="O1208" s="4" t="n"/>
      <c r="P1208" s="2" t="inlineStr">
        <is>
          <t>45200000</t>
        </is>
      </c>
      <c r="Q1208" s="8" t="inlineStr">
        <is>
          <t>Ver</t>
        </is>
      </c>
      <c r="R1208" s="8" t="inlineStr">
        <is>
          <t>PCAP</t>
        </is>
      </c>
      <c r="S1208" s="9" t="n">
        <v>46310</v>
      </c>
      <c r="T1208" s="3" t="n">
        <v>46309.53194444445</v>
      </c>
      <c r="U1208" s="2" t="n"/>
    </row>
    <row r="1209">
      <c r="A1209" s="2" t="inlineStr">
        <is>
          <t>Adjudicada</t>
        </is>
      </c>
      <c r="B1209" s="3" t="n">
        <v>46157.83333333334</v>
      </c>
      <c r="C1209" s="5" t="n">
        <v>823639.89</v>
      </c>
      <c r="D1209" s="5" t="n">
        <v>823639.89</v>
      </c>
      <c r="E1209" s="2" t="inlineStr">
        <is>
          <t>Andalucía</t>
        </is>
      </c>
      <c r="F1209" s="2" t="inlineStr">
        <is>
          <t>Málaga</t>
        </is>
      </c>
      <c r="G1209" s="2" t="n"/>
      <c r="H1209" s="2" t="inlineStr">
        <is>
          <t>Consejería delegada de ACOSOL, S.A.U.</t>
        </is>
      </c>
      <c r="I1209" s="2" t="inlineStr">
        <is>
          <t>Contratación del proyecto constructivo y la ejecución de las obras de las instalaciones de almacenamiento de productos químicos (APQ) y de protección contra incendios (PCI) de la ETAP de Río Verde, T.M de Marbella</t>
        </is>
      </c>
      <c r="J1209" s="2" t="inlineStr">
        <is>
          <t>27-26</t>
        </is>
      </c>
      <c r="K1209" s="2" t="inlineStr">
        <is>
          <t>Abierto</t>
        </is>
      </c>
      <c r="L1209" s="6" t="n">
        <v>8</v>
      </c>
      <c r="M1209" s="2" t="inlineStr">
        <is>
          <t>E1-6</t>
        </is>
      </c>
      <c r="N1209" s="7" t="n">
        <v>0.49</v>
      </c>
      <c r="O1209" s="4" t="n"/>
      <c r="P1209" s="2" t="inlineStr">
        <is>
          <t>45213200; 71200000; 45210000</t>
        </is>
      </c>
      <c r="Q1209" s="8" t="inlineStr">
        <is>
          <t>Ver</t>
        </is>
      </c>
      <c r="R1209" s="8" t="inlineStr">
        <is>
          <t>PCAP</t>
        </is>
      </c>
      <c r="S1209" s="9" t="n">
        <v>46310</v>
      </c>
      <c r="T1209" s="3" t="n">
        <v>46309.53013888889</v>
      </c>
      <c r="U1209" s="2" t="n"/>
    </row>
    <row r="1210">
      <c r="A1210" s="2" t="inlineStr">
        <is>
          <t>Pendiente de adjudicación</t>
        </is>
      </c>
      <c r="B1210" s="3" t="n">
        <v>46294.75</v>
      </c>
      <c r="C1210" s="5" t="n">
        <v>64420.77</v>
      </c>
      <c r="D1210" s="5" t="n">
        <v>66420.77</v>
      </c>
      <c r="E1210" s="2" t="inlineStr">
        <is>
          <t>Comunitat Valenciana</t>
        </is>
      </c>
      <c r="F1210" s="2" t="inlineStr">
        <is>
          <t>Alicante</t>
        </is>
      </c>
      <c r="G1210" s="2" t="inlineStr">
        <is>
          <t>Alicante (Alacant)</t>
        </is>
      </c>
      <c r="H1210" s="2" t="inlineStr">
        <is>
          <t>Junta de Gobierno del Ayuntamiento de Santa Pola</t>
        </is>
      </c>
      <c r="I1210" s="2" t="inlineStr">
        <is>
          <t>Licitación para las obras de rehabilitación de la cubierta del Pabellón Virgen de Loreto</t>
        </is>
      </c>
      <c r="J1210" s="2" t="inlineStr">
        <is>
          <t>13646/2026</t>
        </is>
      </c>
      <c r="K1210" s="2" t="inlineStr">
        <is>
          <t>Abierto simplificado</t>
        </is>
      </c>
      <c r="L1210" s="6" t="n">
        <v>2</v>
      </c>
      <c r="M1210" s="2" t="n"/>
      <c r="N1210" s="7" t="n">
        <v>0.4</v>
      </c>
      <c r="O1210" s="4" t="n"/>
      <c r="P1210" s="2" t="inlineStr">
        <is>
          <t>45261000; 45261900; 45261300; 45261310; 45261420; 45261410</t>
        </is>
      </c>
      <c r="Q1210" s="8" t="inlineStr">
        <is>
          <t>Ver</t>
        </is>
      </c>
      <c r="R1210" s="8" t="inlineStr">
        <is>
          <t>PCAP</t>
        </is>
      </c>
      <c r="S1210" s="9" t="n">
        <v>46310</v>
      </c>
      <c r="T1210" s="3" t="n">
        <v>46309.53</v>
      </c>
      <c r="U1210" s="2" t="n"/>
    </row>
    <row r="1211">
      <c r="A1211" s="2" t="inlineStr">
        <is>
          <t>Pendiente de adjudicación</t>
        </is>
      </c>
      <c r="B1211" s="3" t="n">
        <v>46308.58333333334</v>
      </c>
      <c r="C1211" s="5" t="n">
        <v>45059.74</v>
      </c>
      <c r="D1211" s="5" t="n">
        <v>54071.69</v>
      </c>
      <c r="E1211" s="2" t="inlineStr">
        <is>
          <t>Comunitat Valenciana</t>
        </is>
      </c>
      <c r="F1211" s="2" t="inlineStr">
        <is>
          <t>Valencia</t>
        </is>
      </c>
      <c r="G1211" s="2" t="n"/>
      <c r="H1211" s="2" t="inlineStr">
        <is>
          <t>Dirección General de la Ciudad de las Artes y de las Ciencias S.A.</t>
        </is>
      </c>
      <c r="I1211" s="2" t="inlineStr">
        <is>
          <t>Contratación de la ejecución de las obras de cableado de comunicaciones, adecuación del centro de proceso de datos en Museo de las Ciencias y tendido de fibra óptica hasta cpd Oceanogràfic</t>
        </is>
      </c>
      <c r="J1211" s="2" t="inlineStr">
        <is>
          <t>0076-26</t>
        </is>
      </c>
      <c r="K1211" s="2" t="inlineStr">
        <is>
          <t>Restringido</t>
        </is>
      </c>
      <c r="L1211" s="6" t="n">
        <v>1.5</v>
      </c>
      <c r="M1211" s="2" t="n"/>
      <c r="N1211" s="7" t="n">
        <v>0.45</v>
      </c>
      <c r="O1211" s="4" t="n">
        <v>1</v>
      </c>
      <c r="P1211" s="2" t="inlineStr">
        <is>
          <t>45314320</t>
        </is>
      </c>
      <c r="Q1211" s="8" t="inlineStr">
        <is>
          <t>Ver</t>
        </is>
      </c>
      <c r="R1211" s="8" t="inlineStr">
        <is>
          <t>PCAP</t>
        </is>
      </c>
      <c r="S1211" s="9" t="n">
        <v>46310</v>
      </c>
      <c r="T1211" s="3" t="n">
        <v>46309.5284375</v>
      </c>
      <c r="U1211" s="2" t="n"/>
    </row>
    <row r="1212">
      <c r="A1212" s="2" t="inlineStr">
        <is>
          <t>Resuelta</t>
        </is>
      </c>
      <c r="B1212" s="3" t="n">
        <v>46216.99930555555</v>
      </c>
      <c r="C1212" s="5" t="n">
        <v>326811.56</v>
      </c>
      <c r="D1212" s="5" t="n">
        <v>326811.56</v>
      </c>
      <c r="E1212" s="2" t="inlineStr">
        <is>
          <t>Andalucía</t>
        </is>
      </c>
      <c r="F1212" s="2" t="inlineStr">
        <is>
          <t>Córdoba</t>
        </is>
      </c>
      <c r="G1212" s="2" t="n"/>
      <c r="H1212" s="2" t="inlineStr">
        <is>
          <t>Junta de Gobierno de la Diputación Provincial de Córdoba</t>
        </is>
      </c>
      <c r="I1212" s="2" t="inlineStr">
        <is>
          <t>Contratación de la obra Remodelación de la Plaza de Andalucía y su entorno, en Villaviciosa de Córdoba, obra incluida en los Planes Provinciales de Obras y Servicios 2024-2027 (bienio 2026-2027).</t>
        </is>
      </c>
      <c r="J1212" s="2" t="inlineStr">
        <is>
          <t>443/26</t>
        </is>
      </c>
      <c r="K1212" s="2" t="inlineStr">
        <is>
          <t>Abierto</t>
        </is>
      </c>
      <c r="L1212" s="6" t="n">
        <v>10</v>
      </c>
      <c r="M1212" s="2" t="n"/>
      <c r="N1212" s="7" t="n">
        <v>0.25</v>
      </c>
      <c r="O1212" s="4" t="n"/>
      <c r="P1212" s="2" t="inlineStr">
        <is>
          <t>45233252; 45233200</t>
        </is>
      </c>
      <c r="Q1212" s="8" t="inlineStr">
        <is>
          <t>Ver</t>
        </is>
      </c>
      <c r="R1212" s="8" t="inlineStr">
        <is>
          <t>PCAP</t>
        </is>
      </c>
      <c r="S1212" s="9" t="n">
        <v>46310</v>
      </c>
      <c r="T1212" s="3" t="n">
        <v>46309.52806712963</v>
      </c>
      <c r="U1212" s="2" t="n"/>
    </row>
    <row r="1213">
      <c r="A1213" s="2" t="inlineStr">
        <is>
          <t>Resuelta</t>
        </is>
      </c>
      <c r="B1213" s="3" t="n">
        <v>46272.58333333334</v>
      </c>
      <c r="C1213" s="5" t="n">
        <v>121309.02</v>
      </c>
      <c r="D1213" s="5" t="n">
        <v>121309.02</v>
      </c>
      <c r="E1213" s="2" t="inlineStr">
        <is>
          <t>Andalucía</t>
        </is>
      </c>
      <c r="F1213" s="2" t="inlineStr">
        <is>
          <t>Córdoba</t>
        </is>
      </c>
      <c r="G1213" s="2" t="inlineStr">
        <is>
          <t>Hinojosa del Duque</t>
        </is>
      </c>
      <c r="H1213" s="2" t="inlineStr">
        <is>
          <t>Alcaldía del Ayuntamiento de Hinojosa del Duque</t>
        </is>
      </c>
      <c r="I1213" s="2" t="inlineStr">
        <is>
          <t>Realización de las obras necesarias para la renovación del alumbrado ornamental y monumental de la Plaza de la Catedral de Hinojosa del Duque y de los edificios históricos asociados al ámbito de actuación</t>
        </is>
      </c>
      <c r="J1213" s="2" t="inlineStr">
        <is>
          <t>GEX 2640/2026</t>
        </is>
      </c>
      <c r="K1213" s="2" t="inlineStr">
        <is>
          <t>Abierto simplificado</t>
        </is>
      </c>
      <c r="L1213" s="6" t="n">
        <v>1</v>
      </c>
      <c r="M1213" s="2" t="n"/>
      <c r="N1213" s="7" t="n">
        <v>0</v>
      </c>
      <c r="O1213" s="4" t="n"/>
      <c r="P1213" s="2" t="inlineStr">
        <is>
          <t>45310000; 45316100</t>
        </is>
      </c>
      <c r="Q1213" s="8" t="inlineStr">
        <is>
          <t>Ver</t>
        </is>
      </c>
      <c r="R1213" s="8" t="inlineStr">
        <is>
          <t>PCAP</t>
        </is>
      </c>
      <c r="S1213" s="9" t="n">
        <v>46310</v>
      </c>
      <c r="T1213" s="3" t="n">
        <v>46309.52577546296</v>
      </c>
      <c r="U1213" s="2" t="n"/>
    </row>
    <row r="1214">
      <c r="A1214" s="2" t="inlineStr">
        <is>
          <t>Pendiente de adjudicación</t>
        </is>
      </c>
      <c r="B1214" s="3" t="n">
        <v>46202.58263888889</v>
      </c>
      <c r="C1214" s="5" t="n">
        <v>1776382.99</v>
      </c>
      <c r="D1214" s="5" t="n">
        <v>1776382.99</v>
      </c>
      <c r="E1214" s="2" t="inlineStr">
        <is>
          <t>Comunitat Valenciana</t>
        </is>
      </c>
      <c r="F1214" s="2" t="inlineStr">
        <is>
          <t>Valencia</t>
        </is>
      </c>
      <c r="G1214" s="2" t="n"/>
      <c r="H1214" s="2" t="inlineStr">
        <is>
          <t>Vicepresidente Tercero y Conseller de Medio Ambiente, Infraestructuras, Territorio y de la Recuperación</t>
        </is>
      </c>
      <c r="I1214" s="2" t="inlineStr">
        <is>
          <t>Nuevo itinerario ciclo-peatonal entre Xilxes y la playa de Xilxes (Castellón)</t>
        </is>
      </c>
      <c r="J1214" s="2" t="inlineStr">
        <is>
          <t>CMAYOR/2022/03Y05/134</t>
        </is>
      </c>
      <c r="K1214" s="2" t="inlineStr">
        <is>
          <t>Abierto</t>
        </is>
      </c>
      <c r="L1214" s="6" t="n">
        <v>12</v>
      </c>
      <c r="M1214" s="2" t="inlineStr">
        <is>
          <t>G4-4</t>
        </is>
      </c>
      <c r="N1214" s="7" t="n">
        <v>0.4</v>
      </c>
      <c r="O1214" s="4" t="n"/>
      <c r="P1214" s="2" t="inlineStr">
        <is>
          <t>45233162</t>
        </is>
      </c>
      <c r="Q1214" s="8" t="inlineStr">
        <is>
          <t>Ver</t>
        </is>
      </c>
      <c r="R1214" s="8" t="inlineStr">
        <is>
          <t>PCAP</t>
        </is>
      </c>
      <c r="S1214" s="9" t="n">
        <v>46310</v>
      </c>
      <c r="T1214" s="3" t="n">
        <v>46309.52369212963</v>
      </c>
      <c r="U1214" s="2" t="n"/>
    </row>
    <row r="1215">
      <c r="A1215" s="2" t="inlineStr">
        <is>
          <t>Resuelta</t>
        </is>
      </c>
      <c r="B1215" s="3" t="n">
        <v>46107.99930555555</v>
      </c>
      <c r="C1215" s="5" t="n">
        <v>1937847.78</v>
      </c>
      <c r="D1215" s="5" t="n">
        <v>1937847.78</v>
      </c>
      <c r="E1215" s="2" t="inlineStr">
        <is>
          <t>Comunitat Valenciana</t>
        </is>
      </c>
      <c r="F1215" s="2" t="inlineStr">
        <is>
          <t>Alicante</t>
        </is>
      </c>
      <c r="G1215" s="2" t="n"/>
      <c r="H1215" s="2" t="inlineStr">
        <is>
          <t>Junta de Gobierno del Ayuntamiento de Orihuela</t>
        </is>
      </c>
      <c r="I1215" s="2" t="inlineStr">
        <is>
          <t>Ejecución del proyecto de nuevo depósito en complejo El Canal en Orihuela costa (Alicante)</t>
        </is>
      </c>
      <c r="J1215" s="2" t="inlineStr">
        <is>
          <t>24110/2024</t>
        </is>
      </c>
      <c r="K1215" s="2" t="inlineStr">
        <is>
          <t>Abierto simplificado</t>
        </is>
      </c>
      <c r="L1215" s="6" t="n">
        <v>8</v>
      </c>
      <c r="M1215" s="2" t="inlineStr">
        <is>
          <t>E1-4</t>
        </is>
      </c>
      <c r="N1215" s="7" t="n">
        <v>0</v>
      </c>
      <c r="O1215" s="4" t="n"/>
      <c r="P1215" s="2" t="inlineStr">
        <is>
          <t>45000000; 45232150; 45220000; 45232000; 43328000; 45240000</t>
        </is>
      </c>
      <c r="Q1215" s="8" t="inlineStr">
        <is>
          <t>Ver</t>
        </is>
      </c>
      <c r="R1215" s="8" t="inlineStr">
        <is>
          <t>PCAP</t>
        </is>
      </c>
      <c r="S1215" s="9" t="n">
        <v>46310</v>
      </c>
      <c r="T1215" s="3" t="n">
        <v>46309.51763888889</v>
      </c>
      <c r="U1215" s="2" t="n"/>
    </row>
    <row r="1216">
      <c r="A1216" s="2" t="inlineStr">
        <is>
          <t>Pendiente de adjudicación</t>
        </is>
      </c>
      <c r="B1216" s="3" t="n">
        <v>46083.58333333334</v>
      </c>
      <c r="C1216" s="5" t="n">
        <v>5138402.04</v>
      </c>
      <c r="D1216" s="5" t="n">
        <v>5138402.04</v>
      </c>
      <c r="E1216" s="2" t="inlineStr">
        <is>
          <t>Andalucía</t>
        </is>
      </c>
      <c r="F1216" s="2" t="inlineStr">
        <is>
          <t>Sevilla</t>
        </is>
      </c>
      <c r="G1216" s="2" t="n"/>
      <c r="H1216" s="2" t="inlineStr">
        <is>
          <t>Empresa de Transformación Agraria S.A.,S.M.E., M.P., (TRAGSA)</t>
        </is>
      </c>
      <c r="I1216" s="2" t="inlineStr">
        <is>
          <t>Contratación de la obra suministro e instalación de líneas subterráneas en 15kV para proyecto de reacondicionamiento y puesta en servicio de las balsas de regulación y de estaciones de bombeo para la modernización de C.R. de las Marismas del Guadalquivir. TT.MM. Utrera y Los Palacios y Villafranca (Sevilla) en el marco del PRTR financiado por la Unión Europea.</t>
        </is>
      </c>
      <c r="J1216" s="2" t="inlineStr">
        <is>
          <t>TSA0082730</t>
        </is>
      </c>
      <c r="K1216" s="2" t="inlineStr">
        <is>
          <t>Abierto</t>
        </is>
      </c>
      <c r="L1216" s="6" t="n">
        <v>5</v>
      </c>
      <c r="M1216" s="2" t="inlineStr">
        <is>
          <t>I5-4</t>
        </is>
      </c>
      <c r="N1216" s="7" t="n">
        <v>0</v>
      </c>
      <c r="O1216" s="4" t="n"/>
      <c r="P1216" s="2" t="inlineStr">
        <is>
          <t>45231400</t>
        </is>
      </c>
      <c r="Q1216" s="8" t="inlineStr">
        <is>
          <t>Ver</t>
        </is>
      </c>
      <c r="R1216" s="8" t="inlineStr">
        <is>
          <t>PCAP</t>
        </is>
      </c>
      <c r="S1216" s="9" t="n">
        <v>46310</v>
      </c>
      <c r="T1216" s="3" t="n">
        <v>46309.51635416667</v>
      </c>
      <c r="U1216" s="2" t="n"/>
    </row>
    <row r="1217">
      <c r="A1217" s="2" t="inlineStr">
        <is>
          <t>Resuelta</t>
        </is>
      </c>
      <c r="B1217" s="3" t="n">
        <v>46029.75</v>
      </c>
      <c r="C1217" s="5" t="n">
        <v>69031.34</v>
      </c>
      <c r="D1217" s="5" t="n">
        <v>69031.34</v>
      </c>
      <c r="E1217" s="2" t="inlineStr">
        <is>
          <t>Andalucía</t>
        </is>
      </c>
      <c r="F1217" s="2" t="inlineStr">
        <is>
          <t>Cádiz</t>
        </is>
      </c>
      <c r="G1217" s="2" t="inlineStr">
        <is>
          <t>Conil de la Frontera</t>
        </is>
      </c>
      <c r="H1217" s="2" t="inlineStr">
        <is>
          <t>Alcaldia del Ayuntamiento de Conil de la Frontera</t>
        </is>
      </c>
      <c r="I1217" s="2" t="inlineStr">
        <is>
          <t>Obras de Rehabilitación de cubierta y pintado de fachada casa de La Cultura en Conil de la Frontera</t>
        </is>
      </c>
      <c r="J1217" s="2" t="inlineStr">
        <is>
          <t>9307/2025</t>
        </is>
      </c>
      <c r="K1217" s="2" t="inlineStr">
        <is>
          <t>Abierto simplificado</t>
        </is>
      </c>
      <c r="L1217" s="6" t="n">
        <v>3</v>
      </c>
      <c r="M1217" s="2" t="inlineStr">
        <is>
          <t>K4-1</t>
        </is>
      </c>
      <c r="N1217" s="7" t="n">
        <v>0</v>
      </c>
      <c r="O1217" s="4" t="n"/>
      <c r="P1217" s="2" t="inlineStr">
        <is>
          <t>45261200; 45261420; 45261410; 45442110; 45442100; 45261400; 45261210; 45261220; 45261221</t>
        </is>
      </c>
      <c r="Q1217" s="8" t="inlineStr">
        <is>
          <t>Ver</t>
        </is>
      </c>
      <c r="R1217" s="8" t="inlineStr">
        <is>
          <t>PCAP</t>
        </is>
      </c>
      <c r="S1217" s="9" t="n">
        <v>46310</v>
      </c>
      <c r="T1217" s="3" t="n">
        <v>46309.51241898148</v>
      </c>
      <c r="U1217" s="2" t="n"/>
    </row>
    <row r="1218">
      <c r="A1218" s="2" t="inlineStr">
        <is>
          <t>Adjudicada</t>
        </is>
      </c>
      <c r="B1218" s="3" t="n">
        <v>46304.99930555555</v>
      </c>
      <c r="C1218" s="5" t="n">
        <v>41322.31</v>
      </c>
      <c r="D1218" s="5" t="n">
        <v>41322.31</v>
      </c>
      <c r="E1218" s="2" t="inlineStr">
        <is>
          <t>Andalucía</t>
        </is>
      </c>
      <c r="F1218" s="2" t="inlineStr">
        <is>
          <t>Cádiz</t>
        </is>
      </c>
      <c r="G1218" s="2" t="inlineStr">
        <is>
          <t>Algodonales</t>
        </is>
      </c>
      <c r="H1218" s="2" t="inlineStr">
        <is>
          <t>Alcaldía del Ayuntamiento de Algodonales</t>
        </is>
      </c>
      <c r="I1218" s="2" t="inlineStr">
        <is>
          <t>Se trata de la creación de Acerado Publico en la calle Fuenta Alta</t>
        </is>
      </c>
      <c r="J1218" s="2" t="inlineStr">
        <is>
          <t>2026_11005_COAS_00001</t>
        </is>
      </c>
      <c r="K1218" s="2" t="inlineStr">
        <is>
          <t>Abierto simplificado</t>
        </is>
      </c>
      <c r="L1218" s="6" t="n">
        <v>6</v>
      </c>
      <c r="M1218" s="2" t="n"/>
      <c r="N1218" s="7" t="n">
        <v>0</v>
      </c>
      <c r="O1218" s="4" t="n"/>
      <c r="P1218" s="2" t="inlineStr">
        <is>
          <t>45000000</t>
        </is>
      </c>
      <c r="Q1218" s="8" t="inlineStr">
        <is>
          <t>Ver</t>
        </is>
      </c>
      <c r="R1218" s="8" t="inlineStr">
        <is>
          <t>PCAP</t>
        </is>
      </c>
      <c r="S1218" s="9" t="n">
        <v>46310</v>
      </c>
      <c r="T1218" s="3" t="n">
        <v>46309.51239583334</v>
      </c>
      <c r="U1218" s="2" t="n"/>
    </row>
    <row r="1219">
      <c r="A1219" s="2" t="inlineStr">
        <is>
          <t>Pendiente de adjudicación</t>
        </is>
      </c>
      <c r="B1219" s="3" t="n">
        <v>46304.99930555555</v>
      </c>
      <c r="C1219" s="5" t="n">
        <v>1954072.38</v>
      </c>
      <c r="D1219" s="5" t="n">
        <v>1954072.38</v>
      </c>
      <c r="E1219" s="2" t="inlineStr">
        <is>
          <t>Andalucía</t>
        </is>
      </c>
      <c r="F1219" s="2" t="inlineStr">
        <is>
          <t>Málaga</t>
        </is>
      </c>
      <c r="G1219" s="2" t="inlineStr">
        <is>
          <t>Marbella (Málaga).</t>
        </is>
      </c>
      <c r="H1219" s="2" t="inlineStr">
        <is>
          <t>Consejería delegada de ACOSOL, S.A.U.</t>
        </is>
      </c>
      <c r="I1219" s="2" t="inlineStr">
        <is>
          <t>Contratación de la Obra de Dotación de Infraestructuras Hidráulicas a Urb. RICMAR, T.M. Marbella</t>
        </is>
      </c>
      <c r="J1219" s="2" t="inlineStr">
        <is>
          <t>73-26 (5390)</t>
        </is>
      </c>
      <c r="K1219" s="2" t="inlineStr">
        <is>
          <t>Abierto</t>
        </is>
      </c>
      <c r="L1219" s="6" t="n">
        <v>8</v>
      </c>
      <c r="M1219" s="2" t="n"/>
      <c r="N1219" s="7" t="n">
        <v>0.49</v>
      </c>
      <c r="O1219" s="4" t="n"/>
      <c r="P1219" s="2" t="inlineStr">
        <is>
          <t>45231300; 45000000</t>
        </is>
      </c>
      <c r="Q1219" s="8" t="inlineStr">
        <is>
          <t>Ver</t>
        </is>
      </c>
      <c r="R1219" s="8" t="inlineStr">
        <is>
          <t>PCAP</t>
        </is>
      </c>
      <c r="S1219" s="9" t="n">
        <v>46310</v>
      </c>
      <c r="T1219" s="3" t="n">
        <v>46309.5120949074</v>
      </c>
      <c r="U1219" s="2" t="n"/>
    </row>
    <row r="1220">
      <c r="A1220" s="2" t="inlineStr">
        <is>
          <t>Pendiente de adjudicación</t>
        </is>
      </c>
      <c r="B1220" s="3" t="n">
        <v>46230.99930555555</v>
      </c>
      <c r="C1220" s="5" t="n">
        <v>443565.99</v>
      </c>
      <c r="D1220" s="5" t="n">
        <v>443565.99</v>
      </c>
      <c r="E1220" s="2" t="inlineStr">
        <is>
          <t>Andalucía</t>
        </is>
      </c>
      <c r="F1220" s="2" t="inlineStr">
        <is>
          <t>Granada</t>
        </is>
      </c>
      <c r="G1220" s="2" t="inlineStr">
        <is>
          <t>Armilla</t>
        </is>
      </c>
      <c r="H1220" s="2" t="inlineStr">
        <is>
          <t>Junta de Gobierno del Ayuntamiento de Armilla</t>
        </is>
      </c>
      <c r="I1220" s="2" t="inlineStr">
        <is>
          <t>Ejecución de Obras de Sustitución de la iluminación en el Complejo Deportivo "Rafael Machado Villar" de Armilla (Granada)</t>
        </is>
      </c>
      <c r="J1220" s="2" t="inlineStr">
        <is>
          <t>2026-7548</t>
        </is>
      </c>
      <c r="K1220" s="2" t="inlineStr">
        <is>
          <t>Abierto simplificado</t>
        </is>
      </c>
      <c r="L1220" s="6" t="n">
        <v>2.8</v>
      </c>
      <c r="M1220" s="2" t="n"/>
      <c r="N1220" s="7" t="n">
        <v>0</v>
      </c>
      <c r="O1220" s="4" t="n"/>
      <c r="P1220" s="2" t="inlineStr">
        <is>
          <t>45316000; 31520000; 31500000; 31527200; 31681410</t>
        </is>
      </c>
      <c r="Q1220" s="8" t="inlineStr">
        <is>
          <t>Ver</t>
        </is>
      </c>
      <c r="R1220" s="8" t="inlineStr">
        <is>
          <t>PCAP</t>
        </is>
      </c>
      <c r="S1220" s="9" t="n">
        <v>46310</v>
      </c>
      <c r="T1220" s="3" t="n">
        <v>46309.51179398148</v>
      </c>
      <c r="U1220" s="2" t="n"/>
    </row>
    <row r="1221">
      <c r="A1221" s="2" t="inlineStr">
        <is>
          <t>Resuelta</t>
        </is>
      </c>
      <c r="B1221" s="3" t="n">
        <v>46248.99930555555</v>
      </c>
      <c r="C1221" s="5" t="n">
        <v>29482.66</v>
      </c>
      <c r="D1221" s="5" t="n">
        <v>29482.66</v>
      </c>
      <c r="E1221" s="2" t="inlineStr">
        <is>
          <t>Andalucía</t>
        </is>
      </c>
      <c r="F1221" s="2" t="inlineStr">
        <is>
          <t>Cádiz</t>
        </is>
      </c>
      <c r="G1221" s="2" t="inlineStr">
        <is>
          <t>Medina Sidonia</t>
        </is>
      </c>
      <c r="H1221" s="2" t="inlineStr">
        <is>
          <t>Consejería Delegada de Medina Global S.L.</t>
        </is>
      </c>
      <c r="I1221" s="2" t="inlineStr">
        <is>
          <t>Fabricación, suministro y colocación de estructura metálica para cubierta a cuatro aguas.</t>
        </is>
      </c>
      <c r="J1221" s="2" t="inlineStr">
        <is>
          <t>1.61M ESTRUCTURA METALICA 4 AGUAS</t>
        </is>
      </c>
      <c r="K1221" s="2" t="inlineStr">
        <is>
          <t>Abierto simplificado</t>
        </is>
      </c>
      <c r="L1221" s="6" t="n">
        <v>1</v>
      </c>
      <c r="M1221" s="2" t="n"/>
      <c r="N1221" s="7" t="n">
        <v>0</v>
      </c>
      <c r="O1221" s="4" t="n"/>
      <c r="P1221" s="2" t="inlineStr">
        <is>
          <t>45262410; 45262420</t>
        </is>
      </c>
      <c r="Q1221" s="8" t="inlineStr">
        <is>
          <t>Ver</t>
        </is>
      </c>
      <c r="R1221" s="8" t="inlineStr">
        <is>
          <t>PCAP</t>
        </is>
      </c>
      <c r="S1221" s="9" t="n">
        <v>46310</v>
      </c>
      <c r="T1221" s="3" t="n">
        <v>46309.50774305555</v>
      </c>
      <c r="U1221" s="2" t="n"/>
    </row>
    <row r="1222">
      <c r="A1222" s="2" t="inlineStr">
        <is>
          <t>Pendiente de adjudicación</t>
        </is>
      </c>
      <c r="B1222" s="3" t="n">
        <v>46230.99930555555</v>
      </c>
      <c r="C1222" s="5" t="n">
        <v>326813.47</v>
      </c>
      <c r="D1222" s="5" t="n">
        <v>326813.47</v>
      </c>
      <c r="E1222" s="2" t="inlineStr">
        <is>
          <t>Andalucía</t>
        </is>
      </c>
      <c r="F1222" s="2" t="inlineStr">
        <is>
          <t>Córdoba</t>
        </is>
      </c>
      <c r="G1222" s="2" t="n"/>
      <c r="H1222" s="2" t="inlineStr">
        <is>
          <t>Junta de Gobierno del Ayuntamiento de Córdoba</t>
        </is>
      </c>
      <c r="I1222" s="2" t="inlineStr">
        <is>
          <t>Obras de remodelación en la calle de Las Lomas (2ª Fase)</t>
        </is>
      </c>
      <c r="J1222" s="2" t="inlineStr">
        <is>
          <t>2026/049</t>
        </is>
      </c>
      <c r="K1222" s="2" t="inlineStr">
        <is>
          <t>Abierto</t>
        </is>
      </c>
      <c r="L1222" s="6" t="n">
        <v>6</v>
      </c>
      <c r="M1222" s="2" t="n"/>
      <c r="N1222" s="7" t="n">
        <v>0</v>
      </c>
      <c r="O1222" s="4" t="n"/>
      <c r="P1222" s="2" t="inlineStr">
        <is>
          <t>45233252; 45233222</t>
        </is>
      </c>
      <c r="Q1222" s="8" t="inlineStr">
        <is>
          <t>Ver</t>
        </is>
      </c>
      <c r="R1222" s="8" t="inlineStr">
        <is>
          <t>PCAP</t>
        </is>
      </c>
      <c r="S1222" s="9" t="n">
        <v>46310</v>
      </c>
      <c r="T1222" s="3" t="n">
        <v>46309.50704861111</v>
      </c>
      <c r="U1222" s="2" t="n"/>
    </row>
    <row r="1223">
      <c r="A1223" s="2" t="inlineStr">
        <is>
          <t>Pendiente de adjudicación</t>
        </is>
      </c>
      <c r="B1223" s="3" t="n">
        <v>46321.99930555555</v>
      </c>
      <c r="C1223" s="5" t="n">
        <v>30696.58</v>
      </c>
      <c r="D1223" s="5" t="n">
        <v>30696.58</v>
      </c>
      <c r="E1223" s="2" t="inlineStr">
        <is>
          <t>Andalucía</t>
        </is>
      </c>
      <c r="F1223" s="2" t="inlineStr">
        <is>
          <t>Granada</t>
        </is>
      </c>
      <c r="G1223" s="2" t="inlineStr">
        <is>
          <t>Vegas del Genil</t>
        </is>
      </c>
      <c r="H1223" s="2" t="inlineStr">
        <is>
          <t>Alcaldía del Ayuntamiento de Vegas del Genil</t>
        </is>
      </c>
      <c r="I1223" s="2" t="inlineStr">
        <is>
          <t>Remodelación del parque Atenea (Ambroz)</t>
        </is>
      </c>
      <c r="J1223" s="2" t="inlineStr">
        <is>
          <t>3844/2026</t>
        </is>
      </c>
      <c r="K1223" s="2" t="inlineStr">
        <is>
          <t>Negociado sin publicidad</t>
        </is>
      </c>
      <c r="L1223" s="6" t="n">
        <v>4</v>
      </c>
      <c r="M1223" s="2" t="n"/>
      <c r="N1223" s="7" t="n">
        <v>0</v>
      </c>
      <c r="O1223" s="4" t="n"/>
      <c r="P1223" s="2" t="inlineStr">
        <is>
          <t>45112711; 45000000</t>
        </is>
      </c>
      <c r="Q1223" s="8" t="inlineStr">
        <is>
          <t>Ver</t>
        </is>
      </c>
      <c r="R1223" s="8" t="inlineStr">
        <is>
          <t>PCAP</t>
        </is>
      </c>
      <c r="S1223" s="9" t="n">
        <v>46310</v>
      </c>
      <c r="T1223" s="3" t="n">
        <v>46309.50552083334</v>
      </c>
      <c r="U1223" s="2" t="n"/>
    </row>
    <row r="1224">
      <c r="A1224" s="2" t="inlineStr">
        <is>
          <t>Pendiente de adjudicación</t>
        </is>
      </c>
      <c r="B1224" s="3" t="n">
        <v>46280.99930555555</v>
      </c>
      <c r="C1224" s="5" t="n">
        <v>527001.48</v>
      </c>
      <c r="D1224" s="5" t="n">
        <v>527001.48</v>
      </c>
      <c r="E1224" s="2" t="inlineStr">
        <is>
          <t>Andalucía</t>
        </is>
      </c>
      <c r="F1224" s="2" t="inlineStr">
        <is>
          <t>Córdoba</t>
        </is>
      </c>
      <c r="G1224" s="2" t="n"/>
      <c r="H1224" s="2" t="inlineStr">
        <is>
          <t>Junta de Gobierno del Ayuntamiento de Córdoba</t>
        </is>
      </c>
      <c r="I1224" s="2" t="inlineStr">
        <is>
          <t>Obra de remodelación de la calle Rey Don Pelayo</t>
        </is>
      </c>
      <c r="J1224" s="2" t="inlineStr">
        <is>
          <t>2026/050</t>
        </is>
      </c>
      <c r="K1224" s="2" t="inlineStr">
        <is>
          <t>Abierto</t>
        </is>
      </c>
      <c r="L1224" s="6" t="n">
        <v>6</v>
      </c>
      <c r="M1224" s="2" t="inlineStr">
        <is>
          <t>G4-3</t>
        </is>
      </c>
      <c r="N1224" s="7" t="n">
        <v>0</v>
      </c>
      <c r="O1224" s="4" t="n"/>
      <c r="P1224" s="2" t="inlineStr">
        <is>
          <t>45233222</t>
        </is>
      </c>
      <c r="Q1224" s="8" t="inlineStr">
        <is>
          <t>Ver</t>
        </is>
      </c>
      <c r="R1224" s="8" t="inlineStr">
        <is>
          <t>PCAP</t>
        </is>
      </c>
      <c r="S1224" s="9" t="n">
        <v>46310</v>
      </c>
      <c r="T1224" s="3" t="n">
        <v>46309.50479166667</v>
      </c>
      <c r="U1224" s="2" t="n"/>
    </row>
    <row r="1225">
      <c r="A1225" s="2" t="inlineStr">
        <is>
          <t>Pendiente de adjudicación</t>
        </is>
      </c>
      <c r="B1225" s="3" t="n">
        <v>46303.99930555555</v>
      </c>
      <c r="C1225" s="5" t="n">
        <v>227421.11</v>
      </c>
      <c r="D1225" s="5" t="n">
        <v>227421.11</v>
      </c>
      <c r="E1225" s="2" t="inlineStr">
        <is>
          <t>Andalucía</t>
        </is>
      </c>
      <c r="F1225" s="2" t="inlineStr">
        <is>
          <t>Almería</t>
        </is>
      </c>
      <c r="G1225" s="2" t="inlineStr">
        <is>
          <t>Viator</t>
        </is>
      </c>
      <c r="H1225" s="2" t="inlineStr">
        <is>
          <t>Junta De Gobierno Local del Ayuntamiento de Viator</t>
        </is>
      </c>
      <c r="I1225" s="2" t="inlineStr">
        <is>
          <t>Obras de mejora de dotaciones recreativas en la Ciudad Deportiva de Viator</t>
        </is>
      </c>
      <c r="J1225" s="2" t="inlineStr">
        <is>
          <t>855/2026</t>
        </is>
      </c>
      <c r="K1225" s="2" t="inlineStr">
        <is>
          <t>Abierto simplificado</t>
        </is>
      </c>
      <c r="L1225" s="6" t="n">
        <v>4</v>
      </c>
      <c r="M1225" s="2" t="n"/>
      <c r="N1225" s="7" t="n">
        <v>0.2</v>
      </c>
      <c r="O1225" s="4" t="n"/>
      <c r="P1225" s="2" t="inlineStr">
        <is>
          <t>45212200</t>
        </is>
      </c>
      <c r="Q1225" s="8" t="inlineStr">
        <is>
          <t>Ver</t>
        </is>
      </c>
      <c r="R1225" s="8" t="inlineStr">
        <is>
          <t>PCAP</t>
        </is>
      </c>
      <c r="S1225" s="9" t="n">
        <v>46310</v>
      </c>
      <c r="T1225" s="3" t="n">
        <v>46309.50364583333</v>
      </c>
      <c r="U1225" s="2" t="n"/>
    </row>
    <row r="1226">
      <c r="A1226" s="2" t="inlineStr">
        <is>
          <t>Resuelta</t>
        </is>
      </c>
      <c r="B1226" s="3" t="n">
        <v>46296.375</v>
      </c>
      <c r="C1226" s="5" t="n">
        <v>38906.26</v>
      </c>
      <c r="D1226" s="5" t="n">
        <v>38906.26</v>
      </c>
      <c r="E1226" s="2" t="inlineStr">
        <is>
          <t>Andalucía</t>
        </is>
      </c>
      <c r="F1226" s="2" t="inlineStr">
        <is>
          <t>Cádiz</t>
        </is>
      </c>
      <c r="G1226" s="2" t="n"/>
      <c r="H1226" s="2" t="inlineStr">
        <is>
          <t>Intendente de San Fernando</t>
        </is>
      </c>
      <c r="I1226" s="2" t="inlineStr">
        <is>
          <t>INFRA26-061 CB Resanado y reparación de la puerta de acceso al helipuerto de la PMSC. Lote 7</t>
        </is>
      </c>
      <c r="J1226" s="2" t="inlineStr">
        <is>
          <t>2026/AR43U/00002529E</t>
        </is>
      </c>
      <c r="K1226" s="2" t="inlineStr">
        <is>
          <t>Abierto</t>
        </is>
      </c>
      <c r="L1226" s="6" t="n">
        <v>1.2</v>
      </c>
      <c r="M1226" s="2" t="n"/>
      <c r="N1226" s="7" t="n">
        <v>0</v>
      </c>
      <c r="O1226" s="4" t="n"/>
      <c r="P1226" s="2" t="inlineStr">
        <is>
          <t>45421160</t>
        </is>
      </c>
      <c r="Q1226" s="8" t="inlineStr">
        <is>
          <t>Ver</t>
        </is>
      </c>
      <c r="R1226" s="8" t="inlineStr">
        <is>
          <t>PCAP</t>
        </is>
      </c>
      <c r="S1226" s="9" t="n">
        <v>46310</v>
      </c>
      <c r="T1226" s="3" t="n">
        <v>46309.5032175926</v>
      </c>
      <c r="U1226" s="2" t="n"/>
    </row>
    <row r="1227">
      <c r="A1227" s="2" t="inlineStr">
        <is>
          <t>En plazo</t>
        </is>
      </c>
      <c r="B1227" s="3" t="n">
        <v>46329.99930555555</v>
      </c>
      <c r="C1227" s="5" t="n">
        <v>221400</v>
      </c>
      <c r="D1227" s="5" t="n">
        <v>221400</v>
      </c>
      <c r="E1227" s="2" t="inlineStr">
        <is>
          <t>Comunitat Valenciana</t>
        </is>
      </c>
      <c r="F1227" s="2" t="inlineStr">
        <is>
          <t>Valencia</t>
        </is>
      </c>
      <c r="G1227" s="2" t="inlineStr">
        <is>
          <t>Utiel</t>
        </is>
      </c>
      <c r="H1227" s="2" t="inlineStr">
        <is>
          <t>Alcaldía del Ayuntamiento de Utiel</t>
        </is>
      </c>
      <c r="I1227" s="2" t="inlineStr">
        <is>
          <t>Restauración del refugio antiaéreo de la Guerra Civil</t>
        </is>
      </c>
      <c r="J1227" s="2" t="inlineStr">
        <is>
          <t>366/2026</t>
        </is>
      </c>
      <c r="K1227" s="2" t="inlineStr">
        <is>
          <t>Abierto simplificado</t>
        </is>
      </c>
      <c r="L1227" s="6" t="n">
        <v>9</v>
      </c>
      <c r="M1227" s="2" t="n"/>
      <c r="N1227" s="7" t="n">
        <v>0</v>
      </c>
      <c r="O1227" s="4" t="n"/>
      <c r="P1227" s="2" t="inlineStr">
        <is>
          <t>45454100</t>
        </is>
      </c>
      <c r="Q1227" s="8" t="inlineStr">
        <is>
          <t>Ver</t>
        </is>
      </c>
      <c r="R1227" s="8" t="inlineStr">
        <is>
          <t>PCAP</t>
        </is>
      </c>
      <c r="S1227" s="9" t="n">
        <v>46310</v>
      </c>
      <c r="T1227" s="3" t="n">
        <v>46309.5012037037</v>
      </c>
      <c r="U1227" s="2" t="n"/>
    </row>
    <row r="1228">
      <c r="A1228" s="2" t="inlineStr">
        <is>
          <t>Resuelta</t>
        </is>
      </c>
      <c r="B1228" s="3" t="n">
        <v>46266.41666666666</v>
      </c>
      <c r="C1228" s="5" t="n">
        <v>153680</v>
      </c>
      <c r="D1228" s="5" t="n">
        <v>153680</v>
      </c>
      <c r="E1228" s="2" t="inlineStr">
        <is>
          <t>Andalucía</t>
        </is>
      </c>
      <c r="F1228" s="2" t="inlineStr">
        <is>
          <t>Córdoba</t>
        </is>
      </c>
      <c r="G1228" s="2" t="n"/>
      <c r="H1228" s="2" t="inlineStr">
        <is>
          <t>Empresa de Transformación Agraria S.A.,S.M.E., M.P., (TRAGSA)</t>
        </is>
      </c>
      <c r="I1228" s="2" t="inlineStr">
        <is>
          <t>Contrato derivado del Acuerdo marco para alquiler de maquinaria de obra civil, agrícola y forestal, y camiones para obras de construcción y demolición, dotada de operario, para las actuaciones del ámbito territorial de la gerencia provincial de Tragsa en Córdoba, incluida las obras con fondos en el marco del plan de recuperación, transformación y resiliencia financiado por la unión europea</t>
        </is>
      </c>
      <c r="J1228" s="2" t="inlineStr">
        <is>
          <t>TSA0079529-137</t>
        </is>
      </c>
      <c r="K1228" s="2" t="inlineStr">
        <is>
          <t>Abierto</t>
        </is>
      </c>
      <c r="L1228" s="6" t="n">
        <v>12</v>
      </c>
      <c r="M1228" s="2" t="n"/>
      <c r="N1228" s="7" t="n">
        <v>0</v>
      </c>
      <c r="O1228" s="4" t="n"/>
      <c r="P1228" s="2" t="inlineStr">
        <is>
          <t>45500000</t>
        </is>
      </c>
      <c r="Q1228" s="8" t="inlineStr">
        <is>
          <t>Ver</t>
        </is>
      </c>
      <c r="R1228" s="8" t="inlineStr">
        <is>
          <t>PCAP</t>
        </is>
      </c>
      <c r="S1228" s="9" t="n">
        <v>46310</v>
      </c>
      <c r="T1228" s="3" t="n">
        <v>46309.49840277778</v>
      </c>
      <c r="U1228" s="2" t="n"/>
    </row>
    <row r="1229">
      <c r="A1229" s="2" t="inlineStr">
        <is>
          <t>Resuelta</t>
        </is>
      </c>
      <c r="B1229" s="3" t="n">
        <v>46293.375</v>
      </c>
      <c r="C1229" s="5" t="n">
        <v>39798.51</v>
      </c>
      <c r="D1229" s="5" t="n">
        <v>39798.51</v>
      </c>
      <c r="E1229" s="2" t="inlineStr">
        <is>
          <t>Andalucía</t>
        </is>
      </c>
      <c r="F1229" s="2" t="inlineStr">
        <is>
          <t>Cádiz</t>
        </is>
      </c>
      <c r="G1229" s="2" t="n"/>
      <c r="H1229" s="2" t="inlineStr">
        <is>
          <t>Intendente de San Fernando</t>
        </is>
      </c>
      <c r="I1229" s="2" t="inlineStr">
        <is>
          <t>INFRA26-061 Reparación de aseo y aulas de catequesis en la iglesia vaticana y castrense de San Francisco. Lote 7.</t>
        </is>
      </c>
      <c r="J1229" s="2" t="inlineStr">
        <is>
          <t>2026/AR43U/00002520E</t>
        </is>
      </c>
      <c r="K1229" s="2" t="inlineStr">
        <is>
          <t>Abierto</t>
        </is>
      </c>
      <c r="L1229" s="6" t="n">
        <v>2</v>
      </c>
      <c r="M1229" s="2" t="n"/>
      <c r="N1229" s="7" t="n">
        <v>0</v>
      </c>
      <c r="O1229" s="4" t="n"/>
      <c r="P1229" s="2" t="inlineStr">
        <is>
          <t>45000000</t>
        </is>
      </c>
      <c r="Q1229" s="8" t="inlineStr">
        <is>
          <t>Ver</t>
        </is>
      </c>
      <c r="R1229" s="8" t="inlineStr">
        <is>
          <t>PCAP</t>
        </is>
      </c>
      <c r="S1229" s="9" t="n">
        <v>46310</v>
      </c>
      <c r="T1229" s="3" t="n">
        <v>46309.49704861111</v>
      </c>
      <c r="U1229" s="2" t="n"/>
    </row>
    <row r="1230">
      <c r="A1230" s="2" t="inlineStr">
        <is>
          <t>En plazo</t>
        </is>
      </c>
      <c r="B1230" s="3" t="n">
        <v>46329.58333333334</v>
      </c>
      <c r="C1230" s="5" t="n">
        <v>988010.83</v>
      </c>
      <c r="D1230" s="5" t="n">
        <v>988010.83</v>
      </c>
      <c r="E1230" s="2" t="inlineStr">
        <is>
          <t>Andalucía</t>
        </is>
      </c>
      <c r="F1230" s="2" t="inlineStr">
        <is>
          <t>Sevilla</t>
        </is>
      </c>
      <c r="G1230" s="2" t="inlineStr">
        <is>
          <t>Gines</t>
        </is>
      </c>
      <c r="H1230" s="2" t="inlineStr">
        <is>
          <t>Junta de Gobierno Local del Ayuntamiento de Gines</t>
        </is>
      </c>
      <c r="I1230" s="2" t="inlineStr">
        <is>
          <t>Obras de rehabilitación y adecuación de inmueble municipal en plantas baja y sótano para aparcamiento público municipal y locales de usos culturales y sociales.</t>
        </is>
      </c>
      <c r="J1230" s="2" t="inlineStr">
        <is>
          <t>6859/2026</t>
        </is>
      </c>
      <c r="K1230" s="2" t="inlineStr">
        <is>
          <t>Abierto simplificado</t>
        </is>
      </c>
      <c r="L1230" s="6" t="n">
        <v>6</v>
      </c>
      <c r="M1230" s="2" t="inlineStr">
        <is>
          <t>C*-2</t>
        </is>
      </c>
      <c r="N1230" s="7" t="n">
        <v>0.25</v>
      </c>
      <c r="O1230" s="4" t="n"/>
      <c r="P1230" s="2" t="inlineStr">
        <is>
          <t>45453100; 45313100; 45331210</t>
        </is>
      </c>
      <c r="Q1230" s="8" t="inlineStr">
        <is>
          <t>Ver</t>
        </is>
      </c>
      <c r="R1230" s="8" t="inlineStr">
        <is>
          <t>PCAP</t>
        </is>
      </c>
      <c r="S1230" s="9" t="n">
        <v>46310</v>
      </c>
      <c r="T1230" s="3" t="n">
        <v>46309.49670138889</v>
      </c>
      <c r="U1230" s="2" t="n"/>
    </row>
    <row r="1231">
      <c r="A1231" s="2" t="inlineStr">
        <is>
          <t>Resuelta</t>
        </is>
      </c>
      <c r="B1231" s="3" t="n">
        <v>46266.41666666666</v>
      </c>
      <c r="C1231" s="5" t="n">
        <v>30200</v>
      </c>
      <c r="D1231" s="5" t="n">
        <v>30200</v>
      </c>
      <c r="E1231" s="2" t="inlineStr">
        <is>
          <t>Andalucía</t>
        </is>
      </c>
      <c r="F1231" s="2" t="inlineStr">
        <is>
          <t>Córdoba</t>
        </is>
      </c>
      <c r="G1231" s="2" t="n"/>
      <c r="H1231" s="2" t="inlineStr">
        <is>
          <t>Empresa de Transformación Agraria S.A.,S.M.E., M.P., (TRAGSA)</t>
        </is>
      </c>
      <c r="I1231" s="2" t="inlineStr">
        <is>
          <t>Contrato derivado del Acuerdo marco para alquiler de maquinaria de obra civil, agrícola y forestal, y camiones para obras de construcción y demolición, dotada de operario, para las actuaciones del ámbito territorial de la gerencia provincial de Tragsa en Córdoba, incluida las obras con fondos en el marco del plan de recuperación, transformación y resiliencia financiado por la unión europea</t>
        </is>
      </c>
      <c r="J1231" s="2" t="inlineStr">
        <is>
          <t>TSA0079529-138</t>
        </is>
      </c>
      <c r="K1231" s="2" t="inlineStr">
        <is>
          <t>Abierto</t>
        </is>
      </c>
      <c r="L1231" s="6" t="n">
        <v>7</v>
      </c>
      <c r="M1231" s="2" t="n"/>
      <c r="N1231" s="7" t="n">
        <v>0</v>
      </c>
      <c r="O1231" s="4" t="n"/>
      <c r="P1231" s="2" t="inlineStr">
        <is>
          <t>45500000</t>
        </is>
      </c>
      <c r="Q1231" s="8" t="inlineStr">
        <is>
          <t>Ver</t>
        </is>
      </c>
      <c r="R1231" s="8" t="inlineStr">
        <is>
          <t>PCAP</t>
        </is>
      </c>
      <c r="S1231" s="9" t="n">
        <v>46310</v>
      </c>
      <c r="T1231" s="3" t="n">
        <v>46309.4966087963</v>
      </c>
      <c r="U1231" s="2" t="n"/>
    </row>
    <row r="1232">
      <c r="A1232" s="2" t="inlineStr">
        <is>
          <t>Resuelta</t>
        </is>
      </c>
      <c r="B1232" s="3" t="n">
        <v>46296.375</v>
      </c>
      <c r="C1232" s="5" t="n">
        <v>35660.39</v>
      </c>
      <c r="D1232" s="5" t="n">
        <v>35660.39</v>
      </c>
      <c r="E1232" s="2" t="inlineStr">
        <is>
          <t>Andalucía</t>
        </is>
      </c>
      <c r="F1232" s="2" t="inlineStr">
        <is>
          <t>Cádiz</t>
        </is>
      </c>
      <c r="G1232" s="2" t="n"/>
      <c r="H1232" s="2" t="inlineStr">
        <is>
          <t>Intendente de San Fernando</t>
        </is>
      </c>
      <c r="I1232" s="2" t="inlineStr">
        <is>
          <t>INFRA 26-061 Reparación aseos cámara oficiales BN Carraca.</t>
        </is>
      </c>
      <c r="J1232" s="2" t="inlineStr">
        <is>
          <t>2026/AR43U/00002480E</t>
        </is>
      </c>
      <c r="K1232" s="2" t="inlineStr">
        <is>
          <t>Abierto</t>
        </is>
      </c>
      <c r="L1232" s="6" t="n">
        <v>1.7</v>
      </c>
      <c r="M1232" s="2" t="n"/>
      <c r="N1232" s="7" t="n">
        <v>0</v>
      </c>
      <c r="O1232" s="4" t="n"/>
      <c r="P1232" s="2" t="inlineStr">
        <is>
          <t>45000000</t>
        </is>
      </c>
      <c r="Q1232" s="8" t="inlineStr">
        <is>
          <t>Ver</t>
        </is>
      </c>
      <c r="R1232" s="8" t="inlineStr">
        <is>
          <t>PCAP</t>
        </is>
      </c>
      <c r="S1232" s="9" t="n">
        <v>46310</v>
      </c>
      <c r="T1232" s="3" t="n">
        <v>46309.49472222223</v>
      </c>
      <c r="U1232" s="2" t="n"/>
    </row>
    <row r="1233">
      <c r="A1233" s="2" t="inlineStr">
        <is>
          <t>Pendiente de adjudicación</t>
        </is>
      </c>
      <c r="B1233" s="3" t="n">
        <v>46261.99930555555</v>
      </c>
      <c r="C1233" s="5" t="n">
        <v>182182.1</v>
      </c>
      <c r="D1233" s="5" t="n">
        <v>182182.1</v>
      </c>
      <c r="E1233" s="2" t="inlineStr">
        <is>
          <t>Andalucía</t>
        </is>
      </c>
      <c r="F1233" s="2" t="inlineStr">
        <is>
          <t>Granada</t>
        </is>
      </c>
      <c r="G1233" s="2" t="n"/>
      <c r="H1233" s="2" t="inlineStr">
        <is>
          <t>Alcaldia del Ayuntamiento de Peligros</t>
        </is>
      </c>
      <c r="I1233" s="2" t="inlineStr">
        <is>
          <t>Ejecución de las obras correspondientes al Proyecto de Obras denominado contrato mayor de obras de sustitución de alumbrado público de la barriada del Terrontel, Vista Alegre , y las Calles Pintor Velázquez y Rotonda Reina Sofía, en Peligros. (Granada)</t>
        </is>
      </c>
      <c r="J1233" s="2" t="inlineStr">
        <is>
          <t>2733/2026</t>
        </is>
      </c>
      <c r="K1233" s="2" t="inlineStr">
        <is>
          <t>Abierto simplificado</t>
        </is>
      </c>
      <c r="L1233" s="6" t="n">
        <v>2</v>
      </c>
      <c r="M1233" s="2" t="n"/>
      <c r="N1233" s="7" t="n">
        <v>0</v>
      </c>
      <c r="O1233" s="4" t="n"/>
      <c r="P1233" s="2" t="inlineStr">
        <is>
          <t>45316000; 45316100</t>
        </is>
      </c>
      <c r="Q1233" s="8" t="inlineStr">
        <is>
          <t>Ver</t>
        </is>
      </c>
      <c r="R1233" s="8" t="inlineStr">
        <is>
          <t>PCAP</t>
        </is>
      </c>
      <c r="S1233" s="9" t="n">
        <v>46310</v>
      </c>
      <c r="T1233" s="3" t="n">
        <v>46309.49315972222</v>
      </c>
      <c r="U1233" s="2" t="n"/>
    </row>
    <row r="1234">
      <c r="A1234" s="2" t="inlineStr">
        <is>
          <t>Resuelta</t>
        </is>
      </c>
      <c r="B1234" s="3" t="n">
        <v>46296.375</v>
      </c>
      <c r="C1234" s="5" t="n">
        <v>16272.85</v>
      </c>
      <c r="D1234" s="5" t="n">
        <v>16272.85</v>
      </c>
      <c r="E1234" s="2" t="inlineStr">
        <is>
          <t>Andalucía</t>
        </is>
      </c>
      <c r="F1234" s="2" t="inlineStr">
        <is>
          <t>Cádiz</t>
        </is>
      </c>
      <c r="G1234" s="2" t="n"/>
      <c r="H1234" s="2" t="inlineStr">
        <is>
          <t>Intendente de San Fernando</t>
        </is>
      </c>
      <c r="I1234" s="2" t="inlineStr">
        <is>
          <t>NFRA26-061 CB Reparación y pintado de la fachada trasera del cine de la BNC. Lote 7.</t>
        </is>
      </c>
      <c r="J1234" s="2" t="inlineStr">
        <is>
          <t>2026/AR43U/00002533E</t>
        </is>
      </c>
      <c r="K1234" s="2" t="inlineStr">
        <is>
          <t>Abierto</t>
        </is>
      </c>
      <c r="L1234" s="6" t="n">
        <v>1.7</v>
      </c>
      <c r="M1234" s="2" t="n"/>
      <c r="N1234" s="7" t="n">
        <v>0</v>
      </c>
      <c r="O1234" s="4" t="n"/>
      <c r="P1234" s="2" t="inlineStr">
        <is>
          <t>45000000</t>
        </is>
      </c>
      <c r="Q1234" s="8" t="inlineStr">
        <is>
          <t>Ver</t>
        </is>
      </c>
      <c r="R1234" s="8" t="inlineStr">
        <is>
          <t>PCAP</t>
        </is>
      </c>
      <c r="S1234" s="9" t="n">
        <v>46310</v>
      </c>
      <c r="T1234" s="3" t="n">
        <v>46309.493125</v>
      </c>
      <c r="U1234" s="2" t="n"/>
    </row>
    <row r="1235">
      <c r="A1235" s="2" t="inlineStr">
        <is>
          <t>Resuelta</t>
        </is>
      </c>
      <c r="B1235" s="3" t="n">
        <v>46280.41666666666</v>
      </c>
      <c r="C1235" s="5" t="n">
        <v>148800</v>
      </c>
      <c r="D1235" s="5" t="n">
        <v>148800</v>
      </c>
      <c r="E1235" s="2" t="inlineStr">
        <is>
          <t>Andalucía</t>
        </is>
      </c>
      <c r="F1235" s="2" t="inlineStr">
        <is>
          <t>Córdoba</t>
        </is>
      </c>
      <c r="G1235" s="2" t="n"/>
      <c r="H1235" s="2" t="inlineStr">
        <is>
          <t>Empresa de Transformación Agraria S.A.,S.M.E., M.P., (TRAGSA)</t>
        </is>
      </c>
      <c r="I1235" s="2" t="inlineStr">
        <is>
          <t>Contrato derivado del Acuerdo marco para alquiler de maquinaria de obra civil, agrícola y forestal, y camiones para obras de construcción y demolición, dotada de operario, para las actuaciones del ámbito territorial de la gerencia provincial de Tragsa en Córdoba, incluida las obras con fondos en el marco del plan de recuperación, transformación y resiliencia financiado por la unión europea</t>
        </is>
      </c>
      <c r="J1235" s="2" t="inlineStr">
        <is>
          <t>TSA0079529-139</t>
        </is>
      </c>
      <c r="K1235" s="2" t="inlineStr">
        <is>
          <t>Abierto</t>
        </is>
      </c>
      <c r="L1235" s="6" t="n">
        <v>9</v>
      </c>
      <c r="M1235" s="2" t="n"/>
      <c r="N1235" s="7" t="n">
        <v>0</v>
      </c>
      <c r="O1235" s="4" t="n"/>
      <c r="P1235" s="2" t="inlineStr">
        <is>
          <t>45500000</t>
        </is>
      </c>
      <c r="Q1235" s="8" t="inlineStr">
        <is>
          <t>Ver</t>
        </is>
      </c>
      <c r="R1235" s="8" t="inlineStr">
        <is>
          <t>PCAP</t>
        </is>
      </c>
      <c r="S1235" s="9" t="n">
        <v>46310</v>
      </c>
      <c r="T1235" s="3" t="n">
        <v>46309.49226851852</v>
      </c>
      <c r="U1235" s="2" t="n"/>
    </row>
    <row r="1236">
      <c r="A1236" s="2" t="inlineStr">
        <is>
          <t>Resuelta</t>
        </is>
      </c>
      <c r="B1236" s="3" t="n">
        <v>46267.99930555555</v>
      </c>
      <c r="C1236" s="5" t="n">
        <v>195410.55</v>
      </c>
      <c r="D1236" s="5" t="n">
        <v>214951.6</v>
      </c>
      <c r="E1236" s="2" t="inlineStr">
        <is>
          <t>Comunitat Valenciana</t>
        </is>
      </c>
      <c r="F1236" s="2" t="inlineStr">
        <is>
          <t>Alicante</t>
        </is>
      </c>
      <c r="G1236" s="2" t="inlineStr">
        <is>
          <t>Cocentaina</t>
        </is>
      </c>
      <c r="H1236" s="2" t="inlineStr">
        <is>
          <t>Alcaldía del Ayuntamiento de Cocentaina</t>
        </is>
      </c>
      <c r="I1236" s="2" t="inlineStr">
        <is>
          <t>Construcción de nuevos nichos en el cementerio municipal de Cocentaina</t>
        </is>
      </c>
      <c r="J1236" s="2" t="inlineStr">
        <is>
          <t>6363/2025</t>
        </is>
      </c>
      <c r="K1236" s="2" t="inlineStr">
        <is>
          <t>Abierto simplificado</t>
        </is>
      </c>
      <c r="L1236" s="6" t="n">
        <v>3</v>
      </c>
      <c r="M1236" s="2" t="n"/>
      <c r="N1236" s="7" t="n">
        <v>0</v>
      </c>
      <c r="O1236" s="4" t="n"/>
      <c r="P1236" s="2" t="inlineStr">
        <is>
          <t>45215400</t>
        </is>
      </c>
      <c r="Q1236" s="8" t="inlineStr">
        <is>
          <t>Ver</t>
        </is>
      </c>
      <c r="R1236" s="8" t="inlineStr">
        <is>
          <t>PCAP</t>
        </is>
      </c>
      <c r="S1236" s="9" t="n">
        <v>46310</v>
      </c>
      <c r="T1236" s="3" t="n">
        <v>46309.48913194444</v>
      </c>
      <c r="U1236" s="2" t="n"/>
    </row>
    <row r="1237">
      <c r="A1237" s="2" t="inlineStr">
        <is>
          <t>Pendiente de adjudicación</t>
        </is>
      </c>
      <c r="B1237" s="3" t="n">
        <v>46308.99930555555</v>
      </c>
      <c r="C1237" s="5" t="n">
        <v>261800</v>
      </c>
      <c r="D1237" s="5" t="n">
        <v>261800</v>
      </c>
      <c r="E1237" s="2" t="inlineStr">
        <is>
          <t>Comunitat Valenciana</t>
        </is>
      </c>
      <c r="F1237" s="2" t="inlineStr">
        <is>
          <t>Valencia</t>
        </is>
      </c>
      <c r="G1237" s="2" t="n"/>
      <c r="H1237" s="2" t="inlineStr">
        <is>
          <t>Alcaldía del Ayuntamiento de Foios</t>
        </is>
      </c>
      <c r="I1237" s="2" t="inlineStr">
        <is>
          <t>Segunda fase de la Sala Polivalente del Polideportivo Municipal de Foios</t>
        </is>
      </c>
      <c r="J1237" s="2" t="inlineStr">
        <is>
          <t>2026/2426</t>
        </is>
      </c>
      <c r="K1237" s="2" t="inlineStr">
        <is>
          <t>Abierto simplificado</t>
        </is>
      </c>
      <c r="L1237" s="6" t="n">
        <v>6</v>
      </c>
      <c r="M1237" s="2" t="n"/>
      <c r="N1237" s="7" t="n">
        <v>0</v>
      </c>
      <c r="O1237" s="4" t="n"/>
      <c r="P1237" s="2" t="inlineStr">
        <is>
          <t>45210000</t>
        </is>
      </c>
      <c r="Q1237" s="8" t="inlineStr">
        <is>
          <t>Ver</t>
        </is>
      </c>
      <c r="R1237" s="8" t="inlineStr">
        <is>
          <t>PCAP</t>
        </is>
      </c>
      <c r="S1237" s="9" t="n">
        <v>46310</v>
      </c>
      <c r="T1237" s="3" t="n">
        <v>46309.48741898148</v>
      </c>
      <c r="U1237" s="2" t="n"/>
    </row>
    <row r="1238">
      <c r="A1238" s="2" t="inlineStr">
        <is>
          <t>En plazo</t>
        </is>
      </c>
      <c r="B1238" s="3" t="n">
        <v>46323.79166666666</v>
      </c>
      <c r="C1238" s="5" t="n">
        <v>446558.15</v>
      </c>
      <c r="D1238" s="5" t="n">
        <v>446558.15</v>
      </c>
      <c r="E1238" s="2" t="inlineStr">
        <is>
          <t>Andalucía</t>
        </is>
      </c>
      <c r="F1238" s="2" t="inlineStr">
        <is>
          <t>Córdoba</t>
        </is>
      </c>
      <c r="G1238" s="2" t="inlineStr">
        <is>
          <t>Córdoba</t>
        </is>
      </c>
      <c r="H1238" s="2" t="inlineStr">
        <is>
          <t>Presidencia del Consejo de Administración de la Empresa Provincial de Aguas de Córdoba S.A.</t>
        </is>
      </c>
      <c r="I1238" s="2" t="inlineStr">
        <is>
          <t>Obra de Renovación de las Redes de Abastecimiento y Saneamiento y Reurbanización mediante Plataforma Única en la Calle Horno de Puente Genil.</t>
        </is>
      </c>
      <c r="J1238" s="2" t="inlineStr">
        <is>
          <t>CC 54/2026</t>
        </is>
      </c>
      <c r="K1238" s="2" t="inlineStr">
        <is>
          <t>Abierto simplificado</t>
        </is>
      </c>
      <c r="L1238" s="6" t="n">
        <v>5</v>
      </c>
      <c r="M1238" s="2" t="n"/>
      <c r="N1238" s="7" t="n"/>
      <c r="O1238" s="4" t="n"/>
      <c r="P1238" s="2" t="inlineStr">
        <is>
          <t>45232151; 45232410; 45232400</t>
        </is>
      </c>
      <c r="Q1238" s="8" t="inlineStr">
        <is>
          <t>Ver</t>
        </is>
      </c>
      <c r="R1238" s="8" t="inlineStr">
        <is>
          <t>PCAP</t>
        </is>
      </c>
      <c r="S1238" s="9" t="n">
        <v>46310</v>
      </c>
      <c r="T1238" s="3" t="n">
        <v>46309.4846412037</v>
      </c>
      <c r="U1238" s="2" t="n"/>
    </row>
    <row r="1239">
      <c r="A1239" s="2" t="inlineStr">
        <is>
          <t>Resuelta</t>
        </is>
      </c>
      <c r="B1239" s="3" t="n">
        <v>46230.99930555555</v>
      </c>
      <c r="C1239" s="5" t="n">
        <v>148760.33</v>
      </c>
      <c r="D1239" s="5" t="n">
        <v>148760.33</v>
      </c>
      <c r="E1239" s="2" t="inlineStr">
        <is>
          <t>Andalucía</t>
        </is>
      </c>
      <c r="F1239" s="2" t="inlineStr">
        <is>
          <t>Almería</t>
        </is>
      </c>
      <c r="G1239" s="2" t="n"/>
      <c r="H1239" s="2" t="inlineStr">
        <is>
          <t>Junta de Gobierno de la Diputación Provincial de Almería</t>
        </is>
      </c>
      <c r="I1239" s="2" t="inlineStr">
        <is>
          <t>Rehabilitación Del Firme Y Mejora En C.p. Al-3111: De La A-7 A Campohermoso Por San Isidro De Níjar 4RVP2025-2026</t>
        </is>
      </c>
      <c r="J1239" s="2" t="inlineStr">
        <is>
          <t>2026/D31000/006-013/00036</t>
        </is>
      </c>
      <c r="K1239" s="2" t="inlineStr">
        <is>
          <t>Abierto simplificado</t>
        </is>
      </c>
      <c r="L1239" s="6" t="n">
        <v>2</v>
      </c>
      <c r="M1239" s="2" t="n"/>
      <c r="N1239" s="7" t="n">
        <v>0.25</v>
      </c>
      <c r="O1239" s="4" t="n"/>
      <c r="P1239" s="2" t="inlineStr">
        <is>
          <t>45233220</t>
        </is>
      </c>
      <c r="Q1239" s="8" t="inlineStr">
        <is>
          <t>Ver</t>
        </is>
      </c>
      <c r="R1239" s="8" t="inlineStr">
        <is>
          <t>PCAP</t>
        </is>
      </c>
      <c r="S1239" s="9" t="n">
        <v>46310</v>
      </c>
      <c r="T1239" s="3" t="n">
        <v>46309.484375</v>
      </c>
      <c r="U1239" s="2" t="n"/>
    </row>
    <row r="1240">
      <c r="A1240" s="2" t="inlineStr">
        <is>
          <t>En plazo</t>
        </is>
      </c>
      <c r="B1240" s="3" t="n">
        <v>46323.5</v>
      </c>
      <c r="C1240" s="5" t="n">
        <v>794991.59</v>
      </c>
      <c r="D1240" s="5" t="n">
        <v>794991.59</v>
      </c>
      <c r="E1240" s="2" t="inlineStr">
        <is>
          <t>Andalucía</t>
        </is>
      </c>
      <c r="F1240" s="2" t="inlineStr">
        <is>
          <t>Málaga</t>
        </is>
      </c>
      <c r="G1240" s="2" t="inlineStr">
        <is>
          <t>Málaga</t>
        </is>
      </c>
      <c r="H1240" s="2" t="inlineStr">
        <is>
          <t>Aena. Dirección del Aeropuerto de Málaga-Costa del Sol</t>
        </is>
      </c>
      <c r="I1240" s="2" t="inlineStr">
        <is>
          <t>Ampliación Y Adecuación De Aseo 208 En El Aeropuerto De Málaga ¿ Costa Del Sol</t>
        </is>
      </c>
      <c r="J1240" s="2" t="inlineStr">
        <is>
          <t>AGP-147/2026</t>
        </is>
      </c>
      <c r="K1240" s="2" t="inlineStr">
        <is>
          <t>Normas internas</t>
        </is>
      </c>
      <c r="L1240" s="6" t="n">
        <v>14</v>
      </c>
      <c r="M1240" s="2" t="n"/>
      <c r="N1240" s="7" t="n">
        <v>0</v>
      </c>
      <c r="O1240" s="4" t="n"/>
      <c r="P1240" s="2" t="inlineStr">
        <is>
          <t>45211310</t>
        </is>
      </c>
      <c r="Q1240" s="8" t="inlineStr">
        <is>
          <t>Ver</t>
        </is>
      </c>
      <c r="R1240" s="8" t="inlineStr">
        <is>
          <t>PCAP</t>
        </is>
      </c>
      <c r="S1240" s="9" t="n">
        <v>46310</v>
      </c>
      <c r="T1240" s="3" t="n">
        <v>46309.48135416667</v>
      </c>
      <c r="U1240" s="2" t="n"/>
    </row>
    <row r="1241">
      <c r="A1241" s="2" t="inlineStr">
        <is>
          <t>En plazo</t>
        </is>
      </c>
      <c r="B1241" s="3" t="n">
        <v>46329.79166666666</v>
      </c>
      <c r="C1241" s="5" t="n">
        <v>669122.0600000001</v>
      </c>
      <c r="D1241" s="5" t="n">
        <v>669122.0600000001</v>
      </c>
      <c r="E1241" s="2" t="inlineStr">
        <is>
          <t>Andalucía</t>
        </is>
      </c>
      <c r="F1241" s="2" t="inlineStr">
        <is>
          <t>Córdoba</t>
        </is>
      </c>
      <c r="G1241" s="2" t="inlineStr">
        <is>
          <t>Córdoba</t>
        </is>
      </c>
      <c r="H1241" s="2" t="inlineStr">
        <is>
          <t>Presidencia del Consejo de Administración de la Empresa Provincial de Aguas de Córdoba S.A.</t>
        </is>
      </c>
      <c r="I1241" s="2" t="inlineStr">
        <is>
          <t>Obra de Red de Abastecimiento Aldea del Villar (Fuente Palmera).</t>
        </is>
      </c>
      <c r="J1241" s="2" t="inlineStr">
        <is>
          <t>CC 55/2026</t>
        </is>
      </c>
      <c r="K1241" s="2" t="inlineStr">
        <is>
          <t>Abierto</t>
        </is>
      </c>
      <c r="L1241" s="6" t="n">
        <v>12</v>
      </c>
      <c r="M1241" s="2" t="inlineStr">
        <is>
          <t>E1-3</t>
        </is>
      </c>
      <c r="N1241" s="7" t="n">
        <v>0.5</v>
      </c>
      <c r="O1241" s="4" t="n"/>
      <c r="P1241" s="2" t="inlineStr">
        <is>
          <t>45240000</t>
        </is>
      </c>
      <c r="Q1241" s="8" t="inlineStr">
        <is>
          <t>Ver</t>
        </is>
      </c>
      <c r="R1241" s="8" t="inlineStr">
        <is>
          <t>PCAP</t>
        </is>
      </c>
      <c r="S1241" s="9" t="n">
        <v>46310</v>
      </c>
      <c r="T1241" s="3" t="n">
        <v>46309.48126157407</v>
      </c>
      <c r="U1241" s="2" t="n"/>
    </row>
    <row r="1242">
      <c r="A1242" s="2" t="inlineStr">
        <is>
          <t>En plazo</t>
        </is>
      </c>
      <c r="B1242" s="3" t="n">
        <v>46335.99930555555</v>
      </c>
      <c r="C1242" s="5" t="n">
        <v>89256.2</v>
      </c>
      <c r="D1242" s="5" t="n">
        <v>89256.2</v>
      </c>
      <c r="E1242" s="2" t="inlineStr">
        <is>
          <t>Andalucía</t>
        </is>
      </c>
      <c r="F1242" s="2" t="inlineStr">
        <is>
          <t>Córdoba</t>
        </is>
      </c>
      <c r="G1242" s="2" t="n"/>
      <c r="H1242" s="2" t="inlineStr">
        <is>
          <t>Diputado delegado de Infraestructuras, Sostenibilidad y Agricultura</t>
        </is>
      </c>
      <c r="I1242" s="2" t="inlineStr">
        <is>
          <t>Contrato de obra de Contrucción de Pasarela en Cruce Arroyo de la Fuente en Valsequillo (Córdoba). Obra incluida en el Plan de Humanización de Entornos Urbanos y Agenda Rural 2024-2027</t>
        </is>
      </c>
      <c r="J1242" s="2" t="inlineStr">
        <is>
          <t>687/26</t>
        </is>
      </c>
      <c r="K1242" s="2" t="inlineStr">
        <is>
          <t>Abierto</t>
        </is>
      </c>
      <c r="L1242" s="6" t="n">
        <v>3</v>
      </c>
      <c r="M1242" s="2" t="n"/>
      <c r="N1242" s="7" t="n">
        <v>0.4</v>
      </c>
      <c r="O1242" s="4" t="n"/>
      <c r="P1242" s="2" t="inlineStr">
        <is>
          <t>45221113; 45233161</t>
        </is>
      </c>
      <c r="Q1242" s="8" t="inlineStr">
        <is>
          <t>Ver</t>
        </is>
      </c>
      <c r="R1242" s="8" t="inlineStr">
        <is>
          <t>PCAP</t>
        </is>
      </c>
      <c r="S1242" s="9" t="n">
        <v>46310</v>
      </c>
      <c r="T1242" s="3" t="n">
        <v>46309.47818287037</v>
      </c>
      <c r="U1242" s="2" t="n"/>
    </row>
    <row r="1243">
      <c r="A1243" s="2" t="inlineStr">
        <is>
          <t>Resuelta</t>
        </is>
      </c>
      <c r="B1243" s="3" t="n">
        <v>46259.41666666666</v>
      </c>
      <c r="C1243" s="5" t="n">
        <v>29400</v>
      </c>
      <c r="D1243" s="5" t="n">
        <v>29400</v>
      </c>
      <c r="E1243" s="2" t="inlineStr">
        <is>
          <t>Andalucía</t>
        </is>
      </c>
      <c r="F1243" s="2" t="inlineStr">
        <is>
          <t>Huelva</t>
        </is>
      </c>
      <c r="G1243" s="2" t="n"/>
      <c r="H1243" s="2" t="inlineStr">
        <is>
          <t>Empresa de Transformación Agraria S.A.,S.M.E., M.P., (TRAGSA)</t>
        </is>
      </c>
      <c r="I1243"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CAMINOS ACCESO PRESA ANDÉVALO Y RIESGOS PRESAS.HU</t>
        </is>
      </c>
      <c r="J1243" s="2" t="inlineStr">
        <is>
          <t>TSA0080057-243</t>
        </is>
      </c>
      <c r="K1243" s="2" t="inlineStr">
        <is>
          <t>Abierto</t>
        </is>
      </c>
      <c r="L1243" s="6" t="n">
        <v>4</v>
      </c>
      <c r="M1243" s="2" t="n"/>
      <c r="N1243" s="7" t="n">
        <v>0</v>
      </c>
      <c r="O1243" s="4" t="n"/>
      <c r="P1243" s="2" t="inlineStr">
        <is>
          <t>45500000</t>
        </is>
      </c>
      <c r="Q1243" s="8" t="inlineStr">
        <is>
          <t>Ver</t>
        </is>
      </c>
      <c r="R1243" s="8" t="inlineStr">
        <is>
          <t>PCAP</t>
        </is>
      </c>
      <c r="S1243" s="9" t="n">
        <v>46310</v>
      </c>
      <c r="T1243" s="3" t="n">
        <v>46309.47085648148</v>
      </c>
      <c r="U1243" s="2" t="n"/>
    </row>
    <row r="1244">
      <c r="A1244" s="2" t="inlineStr">
        <is>
          <t>Resuelta</t>
        </is>
      </c>
      <c r="B1244" s="3" t="n">
        <v>46294.41666666666</v>
      </c>
      <c r="C1244" s="5" t="n">
        <v>63000</v>
      </c>
      <c r="D1244" s="5" t="n">
        <v>63000</v>
      </c>
      <c r="E1244" s="2" t="inlineStr">
        <is>
          <t>Andalucía</t>
        </is>
      </c>
      <c r="F1244" s="2" t="inlineStr">
        <is>
          <t>Huelva</t>
        </is>
      </c>
      <c r="G1244" s="2" t="n"/>
      <c r="H1244" s="2" t="inlineStr">
        <is>
          <t>Empresa de Transformación Agraria S.A.,S.M.E., M.P., (TRAGSA)</t>
        </is>
      </c>
      <c r="I1244"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TS PINAR DEL PINTO</t>
        </is>
      </c>
      <c r="J1244" s="2" t="inlineStr">
        <is>
          <t>TSA0080057-254</t>
        </is>
      </c>
      <c r="K1244" s="2" t="inlineStr">
        <is>
          <t>Abierto</t>
        </is>
      </c>
      <c r="L1244" s="6" t="n">
        <v>8</v>
      </c>
      <c r="M1244" s="2" t="n"/>
      <c r="N1244" s="7" t="n">
        <v>0</v>
      </c>
      <c r="O1244" s="4" t="n"/>
      <c r="P1244" s="2" t="inlineStr">
        <is>
          <t>45500000</t>
        </is>
      </c>
      <c r="Q1244" s="8" t="inlineStr">
        <is>
          <t>Ver</t>
        </is>
      </c>
      <c r="R1244" s="8" t="inlineStr">
        <is>
          <t>PCAP</t>
        </is>
      </c>
      <c r="S1244" s="9" t="n">
        <v>46310</v>
      </c>
      <c r="T1244" s="3" t="n">
        <v>46309.46873842592</v>
      </c>
      <c r="U1244" s="2" t="n"/>
    </row>
    <row r="1245">
      <c r="A1245" s="2" t="inlineStr">
        <is>
          <t>Resuelta</t>
        </is>
      </c>
      <c r="B1245" s="3" t="n">
        <v>46216.99930555555</v>
      </c>
      <c r="C1245" s="5" t="n">
        <v>110711.3</v>
      </c>
      <c r="D1245" s="5" t="n">
        <v>110711.3</v>
      </c>
      <c r="E1245" s="2" t="inlineStr">
        <is>
          <t>Andalucía</t>
        </is>
      </c>
      <c r="F1245" s="2" t="inlineStr">
        <is>
          <t>Córdoba</t>
        </is>
      </c>
      <c r="G1245" s="2" t="n"/>
      <c r="H1245" s="2" t="inlineStr">
        <is>
          <t>Diputado delegado de Infraestructuras, Sostenibilidad y Agricultura</t>
        </is>
      </c>
      <c r="I1245" s="2" t="inlineStr">
        <is>
          <t>Contrato de obra de Mejora del tramo central de la calle Cervantes en la Aldea de Piconcillo, en Fuente Obejuna (Córdoba). Obra incluida en el Plan de Aldeas 2024-2027.</t>
        </is>
      </c>
      <c r="J1245" s="2" t="inlineStr">
        <is>
          <t>547/26</t>
        </is>
      </c>
      <c r="K1245" s="2" t="inlineStr">
        <is>
          <t>Abierto</t>
        </is>
      </c>
      <c r="L1245" s="6" t="n">
        <v>4</v>
      </c>
      <c r="M1245" s="2" t="n"/>
      <c r="N1245" s="7" t="n">
        <v>0</v>
      </c>
      <c r="O1245" s="4" t="n"/>
      <c r="P1245" s="2" t="inlineStr">
        <is>
          <t>45233340; 45233252</t>
        </is>
      </c>
      <c r="Q1245" s="8" t="inlineStr">
        <is>
          <t>Ver</t>
        </is>
      </c>
      <c r="R1245" s="8" t="inlineStr">
        <is>
          <t>PCAP</t>
        </is>
      </c>
      <c r="S1245" s="9" t="n">
        <v>46310</v>
      </c>
      <c r="T1245" s="3" t="n">
        <v>46309.46826388889</v>
      </c>
      <c r="U1245" s="2" t="n"/>
    </row>
    <row r="1246">
      <c r="A1246" s="2" t="inlineStr">
        <is>
          <t>Pendiente de adjudicación</t>
        </is>
      </c>
      <c r="B1246" s="3" t="n">
        <v>46301.58333333334</v>
      </c>
      <c r="C1246" s="5" t="n">
        <v>48114.04</v>
      </c>
      <c r="D1246" s="5" t="n">
        <v>48114.04</v>
      </c>
      <c r="E1246" s="2" t="inlineStr">
        <is>
          <t>Comunitat Valenciana</t>
        </is>
      </c>
      <c r="F1246" s="2" t="inlineStr">
        <is>
          <t>Alicante</t>
        </is>
      </c>
      <c r="G1246" s="2" t="n"/>
      <c r="H1246" s="2" t="inlineStr">
        <is>
          <t>Empresa de Transformación Agraria S.A.,S.M.E., M.P., (TRAGSA)</t>
        </is>
      </c>
      <c r="I1246" s="2" t="inlineStr">
        <is>
          <t>UT2 Suministro, extendido y compactado en obra de ejecución de doble tratamiento superficial en caminos pertenecientes a la actuación obra de mejora de la pista forestal de acceso al observatorio de prevención de incendios forestales de Serrella (Alicante).</t>
        </is>
      </c>
      <c r="J1246" s="2" t="inlineStr">
        <is>
          <t>TSA0084097</t>
        </is>
      </c>
      <c r="K1246" s="2" t="inlineStr">
        <is>
          <t>Abierto simplificado</t>
        </is>
      </c>
      <c r="L1246" s="6" t="n">
        <v>2</v>
      </c>
      <c r="M1246" s="2" t="n"/>
      <c r="N1246" s="7" t="n">
        <v>0</v>
      </c>
      <c r="O1246" s="4" t="n"/>
      <c r="P1246" s="2" t="inlineStr">
        <is>
          <t>45233222</t>
        </is>
      </c>
      <c r="Q1246" s="8" t="inlineStr">
        <is>
          <t>Ver</t>
        </is>
      </c>
      <c r="R1246" s="8" t="inlineStr">
        <is>
          <t>PCAP</t>
        </is>
      </c>
      <c r="S1246" s="9" t="n">
        <v>46310</v>
      </c>
      <c r="T1246" s="3" t="n">
        <v>46309.46556712963</v>
      </c>
      <c r="U1246" s="2" t="n"/>
    </row>
    <row r="1247">
      <c r="A1247" s="2" t="inlineStr">
        <is>
          <t>Pendiente de adjudicación</t>
        </is>
      </c>
      <c r="B1247" s="3" t="n">
        <v>46301.58333333334</v>
      </c>
      <c r="C1247" s="5" t="n">
        <v>979516.1800000001</v>
      </c>
      <c r="D1247" s="5" t="n">
        <v>979516.1800000001</v>
      </c>
      <c r="E1247" s="2" t="inlineStr">
        <is>
          <t>Andalucía</t>
        </is>
      </c>
      <c r="F1247" s="2" t="inlineStr">
        <is>
          <t>Almería</t>
        </is>
      </c>
      <c r="G1247" s="2" t="n"/>
      <c r="H1247" s="2" t="inlineStr">
        <is>
          <t>Presidencia del Consejo de Administración de la Sociedad Estatal de Infraestructuras del Transporte Terrestre, S.M.E., S.A.</t>
        </is>
      </c>
      <c r="I1247" s="2" t="inlineStr">
        <is>
          <t>Contrato de obras del proyecto de construcción de "actuaciones de reparación en la estructura AP-0007-0909+665 (A06-AP7-0003-VI) de la autopista AP-7 Cartagena-Vera". CLAVE 38-AL-0048.</t>
        </is>
      </c>
      <c r="J1247" s="2" t="inlineStr">
        <is>
          <t>20261053-C</t>
        </is>
      </c>
      <c r="K1247" s="2" t="inlineStr">
        <is>
          <t>Abierto</t>
        </is>
      </c>
      <c r="L1247" s="6" t="n">
        <v>15</v>
      </c>
      <c r="M1247" s="2" t="inlineStr">
        <is>
          <t>B2-2; G6-3</t>
        </is>
      </c>
      <c r="N1247" s="7" t="n">
        <v>0.3</v>
      </c>
      <c r="O1247" s="4" t="n"/>
      <c r="P1247" s="2" t="inlineStr">
        <is>
          <t>45233000</t>
        </is>
      </c>
      <c r="Q1247" s="8" t="inlineStr">
        <is>
          <t>Ver</t>
        </is>
      </c>
      <c r="R1247" s="8" t="inlineStr">
        <is>
          <t>PCAP</t>
        </is>
      </c>
      <c r="S1247" s="9" t="n">
        <v>46310</v>
      </c>
      <c r="T1247" s="3" t="n">
        <v>46309.46357638889</v>
      </c>
      <c r="U1247" s="2" t="n"/>
    </row>
    <row r="1248">
      <c r="A1248" s="2" t="inlineStr">
        <is>
          <t>En plazo</t>
        </is>
      </c>
      <c r="B1248" s="3" t="n">
        <v>46329.99930555555</v>
      </c>
      <c r="C1248" s="5" t="n">
        <v>424043.96</v>
      </c>
      <c r="D1248" s="5" t="n">
        <v>424043.96</v>
      </c>
      <c r="E1248" s="2" t="inlineStr">
        <is>
          <t>Andalucía</t>
        </is>
      </c>
      <c r="F1248" s="2" t="inlineStr">
        <is>
          <t>Huelva</t>
        </is>
      </c>
      <c r="G1248" s="2" t="n"/>
      <c r="H1248" s="2" t="inlineStr">
        <is>
          <t>Junta de Gobierno del Ayuntamiento de Almonte</t>
        </is>
      </c>
      <c r="I1248" s="2" t="inlineStr">
        <is>
          <t>Ejecución de obras correspondientes al proyecto de plan de asfalto de varias calles del núcleo urbano de Almonte</t>
        </is>
      </c>
      <c r="J1248" s="2" t="inlineStr">
        <is>
          <t>11049/2026</t>
        </is>
      </c>
      <c r="K1248" s="2" t="inlineStr">
        <is>
          <t>Abierto simplificado</t>
        </is>
      </c>
      <c r="L1248" s="6" t="n">
        <v>2.3</v>
      </c>
      <c r="M1248" s="2" t="n"/>
      <c r="N1248" s="7" t="n">
        <v>0.2</v>
      </c>
      <c r="O1248" s="4" t="n"/>
      <c r="P1248" s="2" t="inlineStr">
        <is>
          <t>45233222; 45233223</t>
        </is>
      </c>
      <c r="Q1248" s="8" t="inlineStr">
        <is>
          <t>Ver</t>
        </is>
      </c>
      <c r="R1248" s="8" t="inlineStr">
        <is>
          <t>PCAP</t>
        </is>
      </c>
      <c r="S1248" s="9" t="n">
        <v>46310</v>
      </c>
      <c r="T1248" s="3" t="n">
        <v>46309.45793981481</v>
      </c>
      <c r="U1248" s="2" t="n"/>
    </row>
    <row r="1249">
      <c r="A1249" s="2" t="inlineStr">
        <is>
          <t>En plazo</t>
        </is>
      </c>
      <c r="B1249" s="3" t="n">
        <v>46329.99930555555</v>
      </c>
      <c r="C1249" s="5" t="n">
        <v>166600</v>
      </c>
      <c r="D1249" s="5" t="n">
        <v>166600</v>
      </c>
      <c r="E1249" s="2" t="inlineStr">
        <is>
          <t>Comunitat Valenciana</t>
        </is>
      </c>
      <c r="F1249" s="2" t="inlineStr">
        <is>
          <t>Valencia</t>
        </is>
      </c>
      <c r="G1249" s="2" t="inlineStr">
        <is>
          <t>Xeresa</t>
        </is>
      </c>
      <c r="H1249" s="2" t="inlineStr">
        <is>
          <t>Alcaldía del Ayuntamiento de Xeresa</t>
        </is>
      </c>
      <c r="I1249" s="2" t="inlineStr">
        <is>
          <t>bras de construcción de almacén municipal para la brigada de obras en la calle Casals n. 16 de Xeresa.</t>
        </is>
      </c>
      <c r="J1249" s="2" t="inlineStr">
        <is>
          <t>798/2026</t>
        </is>
      </c>
      <c r="K1249" s="2" t="inlineStr">
        <is>
          <t>Abierto simplificado</t>
        </is>
      </c>
      <c r="L1249" s="6" t="n">
        <v>7</v>
      </c>
      <c r="M1249" s="2" t="n"/>
      <c r="N1249" s="7" t="n">
        <v>0.25</v>
      </c>
      <c r="O1249" s="4" t="n"/>
      <c r="P1249" s="2" t="inlineStr">
        <is>
          <t>45213221</t>
        </is>
      </c>
      <c r="Q1249" s="8" t="inlineStr">
        <is>
          <t>Ver</t>
        </is>
      </c>
      <c r="R1249" s="8" t="inlineStr">
        <is>
          <t>PCAP</t>
        </is>
      </c>
      <c r="S1249" s="9" t="n">
        <v>46310</v>
      </c>
      <c r="T1249" s="3" t="n">
        <v>46309.45056712963</v>
      </c>
      <c r="U1249" s="2" t="n"/>
    </row>
    <row r="1250">
      <c r="A1250" s="2" t="inlineStr">
        <is>
          <t>Resuelta</t>
        </is>
      </c>
      <c r="B1250" s="3" t="n">
        <v>46233.99930555555</v>
      </c>
      <c r="C1250" s="5" t="n">
        <v>142480.99</v>
      </c>
      <c r="D1250" s="5" t="n">
        <v>142480.99</v>
      </c>
      <c r="E1250" s="2" t="inlineStr">
        <is>
          <t>Andalucía</t>
        </is>
      </c>
      <c r="F1250" s="2" t="inlineStr">
        <is>
          <t>Jaén</t>
        </is>
      </c>
      <c r="G1250" s="2" t="n"/>
      <c r="H1250" s="2" t="inlineStr">
        <is>
          <t>Alcaldía del Ayuntamiento de Santiago-Pontones</t>
        </is>
      </c>
      <c r="I1250" s="2" t="inlineStr">
        <is>
          <t>Contrato de obra para la ejecución de la Red de Senderos Verdes de Santiago-Pontones - Camino de San Juan de la Cruz, promovido por el Ayuntamiento de Santiago-Pontones</t>
        </is>
      </c>
      <c r="J1250" s="2" t="inlineStr">
        <is>
          <t>1071/2025_</t>
        </is>
      </c>
      <c r="K1250" s="2" t="inlineStr">
        <is>
          <t>Abierto simplificado</t>
        </is>
      </c>
      <c r="L1250" s="6" t="n">
        <v>4</v>
      </c>
      <c r="M1250" s="2" t="inlineStr">
        <is>
          <t>A1-2</t>
        </is>
      </c>
      <c r="N1250" s="7" t="n">
        <v>0</v>
      </c>
      <c r="O1250" s="4" t="n"/>
      <c r="P1250" s="2" t="inlineStr">
        <is>
          <t>45221113; 45233293; 34928470</t>
        </is>
      </c>
      <c r="Q1250" s="8" t="inlineStr">
        <is>
          <t>Ver</t>
        </is>
      </c>
      <c r="R1250" s="8" t="inlineStr">
        <is>
          <t>PCAP</t>
        </is>
      </c>
      <c r="S1250" s="9" t="n">
        <v>46310</v>
      </c>
      <c r="T1250" s="3" t="n">
        <v>46309.44826388889</v>
      </c>
      <c r="U1250" s="2" t="n"/>
    </row>
    <row r="1251">
      <c r="A1251" s="2" t="inlineStr">
        <is>
          <t>Adjudicada</t>
        </is>
      </c>
      <c r="B1251" s="3" t="n">
        <v>46276.41666666666</v>
      </c>
      <c r="C1251" s="5" t="n">
        <v>66690.36</v>
      </c>
      <c r="D1251" s="5" t="n">
        <v>66690.36</v>
      </c>
      <c r="E1251" s="2" t="inlineStr">
        <is>
          <t>Andalucía</t>
        </is>
      </c>
      <c r="F1251" s="2" t="inlineStr">
        <is>
          <t>Sevilla</t>
        </is>
      </c>
      <c r="G1251" s="2" t="n"/>
      <c r="H1251" s="2" t="inlineStr">
        <is>
          <t>Jefatura de la Sección Económico Administrativa 24 de la Base Aérea de Morón</t>
        </is>
      </c>
      <c r="I1251" s="2" t="inlineStr">
        <is>
          <t>2204/GRUAPO/ESLLA.Infraestructura. Saneamiento estructural y renovación de la cubierta de vehículos pesados de la Base Aérea de Morón y Ala 11.</t>
        </is>
      </c>
      <c r="J1251" s="2" t="inlineStr">
        <is>
          <t>2026/EA24/00001958E</t>
        </is>
      </c>
      <c r="K1251" s="2" t="inlineStr">
        <is>
          <t>Abierto simplificado</t>
        </is>
      </c>
      <c r="L1251" s="6" t="n">
        <v>3</v>
      </c>
      <c r="M1251" s="2" t="n"/>
      <c r="N1251" s="7" t="n">
        <v>0</v>
      </c>
      <c r="O1251" s="4" t="n"/>
      <c r="P1251" s="2" t="inlineStr">
        <is>
          <t>45223300</t>
        </is>
      </c>
      <c r="Q1251" s="8" t="inlineStr">
        <is>
          <t>Ver</t>
        </is>
      </c>
      <c r="R1251" s="8" t="inlineStr">
        <is>
          <t>PCAP</t>
        </is>
      </c>
      <c r="S1251" s="9" t="n">
        <v>46310</v>
      </c>
      <c r="T1251" s="3" t="n">
        <v>46309.448125</v>
      </c>
      <c r="U1251" s="2" t="n"/>
    </row>
    <row r="1252">
      <c r="A1252" s="2" t="inlineStr">
        <is>
          <t>Resuelta</t>
        </is>
      </c>
      <c r="B1252" s="3" t="n">
        <v>46218.5625</v>
      </c>
      <c r="C1252" s="5" t="n">
        <v>126221.63</v>
      </c>
      <c r="D1252" s="5" t="n">
        <v>126221.63</v>
      </c>
      <c r="E1252" s="2" t="inlineStr">
        <is>
          <t>Andalucía</t>
        </is>
      </c>
      <c r="F1252" s="2" t="inlineStr">
        <is>
          <t>Cádiz</t>
        </is>
      </c>
      <c r="G1252" s="2" t="n"/>
      <c r="H1252" s="2" t="inlineStr">
        <is>
          <t>Junta de Gobierno del Ayuntamiento de Chiclana de la Frontera</t>
        </is>
      </c>
      <c r="I1252" s="2" t="inlineStr">
        <is>
          <t>Obras de ejecución de nuevo muro de contención en Residencial Huerta Alta.</t>
        </is>
      </c>
      <c r="J1252" s="2" t="inlineStr">
        <is>
          <t>28/2026</t>
        </is>
      </c>
      <c r="K1252" s="2" t="inlineStr">
        <is>
          <t>Abierto simplificado</t>
        </is>
      </c>
      <c r="L1252" s="6" t="n">
        <v>3</v>
      </c>
      <c r="M1252" s="2" t="n"/>
      <c r="N1252" s="7" t="n">
        <v>0.25</v>
      </c>
      <c r="O1252" s="4" t="n"/>
      <c r="P1252" s="2" t="inlineStr">
        <is>
          <t>45262620; 45233140</t>
        </is>
      </c>
      <c r="Q1252" s="8" t="inlineStr">
        <is>
          <t>Ver</t>
        </is>
      </c>
      <c r="R1252" s="8" t="inlineStr">
        <is>
          <t>PCAP</t>
        </is>
      </c>
      <c r="S1252" s="9" t="n">
        <v>46310</v>
      </c>
      <c r="T1252" s="3" t="n">
        <v>46309.4477662037</v>
      </c>
      <c r="U1252" s="2" t="n"/>
    </row>
    <row r="1253">
      <c r="A1253" s="2" t="inlineStr">
        <is>
          <t>Resuelta</t>
        </is>
      </c>
      <c r="B1253" s="3" t="n">
        <v>46192.5625</v>
      </c>
      <c r="C1253" s="5" t="n">
        <v>75598.31</v>
      </c>
      <c r="D1253" s="5" t="n">
        <v>75598.31</v>
      </c>
      <c r="E1253" s="2" t="inlineStr">
        <is>
          <t>Andalucía</t>
        </is>
      </c>
      <c r="F1253" s="2" t="inlineStr">
        <is>
          <t>Cádiz</t>
        </is>
      </c>
      <c r="G1253" s="2" t="inlineStr">
        <is>
          <t>Chiclana de la Frontera</t>
        </is>
      </c>
      <c r="H1253" s="2" t="inlineStr">
        <is>
          <t>Junta de Gobierno del Ayuntamiento de Chiclana de la Frontera</t>
        </is>
      </c>
      <c r="I1253" s="2" t="inlineStr">
        <is>
          <t>Obras de dotación de alumbrado público en Camino del Molino Nuevo y calle La Vid en Chiclana de la Frontera.</t>
        </is>
      </c>
      <c r="J1253" s="2" t="inlineStr">
        <is>
          <t>16/2026</t>
        </is>
      </c>
      <c r="K1253" s="2" t="inlineStr">
        <is>
          <t>Abierto simplificado</t>
        </is>
      </c>
      <c r="L1253" s="6" t="n">
        <v>1</v>
      </c>
      <c r="M1253" s="2" t="n"/>
      <c r="N1253" s="7" t="n">
        <v>0</v>
      </c>
      <c r="O1253" s="4" t="n"/>
      <c r="P1253" s="2" t="inlineStr">
        <is>
          <t>45316000</t>
        </is>
      </c>
      <c r="Q1253" s="8" t="inlineStr">
        <is>
          <t>Ver</t>
        </is>
      </c>
      <c r="R1253" s="8" t="inlineStr">
        <is>
          <t>PCAP</t>
        </is>
      </c>
      <c r="S1253" s="9" t="n">
        <v>46310</v>
      </c>
      <c r="T1253" s="3" t="n">
        <v>46309.44680555556</v>
      </c>
      <c r="U1253" s="2" t="n"/>
    </row>
    <row r="1254">
      <c r="A1254" s="2" t="inlineStr">
        <is>
          <t>Resuelta</t>
        </is>
      </c>
      <c r="B1254" s="3" t="n">
        <v>46259.41666666666</v>
      </c>
      <c r="C1254" s="5" t="n">
        <v>44000</v>
      </c>
      <c r="D1254" s="5" t="n">
        <v>44000</v>
      </c>
      <c r="E1254" s="2" t="inlineStr">
        <is>
          <t>Andalucía</t>
        </is>
      </c>
      <c r="F1254" s="2" t="inlineStr">
        <is>
          <t>Granada</t>
        </is>
      </c>
      <c r="G1254" s="2" t="n"/>
      <c r="H1254" s="2" t="inlineStr">
        <is>
          <t>Empresa de Transformación Agraria S.A.,S.M.E., M.P., (TRAGSA)</t>
        </is>
      </c>
      <c r="I1254" s="2" t="inlineStr">
        <is>
          <t>Contrato derivado del "Acuerdo Marco para el Alquiler de Maquinaria de Obra Civil, Agrícola y Forestal, y Camiones para obras de construcción y demolición, dotada de operario, para las actuaciones de la Gerencia Provincial de Tragsa en Granada, incluidas las obras con Fondos en el Marco del Plan de Recuperación, Transformación y Resiliencia financiado por Unión Europea Next-Generation EU"</t>
        </is>
      </c>
      <c r="J1254" s="2" t="inlineStr">
        <is>
          <t>TSA0077561-331</t>
        </is>
      </c>
      <c r="K1254" s="2" t="inlineStr">
        <is>
          <t>Abierto</t>
        </is>
      </c>
      <c r="L1254" s="6" t="n">
        <v>3</v>
      </c>
      <c r="M1254" s="2" t="n"/>
      <c r="N1254" s="7" t="n">
        <v>0</v>
      </c>
      <c r="O1254" s="4" t="n"/>
      <c r="P1254" s="2" t="inlineStr">
        <is>
          <t>45500000</t>
        </is>
      </c>
      <c r="Q1254" s="8" t="inlineStr">
        <is>
          <t>Ver</t>
        </is>
      </c>
      <c r="R1254" s="8" t="inlineStr">
        <is>
          <t>PCAP</t>
        </is>
      </c>
      <c r="S1254" s="9" t="n">
        <v>46310</v>
      </c>
      <c r="T1254" s="3" t="n">
        <v>46309.44407407408</v>
      </c>
      <c r="U1254" s="2" t="n"/>
    </row>
    <row r="1255">
      <c r="A1255" s="2" t="inlineStr">
        <is>
          <t>Adjudicada</t>
        </is>
      </c>
      <c r="B1255" s="3" t="n">
        <v>46275.58333333334</v>
      </c>
      <c r="C1255" s="5" t="n">
        <v>795268.38</v>
      </c>
      <c r="D1255" s="5" t="n">
        <v>795268.38</v>
      </c>
      <c r="E1255" s="2" t="inlineStr">
        <is>
          <t>Comunitat Valenciana</t>
        </is>
      </c>
      <c r="F1255" s="2" t="inlineStr">
        <is>
          <t>Valencia</t>
        </is>
      </c>
      <c r="G1255" s="2" t="n"/>
      <c r="H1255" s="2" t="inlineStr">
        <is>
          <t>Consejo de Administración de la Empresa Municipal de Transportes de Valencia, S.A.U.</t>
        </is>
      </c>
      <c r="I1255" s="2" t="inlineStr">
        <is>
          <t>Ejecución material de las obras del proyecto de ejecución, seguridad y salud y gestión de residuos necesarias para acometer la remodelación del anillo PCI exterior del Depósito de San Isidro de la EMT de Valencia, de la instalación del sistema de alarma y del mantenimiento preventivo y correctivo de las instalaciones de PCI de San Isidro para la Empresa Municipal de Transportes de Valencia</t>
        </is>
      </c>
      <c r="J1255" s="2" t="inlineStr">
        <is>
          <t>2026-0025</t>
        </is>
      </c>
      <c r="K1255" s="2" t="inlineStr">
        <is>
          <t>Abierto</t>
        </is>
      </c>
      <c r="L1255" s="6" t="n">
        <v>48</v>
      </c>
      <c r="M1255" s="2" t="inlineStr">
        <is>
          <t>K9-3</t>
        </is>
      </c>
      <c r="N1255" s="7" t="n">
        <v>0.3</v>
      </c>
      <c r="O1255" s="4" t="n"/>
      <c r="P1255" s="2" t="inlineStr">
        <is>
          <t>45343200; 50413200; 51700000</t>
        </is>
      </c>
      <c r="Q1255" s="8" t="inlineStr">
        <is>
          <t>Ver</t>
        </is>
      </c>
      <c r="R1255" s="8" t="inlineStr">
        <is>
          <t>PCAP</t>
        </is>
      </c>
      <c r="S1255" s="9" t="n">
        <v>46310</v>
      </c>
      <c r="T1255" s="3" t="n">
        <v>46309.44386574074</v>
      </c>
      <c r="U1255" s="2" t="n"/>
    </row>
    <row r="1256">
      <c r="A1256" s="2" t="inlineStr">
        <is>
          <t>Resuelta</t>
        </is>
      </c>
      <c r="B1256" s="3" t="n">
        <v>46083.99930555555</v>
      </c>
      <c r="C1256" s="5" t="n">
        <v>230989.07</v>
      </c>
      <c r="D1256" s="5" t="n">
        <v>230989.07</v>
      </c>
      <c r="E1256" s="2" t="inlineStr">
        <is>
          <t>Andalucía</t>
        </is>
      </c>
      <c r="F1256" s="2" t="inlineStr">
        <is>
          <t>Granada</t>
        </is>
      </c>
      <c r="G1256" s="2" t="inlineStr">
        <is>
          <t>Granada</t>
        </is>
      </c>
      <c r="H1256" s="2" t="inlineStr">
        <is>
          <t>Aena. Dirección del Aeropuerto de Granada-Jaén F.G.L.</t>
        </is>
      </c>
      <c r="I1256" s="2" t="inlineStr">
        <is>
          <t>Refuerzo De Climatización En Zonas De Embarque Y Facturación</t>
        </is>
      </c>
      <c r="J1256" s="2" t="inlineStr">
        <is>
          <t>GRX-123/2025</t>
        </is>
      </c>
      <c r="K1256" s="2" t="inlineStr">
        <is>
          <t>Normas internas</t>
        </is>
      </c>
      <c r="L1256" s="6" t="n"/>
      <c r="M1256" s="2" t="n"/>
      <c r="N1256" s="7" t="n">
        <v>0</v>
      </c>
      <c r="O1256" s="4" t="n"/>
      <c r="P1256" s="2" t="inlineStr">
        <is>
          <t>45331000</t>
        </is>
      </c>
      <c r="Q1256" s="8" t="inlineStr">
        <is>
          <t>Ver</t>
        </is>
      </c>
      <c r="R1256" s="8" t="inlineStr">
        <is>
          <t>PCAP</t>
        </is>
      </c>
      <c r="S1256" s="9" t="n">
        <v>46310</v>
      </c>
      <c r="T1256" s="3" t="n">
        <v>46309.44049768519</v>
      </c>
      <c r="U1256" s="2" t="n"/>
    </row>
    <row r="1257">
      <c r="A1257" s="2" t="inlineStr">
        <is>
          <t>En plazo</t>
        </is>
      </c>
      <c r="B1257" s="3" t="n">
        <v>46329.99930555555</v>
      </c>
      <c r="C1257" s="5" t="n">
        <v>382258.99</v>
      </c>
      <c r="D1257" s="5" t="n">
        <v>382258.99</v>
      </c>
      <c r="E1257" s="2" t="inlineStr">
        <is>
          <t>Comunitat Valenciana</t>
        </is>
      </c>
      <c r="F1257" s="2" t="inlineStr">
        <is>
          <t>Valencia</t>
        </is>
      </c>
      <c r="G1257" s="2" t="inlineStr">
        <is>
          <t>Sinarcas (Valencia)</t>
        </is>
      </c>
      <c r="H1257" s="2" t="inlineStr">
        <is>
          <t>Pleno del Ayuntamiento de Sinarcas</t>
        </is>
      </c>
      <c r="I1257" s="2" t="inlineStr">
        <is>
          <t>Adecuación del Cementerio Municipal por los desperfectos ocasionados por la DANA</t>
        </is>
      </c>
      <c r="J1257" s="2" t="inlineStr">
        <is>
          <t>75/2026 DANA 2024</t>
        </is>
      </c>
      <c r="K1257" s="2" t="inlineStr">
        <is>
          <t>Abierto simplificado</t>
        </is>
      </c>
      <c r="L1257" s="6" t="n">
        <v>5</v>
      </c>
      <c r="M1257" s="2" t="n"/>
      <c r="N1257" s="7" t="n">
        <v>0</v>
      </c>
      <c r="O1257" s="4" t="n"/>
      <c r="P1257" s="2" t="inlineStr">
        <is>
          <t>45000000</t>
        </is>
      </c>
      <c r="Q1257" s="8" t="inlineStr">
        <is>
          <t>Ver</t>
        </is>
      </c>
      <c r="R1257" s="8" t="inlineStr">
        <is>
          <t>PCAP</t>
        </is>
      </c>
      <c r="S1257" s="9" t="n">
        <v>46310</v>
      </c>
      <c r="T1257" s="3" t="n">
        <v>46309.44008101852</v>
      </c>
      <c r="U1257" s="2" t="n"/>
    </row>
    <row r="1258">
      <c r="A1258" s="2" t="inlineStr">
        <is>
          <t>Pendiente de adjudicación</t>
        </is>
      </c>
      <c r="B1258" s="3" t="n">
        <v>46223.99930555555</v>
      </c>
      <c r="C1258" s="5" t="n">
        <v>93757.37</v>
      </c>
      <c r="D1258" s="5" t="n">
        <v>93757.37</v>
      </c>
      <c r="E1258" s="2" t="inlineStr">
        <is>
          <t>Comunitat Valenciana</t>
        </is>
      </c>
      <c r="F1258" s="2" t="inlineStr">
        <is>
          <t>Alicante</t>
        </is>
      </c>
      <c r="G1258" s="2" t="n"/>
      <c r="H1258" s="2" t="inlineStr">
        <is>
          <t>Presidencia de la Diputación Provincial de Alicante</t>
        </is>
      </c>
      <c r="I1258" s="2" t="inlineStr">
        <is>
          <t>Obras de reposición de Red de Alcantarillado de la Avenida la Purísima en Catral.</t>
        </is>
      </c>
      <c r="J1258" s="2" t="inlineStr">
        <is>
          <t>O4S-103/2026</t>
        </is>
      </c>
      <c r="K1258" s="2" t="inlineStr">
        <is>
          <t>Abierto simplificado</t>
        </is>
      </c>
      <c r="L1258" s="6" t="n">
        <v>3</v>
      </c>
      <c r="M1258" s="2" t="n"/>
      <c r="N1258" s="7" t="n">
        <v>0.25</v>
      </c>
      <c r="O1258" s="4" t="n"/>
      <c r="P1258" s="2" t="inlineStr">
        <is>
          <t>45232400</t>
        </is>
      </c>
      <c r="Q1258" s="8" t="inlineStr">
        <is>
          <t>Ver</t>
        </is>
      </c>
      <c r="R1258" s="8" t="inlineStr">
        <is>
          <t>PCAP</t>
        </is>
      </c>
      <c r="S1258" s="9" t="n">
        <v>46310</v>
      </c>
      <c r="T1258" s="3" t="n">
        <v>46309.43715277778</v>
      </c>
      <c r="U1258" s="2" t="n"/>
    </row>
    <row r="1259">
      <c r="A1259" s="2" t="inlineStr">
        <is>
          <t>Pendiente de adjudicación</t>
        </is>
      </c>
      <c r="B1259" s="3" t="n">
        <v>46244.45833333334</v>
      </c>
      <c r="C1259" s="5" t="n">
        <v>145510.47</v>
      </c>
      <c r="D1259" s="5" t="n">
        <v>145510.47</v>
      </c>
      <c r="E1259" s="2" t="inlineStr">
        <is>
          <t>Andalucía</t>
        </is>
      </c>
      <c r="F1259" s="2" t="inlineStr">
        <is>
          <t>Granada</t>
        </is>
      </c>
      <c r="G1259" s="2" t="n"/>
      <c r="H1259" s="2" t="inlineStr">
        <is>
          <t>Alcaldía del Ayuntamiento de Almuñécar</t>
        </is>
      </c>
      <c r="I1259" s="2" t="inlineStr">
        <is>
          <t>Obras de reforma y adecuación del Centro Joven de La Herradura (Almuñécar), en base a la Memoria Valorada redactada por la arquitecta Dña. Cristina Barbero García.</t>
        </is>
      </c>
      <c r="J1259" s="2" t="inlineStr">
        <is>
          <t>91/2026 (GEST 6949/2026)</t>
        </is>
      </c>
      <c r="K1259" s="2" t="inlineStr">
        <is>
          <t>Abierto simplificado</t>
        </is>
      </c>
      <c r="L1259" s="6" t="n">
        <v>4</v>
      </c>
      <c r="M1259" s="2" t="n"/>
      <c r="N1259" s="7" t="n">
        <v>0</v>
      </c>
      <c r="O1259" s="4" t="n"/>
      <c r="P1259" s="2" t="inlineStr">
        <is>
          <t>45453100; 45262700; 45400000</t>
        </is>
      </c>
      <c r="Q1259" s="8" t="inlineStr">
        <is>
          <t>Ver</t>
        </is>
      </c>
      <c r="R1259" s="8" t="inlineStr">
        <is>
          <t>PCAP</t>
        </is>
      </c>
      <c r="S1259" s="9" t="n">
        <v>46310</v>
      </c>
      <c r="T1259" s="3" t="n">
        <v>46309.43494212963</v>
      </c>
      <c r="U1259" s="2" t="n"/>
    </row>
    <row r="1260">
      <c r="A1260" s="2" t="inlineStr">
        <is>
          <t>Pendiente de adjudicación</t>
        </is>
      </c>
      <c r="B1260" s="3" t="n">
        <v>46297.45833333334</v>
      </c>
      <c r="C1260" s="5" t="n">
        <v>678300</v>
      </c>
      <c r="D1260" s="5" t="n">
        <v>678300</v>
      </c>
      <c r="E1260" s="2" t="inlineStr">
        <is>
          <t>Andalucía</t>
        </is>
      </c>
      <c r="F1260" s="2" t="inlineStr">
        <is>
          <t>Granada</t>
        </is>
      </c>
      <c r="G1260" s="2" t="n"/>
      <c r="H1260" s="2" t="inlineStr">
        <is>
          <t>Alcaldía del Ayuntamiento de Almuñécar</t>
        </is>
      </c>
      <c r="I1260" s="2" t="inlineStr">
        <is>
          <t>Obras de construcción de un parque de neurodivergencia en Almuñécar, en base al Proyecto del Arquitecto Francisco Javier Navarro Suárez.</t>
        </is>
      </c>
      <c r="J1260" s="2" t="inlineStr">
        <is>
          <t>90/2026 (Gest 6946/2026)</t>
        </is>
      </c>
      <c r="K1260" s="2" t="inlineStr">
        <is>
          <t>Abierto simplificado</t>
        </is>
      </c>
      <c r="L1260" s="6" t="n">
        <v>6</v>
      </c>
      <c r="M1260" s="2" t="n"/>
      <c r="N1260" s="7" t="n">
        <v>0</v>
      </c>
      <c r="O1260" s="4" t="n"/>
      <c r="P1260" s="2" t="inlineStr">
        <is>
          <t>45212140; 45233293</t>
        </is>
      </c>
      <c r="Q1260" s="8" t="inlineStr">
        <is>
          <t>Ver</t>
        </is>
      </c>
      <c r="R1260" s="8" t="inlineStr">
        <is>
          <t>PCAP</t>
        </is>
      </c>
      <c r="S1260" s="9" t="n">
        <v>46310</v>
      </c>
      <c r="T1260" s="3" t="n">
        <v>46309.43421296297</v>
      </c>
      <c r="U1260" s="2" t="n"/>
    </row>
    <row r="1261">
      <c r="A1261" s="2" t="inlineStr">
        <is>
          <t>Pendiente de adjudicación</t>
        </is>
      </c>
      <c r="B1261" s="3" t="n">
        <v>46084.99930555555</v>
      </c>
      <c r="C1261" s="5" t="n">
        <v>115824.27</v>
      </c>
      <c r="D1261" s="5" t="n">
        <v>115824.27</v>
      </c>
      <c r="E1261" s="2" t="inlineStr">
        <is>
          <t>Comunitat Valenciana</t>
        </is>
      </c>
      <c r="F1261" s="2" t="inlineStr">
        <is>
          <t>Alicante</t>
        </is>
      </c>
      <c r="G1261" s="2" t="n"/>
      <c r="H1261" s="2" t="inlineStr">
        <is>
          <t>Presidencia de la Diputación Provincial de Alicante</t>
        </is>
      </c>
      <c r="I1261" s="2" t="inlineStr">
        <is>
          <t>Obras de restauración y consolidación de la muralla oriental del Castillo Almohade, en el mu-nicipio de Tibi (Alicante)</t>
        </is>
      </c>
      <c r="J1261" s="2" t="inlineStr">
        <is>
          <t>O4S-323/2025</t>
        </is>
      </c>
      <c r="K1261" s="2" t="inlineStr">
        <is>
          <t>Abierto simplificado</t>
        </is>
      </c>
      <c r="L1261" s="6" t="n">
        <v>4</v>
      </c>
      <c r="M1261" s="2" t="n"/>
      <c r="N1261" s="7" t="n">
        <v>0</v>
      </c>
      <c r="O1261" s="4" t="n"/>
      <c r="P1261" s="2" t="inlineStr">
        <is>
          <t>45212350; 45262520; 45262510; 45454100</t>
        </is>
      </c>
      <c r="Q1261" s="8" t="inlineStr">
        <is>
          <t>Ver</t>
        </is>
      </c>
      <c r="R1261" s="8" t="inlineStr">
        <is>
          <t>PCAP</t>
        </is>
      </c>
      <c r="S1261" s="9" t="n">
        <v>46310</v>
      </c>
      <c r="T1261" s="3" t="n">
        <v>46309.43247685185</v>
      </c>
      <c r="U1261" s="2" t="n"/>
    </row>
    <row r="1262">
      <c r="A1262" s="2" t="inlineStr">
        <is>
          <t>En plazo</t>
        </is>
      </c>
      <c r="B1262" s="3" t="n">
        <v>46329.99930555555</v>
      </c>
      <c r="C1262" s="5" t="n">
        <v>262729.78</v>
      </c>
      <c r="D1262" s="5" t="n">
        <v>262729.78</v>
      </c>
      <c r="E1262" s="2" t="inlineStr">
        <is>
          <t>Andalucía</t>
        </is>
      </c>
      <c r="F1262" s="2" t="inlineStr">
        <is>
          <t>Huelva</t>
        </is>
      </c>
      <c r="G1262" s="2" t="n"/>
      <c r="H1262" s="2" t="inlineStr">
        <is>
          <t>Alcaldía del Ayuntamiento de Villarrasa</t>
        </is>
      </c>
      <c r="I1262" s="2" t="inlineStr">
        <is>
          <t>Plan de Asfaltado 2026 del municipio de Villarrasa.</t>
        </is>
      </c>
      <c r="J1262" s="2" t="inlineStr">
        <is>
          <t>635/2026</t>
        </is>
      </c>
      <c r="K1262" s="2" t="inlineStr">
        <is>
          <t>Abierto simplificado</t>
        </is>
      </c>
      <c r="L1262" s="6" t="n">
        <v>6</v>
      </c>
      <c r="M1262" s="2" t="n"/>
      <c r="N1262" s="7" t="n">
        <v>0</v>
      </c>
      <c r="O1262" s="4" t="n"/>
      <c r="P1262" s="2" t="inlineStr">
        <is>
          <t>45233222</t>
        </is>
      </c>
      <c r="Q1262" s="8" t="inlineStr">
        <is>
          <t>Ver</t>
        </is>
      </c>
      <c r="R1262" s="8" t="inlineStr">
        <is>
          <t>PCAP</t>
        </is>
      </c>
      <c r="S1262" s="9" t="n">
        <v>46310</v>
      </c>
      <c r="T1262" s="3" t="n">
        <v>46309.43210648148</v>
      </c>
      <c r="U1262" s="2" t="n"/>
    </row>
    <row r="1263">
      <c r="A1263" s="2" t="inlineStr">
        <is>
          <t>Resuelta</t>
        </is>
      </c>
      <c r="B1263" s="3" t="n">
        <v>45818.58333333334</v>
      </c>
      <c r="C1263" s="5" t="n">
        <v>2555494.53</v>
      </c>
      <c r="D1263" s="5" t="n">
        <v>3066593.44</v>
      </c>
      <c r="E1263" s="2" t="inlineStr">
        <is>
          <t>Comunitat Valenciana</t>
        </is>
      </c>
      <c r="F1263" s="2" t="inlineStr">
        <is>
          <t>Valencia</t>
        </is>
      </c>
      <c r="G1263" s="2" t="n"/>
      <c r="H1263" s="2" t="inlineStr">
        <is>
          <t>Presidencia de la Generalitat</t>
        </is>
      </c>
      <c r="I1263" s="2" t="inlineStr">
        <is>
          <t>Obras de instalación de césped artificial de rugby e infraestructuras complementarias, en el centro de tecnificación deportiva de Cheste (Valencia).</t>
        </is>
      </c>
      <c r="J1263" s="2" t="inlineStr">
        <is>
          <t>CNMY25-DGD-08</t>
        </is>
      </c>
      <c r="K1263" s="2" t="inlineStr">
        <is>
          <t>Abierto</t>
        </is>
      </c>
      <c r="L1263" s="6" t="n">
        <v>10</v>
      </c>
      <c r="M1263" s="2" t="inlineStr">
        <is>
          <t>G6-4; C2-3; J4-3</t>
        </is>
      </c>
      <c r="N1263" s="7" t="n">
        <v>0.4</v>
      </c>
      <c r="O1263" s="4" t="n"/>
      <c r="P1263" s="2" t="inlineStr">
        <is>
          <t>45111000; 45111240; 45232454; 45212210; 45111230</t>
        </is>
      </c>
      <c r="Q1263" s="8" t="inlineStr">
        <is>
          <t>Ver</t>
        </is>
      </c>
      <c r="R1263" s="8" t="inlineStr">
        <is>
          <t>PCAP</t>
        </is>
      </c>
      <c r="S1263" s="9" t="n">
        <v>46310</v>
      </c>
      <c r="T1263" s="3" t="n">
        <v>46309.42998842592</v>
      </c>
      <c r="U1263" s="2" t="n"/>
    </row>
    <row r="1264">
      <c r="A1264" s="2" t="inlineStr">
        <is>
          <t>Resuelta</t>
        </is>
      </c>
      <c r="B1264" s="3" t="n">
        <v>43741.70833333334</v>
      </c>
      <c r="C1264" s="5" t="n">
        <v>55903.27</v>
      </c>
      <c r="D1264" s="5" t="n">
        <v>55903.27</v>
      </c>
      <c r="E1264" s="2" t="inlineStr">
        <is>
          <t>Comunitat Valenciana</t>
        </is>
      </c>
      <c r="F1264" s="2" t="inlineStr">
        <is>
          <t>Valencia</t>
        </is>
      </c>
      <c r="G1264" s="2" t="inlineStr">
        <is>
          <t>Valencia</t>
        </is>
      </c>
      <c r="H1264" s="2" t="inlineStr">
        <is>
          <t>Gerencia de Infraestructuras y Equipamientos de Cultura O.A</t>
        </is>
      </c>
      <c r="I1264" s="2" t="inlineStr">
        <is>
          <t>Obras de sustitución del ascensor de la Biblioteca Pública del Estado en Valencia.</t>
        </is>
      </c>
      <c r="J1264" s="2" t="inlineStr">
        <is>
          <t>19/030 OB</t>
        </is>
      </c>
      <c r="K1264" s="2" t="inlineStr">
        <is>
          <t>Abierto simplificado</t>
        </is>
      </c>
      <c r="L1264" s="6" t="n">
        <v>4</v>
      </c>
      <c r="M1264" s="2" t="inlineStr">
        <is>
          <t>J1-1</t>
        </is>
      </c>
      <c r="N1264" s="7" t="n">
        <v>0</v>
      </c>
      <c r="O1264" s="4" t="n"/>
      <c r="P1264" s="2" t="inlineStr">
        <is>
          <t>42416100</t>
        </is>
      </c>
      <c r="Q1264" s="8" t="inlineStr">
        <is>
          <t>Ver</t>
        </is>
      </c>
      <c r="R1264" s="8" t="inlineStr">
        <is>
          <t>PCAP</t>
        </is>
      </c>
      <c r="S1264" s="9" t="n">
        <v>46310</v>
      </c>
      <c r="T1264" s="3" t="n">
        <v>46309.4290625</v>
      </c>
      <c r="U1264" s="2" t="n"/>
    </row>
    <row r="1265">
      <c r="A1265" s="2" t="inlineStr">
        <is>
          <t>Resuelta</t>
        </is>
      </c>
      <c r="B1265" s="3" t="n">
        <v>46225.58333333334</v>
      </c>
      <c r="C1265" s="5" t="n">
        <v>63718.46</v>
      </c>
      <c r="D1265" s="5" t="n">
        <v>63718.46</v>
      </c>
      <c r="E1265" s="2" t="inlineStr">
        <is>
          <t>Comunitat Valenciana</t>
        </is>
      </c>
      <c r="F1265" s="2" t="inlineStr">
        <is>
          <t>Castellón</t>
        </is>
      </c>
      <c r="G1265" s="2" t="inlineStr">
        <is>
          <t>Traiguera</t>
        </is>
      </c>
      <c r="H1265" s="2" t="inlineStr">
        <is>
          <t>Alcaldía del Ayuntamiento de Traiguera</t>
        </is>
      </c>
      <c r="I1265" s="2" t="inlineStr">
        <is>
          <t>Adecuación de la accesibilidad en el centro social de personas mayores de Traiguera</t>
        </is>
      </c>
      <c r="J1265" s="2" t="inlineStr">
        <is>
          <t>454/2026</t>
        </is>
      </c>
      <c r="K1265" s="2" t="inlineStr">
        <is>
          <t>Licitación con negociación</t>
        </is>
      </c>
      <c r="L1265" s="6" t="n">
        <v>4</v>
      </c>
      <c r="M1265" s="2" t="n"/>
      <c r="N1265" s="7" t="n">
        <v>0</v>
      </c>
      <c r="O1265" s="4" t="n"/>
      <c r="P1265" s="2" t="inlineStr">
        <is>
          <t>45313100; 45200000; 45000000</t>
        </is>
      </c>
      <c r="Q1265" s="8" t="inlineStr">
        <is>
          <t>Ver</t>
        </is>
      </c>
      <c r="R1265" s="2" t="n"/>
      <c r="S1265" s="9" t="n">
        <v>46310</v>
      </c>
      <c r="T1265" s="3" t="n">
        <v>46309.42163194445</v>
      </c>
      <c r="U1265" s="2" t="n"/>
    </row>
    <row r="1266">
      <c r="A1266" s="2" t="inlineStr">
        <is>
          <t>Adjudicada</t>
        </is>
      </c>
      <c r="B1266" s="3" t="n">
        <v>46293.99930555555</v>
      </c>
      <c r="C1266" s="5" t="n">
        <v>51652.89</v>
      </c>
      <c r="D1266" s="5" t="n">
        <v>51652.89</v>
      </c>
      <c r="E1266" s="2" t="inlineStr">
        <is>
          <t>Andalucía</t>
        </is>
      </c>
      <c r="F1266" s="2" t="inlineStr">
        <is>
          <t>Córdoba</t>
        </is>
      </c>
      <c r="G1266" s="2" t="inlineStr">
        <is>
          <t>Santaella</t>
        </is>
      </c>
      <c r="H1266" s="2" t="inlineStr">
        <is>
          <t>Alcaldía de Ayuntamiento de Santaella</t>
        </is>
      </c>
      <c r="I1266" s="2" t="inlineStr">
        <is>
          <t>Obras de intervención arqueológica en el patio del Castillo de Santaella (3ª fase).</t>
        </is>
      </c>
      <c r="J1266" s="2" t="inlineStr">
        <is>
          <t>OB-09/26</t>
        </is>
      </c>
      <c r="K1266" s="2" t="inlineStr">
        <is>
          <t>Abierto simplificado</t>
        </is>
      </c>
      <c r="L1266" s="6" t="n">
        <v>6</v>
      </c>
      <c r="M1266" s="2" t="n"/>
      <c r="N1266" s="7" t="n">
        <v>0</v>
      </c>
      <c r="O1266" s="4" t="n"/>
      <c r="P1266" s="2" t="inlineStr">
        <is>
          <t>45212314; 45212350; 45212354</t>
        </is>
      </c>
      <c r="Q1266" s="8" t="inlineStr">
        <is>
          <t>Ver</t>
        </is>
      </c>
      <c r="R1266" s="8" t="inlineStr">
        <is>
          <t>PCAP</t>
        </is>
      </c>
      <c r="S1266" s="9" t="n">
        <v>46310</v>
      </c>
      <c r="T1266" s="3" t="n">
        <v>46309.41952546296</v>
      </c>
      <c r="U1266" s="2" t="n"/>
    </row>
    <row r="1267">
      <c r="A1267" s="2" t="inlineStr">
        <is>
          <t>Pendiente de adjudicación</t>
        </is>
      </c>
      <c r="B1267" s="3" t="n">
        <v>46272.99930555555</v>
      </c>
      <c r="C1267" s="5" t="n">
        <v>341922.31</v>
      </c>
      <c r="D1267" s="5" t="n">
        <v>341922.31</v>
      </c>
      <c r="E1267" s="2" t="inlineStr">
        <is>
          <t>Andalucía</t>
        </is>
      </c>
      <c r="F1267" s="2" t="inlineStr">
        <is>
          <t>Córdoba</t>
        </is>
      </c>
      <c r="G1267" s="2" t="n"/>
      <c r="H1267" s="2" t="inlineStr">
        <is>
          <t>Junta de Gobierno de la Diputación Provincial de Córdoba</t>
        </is>
      </c>
      <c r="I1267" s="2" t="inlineStr">
        <is>
          <t>Contrato de Finalización de las obras de mejora en la piscina municipal, en Posadas (Córdoba).</t>
        </is>
      </c>
      <c r="J1267" s="2" t="inlineStr">
        <is>
          <t>618/26</t>
        </is>
      </c>
      <c r="K1267" s="2" t="inlineStr">
        <is>
          <t>Abierto</t>
        </is>
      </c>
      <c r="L1267" s="6" t="n">
        <v>10</v>
      </c>
      <c r="M1267" s="2" t="n"/>
      <c r="N1267" s="7" t="n">
        <v>0.25</v>
      </c>
      <c r="O1267" s="4" t="n"/>
      <c r="P1267" s="2" t="inlineStr">
        <is>
          <t>45200000; 45212212</t>
        </is>
      </c>
      <c r="Q1267" s="8" t="inlineStr">
        <is>
          <t>Ver</t>
        </is>
      </c>
      <c r="R1267" s="8" t="inlineStr">
        <is>
          <t>PCAP</t>
        </is>
      </c>
      <c r="S1267" s="9" t="n">
        <v>46310</v>
      </c>
      <c r="T1267" s="3" t="n">
        <v>46309.41932870371</v>
      </c>
      <c r="U1267" s="2" t="n"/>
    </row>
    <row r="1268">
      <c r="A1268" s="2" t="inlineStr">
        <is>
          <t>Resuelta</t>
        </is>
      </c>
      <c r="B1268" s="3" t="n">
        <v>46280.41666666666</v>
      </c>
      <c r="C1268" s="5" t="n">
        <v>182979.21</v>
      </c>
      <c r="D1268" s="5" t="n">
        <v>182979.21</v>
      </c>
      <c r="E1268" s="2" t="inlineStr">
        <is>
          <t>Andalucía</t>
        </is>
      </c>
      <c r="F1268" s="2" t="inlineStr">
        <is>
          <t>Sevilla</t>
        </is>
      </c>
      <c r="G1268" s="2" t="inlineStr">
        <is>
          <t>Morón de la frontera</t>
        </is>
      </c>
      <c r="H1268" s="2" t="inlineStr">
        <is>
          <t>Jefatura de la Sección Económico Administrativa 24 de la Base Aérea de Morón</t>
        </is>
      </c>
      <c r="I1268" s="2" t="inlineStr">
        <is>
          <t>Infraestructura/ Adecuación pavimento y apertura manual puertas hangares móviles 1 y 2 de la Base Aérea de Morón y Ala 11</t>
        </is>
      </c>
      <c r="J1268" s="2" t="inlineStr">
        <is>
          <t>2026/EA24/00002029E</t>
        </is>
      </c>
      <c r="K1268" s="2" t="inlineStr">
        <is>
          <t>Abierto</t>
        </is>
      </c>
      <c r="L1268" s="6" t="n">
        <v>4</v>
      </c>
      <c r="M1268" s="2" t="n"/>
      <c r="N1268" s="7" t="n">
        <v>0</v>
      </c>
      <c r="O1268" s="4" t="n"/>
      <c r="P1268" s="2" t="inlineStr">
        <is>
          <t>45000000; 45213351</t>
        </is>
      </c>
      <c r="Q1268" s="8" t="inlineStr">
        <is>
          <t>Ver</t>
        </is>
      </c>
      <c r="R1268" s="8" t="inlineStr">
        <is>
          <t>PCAP</t>
        </is>
      </c>
      <c r="S1268" s="9" t="n">
        <v>46310</v>
      </c>
      <c r="T1268" s="3" t="n">
        <v>46309.41929398148</v>
      </c>
      <c r="U1268" s="2" t="n"/>
    </row>
    <row r="1269">
      <c r="A1269" s="2" t="inlineStr">
        <is>
          <t>Resuelta</t>
        </is>
      </c>
      <c r="B1269" s="3" t="n">
        <v>46296.375</v>
      </c>
      <c r="C1269" s="5" t="n">
        <v>37319.01</v>
      </c>
      <c r="D1269" s="5" t="n">
        <v>37319.01</v>
      </c>
      <c r="E1269" s="2" t="inlineStr">
        <is>
          <t>Andalucía</t>
        </is>
      </c>
      <c r="F1269" s="2" t="inlineStr">
        <is>
          <t>Cádiz</t>
        </is>
      </c>
      <c r="G1269" s="2" t="n"/>
      <c r="H1269" s="2" t="inlineStr">
        <is>
          <t>Intendente de San Fernando</t>
        </is>
      </c>
      <c r="I1269" s="2" t="inlineStr">
        <is>
          <t>INFRA 26-050 CB Reparación de kiosco y gimnasio en centro deportivo y sociocultural de oficiales de San Fernando. Lote 7</t>
        </is>
      </c>
      <c r="J1269" s="2" t="inlineStr">
        <is>
          <t>2026/AR43U/00002545E</t>
        </is>
      </c>
      <c r="K1269" s="2" t="inlineStr">
        <is>
          <t>Abierto</t>
        </is>
      </c>
      <c r="L1269" s="6" t="n">
        <v>1.8</v>
      </c>
      <c r="M1269" s="2" t="n"/>
      <c r="N1269" s="7" t="n">
        <v>0</v>
      </c>
      <c r="O1269" s="4" t="n"/>
      <c r="P1269" s="2" t="inlineStr">
        <is>
          <t>45000000</t>
        </is>
      </c>
      <c r="Q1269" s="8" t="inlineStr">
        <is>
          <t>Ver</t>
        </is>
      </c>
      <c r="R1269" s="8" t="inlineStr">
        <is>
          <t>PCAP</t>
        </is>
      </c>
      <c r="S1269" s="9" t="n">
        <v>46310</v>
      </c>
      <c r="T1269" s="3" t="n">
        <v>46309.41267361111</v>
      </c>
      <c r="U1269" s="2" t="n"/>
    </row>
    <row r="1270">
      <c r="A1270" s="2" t="inlineStr">
        <is>
          <t>Pendiente de adjudicación</t>
        </is>
      </c>
      <c r="B1270" s="3" t="n">
        <v>46266.99930555555</v>
      </c>
      <c r="C1270" s="5" t="n">
        <v>909090.91</v>
      </c>
      <c r="D1270" s="5" t="n">
        <v>1090909.09</v>
      </c>
      <c r="E1270" s="2" t="inlineStr">
        <is>
          <t>Andalucía</t>
        </is>
      </c>
      <c r="F1270" s="2" t="inlineStr">
        <is>
          <t>Almería</t>
        </is>
      </c>
      <c r="G1270" s="2" t="n"/>
      <c r="H1270" s="2" t="inlineStr">
        <is>
          <t>Junta de Gobierno Local del Ayuntamiento de El Ejido</t>
        </is>
      </c>
      <c r="I1270" s="2" t="inlineStr">
        <is>
          <t>Ejecución del proyecto de obras denominado: Infraestructuras de Agua y Saneamiento en Tarambana, incluido en el Plan de Actuación Integrado (PAI) El Ejido 2029: +SOSTENIBLE +COHESIONADO, cofinanciado en un 85% por el Fondo Europeo de Desarrollo Regional (FEDER), en el marco del Programa Plurirregional 2021 - 2027.</t>
        </is>
      </c>
      <c r="J1270" s="2" t="inlineStr">
        <is>
          <t>2026 1020</t>
        </is>
      </c>
      <c r="K1270" s="2" t="inlineStr">
        <is>
          <t>Abierto simplificado</t>
        </is>
      </c>
      <c r="L1270" s="6" t="n">
        <v>8</v>
      </c>
      <c r="M1270" s="2" t="n"/>
      <c r="N1270" s="7" t="n">
        <v>0.25</v>
      </c>
      <c r="O1270" s="4" t="n"/>
      <c r="P1270" s="2" t="inlineStr">
        <is>
          <t>45100000; 45232410</t>
        </is>
      </c>
      <c r="Q1270" s="8" t="inlineStr">
        <is>
          <t>Ver</t>
        </is>
      </c>
      <c r="R1270" s="8" t="inlineStr">
        <is>
          <t>PCAP</t>
        </is>
      </c>
      <c r="S1270" s="9" t="n">
        <v>46310</v>
      </c>
      <c r="T1270" s="3" t="n">
        <v>46309.41239583334</v>
      </c>
      <c r="U1270" s="2" t="n"/>
    </row>
    <row r="1271">
      <c r="A1271" s="2" t="inlineStr">
        <is>
          <t>Resuelta</t>
        </is>
      </c>
      <c r="B1271" s="3" t="n">
        <v>46205.99930555555</v>
      </c>
      <c r="C1271" s="5" t="n">
        <v>51868.28</v>
      </c>
      <c r="D1271" s="5" t="n">
        <v>51868.28</v>
      </c>
      <c r="E1271" s="2" t="inlineStr">
        <is>
          <t>Andalucía</t>
        </is>
      </c>
      <c r="F1271" s="2" t="inlineStr">
        <is>
          <t>Granada</t>
        </is>
      </c>
      <c r="G1271" s="2" t="inlineStr">
        <is>
          <t>CHIMENEAS</t>
        </is>
      </c>
      <c r="H1271" s="2" t="inlineStr">
        <is>
          <t>Presidencia de la Diputación Provincial de Granada</t>
        </is>
      </c>
      <c r="I1271" s="2" t="inlineStr">
        <is>
          <t>2024/4/PPOYS-47/2 y 2026/4/PPOYS-47/1 "Chimeneas, mejora del alumbrado público en Castillo de Tajarja."</t>
        </is>
      </c>
      <c r="J1271" s="2" t="inlineStr">
        <is>
          <t>OB-019/26</t>
        </is>
      </c>
      <c r="K1271" s="2" t="inlineStr">
        <is>
          <t>Abierto simplificado</t>
        </is>
      </c>
      <c r="L1271" s="6" t="n">
        <v>4</v>
      </c>
      <c r="M1271" s="2" t="inlineStr">
        <is>
          <t>I1-1</t>
        </is>
      </c>
      <c r="N1271" s="7" t="n">
        <v>0</v>
      </c>
      <c r="O1271" s="4" t="n"/>
      <c r="P1271" s="2" t="inlineStr">
        <is>
          <t>45316100</t>
        </is>
      </c>
      <c r="Q1271" s="8" t="inlineStr">
        <is>
          <t>Ver</t>
        </is>
      </c>
      <c r="R1271" s="8" t="inlineStr">
        <is>
          <t>PCAP</t>
        </is>
      </c>
      <c r="S1271" s="9" t="n">
        <v>46310</v>
      </c>
      <c r="T1271" s="3" t="n">
        <v>46309.41211805555</v>
      </c>
      <c r="U1271" s="2" t="n"/>
    </row>
    <row r="1272">
      <c r="A1272" s="2" t="inlineStr">
        <is>
          <t>Resuelta</t>
        </is>
      </c>
      <c r="B1272" s="3" t="n">
        <v>46296.375</v>
      </c>
      <c r="C1272" s="5" t="n">
        <v>13877.3</v>
      </c>
      <c r="D1272" s="5" t="n">
        <v>13877.3</v>
      </c>
      <c r="E1272" s="2" t="inlineStr">
        <is>
          <t>Andalucía</t>
        </is>
      </c>
      <c r="F1272" s="2" t="inlineStr">
        <is>
          <t>Cádiz</t>
        </is>
      </c>
      <c r="G1272" s="2" t="inlineStr">
        <is>
          <t>San Fernando</t>
        </is>
      </c>
      <c r="H1272" s="2" t="inlineStr">
        <is>
          <t>Intendente de San Fernando</t>
        </is>
      </c>
      <c r="I1272" s="2" t="inlineStr">
        <is>
          <t>INFRA 61-061 Resanado y mejora de impermeabilización en muro de Ayudantía Mayor</t>
        </is>
      </c>
      <c r="J1272" s="2" t="inlineStr">
        <is>
          <t>2026/AR43U/00002474E</t>
        </is>
      </c>
      <c r="K1272" s="2" t="inlineStr">
        <is>
          <t>Abierto</t>
        </is>
      </c>
      <c r="L1272" s="6" t="n">
        <v>1</v>
      </c>
      <c r="M1272" s="2" t="n"/>
      <c r="N1272" s="7" t="n">
        <v>0</v>
      </c>
      <c r="O1272" s="4" t="n"/>
      <c r="P1272" s="2" t="inlineStr">
        <is>
          <t>45000000</t>
        </is>
      </c>
      <c r="Q1272" s="8" t="inlineStr">
        <is>
          <t>Ver</t>
        </is>
      </c>
      <c r="R1272" s="8" t="inlineStr">
        <is>
          <t>PCAP</t>
        </is>
      </c>
      <c r="S1272" s="9" t="n">
        <v>46310</v>
      </c>
      <c r="T1272" s="3" t="n">
        <v>46309.41024305556</v>
      </c>
      <c r="U1272" s="2" t="n"/>
    </row>
    <row r="1273">
      <c r="A1273" s="2" t="inlineStr">
        <is>
          <t>En plazo</t>
        </is>
      </c>
      <c r="B1273" s="3" t="n">
        <v>46322.79166666666</v>
      </c>
      <c r="C1273" s="5" t="n">
        <v>110077.77</v>
      </c>
      <c r="D1273" s="5" t="n">
        <v>110077.77</v>
      </c>
      <c r="E1273" s="2" t="inlineStr">
        <is>
          <t>Comunitat Valenciana</t>
        </is>
      </c>
      <c r="F1273" s="2" t="inlineStr">
        <is>
          <t>Valencia</t>
        </is>
      </c>
      <c r="G1273" s="2" t="inlineStr">
        <is>
          <t>Algemesí</t>
        </is>
      </c>
      <c r="H1273" s="2" t="inlineStr">
        <is>
          <t>Junta de Gobierno del Ayuntamiento de Algemesí</t>
        </is>
      </c>
      <c r="I1273" s="2" t="inlineStr">
        <is>
          <t>Ejecución de obras para la «Reconstrucción del Centro Público de Formación de Adultos (EPA) y de la Escuela de Música Tabal i Dolçaina (EMTID).</t>
        </is>
      </c>
      <c r="J1273" s="2" t="inlineStr">
        <is>
          <t>8552/2026</t>
        </is>
      </c>
      <c r="K1273" s="2" t="inlineStr">
        <is>
          <t>Abierto simplificado</t>
        </is>
      </c>
      <c r="L1273" s="6" t="n">
        <v>2</v>
      </c>
      <c r="M1273" s="2" t="n"/>
      <c r="N1273" s="7" t="n">
        <v>0</v>
      </c>
      <c r="O1273" s="4" t="n"/>
      <c r="P1273" s="2" t="inlineStr">
        <is>
          <t>45453000; 45214000</t>
        </is>
      </c>
      <c r="Q1273" s="8" t="inlineStr">
        <is>
          <t>Ver</t>
        </is>
      </c>
      <c r="R1273" s="8" t="inlineStr">
        <is>
          <t>PCAP</t>
        </is>
      </c>
      <c r="S1273" s="9" t="n">
        <v>46310</v>
      </c>
      <c r="T1273" s="3" t="n">
        <v>46309.41001157407</v>
      </c>
      <c r="U1273" s="2" t="n"/>
    </row>
    <row r="1274">
      <c r="A1274" s="2" t="inlineStr">
        <is>
          <t>Resuelta</t>
        </is>
      </c>
      <c r="B1274" s="3" t="n">
        <v>46286.99930555555</v>
      </c>
      <c r="C1274" s="5" t="n">
        <v>150736.76</v>
      </c>
      <c r="D1274" s="5" t="n">
        <v>150736.76</v>
      </c>
      <c r="E1274" s="2" t="inlineStr">
        <is>
          <t>Comunitat Valenciana</t>
        </is>
      </c>
      <c r="F1274" s="2" t="inlineStr">
        <is>
          <t>Valencia</t>
        </is>
      </c>
      <c r="G1274" s="2" t="inlineStr">
        <is>
          <t>FORTALENY</t>
        </is>
      </c>
      <c r="H1274" s="2" t="inlineStr">
        <is>
          <t>Plenodel Ayuntamiento de Fortaleny</t>
        </is>
      </c>
      <c r="I1274" s="2" t="inlineStr">
        <is>
          <t>Demolición y construcción Casal Jove en Fortaleny</t>
        </is>
      </c>
      <c r="J1274" s="2" t="inlineStr">
        <is>
          <t>139/2026</t>
        </is>
      </c>
      <c r="K1274" s="2" t="inlineStr">
        <is>
          <t>Abierto simplificado</t>
        </is>
      </c>
      <c r="L1274" s="6" t="n">
        <v>8</v>
      </c>
      <c r="M1274" s="2" t="n"/>
      <c r="N1274" s="7" t="n">
        <v>0</v>
      </c>
      <c r="O1274" s="4" t="n"/>
      <c r="P1274" s="2" t="inlineStr">
        <is>
          <t>45111100; 45210000</t>
        </is>
      </c>
      <c r="Q1274" s="8" t="inlineStr">
        <is>
          <t>Ver</t>
        </is>
      </c>
      <c r="R1274" s="8" t="inlineStr">
        <is>
          <t>PCAP</t>
        </is>
      </c>
      <c r="S1274" s="9" t="n">
        <v>46310</v>
      </c>
      <c r="T1274" s="3" t="n">
        <v>46309.40403935185</v>
      </c>
      <c r="U1274" s="2" t="n"/>
    </row>
    <row r="1275">
      <c r="A1275" s="2" t="inlineStr">
        <is>
          <t>Resuelta</t>
        </is>
      </c>
      <c r="B1275" s="3" t="n">
        <v>43668.70833333334</v>
      </c>
      <c r="C1275" s="5" t="n">
        <v>745543.67</v>
      </c>
      <c r="D1275" s="5" t="n">
        <v>745543.67</v>
      </c>
      <c r="E1275" s="2" t="inlineStr">
        <is>
          <t>Andalucía</t>
        </is>
      </c>
      <c r="F1275" s="2" t="inlineStr">
        <is>
          <t>Córdoba</t>
        </is>
      </c>
      <c r="G1275" s="2" t="inlineStr">
        <is>
          <t>Córdoba</t>
        </is>
      </c>
      <c r="H1275" s="2" t="inlineStr">
        <is>
          <t>Presidencia de la Gerencia de Infraestructuras y Equipamientos de Cultura O.A</t>
        </is>
      </c>
      <c r="I1275" s="2" t="inlineStr">
        <is>
          <t>Obras de restauración de la Portada y Escalinata renacentistas del Museo Arqueológico de Córdoba.</t>
        </is>
      </c>
      <c r="J1275" s="2" t="inlineStr">
        <is>
          <t>19/043 OB</t>
        </is>
      </c>
      <c r="K1275" s="2" t="inlineStr">
        <is>
          <t>Abierto</t>
        </is>
      </c>
      <c r="L1275" s="6" t="n">
        <v>12</v>
      </c>
      <c r="M1275" s="2" t="inlineStr">
        <is>
          <t>K7-4</t>
        </is>
      </c>
      <c r="N1275" s="7" t="n">
        <v>0.5</v>
      </c>
      <c r="O1275" s="4" t="n"/>
      <c r="P1275" s="2" t="inlineStr">
        <is>
          <t>45454100</t>
        </is>
      </c>
      <c r="Q1275" s="8" t="inlineStr">
        <is>
          <t>Ver</t>
        </is>
      </c>
      <c r="R1275" s="8" t="inlineStr">
        <is>
          <t>PCAP</t>
        </is>
      </c>
      <c r="S1275" s="9" t="n">
        <v>46310</v>
      </c>
      <c r="T1275" s="3" t="n">
        <v>46309.39928240741</v>
      </c>
      <c r="U1275" s="2" t="n"/>
    </row>
    <row r="1276">
      <c r="A1276" s="2" t="inlineStr">
        <is>
          <t>Pendiente de adjudicación</t>
        </is>
      </c>
      <c r="B1276" s="3" t="n">
        <v>46295.75</v>
      </c>
      <c r="C1276" s="5" t="n">
        <v>249873.9</v>
      </c>
      <c r="D1276" s="5" t="n">
        <v>249873.52</v>
      </c>
      <c r="E1276" s="2" t="inlineStr">
        <is>
          <t>Comunitat Valenciana</t>
        </is>
      </c>
      <c r="F1276" s="2" t="inlineStr">
        <is>
          <t>Alicante</t>
        </is>
      </c>
      <c r="G1276" s="2" t="inlineStr">
        <is>
          <t>Alicante (Alacant)</t>
        </is>
      </c>
      <c r="H1276" s="2" t="inlineStr">
        <is>
          <t>Alcaldía del Ayuntamiento de Santa Pola</t>
        </is>
      </c>
      <c r="I1276" s="2" t="inlineStr">
        <is>
          <t>Renovación de baños del CEIP Ramón Cuesta 2026</t>
        </is>
      </c>
      <c r="J1276" s="2" t="inlineStr">
        <is>
          <t>17867/2026</t>
        </is>
      </c>
      <c r="K1276" s="2" t="inlineStr">
        <is>
          <t>Abierto simplificado</t>
        </is>
      </c>
      <c r="L1276" s="6" t="n">
        <v>4</v>
      </c>
      <c r="M1276" s="2" t="n"/>
      <c r="N1276" s="7" t="n">
        <v>0.5</v>
      </c>
      <c r="O1276" s="4" t="n"/>
      <c r="P1276" s="2" t="inlineStr">
        <is>
          <t>45300000; 45310000; 45330000; 45453100</t>
        </is>
      </c>
      <c r="Q1276" s="8" t="inlineStr">
        <is>
          <t>Ver</t>
        </is>
      </c>
      <c r="R1276" s="8" t="inlineStr">
        <is>
          <t>PCAP</t>
        </is>
      </c>
      <c r="S1276" s="9" t="n">
        <v>46310</v>
      </c>
      <c r="T1276" s="3" t="n">
        <v>46309.39864583333</v>
      </c>
      <c r="U1276" s="2" t="n"/>
    </row>
    <row r="1277">
      <c r="A1277" s="2" t="inlineStr">
        <is>
          <t>Plazo vencido</t>
        </is>
      </c>
      <c r="B1277" s="3" t="n">
        <v>46316.99930555555</v>
      </c>
      <c r="C1277" s="5" t="n">
        <v>426300.15</v>
      </c>
      <c r="D1277" s="5" t="n">
        <v>426300.15</v>
      </c>
      <c r="E1277" s="2" t="inlineStr">
        <is>
          <t>Andalucía</t>
        </is>
      </c>
      <c r="F1277" s="2" t="inlineStr">
        <is>
          <t>Málaga</t>
        </is>
      </c>
      <c r="G1277" s="2" t="inlineStr">
        <is>
          <t>Villanueva de la Concepción</t>
        </is>
      </c>
      <c r="H1277" s="2" t="inlineStr">
        <is>
          <t>Alcaldía del Ayuntamiento de Villanueva de la Concepción</t>
        </is>
      </c>
      <c r="I1277" s="2" t="inlineStr">
        <is>
          <t>Construcción nuevo depósito agua potable</t>
        </is>
      </c>
      <c r="J1277" s="2" t="inlineStr">
        <is>
          <t>2025/790</t>
        </is>
      </c>
      <c r="K1277" s="2" t="inlineStr">
        <is>
          <t>Abierto</t>
        </is>
      </c>
      <c r="L1277" s="6" t="n">
        <v>6</v>
      </c>
      <c r="M1277" s="2" t="n"/>
      <c r="N1277" s="7" t="n">
        <v>0</v>
      </c>
      <c r="O1277" s="4" t="n"/>
      <c r="P1277" s="2" t="inlineStr">
        <is>
          <t>45213260</t>
        </is>
      </c>
      <c r="Q1277" s="8" t="inlineStr">
        <is>
          <t>Ver</t>
        </is>
      </c>
      <c r="R1277" s="8" t="inlineStr">
        <is>
          <t>PCAP</t>
        </is>
      </c>
      <c r="S1277" s="9" t="n">
        <v>46310</v>
      </c>
      <c r="T1277" s="3" t="n">
        <v>46309.39697916667</v>
      </c>
      <c r="U1277" s="2" t="n"/>
    </row>
    <row r="1278">
      <c r="A1278" s="2" t="inlineStr">
        <is>
          <t>En plazo</t>
        </is>
      </c>
      <c r="B1278" s="3" t="n">
        <v>46329.79166666666</v>
      </c>
      <c r="C1278" s="5" t="n">
        <v>278857.93</v>
      </c>
      <c r="D1278" s="5" t="n">
        <v>278857.93</v>
      </c>
      <c r="E1278" s="2" t="inlineStr">
        <is>
          <t>Comunitat Valenciana</t>
        </is>
      </c>
      <c r="F1278" s="2" t="inlineStr">
        <is>
          <t>Valencia</t>
        </is>
      </c>
      <c r="G1278" s="2" t="inlineStr">
        <is>
          <t>Algemesí</t>
        </is>
      </c>
      <c r="H1278" s="2" t="inlineStr">
        <is>
          <t>Junta de Gobierno del Ayuntamiento de Algemesí</t>
        </is>
      </c>
      <c r="I1278" s="2" t="inlineStr">
        <is>
          <t>Ejecución de las obras "Reconstrucción del Teatre Jaume I", "Reconstrucció del edifici de l'Espai Jove" i "Reconstrucció de la Seu Adisalge d'Algemesí"</t>
        </is>
      </c>
      <c r="J1278" s="2" t="inlineStr">
        <is>
          <t>10456/2026</t>
        </is>
      </c>
      <c r="K1278" s="2" t="inlineStr">
        <is>
          <t>Abierto simplificado</t>
        </is>
      </c>
      <c r="L1278" s="6" t="n">
        <v>8</v>
      </c>
      <c r="M1278" s="2" t="n"/>
      <c r="N1278" s="7" t="n">
        <v>0</v>
      </c>
      <c r="O1278" s="4" t="n"/>
      <c r="P1278" s="2" t="inlineStr">
        <is>
          <t>45453000</t>
        </is>
      </c>
      <c r="Q1278" s="8" t="inlineStr">
        <is>
          <t>Ver</t>
        </is>
      </c>
      <c r="R1278" s="8" t="inlineStr">
        <is>
          <t>PCAP</t>
        </is>
      </c>
      <c r="S1278" s="9" t="n">
        <v>46310</v>
      </c>
      <c r="T1278" s="3" t="n">
        <v>46309.39287037037</v>
      </c>
      <c r="U1278" s="2" t="n"/>
    </row>
    <row r="1279">
      <c r="A1279" s="2" t="inlineStr">
        <is>
          <t>Pendiente de adjudicación</t>
        </is>
      </c>
      <c r="B1279" s="3" t="n">
        <v>46311.99930555555</v>
      </c>
      <c r="C1279" s="5" t="n">
        <v>76033.06</v>
      </c>
      <c r="D1279" s="5" t="n">
        <v>76033.06</v>
      </c>
      <c r="E1279" s="2" t="inlineStr">
        <is>
          <t>Andalucía</t>
        </is>
      </c>
      <c r="F1279" s="2" t="inlineStr">
        <is>
          <t>Málaga</t>
        </is>
      </c>
      <c r="G1279" s="2" t="n"/>
      <c r="H1279" s="2" t="inlineStr">
        <is>
          <t>Presidencia de la Entidad Local Autónoma Estación de Gaucín -El Colmenar</t>
        </is>
      </c>
      <c r="I1279" s="2" t="inlineStr">
        <is>
          <t>Mejora de Abastecimiento de Agua Potable en la Estación de Gaucín-El Colmenar.</t>
        </is>
      </c>
      <c r="J1279" s="2" t="inlineStr">
        <is>
          <t>2026/168</t>
        </is>
      </c>
      <c r="K1279" s="2" t="inlineStr">
        <is>
          <t>Negociado sin publicidad</t>
        </is>
      </c>
      <c r="L1279" s="6" t="n">
        <v>4</v>
      </c>
      <c r="M1279" s="2" t="n"/>
      <c r="N1279" s="7" t="n">
        <v>0</v>
      </c>
      <c r="O1279" s="4" t="n"/>
      <c r="P1279" s="2" t="inlineStr">
        <is>
          <t>45000000; 45300000; 45232000; 45240000; 45200000; 45231000</t>
        </is>
      </c>
      <c r="Q1279" s="8" t="inlineStr">
        <is>
          <t>Ver</t>
        </is>
      </c>
      <c r="R1279" s="8" t="inlineStr">
        <is>
          <t>PCAP</t>
        </is>
      </c>
      <c r="S1279" s="9" t="n">
        <v>46310</v>
      </c>
      <c r="T1279" s="3" t="n">
        <v>46309.39244212963</v>
      </c>
      <c r="U1279" s="2" t="n"/>
    </row>
    <row r="1280">
      <c r="A1280" s="2" t="inlineStr">
        <is>
          <t>Resuelta</t>
        </is>
      </c>
      <c r="B1280" s="3" t="n">
        <v>46240.58333333334</v>
      </c>
      <c r="C1280" s="5" t="n">
        <v>390427.58</v>
      </c>
      <c r="D1280" s="5" t="n">
        <v>429417.37</v>
      </c>
      <c r="E1280" s="2" t="inlineStr">
        <is>
          <t>Comunitat Valenciana</t>
        </is>
      </c>
      <c r="F1280" s="2" t="inlineStr">
        <is>
          <t>Valencia</t>
        </is>
      </c>
      <c r="G1280" s="2" t="inlineStr">
        <is>
          <t>Valencia</t>
        </is>
      </c>
      <c r="H1280" s="2" t="inlineStr">
        <is>
          <t>Departamento de Salud Valencia Dr. Peset. Dirección Económica-Gerencia</t>
        </is>
      </c>
      <c r="I1280" s="2" t="inlineStr">
        <is>
          <t>Obra de reforma de la Sala de Pediatría del Hospital Universitario Valencia Doctor Peset, del Departamento de Salud Valencia-Doctor Peset de Valencia, con condiciones especiales de ejecución de carácter ambiental. Lote único.</t>
        </is>
      </c>
      <c r="J1280" s="2" t="inlineStr">
        <is>
          <t>PAS 876/2026</t>
        </is>
      </c>
      <c r="K1280" s="2" t="inlineStr">
        <is>
          <t>Abierto simplificado</t>
        </is>
      </c>
      <c r="L1280" s="6" t="n">
        <v>5</v>
      </c>
      <c r="M1280" s="2" t="n"/>
      <c r="N1280" s="7" t="n">
        <v>0.25</v>
      </c>
      <c r="O1280" s="4" t="n"/>
      <c r="P1280" s="2" t="inlineStr">
        <is>
          <t>45262520; 45430000; 45441000; 45310000; 45350000; 45330000; 45442100</t>
        </is>
      </c>
      <c r="Q1280" s="8" t="inlineStr">
        <is>
          <t>Ver</t>
        </is>
      </c>
      <c r="R1280" s="8" t="inlineStr">
        <is>
          <t>PCAP</t>
        </is>
      </c>
      <c r="S1280" s="9" t="n">
        <v>46310</v>
      </c>
      <c r="T1280" s="3" t="n">
        <v>46309.38972222222</v>
      </c>
      <c r="U1280" s="2" t="n"/>
    </row>
    <row r="1281">
      <c r="A1281" s="2" t="inlineStr">
        <is>
          <t>En plazo</t>
        </is>
      </c>
      <c r="B1281" s="3" t="n">
        <v>46337.41666666666</v>
      </c>
      <c r="C1281" s="5" t="n">
        <v>70000</v>
      </c>
      <c r="D1281" s="5" t="n">
        <v>70000</v>
      </c>
      <c r="E1281" s="2" t="inlineStr">
        <is>
          <t>Andalucía</t>
        </is>
      </c>
      <c r="F1281" s="2" t="inlineStr">
        <is>
          <t>Cádiz</t>
        </is>
      </c>
      <c r="G1281" s="2" t="n"/>
      <c r="H1281" s="2" t="inlineStr">
        <is>
          <t>Comité Central de Compras de Navantia S.A., S.M.E.</t>
        </is>
      </c>
      <c r="I1281" s="2" t="inlineStr">
        <is>
          <t>La presente licitación tiene por objeto la contratación de la redacción de proyecto y ejecución de la reparación estructural del forjado sanitario del centro de transformación "central piloto" en Navantia Puerto Real.</t>
        </is>
      </c>
      <c r="J1281" s="2" t="inlineStr">
        <is>
          <t>5100075462 - PROY Y EJEC FORJADO CT CENTRAL PILOTO</t>
        </is>
      </c>
      <c r="K1281" s="2" t="inlineStr">
        <is>
          <t>Normas internas</t>
        </is>
      </c>
      <c r="L1281" s="6" t="n">
        <v>4</v>
      </c>
      <c r="M1281" s="2" t="n"/>
      <c r="N1281" s="7" t="n">
        <v>1</v>
      </c>
      <c r="O1281" s="4" t="n"/>
      <c r="P1281" s="2" t="inlineStr">
        <is>
          <t>45453100</t>
        </is>
      </c>
      <c r="Q1281" s="8" t="inlineStr">
        <is>
          <t>Ver</t>
        </is>
      </c>
      <c r="R1281" s="8" t="inlineStr">
        <is>
          <t>PCAP</t>
        </is>
      </c>
      <c r="S1281" s="9" t="n">
        <v>46310</v>
      </c>
      <c r="T1281" s="3" t="n">
        <v>46309.38667824074</v>
      </c>
      <c r="U1281" s="2" t="n"/>
    </row>
    <row r="1282">
      <c r="A1282" s="2" t="inlineStr">
        <is>
          <t>Plazo vencido</t>
        </is>
      </c>
      <c r="B1282" s="3" t="n">
        <v>46316.99930555555</v>
      </c>
      <c r="C1282" s="5" t="n">
        <v>63239.67</v>
      </c>
      <c r="D1282" s="5" t="n">
        <v>63239.67</v>
      </c>
      <c r="E1282" s="2" t="inlineStr">
        <is>
          <t>Andalucía</t>
        </is>
      </c>
      <c r="F1282" s="2" t="inlineStr">
        <is>
          <t>Granada</t>
        </is>
      </c>
      <c r="G1282" s="2" t="n"/>
      <c r="H1282" s="2" t="inlineStr">
        <is>
          <t>Junta de Gobierno Local del Ayuntamiento de la Villa de Otura</t>
        </is>
      </c>
      <c r="I1282" s="2" t="inlineStr">
        <is>
          <t>Contrato de obras para la remodelación de la Placeta del Tranco por procedimiento abierto simplificado y tramitación ordinaria.</t>
        </is>
      </c>
      <c r="J1282" s="2" t="inlineStr">
        <is>
          <t>3332/2026</t>
        </is>
      </c>
      <c r="K1282" s="2" t="inlineStr">
        <is>
          <t>Abierto simplificado</t>
        </is>
      </c>
      <c r="L1282" s="6" t="n">
        <v>3</v>
      </c>
      <c r="M1282" s="2" t="n"/>
      <c r="N1282" s="7" t="n">
        <v>0.25</v>
      </c>
      <c r="O1282" s="4" t="n"/>
      <c r="P1282" s="2" t="inlineStr">
        <is>
          <t>45220000</t>
        </is>
      </c>
      <c r="Q1282" s="8" t="inlineStr">
        <is>
          <t>Ver</t>
        </is>
      </c>
      <c r="R1282" s="8" t="inlineStr">
        <is>
          <t>PCAP</t>
        </is>
      </c>
      <c r="S1282" s="9" t="n">
        <v>46310</v>
      </c>
      <c r="T1282" s="3" t="n">
        <v>46309.38451388889</v>
      </c>
      <c r="U1282" s="2" t="n"/>
    </row>
    <row r="1283">
      <c r="A1283" s="2" t="inlineStr">
        <is>
          <t>Pendiente de adjudicación</t>
        </is>
      </c>
      <c r="B1283" s="3" t="n">
        <v>46302.99930555555</v>
      </c>
      <c r="C1283" s="5" t="n">
        <v>829212.0699999999</v>
      </c>
      <c r="D1283" s="5" t="n">
        <v>1077975.69</v>
      </c>
      <c r="E1283" s="2" t="inlineStr">
        <is>
          <t>Comunitat Valenciana</t>
        </is>
      </c>
      <c r="F1283" s="2" t="inlineStr">
        <is>
          <t>Valencia</t>
        </is>
      </c>
      <c r="G1283" s="2" t="n"/>
      <c r="H1283" s="2" t="inlineStr">
        <is>
          <t>Consorcio Hospital General Universitario de Valencia</t>
        </is>
      </c>
      <c r="I1283" s="2" t="inlineStr">
        <is>
          <t>Contrato administrativo de obras, responsable con el medio ambiente, para la ejecución de la obra de instalación de una enfriadora para el pabellón A, sector 1 del Consorcio Hospital General Universitario de Valencia.</t>
        </is>
      </c>
      <c r="J1283" s="2" t="inlineStr">
        <is>
          <t>CMAYOR/2026/HGUV0/1833</t>
        </is>
      </c>
      <c r="K1283" s="2" t="inlineStr">
        <is>
          <t>Abierto simplificado</t>
        </is>
      </c>
      <c r="L1283" s="6" t="n">
        <v>5.6</v>
      </c>
      <c r="M1283" s="2" t="n"/>
      <c r="N1283" s="7" t="n">
        <v>0.2</v>
      </c>
      <c r="O1283" s="4" t="n"/>
      <c r="P1283" s="2" t="inlineStr">
        <is>
          <t>45331230; 45330000; 42500000; 31141000; 42512300; 42512000; 45310000</t>
        </is>
      </c>
      <c r="Q1283" s="8" t="inlineStr">
        <is>
          <t>Ver</t>
        </is>
      </c>
      <c r="R1283" s="8" t="inlineStr">
        <is>
          <t>PCAP</t>
        </is>
      </c>
      <c r="S1283" s="9" t="n">
        <v>46310</v>
      </c>
      <c r="T1283" s="3" t="n">
        <v>46309.38325231482</v>
      </c>
      <c r="U1283" s="2" t="n"/>
    </row>
    <row r="1284">
      <c r="A1284" s="2" t="inlineStr">
        <is>
          <t>Pendiente de adjudicación</t>
        </is>
      </c>
      <c r="B1284" s="3" t="n">
        <v>46276.54166666666</v>
      </c>
      <c r="C1284" s="5" t="n">
        <v>730619.33</v>
      </c>
      <c r="D1284" s="5" t="n">
        <v>730619.33</v>
      </c>
      <c r="E1284" s="2" t="inlineStr">
        <is>
          <t>Andalucía</t>
        </is>
      </c>
      <c r="F1284" s="2" t="inlineStr">
        <is>
          <t>Jaén</t>
        </is>
      </c>
      <c r="G1284" s="2" t="n"/>
      <c r="H1284" s="2" t="inlineStr">
        <is>
          <t>Consejo de Administración de Sociedad Mercantil Estatal Aguas de las Cuencas de España, S.A. (ACUAES)</t>
        </is>
      </c>
      <c r="I1284" s="2" t="inlineStr">
        <is>
          <t>Ejecución de las obras del Proyecto de "Mejora del abastecimiento a Huelma (Jaén)"</t>
        </is>
      </c>
      <c r="J1284" s="2" t="inlineStr">
        <is>
          <t>ACE/318.81/26/OBRA/01</t>
        </is>
      </c>
      <c r="K1284" s="2" t="inlineStr">
        <is>
          <t>Abierto</t>
        </is>
      </c>
      <c r="L1284" s="6" t="n">
        <v>7</v>
      </c>
      <c r="M1284" s="2" t="inlineStr">
        <is>
          <t>E1-3</t>
        </is>
      </c>
      <c r="N1284" s="7" t="n">
        <v>0.45</v>
      </c>
      <c r="O1284" s="4" t="n"/>
      <c r="P1284" s="2" t="inlineStr">
        <is>
          <t>45240000</t>
        </is>
      </c>
      <c r="Q1284" s="8" t="inlineStr">
        <is>
          <t>Ver</t>
        </is>
      </c>
      <c r="R1284" s="8" t="inlineStr">
        <is>
          <t>PCAP</t>
        </is>
      </c>
      <c r="S1284" s="9" t="n">
        <v>46310</v>
      </c>
      <c r="T1284" s="3" t="n">
        <v>46309.3828587963</v>
      </c>
      <c r="U1284" s="2" t="n"/>
    </row>
    <row r="1285">
      <c r="A1285" s="2" t="inlineStr">
        <is>
          <t>Pendiente de adjudicación</t>
        </is>
      </c>
      <c r="B1285" s="3" t="n">
        <v>46308.41666666666</v>
      </c>
      <c r="C1285" s="5" t="n">
        <v>87292.85000000001</v>
      </c>
      <c r="D1285" s="5" t="n">
        <v>87292.85000000001</v>
      </c>
      <c r="E1285" s="2" t="inlineStr">
        <is>
          <t>Andalucía</t>
        </is>
      </c>
      <c r="F1285" s="2" t="inlineStr">
        <is>
          <t>Sevilla</t>
        </is>
      </c>
      <c r="G1285" s="2" t="inlineStr">
        <is>
          <t>Sevilla</t>
        </is>
      </c>
      <c r="H1285" s="2" t="inlineStr">
        <is>
          <t>Jefatura de la Sección Económico Administrativa 12 - Agrupación del Acuartelamiento Aéreo Tablada</t>
        </is>
      </c>
      <c r="I1285" s="2" t="inlineStr">
        <is>
          <t>Obra de adecuación de cubierta en el Edificio de la Asesoría Jurídica del ACAR Tablada</t>
        </is>
      </c>
      <c r="J1285" s="2" t="inlineStr">
        <is>
          <t>2026/EA12/00001225E</t>
        </is>
      </c>
      <c r="K1285" s="2" t="inlineStr">
        <is>
          <t>Abierto simplificado</t>
        </is>
      </c>
      <c r="L1285" s="6" t="n">
        <v>3</v>
      </c>
      <c r="M1285" s="2" t="n"/>
      <c r="N1285" s="7" t="n">
        <v>0</v>
      </c>
      <c r="O1285" s="4" t="n"/>
      <c r="P1285" s="2" t="inlineStr">
        <is>
          <t>45261220</t>
        </is>
      </c>
      <c r="Q1285" s="8" t="inlineStr">
        <is>
          <t>Ver</t>
        </is>
      </c>
      <c r="R1285" s="8" t="inlineStr">
        <is>
          <t>PCAP</t>
        </is>
      </c>
      <c r="S1285" s="9" t="n">
        <v>46310</v>
      </c>
      <c r="T1285" s="3" t="n">
        <v>46309.38267361111</v>
      </c>
      <c r="U1285" s="2" t="n"/>
    </row>
    <row r="1286">
      <c r="A1286" s="2" t="inlineStr">
        <is>
          <t>En plazo</t>
        </is>
      </c>
      <c r="B1286" s="3" t="n">
        <v>46337.99930555555</v>
      </c>
      <c r="C1286" s="5" t="n">
        <v>99173.55</v>
      </c>
      <c r="D1286" s="5" t="n">
        <v>99173.55</v>
      </c>
      <c r="E1286" s="2" t="inlineStr">
        <is>
          <t>Andalucía</t>
        </is>
      </c>
      <c r="F1286" s="2" t="inlineStr">
        <is>
          <t>Granada</t>
        </is>
      </c>
      <c r="G1286" s="2" t="n"/>
      <c r="H1286" s="2" t="inlineStr">
        <is>
          <t>Junta de Gobierno Local del Ayuntamiento de la Villa de Otura</t>
        </is>
      </c>
      <c r="I1286" s="2" t="inlineStr">
        <is>
          <t>Contrato de obras para la reparación de la cubierta del edificio del Ayuntamiento por procedimiento abierto simplificado y tramitación ordinaria financiado con la subvención de medidas urgentes a los daños causados por diversos fenómenos meteorológicos adversos de especial afectación en las comunidades autónomas de Andalucía y Extremadura. Real Decreto Ley 5/2026, de 17 de febrero.</t>
        </is>
      </c>
      <c r="J1286" s="2" t="inlineStr">
        <is>
          <t>3481/2026</t>
        </is>
      </c>
      <c r="K1286" s="2" t="inlineStr">
        <is>
          <t>Abierto simplificado</t>
        </is>
      </c>
      <c r="L1286" s="6" t="n">
        <v>3</v>
      </c>
      <c r="M1286" s="2" t="n"/>
      <c r="N1286" s="7" t="n">
        <v>0.25</v>
      </c>
      <c r="O1286" s="4" t="n"/>
      <c r="P1286" s="2" t="inlineStr">
        <is>
          <t>45220000</t>
        </is>
      </c>
      <c r="Q1286" s="8" t="inlineStr">
        <is>
          <t>Ver</t>
        </is>
      </c>
      <c r="R1286" s="8" t="inlineStr">
        <is>
          <t>PCAP</t>
        </is>
      </c>
      <c r="S1286" s="9" t="n">
        <v>46310</v>
      </c>
      <c r="T1286" s="3" t="n">
        <v>46309.38070601852</v>
      </c>
      <c r="U1286" s="2" t="n"/>
    </row>
    <row r="1287">
      <c r="A1287" s="2" t="inlineStr">
        <is>
          <t>Pendiente de adjudicación</t>
        </is>
      </c>
      <c r="B1287" s="3" t="n">
        <v>46232.99930555555</v>
      </c>
      <c r="C1287" s="5" t="n">
        <v>408925.62</v>
      </c>
      <c r="D1287" s="5" t="n">
        <v>408925.62</v>
      </c>
      <c r="E1287" s="2" t="inlineStr">
        <is>
          <t>Andalucía</t>
        </is>
      </c>
      <c r="F1287" s="2" t="inlineStr">
        <is>
          <t>Almería</t>
        </is>
      </c>
      <c r="G1287" s="2" t="n"/>
      <c r="H1287" s="2" t="inlineStr">
        <is>
          <t>Junta de Gobierno de la Diputación Provincial de Almería</t>
        </is>
      </c>
      <c r="I1287" s="2" t="inlineStr">
        <is>
          <t>Mejoras En El Abastecimiento Y Alcantarillado En Rioja 78PPOS24-27BI</t>
        </is>
      </c>
      <c r="J1287" s="2" t="inlineStr">
        <is>
          <t>2025/D31000/006-013/00136</t>
        </is>
      </c>
      <c r="K1287" s="2" t="inlineStr">
        <is>
          <t>Abierto simplificado</t>
        </is>
      </c>
      <c r="L1287" s="6" t="n">
        <v>8</v>
      </c>
      <c r="M1287" s="2" t="n"/>
      <c r="N1287" s="7" t="n">
        <v>0.25</v>
      </c>
      <c r="O1287" s="4" t="n"/>
      <c r="P1287" s="2" t="inlineStr">
        <is>
          <t>45231300</t>
        </is>
      </c>
      <c r="Q1287" s="8" t="inlineStr">
        <is>
          <t>Ver</t>
        </is>
      </c>
      <c r="R1287" s="8" t="inlineStr">
        <is>
          <t>PCAP</t>
        </is>
      </c>
      <c r="S1287" s="9" t="n">
        <v>46310</v>
      </c>
      <c r="T1287" s="3" t="n">
        <v>46309.38025462963</v>
      </c>
      <c r="U1287" s="2" t="n"/>
    </row>
    <row r="1288">
      <c r="A1288" s="2" t="inlineStr">
        <is>
          <t>Resuelta</t>
        </is>
      </c>
      <c r="B1288" s="3" t="n">
        <v>44207.99930555555</v>
      </c>
      <c r="C1288" s="5" t="n">
        <v>1829848.3</v>
      </c>
      <c r="D1288" s="5" t="n">
        <v>1829848.3</v>
      </c>
      <c r="E1288" s="2" t="inlineStr">
        <is>
          <t>Comunitat Valenciana</t>
        </is>
      </c>
      <c r="F1288" s="2" t="inlineStr">
        <is>
          <t>Valencia</t>
        </is>
      </c>
      <c r="G1288" s="2" t="n"/>
      <c r="H1288" s="2" t="inlineStr">
        <is>
          <t>Junta de Gobierno del Ajuntament de València</t>
        </is>
      </c>
      <c r="I1288" s="2" t="inlineStr">
        <is>
          <t>Obras de ejecución de alcantarillado en la zona del camino Tremolar, camino Alter y entorno carretera de La Font de Masiá, de Castellar, dividido en tres lotes.-</t>
        </is>
      </c>
      <c r="J1288" s="2" t="inlineStr">
        <is>
          <t>04101/2020/219-O</t>
        </is>
      </c>
      <c r="K1288" s="2" t="inlineStr">
        <is>
          <t>Abierto simplificado</t>
        </is>
      </c>
      <c r="L1288" s="6" t="n">
        <v>8</v>
      </c>
      <c r="M1288" s="2" t="n"/>
      <c r="N1288" s="7" t="n">
        <v>0</v>
      </c>
      <c r="O1288" s="4" t="n">
        <v>3</v>
      </c>
      <c r="P1288" s="2" t="inlineStr">
        <is>
          <t>45232400</t>
        </is>
      </c>
      <c r="Q1288" s="8" t="inlineStr">
        <is>
          <t>Ver</t>
        </is>
      </c>
      <c r="R1288" s="8" t="inlineStr">
        <is>
          <t>PCAP</t>
        </is>
      </c>
      <c r="S1288" s="9" t="n">
        <v>46310</v>
      </c>
      <c r="T1288" s="3" t="n">
        <v>46309.37738425926</v>
      </c>
      <c r="U1288" s="2" t="n"/>
    </row>
    <row r="1289">
      <c r="A1289" s="2" t="inlineStr">
        <is>
          <t>Resuelta</t>
        </is>
      </c>
      <c r="B1289" s="3" t="n">
        <v>46274.36111111111</v>
      </c>
      <c r="C1289" s="5" t="n">
        <v>778701.17</v>
      </c>
      <c r="D1289" s="5" t="n">
        <v>778701.17</v>
      </c>
      <c r="E1289" s="2" t="inlineStr">
        <is>
          <t>Andalucía</t>
        </is>
      </c>
      <c r="F1289" s="2" t="inlineStr">
        <is>
          <t>Jaén</t>
        </is>
      </c>
      <c r="G1289" s="2" t="n"/>
      <c r="H1289" s="2" t="inlineStr">
        <is>
          <t>Alcaldía del Ayuntamiento de Baños de la Encina</t>
        </is>
      </c>
      <c r="I1289" s="2" t="inlineStr">
        <is>
          <t>Actuación de emergencia para la consolidación estructuras en torres y lienzos del Castillo de Baños de la Encina, especificamente en los sectrores delimitados como L3-4/ T4/ L4-5/L7-8/T8/L8-9</t>
        </is>
      </c>
      <c r="J1289" s="2" t="inlineStr">
        <is>
          <t>1189/2026</t>
        </is>
      </c>
      <c r="K1289" s="2" t="inlineStr">
        <is>
          <t>Negociado sin publicidad</t>
        </is>
      </c>
      <c r="L1289" s="6" t="n">
        <v>12</v>
      </c>
      <c r="M1289" s="2" t="n"/>
      <c r="N1289" s="7" t="n"/>
      <c r="O1289" s="4" t="n"/>
      <c r="P1289" s="2" t="inlineStr">
        <is>
          <t>45212300; 45212350</t>
        </is>
      </c>
      <c r="Q1289" s="8" t="inlineStr">
        <is>
          <t>Ver</t>
        </is>
      </c>
      <c r="R1289" s="2" t="n"/>
      <c r="S1289" s="9" t="n">
        <v>46310</v>
      </c>
      <c r="T1289" s="3" t="n">
        <v>46309.37482638889</v>
      </c>
      <c r="U1289" s="2" t="n"/>
    </row>
    <row r="1290">
      <c r="A1290" s="2" t="inlineStr">
        <is>
          <t>Resuelta</t>
        </is>
      </c>
      <c r="B1290" s="3" t="n">
        <v>46122.99930555555</v>
      </c>
      <c r="C1290" s="5" t="n">
        <v>73744.50999999999</v>
      </c>
      <c r="D1290" s="5" t="n">
        <v>73744.50999999999</v>
      </c>
      <c r="E1290" s="2" t="inlineStr">
        <is>
          <t>Andalucía</t>
        </is>
      </c>
      <c r="F1290" s="2" t="inlineStr">
        <is>
          <t>Almería</t>
        </is>
      </c>
      <c r="G1290" s="2" t="inlineStr">
        <is>
          <t>turre</t>
        </is>
      </c>
      <c r="H1290" s="2" t="inlineStr">
        <is>
          <t>Presidencia de la Mancomunidad de municipios del Levante Almeriense</t>
        </is>
      </c>
      <c r="I1290" s="2" t="inlineStr">
        <is>
          <t>Ejecución de diques de infiltración en Turre. El objeto del presente proyecto constructivo es la definición y valoración de las obras realizadas para la construcción de diques para la infiltración o almacenamiento de agua de escorrentía superficial, así como los caminos de acceso a dichos diques durante el proceso constructivo.</t>
        </is>
      </c>
      <c r="J1290" s="2" t="inlineStr">
        <is>
          <t>46/2026</t>
        </is>
      </c>
      <c r="K1290" s="2" t="inlineStr">
        <is>
          <t>Negociado sin publicidad</t>
        </is>
      </c>
      <c r="L1290" s="6" t="n">
        <v>1.2</v>
      </c>
      <c r="M1290" s="2" t="n"/>
      <c r="N1290" s="7" t="n">
        <v>0</v>
      </c>
      <c r="O1290" s="4" t="n"/>
      <c r="P1290" s="2" t="inlineStr">
        <is>
          <t>45240000; 45248200; 45246000</t>
        </is>
      </c>
      <c r="Q1290" s="8" t="inlineStr">
        <is>
          <t>Ver</t>
        </is>
      </c>
      <c r="R1290" s="8" t="inlineStr">
        <is>
          <t>PCAP</t>
        </is>
      </c>
      <c r="S1290" s="9" t="n">
        <v>46310</v>
      </c>
      <c r="T1290" s="3" t="n">
        <v>46309.37210648148</v>
      </c>
      <c r="U1290" s="2" t="n"/>
    </row>
    <row r="1291">
      <c r="A1291" s="2" t="inlineStr">
        <is>
          <t>Pendiente de adjudicación</t>
        </is>
      </c>
      <c r="B1291" s="3" t="n">
        <v>46210.58333333334</v>
      </c>
      <c r="C1291" s="5" t="n">
        <v>516286.11</v>
      </c>
      <c r="D1291" s="5" t="n">
        <v>516286.11</v>
      </c>
      <c r="E1291" s="2" t="inlineStr">
        <is>
          <t>Comunitat Valenciana</t>
        </is>
      </c>
      <c r="F1291" s="2" t="inlineStr">
        <is>
          <t>Valencia</t>
        </is>
      </c>
      <c r="G1291" s="2" t="n"/>
      <c r="H1291" s="2" t="inlineStr">
        <is>
          <t>Junta de Gobierno del Ayuntamiento de El Puig de Santa María</t>
        </is>
      </c>
      <c r="I1291" s="2" t="inlineStr">
        <is>
          <t>Contrato de obra de reforma del CEIP Pare Jofre</t>
        </is>
      </c>
      <c r="J1291" s="2" t="inlineStr">
        <is>
          <t>2865889C</t>
        </is>
      </c>
      <c r="K1291" s="2" t="inlineStr">
        <is>
          <t>Abierto simplificado</t>
        </is>
      </c>
      <c r="L1291" s="6" t="n">
        <v>5</v>
      </c>
      <c r="M1291" s="2" t="n"/>
      <c r="N1291" s="7" t="n">
        <v>0</v>
      </c>
      <c r="O1291" s="4" t="n"/>
      <c r="P1291" s="2" t="inlineStr">
        <is>
          <t>45214200; 45310000; 45421160; 44620000</t>
        </is>
      </c>
      <c r="Q1291" s="8" t="inlineStr">
        <is>
          <t>Ver</t>
        </is>
      </c>
      <c r="R1291" s="8" t="inlineStr">
        <is>
          <t>PCAP</t>
        </is>
      </c>
      <c r="S1291" s="9" t="n">
        <v>46310</v>
      </c>
      <c r="T1291" s="3" t="n">
        <v>46309.36381944444</v>
      </c>
      <c r="U1291" s="2" t="n"/>
    </row>
    <row r="1292">
      <c r="A1292" s="2" t="inlineStr">
        <is>
          <t>Pendiente de adjudicación</t>
        </is>
      </c>
      <c r="B1292" s="3" t="n">
        <v>46293.99930555555</v>
      </c>
      <c r="C1292" s="5" t="n">
        <v>152179.91</v>
      </c>
      <c r="D1292" s="5" t="n">
        <v>152179.91</v>
      </c>
      <c r="E1292" s="2" t="inlineStr">
        <is>
          <t>Comunitat Valenciana</t>
        </is>
      </c>
      <c r="F1292" s="2" t="inlineStr">
        <is>
          <t>Alicante</t>
        </is>
      </c>
      <c r="G1292" s="2" t="inlineStr">
        <is>
          <t>Novelda</t>
        </is>
      </c>
      <c r="H1292" s="2" t="inlineStr">
        <is>
          <t>Junta de Gobierno del Ayuntamiento de Novelda</t>
        </is>
      </c>
      <c r="I1292" s="2" t="inlineStr">
        <is>
          <t>Rehabilitación y Adecuación de la Ermita Sant Felip como Sala Polivalente de Usos Culturales en el Municipio de Novelda</t>
        </is>
      </c>
      <c r="J1292" s="2" t="inlineStr">
        <is>
          <t>2026/3938H</t>
        </is>
      </c>
      <c r="K1292" s="2" t="inlineStr">
        <is>
          <t>Abierto simplificado</t>
        </is>
      </c>
      <c r="L1292" s="6" t="n">
        <v>5</v>
      </c>
      <c r="M1292" s="2" t="n"/>
      <c r="N1292" s="7" t="n">
        <v>0</v>
      </c>
      <c r="O1292" s="4" t="n"/>
      <c r="P1292" s="2" t="inlineStr">
        <is>
          <t>45212350</t>
        </is>
      </c>
      <c r="Q1292" s="8" t="inlineStr">
        <is>
          <t>Ver</t>
        </is>
      </c>
      <c r="R1292" s="8" t="inlineStr">
        <is>
          <t>PCAP</t>
        </is>
      </c>
      <c r="S1292" s="9" t="n">
        <v>46310</v>
      </c>
      <c r="T1292" s="3" t="n">
        <v>46309.35881944445</v>
      </c>
      <c r="U1292" s="2" t="n"/>
    </row>
    <row r="1293">
      <c r="A1293" s="2" t="inlineStr">
        <is>
          <t>Adjudicada</t>
        </is>
      </c>
      <c r="B1293" s="3" t="n">
        <v>46289.79166666666</v>
      </c>
      <c r="C1293" s="5" t="n">
        <v>62571.33</v>
      </c>
      <c r="D1293" s="5" t="n">
        <v>62571.33</v>
      </c>
      <c r="E1293" s="2" t="inlineStr">
        <is>
          <t>Andalucía</t>
        </is>
      </c>
      <c r="F1293" s="2" t="inlineStr">
        <is>
          <t>Córdoba</t>
        </is>
      </c>
      <c r="G1293" s="2" t="inlineStr">
        <is>
          <t>Monturque</t>
        </is>
      </c>
      <c r="H1293" s="2" t="inlineStr">
        <is>
          <t>Junta de Gobierno Local de Ayuntamiento de Monturque</t>
        </is>
      </c>
      <c r="I1293" s="2" t="inlineStr">
        <is>
          <t>Reparación daños por tormentas y vientos en Mercado Municipal de Monturque.</t>
        </is>
      </c>
      <c r="J1293" s="2" t="inlineStr">
        <is>
          <t>GEX 2026/2580</t>
        </is>
      </c>
      <c r="K1293" s="2" t="inlineStr">
        <is>
          <t>Abierto simplificado</t>
        </is>
      </c>
      <c r="L1293" s="6" t="n">
        <v>2</v>
      </c>
      <c r="M1293" s="2" t="n"/>
      <c r="N1293" s="7" t="n">
        <v>0</v>
      </c>
      <c r="O1293" s="4" t="n"/>
      <c r="P1293" s="2" t="inlineStr">
        <is>
          <t>45261420; 45262500; 45261910</t>
        </is>
      </c>
      <c r="Q1293" s="8" t="inlineStr">
        <is>
          <t>Ver</t>
        </is>
      </c>
      <c r="R1293" s="8" t="inlineStr">
        <is>
          <t>PCAP</t>
        </is>
      </c>
      <c r="S1293" s="9" t="n">
        <v>46310</v>
      </c>
      <c r="T1293" s="3" t="n">
        <v>46309.34650462963</v>
      </c>
      <c r="U1293" s="2" t="n"/>
    </row>
    <row r="1294">
      <c r="A1294" s="2" t="inlineStr">
        <is>
          <t>Resuelta</t>
        </is>
      </c>
      <c r="B1294" s="3" t="n">
        <v>46274.58333333334</v>
      </c>
      <c r="C1294" s="5" t="n">
        <v>142620.74</v>
      </c>
      <c r="D1294" s="5" t="n">
        <v>142620.74</v>
      </c>
      <c r="E1294" s="2" t="inlineStr">
        <is>
          <t>Comunitat Valenciana</t>
        </is>
      </c>
      <c r="F1294" s="2" t="inlineStr">
        <is>
          <t>Valencia</t>
        </is>
      </c>
      <c r="G1294" s="2" t="inlineStr">
        <is>
          <t>ALFAFAR</t>
        </is>
      </c>
      <c r="H1294" s="2" t="inlineStr">
        <is>
          <t>Alcaldía del Ayuntamiento de Alfafar</t>
        </is>
      </c>
      <c r="I1294" s="2" t="inlineStr">
        <is>
          <t>Obra Reconstruccion Centro Andaluz Barrio Orba Alfafar Ayuda Estatal Orden Minisiterial TMD 101 20256 DANA 29 octubre 2024</t>
        </is>
      </c>
      <c r="J1294" s="2" t="inlineStr">
        <is>
          <t>5876-2026</t>
        </is>
      </c>
      <c r="K1294" s="2" t="inlineStr">
        <is>
          <t>Abierto</t>
        </is>
      </c>
      <c r="L1294" s="6" t="n">
        <v>5</v>
      </c>
      <c r="M1294" s="2" t="n"/>
      <c r="N1294" s="7" t="n">
        <v>0</v>
      </c>
      <c r="O1294" s="4" t="n"/>
      <c r="P1294" s="2" t="inlineStr">
        <is>
          <t>45000000; 45210000</t>
        </is>
      </c>
      <c r="Q1294" s="8" t="inlineStr">
        <is>
          <t>Ver</t>
        </is>
      </c>
      <c r="R1294" s="8" t="inlineStr">
        <is>
          <t>PCAP</t>
        </is>
      </c>
      <c r="S1294" s="9" t="n">
        <v>46310</v>
      </c>
      <c r="T1294" s="3" t="n">
        <v>46309.34042824074</v>
      </c>
      <c r="U1294" s="2" t="n"/>
    </row>
    <row r="1295">
      <c r="A1295" s="2" t="inlineStr">
        <is>
          <t>Adjudicada</t>
        </is>
      </c>
      <c r="B1295" s="3" t="n">
        <v>46276.625</v>
      </c>
      <c r="C1295" s="5" t="n">
        <v>41314.03</v>
      </c>
      <c r="D1295" s="5" t="n">
        <v>41314.03</v>
      </c>
      <c r="E1295" s="2" t="inlineStr">
        <is>
          <t>Andalucía</t>
        </is>
      </c>
      <c r="F1295" s="2" t="inlineStr">
        <is>
          <t>Cádiz</t>
        </is>
      </c>
      <c r="G1295" s="2" t="inlineStr">
        <is>
          <t>TARIFA</t>
        </is>
      </c>
      <c r="H1295" s="2" t="inlineStr">
        <is>
          <t>Alcaldía del Ayuntamiento de Tarifa</t>
        </is>
      </c>
      <c r="I1295" s="2" t="inlineStr">
        <is>
          <t>reparación y acondicionamiento de las pistas exteriores en el pabellón municipal de La Raqueta de Tarifa</t>
        </is>
      </c>
      <c r="J1295" s="2" t="inlineStr">
        <is>
          <t>2026/4084</t>
        </is>
      </c>
      <c r="K1295" s="2" t="inlineStr">
        <is>
          <t>Abierto simplificado</t>
        </is>
      </c>
      <c r="L1295" s="6" t="n">
        <v>0.7</v>
      </c>
      <c r="M1295" s="2" t="n"/>
      <c r="N1295" s="7" t="n">
        <v>0</v>
      </c>
      <c r="O1295" s="4" t="n"/>
      <c r="P1295" s="2" t="inlineStr">
        <is>
          <t>45212200; 45236112; 45236119</t>
        </is>
      </c>
      <c r="Q1295" s="8" t="inlineStr">
        <is>
          <t>Ver</t>
        </is>
      </c>
      <c r="R1295" s="8" t="inlineStr">
        <is>
          <t>PCAP</t>
        </is>
      </c>
      <c r="S1295" s="9" t="n">
        <v>46310</v>
      </c>
      <c r="T1295" s="3" t="n">
        <v>46309.34001157407</v>
      </c>
      <c r="U1295" s="2" t="n"/>
    </row>
    <row r="1296">
      <c r="A1296" s="2" t="inlineStr">
        <is>
          <t>Resuelta</t>
        </is>
      </c>
      <c r="B1296" s="3" t="n">
        <v>46195.99930555555</v>
      </c>
      <c r="C1296" s="5" t="n">
        <v>4173471.5</v>
      </c>
      <c r="D1296" s="5" t="n">
        <v>4590818.65</v>
      </c>
      <c r="E1296" s="2" t="inlineStr">
        <is>
          <t>Comunitat Valenciana</t>
        </is>
      </c>
      <c r="F1296" s="2" t="inlineStr">
        <is>
          <t>Castellón</t>
        </is>
      </c>
      <c r="G1296" s="2" t="inlineStr">
        <is>
          <t>La Vall d'Uixó</t>
        </is>
      </c>
      <c r="H1296" s="2" t="inlineStr">
        <is>
          <t>Junta de Gobierno del Ayuntamiento de La Vall d'Uixó</t>
        </is>
      </c>
      <c r="I1296" s="2" t="inlineStr">
        <is>
          <t>Finalización de las obras de rehabilitación de la Casa Consistorial ( PIREP).</t>
        </is>
      </c>
      <c r="J1296" s="2" t="inlineStr">
        <is>
          <t>JGL-OBR/2026000029</t>
        </is>
      </c>
      <c r="K1296" s="2" t="inlineStr">
        <is>
          <t>Abierto</t>
        </is>
      </c>
      <c r="L1296" s="6" t="n">
        <v>15</v>
      </c>
      <c r="M1296" s="2" t="inlineStr">
        <is>
          <t>C*-5</t>
        </is>
      </c>
      <c r="N1296" s="7" t="n">
        <v>0.45</v>
      </c>
      <c r="O1296" s="4" t="n"/>
      <c r="P1296" s="2" t="inlineStr">
        <is>
          <t>45000000; 45200000; 45210000</t>
        </is>
      </c>
      <c r="Q1296" s="8" t="inlineStr">
        <is>
          <t>Ver</t>
        </is>
      </c>
      <c r="R1296" s="8" t="inlineStr">
        <is>
          <t>PCAP</t>
        </is>
      </c>
      <c r="S1296" s="9" t="n">
        <v>46310</v>
      </c>
      <c r="T1296" s="3" t="n">
        <v>46309.33888888889</v>
      </c>
      <c r="U1296" s="2" t="n"/>
    </row>
    <row r="1297">
      <c r="A1297" s="2" t="inlineStr">
        <is>
          <t>En plazo</t>
        </is>
      </c>
      <c r="B1297" s="3" t="n">
        <v>46324.58333333334</v>
      </c>
      <c r="C1297" s="5" t="n">
        <v>165289.26</v>
      </c>
      <c r="D1297" s="5" t="n">
        <v>165289.26</v>
      </c>
      <c r="E1297" s="2" t="inlineStr">
        <is>
          <t>Andalucía</t>
        </is>
      </c>
      <c r="F1297" s="2" t="inlineStr">
        <is>
          <t>Jaén</t>
        </is>
      </c>
      <c r="G1297" s="2" t="inlineStr">
        <is>
          <t>Andújar</t>
        </is>
      </c>
      <c r="H1297" s="2" t="inlineStr">
        <is>
          <t>Alcaldía del Ayuntamiento de Andújar</t>
        </is>
      </c>
      <c r="I1297" s="2" t="inlineStr">
        <is>
          <t>Obras de renovación del césped natural Estadio Sebastián García Laguna</t>
        </is>
      </c>
      <c r="J1297" s="2" t="inlineStr">
        <is>
          <t>55/2026</t>
        </is>
      </c>
      <c r="K1297" s="2" t="inlineStr">
        <is>
          <t>Abierto</t>
        </is>
      </c>
      <c r="L1297" s="6" t="n">
        <v>2</v>
      </c>
      <c r="M1297" s="2" t="inlineStr">
        <is>
          <t>K6-2</t>
        </is>
      </c>
      <c r="N1297" s="7" t="n">
        <v>0</v>
      </c>
      <c r="O1297" s="4" t="n"/>
      <c r="P1297" s="2" t="inlineStr">
        <is>
          <t>45236119</t>
        </is>
      </c>
      <c r="Q1297" s="8" t="inlineStr">
        <is>
          <t>Ver</t>
        </is>
      </c>
      <c r="R1297" s="8" t="inlineStr">
        <is>
          <t>PCAP</t>
        </is>
      </c>
      <c r="S1297" s="9" t="n">
        <v>46310</v>
      </c>
      <c r="T1297" s="3" t="n">
        <v>46309.33865740741</v>
      </c>
      <c r="U1297" s="2" t="n"/>
    </row>
    <row r="1298">
      <c r="A1298" s="2" t="inlineStr">
        <is>
          <t>Pendiente de adjudicación</t>
        </is>
      </c>
      <c r="B1298" s="3" t="n">
        <v>46199.54166666666</v>
      </c>
      <c r="C1298" s="5" t="n">
        <v>17861881.6</v>
      </c>
      <c r="D1298" s="5" t="n">
        <v>20264351.38</v>
      </c>
      <c r="E1298" s="2" t="inlineStr">
        <is>
          <t>Andalucía</t>
        </is>
      </c>
      <c r="F1298" s="2" t="inlineStr">
        <is>
          <t>Málaga</t>
        </is>
      </c>
      <c r="G1298" s="2" t="n"/>
      <c r="H1298" s="2" t="inlineStr">
        <is>
          <t>ADIF -Consejo de Administración</t>
        </is>
      </c>
      <c r="I1298" s="2" t="inlineStr">
        <is>
          <t>Ejecución de las obras del proyecto constructivo para la renovación de vía, actuaciones puntuales en infraestructura y adaptación de gálibo de pasos superiores del tramo Bobadilla – Ronda, pk 20+000 a pk 26+500 de la línea Bobadilla - Algeciras.</t>
        </is>
      </c>
      <c r="J1298" s="2" t="inlineStr">
        <is>
          <t>3.25/27507.0263</t>
        </is>
      </c>
      <c r="K1298" s="2" t="inlineStr">
        <is>
          <t>Abierto</t>
        </is>
      </c>
      <c r="L1298" s="6" t="n">
        <v>13</v>
      </c>
      <c r="M1298" s="2" t="inlineStr">
        <is>
          <t>D1-6; B2-6</t>
        </is>
      </c>
      <c r="N1298" s="7" t="n">
        <v>0.49</v>
      </c>
      <c r="O1298" s="4" t="n"/>
      <c r="P1298" s="2" t="inlineStr">
        <is>
          <t>45234100</t>
        </is>
      </c>
      <c r="Q1298" s="8" t="inlineStr">
        <is>
          <t>Ver</t>
        </is>
      </c>
      <c r="R1298" s="8" t="inlineStr">
        <is>
          <t>PCAP</t>
        </is>
      </c>
      <c r="S1298" s="9" t="n">
        <v>46310</v>
      </c>
      <c r="T1298" s="3" t="n">
        <v>46309.33711805556</v>
      </c>
      <c r="U1298" s="2" t="n"/>
    </row>
    <row r="1299">
      <c r="A1299" s="2" t="inlineStr">
        <is>
          <t>Resuelta</t>
        </is>
      </c>
      <c r="B1299" s="3" t="n">
        <v>46281.99930555555</v>
      </c>
      <c r="C1299" s="5" t="n">
        <v>16942.15</v>
      </c>
      <c r="D1299" s="5" t="n">
        <v>16942.15</v>
      </c>
      <c r="E1299" s="2" t="inlineStr">
        <is>
          <t>Comunitat Valenciana</t>
        </is>
      </c>
      <c r="F1299" s="2" t="inlineStr">
        <is>
          <t>Alicante</t>
        </is>
      </c>
      <c r="G1299" s="2" t="n"/>
      <c r="H1299" s="2" t="inlineStr">
        <is>
          <t>Presidencia de la Diputación Provincial de Alicante</t>
        </is>
      </c>
      <c r="I1299" s="2" t="inlineStr">
        <is>
          <t>Obras de restauración de zona degradada por vertido incontrolado de residuos en Partida de La Era, TM de Relleu (Alicante)</t>
        </is>
      </c>
      <c r="J1299" s="2" t="inlineStr">
        <is>
          <t>O4SS-167/2026</t>
        </is>
      </c>
      <c r="K1299" s="2" t="inlineStr">
        <is>
          <t>Abierto simplificado</t>
        </is>
      </c>
      <c r="L1299" s="6" t="n">
        <v>1</v>
      </c>
      <c r="M1299" s="2" t="n"/>
      <c r="N1299" s="7" t="n">
        <v>0</v>
      </c>
      <c r="O1299" s="4" t="n"/>
      <c r="P1299" s="2" t="inlineStr">
        <is>
          <t>45111213</t>
        </is>
      </c>
      <c r="Q1299" s="8" t="inlineStr">
        <is>
          <t>Ver</t>
        </is>
      </c>
      <c r="R1299" s="8" t="inlineStr">
        <is>
          <t>PCAP</t>
        </is>
      </c>
      <c r="S1299" s="9" t="n">
        <v>46310</v>
      </c>
      <c r="T1299" s="3" t="n">
        <v>46309.32167824074</v>
      </c>
      <c r="U1299" s="2" t="n"/>
    </row>
    <row r="1300">
      <c r="A1300" s="2" t="inlineStr">
        <is>
          <t>Adjudicada</t>
        </is>
      </c>
      <c r="B1300" s="3" t="n">
        <v>46008.58333333334</v>
      </c>
      <c r="C1300" s="5" t="n">
        <v>2997999.17</v>
      </c>
      <c r="D1300" s="5" t="n">
        <v>2997999.17</v>
      </c>
      <c r="E1300" s="2" t="inlineStr">
        <is>
          <t>Comunitat Valenciana</t>
        </is>
      </c>
      <c r="F1300" s="2" t="inlineStr">
        <is>
          <t>Valencia</t>
        </is>
      </c>
      <c r="G1300" s="2" t="n"/>
      <c r="H1300" s="2" t="inlineStr">
        <is>
          <t>Empresa de Transformación Agraria S.A.,S.M.E., M.P., (TRAGSA)</t>
        </is>
      </c>
      <c r="I1300" s="2" t="inlineStr">
        <is>
          <t>Ejecución de obras de “mamposteria en seco y acondicionamiento de parcelas agrícolas en municipios del Camp de l´Horta Sud”.</t>
        </is>
      </c>
      <c r="J1300" s="2" t="inlineStr">
        <is>
          <t>TSA0082167</t>
        </is>
      </c>
      <c r="K1300" s="2" t="inlineStr">
        <is>
          <t>Abierto simplificado</t>
        </is>
      </c>
      <c r="L1300" s="6" t="n">
        <v>7</v>
      </c>
      <c r="M1300" s="2" t="n"/>
      <c r="N1300" s="7" t="n">
        <v>0</v>
      </c>
      <c r="O1300" s="4" t="n">
        <v>7</v>
      </c>
      <c r="P1300" s="2" t="inlineStr">
        <is>
          <t>45262520</t>
        </is>
      </c>
      <c r="Q1300" s="8" t="inlineStr">
        <is>
          <t>Ver</t>
        </is>
      </c>
      <c r="R1300" s="8" t="inlineStr">
        <is>
          <t>PCAP</t>
        </is>
      </c>
      <c r="S1300" s="9" t="n">
        <v>46310</v>
      </c>
      <c r="T1300" s="3" t="n">
        <v>46309.31570601852</v>
      </c>
      <c r="U1300" s="2" t="n"/>
    </row>
    <row r="1301">
      <c r="A1301" s="2" t="inlineStr">
        <is>
          <t>Resuelta</t>
        </is>
      </c>
      <c r="B1301" s="3" t="n"/>
      <c r="C1301" s="5" t="n">
        <v>497088.43</v>
      </c>
      <c r="D1301" s="5" t="n">
        <v>497088.43</v>
      </c>
      <c r="E1301" s="2" t="inlineStr">
        <is>
          <t>Andalucía</t>
        </is>
      </c>
      <c r="F1301" s="2" t="inlineStr">
        <is>
          <t>Málaga</t>
        </is>
      </c>
      <c r="G1301" s="2" t="n"/>
      <c r="H1301" s="2" t="inlineStr">
        <is>
          <t>ADIF -Consejo de Administración</t>
        </is>
      </c>
      <c r="I1301" s="2" t="inlineStr">
        <is>
          <t>Actuación de mejora de las instalaciones de electrificación (AMIE): Redacción de proyecto y ejecución de obra para la ampliación de salidas de feeder y mejora del equipamiento de la subestación de tracción del chorro.</t>
        </is>
      </c>
      <c r="J1301" s="2" t="inlineStr">
        <is>
          <t>3.26/27532.0011</t>
        </is>
      </c>
      <c r="K1301" s="2" t="inlineStr">
        <is>
          <t>Derivado de acuerdo marco</t>
        </is>
      </c>
      <c r="L1301" s="6" t="n">
        <v>16</v>
      </c>
      <c r="M1301" s="2" t="n"/>
      <c r="N1301" s="7" t="n"/>
      <c r="O1301" s="4" t="n"/>
      <c r="P1301" s="2" t="inlineStr">
        <is>
          <t>45234170</t>
        </is>
      </c>
      <c r="Q1301" s="8" t="inlineStr">
        <is>
          <t>Ver</t>
        </is>
      </c>
      <c r="R1301" s="2" t="n"/>
      <c r="S1301" s="9" t="n">
        <v>46310</v>
      </c>
      <c r="T1301" s="3" t="n">
        <v>46308.87667824074</v>
      </c>
      <c r="U1301" s="2" t="n"/>
    </row>
    <row r="1302">
      <c r="A1302" s="2" t="inlineStr">
        <is>
          <t>Pendiente de adjudicación</t>
        </is>
      </c>
      <c r="B1302" s="3" t="n">
        <v>46302.58333333334</v>
      </c>
      <c r="C1302" s="5" t="n">
        <v>61252.06</v>
      </c>
      <c r="D1302" s="5" t="n">
        <v>61252.06</v>
      </c>
      <c r="E1302" s="2" t="inlineStr">
        <is>
          <t>Andalucía</t>
        </is>
      </c>
      <c r="F1302" s="2" t="inlineStr">
        <is>
          <t>Granada</t>
        </is>
      </c>
      <c r="G1302" s="2" t="inlineStr">
        <is>
          <t>Pulianas</t>
        </is>
      </c>
      <c r="H1302" s="2" t="inlineStr">
        <is>
          <t>Junta de Gobierno Local del Ayuntamiento de Pulianas</t>
        </is>
      </c>
      <c r="I1302" s="2" t="inlineStr">
        <is>
          <t>OP 2026/03 Remodelación Calle Juan Ramón Jiménez desde Avenida de Andalucía a Calle Isaac Albéniz</t>
        </is>
      </c>
      <c r="J1302" s="2" t="inlineStr">
        <is>
          <t>1642/2026</t>
        </is>
      </c>
      <c r="K1302" s="2" t="inlineStr">
        <is>
          <t>Abierto simplificado</t>
        </is>
      </c>
      <c r="L1302" s="6" t="n">
        <v>4</v>
      </c>
      <c r="M1302" s="2" t="n"/>
      <c r="N1302" s="7" t="n">
        <v>0.25</v>
      </c>
      <c r="O1302" s="4" t="n"/>
      <c r="P1302" s="2" t="inlineStr">
        <is>
          <t>45211360</t>
        </is>
      </c>
      <c r="Q1302" s="8" t="inlineStr">
        <is>
          <t>Ver</t>
        </is>
      </c>
      <c r="R1302" s="8" t="inlineStr">
        <is>
          <t>PCAP</t>
        </is>
      </c>
      <c r="S1302" s="9" t="n">
        <v>46310</v>
      </c>
      <c r="T1302" s="3" t="n">
        <v>46308.83336805556</v>
      </c>
      <c r="U1302" s="2" t="n"/>
    </row>
    <row r="1303">
      <c r="A1303" s="2" t="inlineStr">
        <is>
          <t>Resuelta</t>
        </is>
      </c>
      <c r="B1303" s="3" t="n">
        <v>46209.99930555555</v>
      </c>
      <c r="C1303" s="5" t="n">
        <v>50360.3</v>
      </c>
      <c r="D1303" s="5" t="n">
        <v>50360.3</v>
      </c>
      <c r="E1303" s="2" t="inlineStr">
        <is>
          <t>Comunitat Valenciana</t>
        </is>
      </c>
      <c r="F1303" s="2" t="inlineStr">
        <is>
          <t>Valencia</t>
        </is>
      </c>
      <c r="G1303" s="2" t="n"/>
      <c r="H1303" s="2" t="inlineStr">
        <is>
          <t>Junta de Gobierno del Ayuntamiento de Picanya</t>
        </is>
      </c>
      <c r="I1303" s="2" t="inlineStr">
        <is>
          <t>Contrato de obras de rehabilitación de vivienda municipal en calle Ramón y Cajal número 8 puerta 4 de Picanya (Valencia)</t>
        </is>
      </c>
      <c r="J1303" s="2" t="inlineStr">
        <is>
          <t>2759157N</t>
        </is>
      </c>
      <c r="K1303" s="2" t="inlineStr">
        <is>
          <t>Abierto simplificado</t>
        </is>
      </c>
      <c r="L1303" s="6" t="n">
        <v>5</v>
      </c>
      <c r="M1303" s="2" t="n"/>
      <c r="N1303" s="7" t="n">
        <v>0.25</v>
      </c>
      <c r="O1303" s="4" t="n"/>
      <c r="P1303" s="2" t="inlineStr">
        <is>
          <t>45211100; 45300000; 45400000; 45262520; 45261900; 45430000</t>
        </is>
      </c>
      <c r="Q1303" s="8" t="inlineStr">
        <is>
          <t>Ver</t>
        </is>
      </c>
      <c r="R1303" s="8" t="inlineStr">
        <is>
          <t>PCAP</t>
        </is>
      </c>
      <c r="S1303" s="9" t="n">
        <v>46310</v>
      </c>
      <c r="T1303" s="3" t="n">
        <v>46308.78891203704</v>
      </c>
      <c r="U1303" s="2" t="n"/>
    </row>
    <row r="1304">
      <c r="A1304" s="2" t="inlineStr">
        <is>
          <t>Plazo vencido</t>
        </is>
      </c>
      <c r="B1304" s="3" t="n">
        <v>46316.99930555555</v>
      </c>
      <c r="C1304" s="5" t="n">
        <v>132283.97</v>
      </c>
      <c r="D1304" s="5" t="n">
        <v>132283.97</v>
      </c>
      <c r="E1304" s="2" t="inlineStr">
        <is>
          <t>Comunitat Valenciana</t>
        </is>
      </c>
      <c r="F1304" s="2" t="inlineStr">
        <is>
          <t>Valencia</t>
        </is>
      </c>
      <c r="G1304" s="2" t="inlineStr">
        <is>
          <t>Castelló de Rugat</t>
        </is>
      </c>
      <c r="H1304" s="2" t="inlineStr">
        <is>
          <t>Junta de Gobierno Local del Ayuntamiento de Castelló de Rugat</t>
        </is>
      </c>
      <c r="I1304" s="2" t="inlineStr">
        <is>
          <t>Mejora, modernización y dotación de infraestructuras en el Polígono Industrial Eixample El Molí de Castelló de Rugat</t>
        </is>
      </c>
      <c r="J1304" s="2" t="inlineStr">
        <is>
          <t>874/2026</t>
        </is>
      </c>
      <c r="K1304" s="2" t="inlineStr">
        <is>
          <t>Abierto simplificado</t>
        </is>
      </c>
      <c r="L1304" s="6" t="n">
        <v>3</v>
      </c>
      <c r="M1304" s="2" t="n"/>
      <c r="N1304" s="7" t="n">
        <v>0</v>
      </c>
      <c r="O1304" s="4" t="n"/>
      <c r="P1304" s="2" t="inlineStr">
        <is>
          <t>45316100; 34928500; 32323500; 45316200; 45310000</t>
        </is>
      </c>
      <c r="Q1304" s="8" t="inlineStr">
        <is>
          <t>Ver</t>
        </is>
      </c>
      <c r="R1304" s="8" t="inlineStr">
        <is>
          <t>PCAP</t>
        </is>
      </c>
      <c r="S1304" s="9" t="n">
        <v>46310</v>
      </c>
      <c r="T1304" s="3" t="n">
        <v>46308.7687962963</v>
      </c>
      <c r="U1304" s="2" t="n"/>
    </row>
    <row r="1305">
      <c r="A1305" s="2" t="inlineStr">
        <is>
          <t>Plazo vencido</t>
        </is>
      </c>
      <c r="B1305" s="3" t="n">
        <v>46312.99930555555</v>
      </c>
      <c r="C1305" s="5" t="n">
        <v>364806.4</v>
      </c>
      <c r="D1305" s="5" t="n">
        <v>364806.4</v>
      </c>
      <c r="E1305" s="2" t="inlineStr">
        <is>
          <t>Comunitat Valenciana</t>
        </is>
      </c>
      <c r="F1305" s="2" t="inlineStr">
        <is>
          <t>Castellón</t>
        </is>
      </c>
      <c r="G1305" s="2" t="n"/>
      <c r="H1305" s="2" t="inlineStr">
        <is>
          <t>Pleno del Ayuntamiento de La Pobla de Benifassà</t>
        </is>
      </c>
      <c r="I1305" s="2" t="inlineStr">
        <is>
          <t>Reforma, rehabilitación y ampliación de la casa consistorial</t>
        </is>
      </c>
      <c r="J1305" s="2" t="inlineStr">
        <is>
          <t>275/2026</t>
        </is>
      </c>
      <c r="K1305" s="2" t="inlineStr">
        <is>
          <t>Abierto simplificado</t>
        </is>
      </c>
      <c r="L1305" s="6" t="n"/>
      <c r="M1305" s="2" t="n"/>
      <c r="N1305" s="7" t="n">
        <v>0</v>
      </c>
      <c r="O1305" s="4" t="n"/>
      <c r="P1305" s="2" t="inlineStr">
        <is>
          <t>45000000</t>
        </is>
      </c>
      <c r="Q1305" s="8" t="inlineStr">
        <is>
          <t>Ver</t>
        </is>
      </c>
      <c r="R1305" s="8" t="inlineStr">
        <is>
          <t>PCAP</t>
        </is>
      </c>
      <c r="S1305" s="9" t="n">
        <v>46310</v>
      </c>
      <c r="T1305" s="3" t="n">
        <v>46308.73020833333</v>
      </c>
      <c r="U1305" s="2" t="n"/>
    </row>
    <row r="1306">
      <c r="A1306" s="2" t="inlineStr">
        <is>
          <t>En plazo</t>
        </is>
      </c>
      <c r="B1306" s="3" t="n">
        <v>46321.99930555555</v>
      </c>
      <c r="C1306" s="5" t="n">
        <v>153270.2</v>
      </c>
      <c r="D1306" s="5" t="n">
        <v>153270.2</v>
      </c>
      <c r="E1306" s="2" t="inlineStr">
        <is>
          <t>Andalucía</t>
        </is>
      </c>
      <c r="F1306" s="2" t="inlineStr">
        <is>
          <t>Huelva</t>
        </is>
      </c>
      <c r="G1306" s="2" t="n"/>
      <c r="H1306" s="2" t="inlineStr">
        <is>
          <t>Junta de Gobierno del Ayuntamiento de Lepe</t>
        </is>
      </c>
      <c r="I1306" s="2" t="inlineStr">
        <is>
          <t>Contratación de varias obras de reparación de firme asfáltico "TU DIPUTACIÓN ACTÚA", en el término municipal de Lepe (Huelva)", conforme al Proyecto de Reposición de firme asfáltico en varias calles del núcleo urbano de Lepe, aprobado el 8 de junio de 2026 por la Junta de Gobierno Local, y elaborado por los servicios técnicos municipales</t>
        </is>
      </c>
      <c r="J1306" s="2" t="inlineStr">
        <is>
          <t>10507/2026</t>
        </is>
      </c>
      <c r="K1306" s="2" t="inlineStr">
        <is>
          <t>Abierto simplificado</t>
        </is>
      </c>
      <c r="L1306" s="6" t="n">
        <v>2</v>
      </c>
      <c r="M1306" s="2" t="n"/>
      <c r="N1306" s="7" t="n">
        <v>0</v>
      </c>
      <c r="O1306" s="4" t="n"/>
      <c r="P1306" s="2" t="inlineStr">
        <is>
          <t>45233222; 45233223; 45233221</t>
        </is>
      </c>
      <c r="Q1306" s="8" t="inlineStr">
        <is>
          <t>Ver</t>
        </is>
      </c>
      <c r="R1306" s="8" t="inlineStr">
        <is>
          <t>PCAP</t>
        </is>
      </c>
      <c r="S1306" s="9" t="n">
        <v>46310</v>
      </c>
      <c r="T1306" s="3" t="n">
        <v>46308.72945601852</v>
      </c>
      <c r="U1306" s="2" t="n"/>
    </row>
    <row r="1307">
      <c r="A1307" s="2" t="inlineStr">
        <is>
          <t>Pendiente de adjudicación</t>
        </is>
      </c>
      <c r="B1307" s="3" t="n">
        <v>46272.54166666666</v>
      </c>
      <c r="C1307" s="5" t="n">
        <v>686609.66</v>
      </c>
      <c r="D1307" s="5" t="n">
        <v>755270.63</v>
      </c>
      <c r="E1307" s="2" t="inlineStr">
        <is>
          <t>Comunitat Valenciana</t>
        </is>
      </c>
      <c r="F1307" s="2" t="inlineStr">
        <is>
          <t>Valencia</t>
        </is>
      </c>
      <c r="G1307" s="2" t="n"/>
      <c r="H1307" s="2" t="inlineStr">
        <is>
          <t>Presidencia de la Diputación Provincial de Valencia</t>
        </is>
      </c>
      <c r="I1307" s="2" t="inlineStr">
        <is>
          <t>Ac-629MS/O. Reaprovechamiento de la carretera CV-611A para creación de una vía ciclo peatonal entre los municipios de Benigànim y La Pobla del Duc.</t>
        </is>
      </c>
      <c r="J1307" s="2" t="inlineStr">
        <is>
          <t>3481/25/CAR</t>
        </is>
      </c>
      <c r="K1307" s="2" t="inlineStr">
        <is>
          <t>Abierto</t>
        </is>
      </c>
      <c r="L1307" s="6" t="n">
        <v>4</v>
      </c>
      <c r="M1307" s="2" t="inlineStr">
        <is>
          <t>G6-3</t>
        </is>
      </c>
      <c r="N1307" s="7" t="n">
        <v>0.28</v>
      </c>
      <c r="O1307" s="4" t="n"/>
      <c r="P1307" s="2" t="inlineStr">
        <is>
          <t>45233162</t>
        </is>
      </c>
      <c r="Q1307" s="8" t="inlineStr">
        <is>
          <t>Ver</t>
        </is>
      </c>
      <c r="R1307" s="8" t="inlineStr">
        <is>
          <t>PCAP</t>
        </is>
      </c>
      <c r="S1307" s="9" t="n">
        <v>46310</v>
      </c>
      <c r="T1307" s="3" t="n">
        <v>46308.70901620371</v>
      </c>
      <c r="U1307" s="2" t="n"/>
    </row>
    <row r="1308">
      <c r="A1308" s="2" t="inlineStr">
        <is>
          <t>Pendiente de adjudicación</t>
        </is>
      </c>
      <c r="B1308" s="3" t="n">
        <v>46297.45833333334</v>
      </c>
      <c r="C1308" s="5" t="n">
        <v>430848.84</v>
      </c>
      <c r="D1308" s="5" t="n">
        <v>430848.84</v>
      </c>
      <c r="E1308" s="2" t="inlineStr">
        <is>
          <t>Andalucía</t>
        </is>
      </c>
      <c r="F1308" s="2" t="inlineStr">
        <is>
          <t>Sevilla</t>
        </is>
      </c>
      <c r="G1308" s="2" t="n"/>
      <c r="H1308" s="2" t="inlineStr">
        <is>
          <t>Comisión Ejecutiva de la Gerencia de Urbanismo de Sevilla</t>
        </is>
      </c>
      <c r="I1308" s="2" t="inlineStr">
        <is>
          <t>Proyecto de Rehabilitación de las antiguas caballerizas y obras de conservación de la Torre de Contrapeso y Nave del Molino, así como urbanización del entorno, en la Hacienda de Miraflores de Sevilla.</t>
        </is>
      </c>
      <c r="J1308" s="2" t="inlineStr">
        <is>
          <t>088/2025</t>
        </is>
      </c>
      <c r="K1308" s="2" t="inlineStr">
        <is>
          <t>Abierto simplificado</t>
        </is>
      </c>
      <c r="L1308" s="6" t="n">
        <v>6</v>
      </c>
      <c r="M1308" s="2" t="n"/>
      <c r="N1308" s="7" t="n">
        <v>0.1</v>
      </c>
      <c r="O1308" s="4" t="n"/>
      <c r="P1308" s="2" t="inlineStr">
        <is>
          <t>45000000</t>
        </is>
      </c>
      <c r="Q1308" s="8" t="inlineStr">
        <is>
          <t>Ver</t>
        </is>
      </c>
      <c r="R1308" s="8" t="inlineStr">
        <is>
          <t>PCAP</t>
        </is>
      </c>
      <c r="S1308" s="9" t="n">
        <v>46310</v>
      </c>
      <c r="T1308" s="3" t="n">
        <v>46308.70408564815</v>
      </c>
      <c r="U1308" s="2" t="n"/>
    </row>
    <row r="1309">
      <c r="A1309" s="2" t="inlineStr">
        <is>
          <t>Resuelta</t>
        </is>
      </c>
      <c r="B1309" s="3" t="n">
        <v>46238.41666666666</v>
      </c>
      <c r="C1309" s="5" t="n">
        <v>45500</v>
      </c>
      <c r="D1309" s="5" t="n">
        <v>45500</v>
      </c>
      <c r="E1309" s="2" t="inlineStr">
        <is>
          <t>Andalucía</t>
        </is>
      </c>
      <c r="F1309" s="2" t="inlineStr">
        <is>
          <t>Almería</t>
        </is>
      </c>
      <c r="G1309" s="2" t="n"/>
      <c r="H1309" s="2" t="inlineStr">
        <is>
          <t>Empresa de Transformación Agraria S.A.,S.M.E., M.P., (TRAGSA)</t>
        </is>
      </c>
      <c r="I1309" s="2" t="inlineStr">
        <is>
          <t>Contrato derivado del "AM para el alquiler de maquinaria de obra civil, agrícola y forestal, y camiones para obras de construcción y demolición, dotada de operario, para las actuaciones del ámbito territorial de la gerencia provincial de Tragsa en Almería, incluidas las obras con fondos en el marco del PRTR, a adjudicar por procedimiento abierto, sujeto a regulación armonizada. TSA0078977"</t>
        </is>
      </c>
      <c r="J1309" s="2" t="inlineStr">
        <is>
          <t>TSA0078977-312</t>
        </is>
      </c>
      <c r="K1309" s="2" t="inlineStr">
        <is>
          <t>Abierto</t>
        </is>
      </c>
      <c r="L1309" s="6" t="n">
        <v>6</v>
      </c>
      <c r="M1309" s="2" t="n"/>
      <c r="N1309" s="7" t="n">
        <v>0</v>
      </c>
      <c r="O1309" s="4" t="n"/>
      <c r="P1309" s="2" t="inlineStr">
        <is>
          <t>45500000</t>
        </is>
      </c>
      <c r="Q1309" s="8" t="inlineStr">
        <is>
          <t>Ver</t>
        </is>
      </c>
      <c r="R1309" s="8" t="inlineStr">
        <is>
          <t>PCAP</t>
        </is>
      </c>
      <c r="S1309" s="9" t="n">
        <v>46310</v>
      </c>
      <c r="T1309" s="3" t="n">
        <v>46308.69675925926</v>
      </c>
      <c r="U1309" s="2" t="n"/>
    </row>
    <row r="1310">
      <c r="A1310" s="2" t="inlineStr">
        <is>
          <t>Resuelta</t>
        </is>
      </c>
      <c r="B1310" s="3" t="n">
        <v>46252.41666666666</v>
      </c>
      <c r="C1310" s="5" t="n">
        <v>26000</v>
      </c>
      <c r="D1310" s="5" t="n">
        <v>26000</v>
      </c>
      <c r="E1310" s="2" t="inlineStr">
        <is>
          <t>Andalucía</t>
        </is>
      </c>
      <c r="F1310" s="2" t="inlineStr">
        <is>
          <t>Huelva</t>
        </is>
      </c>
      <c r="G1310" s="2" t="n"/>
      <c r="H1310" s="2" t="inlineStr">
        <is>
          <t>Empresa de Transformación Agraria S.A.,S.M.E., M.P., (TRAGSA)</t>
        </is>
      </c>
      <c r="I1310"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SERVICIO CAUCES HUELVA 25-27</t>
        </is>
      </c>
      <c r="J1310" s="2" t="inlineStr">
        <is>
          <t>TSA0080057-221</t>
        </is>
      </c>
      <c r="K1310" s="2" t="inlineStr">
        <is>
          <t>Abierto</t>
        </is>
      </c>
      <c r="L1310" s="6" t="n">
        <v>7</v>
      </c>
      <c r="M1310" s="2" t="n"/>
      <c r="N1310" s="7" t="n">
        <v>0</v>
      </c>
      <c r="O1310" s="4" t="n"/>
      <c r="P1310" s="2" t="inlineStr">
        <is>
          <t>45500000</t>
        </is>
      </c>
      <c r="Q1310" s="8" t="inlineStr">
        <is>
          <t>Ver</t>
        </is>
      </c>
      <c r="R1310" s="8" t="inlineStr">
        <is>
          <t>PCAP</t>
        </is>
      </c>
      <c r="S1310" s="9" t="n">
        <v>46310</v>
      </c>
      <c r="T1310" s="3" t="n">
        <v>46308.68873842592</v>
      </c>
      <c r="U1310" s="2" t="n"/>
    </row>
    <row r="1311">
      <c r="A1311" s="2" t="inlineStr">
        <is>
          <t>Resuelta</t>
        </is>
      </c>
      <c r="B1311" s="3" t="n">
        <v>46259.41666666666</v>
      </c>
      <c r="C1311" s="5" t="n">
        <v>28600</v>
      </c>
      <c r="D1311" s="5" t="n">
        <v>28600</v>
      </c>
      <c r="E1311" s="2" t="inlineStr">
        <is>
          <t>Andalucía</t>
        </is>
      </c>
      <c r="F1311" s="2" t="inlineStr">
        <is>
          <t>Huelva</t>
        </is>
      </c>
      <c r="G1311" s="2" t="n"/>
      <c r="H1311" s="2" t="inlineStr">
        <is>
          <t>Empresa de Transformación Agraria S.A.,S.M.E., M.P., (TRAGSA)</t>
        </is>
      </c>
      <c r="I1311"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MEJ. HABITATS ESPECI PRESAS HU</t>
        </is>
      </c>
      <c r="J1311" s="2" t="inlineStr">
        <is>
          <t>TSA0080057-225</t>
        </is>
      </c>
      <c r="K1311" s="2" t="inlineStr">
        <is>
          <t>Abierto</t>
        </is>
      </c>
      <c r="L1311" s="6" t="n">
        <v>4</v>
      </c>
      <c r="M1311" s="2" t="n"/>
      <c r="N1311" s="7" t="n">
        <v>0</v>
      </c>
      <c r="O1311" s="4" t="n"/>
      <c r="P1311" s="2" t="inlineStr">
        <is>
          <t>45500000</t>
        </is>
      </c>
      <c r="Q1311" s="8" t="inlineStr">
        <is>
          <t>Ver</t>
        </is>
      </c>
      <c r="R1311" s="8" t="inlineStr">
        <is>
          <t>PCAP</t>
        </is>
      </c>
      <c r="S1311" s="9" t="n">
        <v>46310</v>
      </c>
      <c r="T1311" s="3" t="n">
        <v>46308.6746875</v>
      </c>
      <c r="U1311" s="2" t="n"/>
    </row>
    <row r="1312">
      <c r="A1312" s="2" t="inlineStr">
        <is>
          <t>Resuelta</t>
        </is>
      </c>
      <c r="B1312" s="3" t="n">
        <v>46259.41666666666</v>
      </c>
      <c r="C1312" s="5" t="n">
        <v>20250</v>
      </c>
      <c r="D1312" s="5" t="n">
        <v>20250</v>
      </c>
      <c r="E1312" s="2" t="inlineStr">
        <is>
          <t>Andalucía</t>
        </is>
      </c>
      <c r="F1312" s="2" t="inlineStr">
        <is>
          <t>Huelva</t>
        </is>
      </c>
      <c r="G1312" s="2" t="n"/>
      <c r="H1312" s="2" t="inlineStr">
        <is>
          <t>Empresa de Transformación Agraria S.A.,S.M.E., M.P., (TRAGSA)</t>
        </is>
      </c>
      <c r="I1312"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MEJ. HABITATS ESPECI PRESAS HU</t>
        </is>
      </c>
      <c r="J1312" s="2" t="inlineStr">
        <is>
          <t>TSA0080057-227</t>
        </is>
      </c>
      <c r="K1312" s="2" t="inlineStr">
        <is>
          <t>Abierto</t>
        </is>
      </c>
      <c r="L1312" s="6" t="n">
        <v>3</v>
      </c>
      <c r="M1312" s="2" t="n"/>
      <c r="N1312" s="7" t="n">
        <v>0</v>
      </c>
      <c r="O1312" s="4" t="n"/>
      <c r="P1312" s="2" t="inlineStr">
        <is>
          <t>45500000</t>
        </is>
      </c>
      <c r="Q1312" s="8" t="inlineStr">
        <is>
          <t>Ver</t>
        </is>
      </c>
      <c r="R1312" s="8" t="inlineStr">
        <is>
          <t>PCAP</t>
        </is>
      </c>
      <c r="S1312" s="9" t="n">
        <v>46310</v>
      </c>
      <c r="T1312" s="3" t="n">
        <v>46308.67322916666</v>
      </c>
      <c r="U1312" s="2" t="n"/>
    </row>
    <row r="1313">
      <c r="A1313" s="2" t="inlineStr">
        <is>
          <t>Resuelta</t>
        </is>
      </c>
      <c r="B1313" s="3" t="n">
        <v>46266.41666666666</v>
      </c>
      <c r="C1313" s="5" t="n">
        <v>63000</v>
      </c>
      <c r="D1313" s="5" t="n">
        <v>63000</v>
      </c>
      <c r="E1313" s="2" t="inlineStr">
        <is>
          <t>Andalucía</t>
        </is>
      </c>
      <c r="F1313" s="2" t="inlineStr">
        <is>
          <t>Huelva</t>
        </is>
      </c>
      <c r="G1313" s="2" t="n"/>
      <c r="H1313" s="2" t="inlineStr">
        <is>
          <t>Empresa de Transformación Agraria S.A.,S.M.E., M.P., (TRAGSA)</t>
        </is>
      </c>
      <c r="I1313"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TS PINAR DEL PINTO</t>
        </is>
      </c>
      <c r="J1313" s="2" t="inlineStr">
        <is>
          <t>TSA0080057-238</t>
        </is>
      </c>
      <c r="K1313" s="2" t="inlineStr">
        <is>
          <t>Abierto</t>
        </is>
      </c>
      <c r="L1313" s="6" t="n">
        <v>8</v>
      </c>
      <c r="M1313" s="2" t="n"/>
      <c r="N1313" s="7" t="n">
        <v>0</v>
      </c>
      <c r="O1313" s="4" t="n"/>
      <c r="P1313" s="2" t="inlineStr">
        <is>
          <t>45500000</t>
        </is>
      </c>
      <c r="Q1313" s="8" t="inlineStr">
        <is>
          <t>Ver</t>
        </is>
      </c>
      <c r="R1313" s="8" t="inlineStr">
        <is>
          <t>PCAP</t>
        </is>
      </c>
      <c r="S1313" s="9" t="n">
        <v>46310</v>
      </c>
      <c r="T1313" s="3" t="n">
        <v>46308.67111111111</v>
      </c>
      <c r="U1313" s="2" t="n"/>
    </row>
    <row r="1314">
      <c r="A1314" s="2" t="inlineStr">
        <is>
          <t>Resuelta</t>
        </is>
      </c>
      <c r="B1314" s="3" t="n">
        <v>46266.41666666666</v>
      </c>
      <c r="C1314" s="5" t="n">
        <v>63000</v>
      </c>
      <c r="D1314" s="5" t="n">
        <v>63000</v>
      </c>
      <c r="E1314" s="2" t="inlineStr">
        <is>
          <t>Andalucía</t>
        </is>
      </c>
      <c r="F1314" s="2" t="inlineStr">
        <is>
          <t>Huelva</t>
        </is>
      </c>
      <c r="G1314" s="2" t="n"/>
      <c r="H1314" s="2" t="inlineStr">
        <is>
          <t>Empresa de Transformación Agraria S.A.,S.M.E., M.P., (TRAGSA)</t>
        </is>
      </c>
      <c r="I1314"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TS PINAR DEL PINTO</t>
        </is>
      </c>
      <c r="J1314" s="2" t="inlineStr">
        <is>
          <t>TSA0080057-241</t>
        </is>
      </c>
      <c r="K1314" s="2" t="inlineStr">
        <is>
          <t>Abierto</t>
        </is>
      </c>
      <c r="L1314" s="6" t="n">
        <v>8</v>
      </c>
      <c r="M1314" s="2" t="n"/>
      <c r="N1314" s="7" t="n">
        <v>0</v>
      </c>
      <c r="O1314" s="4" t="n"/>
      <c r="P1314" s="2" t="inlineStr">
        <is>
          <t>45500000</t>
        </is>
      </c>
      <c r="Q1314" s="8" t="inlineStr">
        <is>
          <t>Ver</t>
        </is>
      </c>
      <c r="R1314" s="8" t="inlineStr">
        <is>
          <t>PCAP</t>
        </is>
      </c>
      <c r="S1314" s="9" t="n">
        <v>46310</v>
      </c>
      <c r="T1314" s="3" t="n">
        <v>46308.66841435185</v>
      </c>
      <c r="U1314" s="2" t="n"/>
    </row>
    <row r="1315">
      <c r="A1315" s="2" t="inlineStr">
        <is>
          <t>En plazo</t>
        </is>
      </c>
      <c r="B1315" s="3" t="n">
        <v>46328.99930555555</v>
      </c>
      <c r="C1315" s="5" t="n">
        <v>187884.23</v>
      </c>
      <c r="D1315" s="5" t="n">
        <v>187884.23</v>
      </c>
      <c r="E1315" s="2" t="inlineStr">
        <is>
          <t>Comunitat Valenciana</t>
        </is>
      </c>
      <c r="F1315" s="2" t="inlineStr">
        <is>
          <t>Valencia</t>
        </is>
      </c>
      <c r="G1315" s="2" t="inlineStr">
        <is>
          <t>Benifaió (Valencia)</t>
        </is>
      </c>
      <c r="H1315" s="2" t="inlineStr">
        <is>
          <t>Alcaldía del ayuntamiento de Benifaió</t>
        </is>
      </c>
      <c r="I1315" s="2" t="inlineStr">
        <is>
          <t>Derribo de edificaciones existentes en el municipio. El objeto del contrato se divide en los siguientes lotes: Lote 1: Obras de derribo del edificio sito en calle Valencia, 40 Lote 2: Obras de derribo del edificio sito en calle Llavador, 4</t>
        </is>
      </c>
      <c r="J1315" s="2" t="inlineStr">
        <is>
          <t>4757/2026</t>
        </is>
      </c>
      <c r="K1315" s="2" t="inlineStr">
        <is>
          <t>Abierto simplificado</t>
        </is>
      </c>
      <c r="L1315" s="6" t="n">
        <v>2</v>
      </c>
      <c r="M1315" s="2" t="n"/>
      <c r="N1315" s="7" t="n">
        <v>0.2</v>
      </c>
      <c r="O1315" s="4" t="n">
        <v>2</v>
      </c>
      <c r="P1315" s="2" t="inlineStr">
        <is>
          <t>45110000; 45111100; 45111000</t>
        </is>
      </c>
      <c r="Q1315" s="8" t="inlineStr">
        <is>
          <t>Ver</t>
        </is>
      </c>
      <c r="R1315" s="8" t="inlineStr">
        <is>
          <t>PCAP</t>
        </is>
      </c>
      <c r="S1315" s="9" t="n">
        <v>46310</v>
      </c>
      <c r="T1315" s="3" t="n">
        <v>46308.65405092593</v>
      </c>
      <c r="U1315" s="2" t="n"/>
    </row>
    <row r="1316">
      <c r="A1316" s="2" t="inlineStr">
        <is>
          <t>Resuelta</t>
        </is>
      </c>
      <c r="B1316" s="3" t="n">
        <v>46267.99930555555</v>
      </c>
      <c r="C1316" s="5" t="n">
        <v>449586.38</v>
      </c>
      <c r="D1316" s="5" t="n">
        <v>449586.38</v>
      </c>
      <c r="E1316" s="2" t="inlineStr">
        <is>
          <t>Andalucía</t>
        </is>
      </c>
      <c r="F1316" s="2" t="inlineStr">
        <is>
          <t>Granada</t>
        </is>
      </c>
      <c r="G1316" s="2" t="n"/>
      <c r="H1316" s="2" t="inlineStr">
        <is>
          <t>Junta de Gobierno Local del Ayuntamiento de Guadix</t>
        </is>
      </c>
      <c r="I1316" s="2" t="inlineStr">
        <is>
          <t>La Ejecución de la actuación: Obras de Construcción del Centro Joven Municipal de Guadix</t>
        </is>
      </c>
      <c r="J1316" s="2" t="inlineStr">
        <is>
          <t>8624/2025</t>
        </is>
      </c>
      <c r="K1316" s="2" t="inlineStr">
        <is>
          <t>Abierto simplificado</t>
        </is>
      </c>
      <c r="L1316" s="6" t="n">
        <v>9</v>
      </c>
      <c r="M1316" s="2" t="n"/>
      <c r="N1316" s="7" t="n">
        <v>0.25</v>
      </c>
      <c r="O1316" s="4" t="n"/>
      <c r="P1316" s="2" t="inlineStr">
        <is>
          <t>45000000; 45210000</t>
        </is>
      </c>
      <c r="Q1316" s="8" t="inlineStr">
        <is>
          <t>Ver</t>
        </is>
      </c>
      <c r="R1316" s="8" t="inlineStr">
        <is>
          <t>PCAP</t>
        </is>
      </c>
      <c r="S1316" s="9" t="n">
        <v>46310</v>
      </c>
      <c r="T1316" s="3" t="n">
        <v>46308.63633101852</v>
      </c>
      <c r="U1316" s="2" t="n"/>
    </row>
    <row r="1317">
      <c r="A1317" s="2" t="inlineStr">
        <is>
          <t>En plazo</t>
        </is>
      </c>
      <c r="B1317" s="3" t="n">
        <v>46335.99930555555</v>
      </c>
      <c r="C1317" s="5" t="n">
        <v>1793227</v>
      </c>
      <c r="D1317" s="5" t="n">
        <v>1793227</v>
      </c>
      <c r="E1317" s="2" t="inlineStr">
        <is>
          <t>Andalucía</t>
        </is>
      </c>
      <c r="F1317" s="2" t="inlineStr">
        <is>
          <t>Granada</t>
        </is>
      </c>
      <c r="G1317" s="2" t="n"/>
      <c r="H1317" s="2" t="inlineStr">
        <is>
          <t>Dirección Gerente de la Empresa Municipal de Abastecimiento y Saneamiento de Granada, S.A.</t>
        </is>
      </c>
      <c r="I1317" s="2" t="inlineStr">
        <is>
          <t>Mejora de las infraestructuras y resiliencia hídrica en el ciclo integral del agua en la Avenida Don Bosco, entre la Avenida de Cádiz y la Avenida Fernando de los Ríos (Granada).</t>
        </is>
      </c>
      <c r="J1317" s="2" t="inlineStr">
        <is>
          <t>Obra 2025-00017_3</t>
        </is>
      </c>
      <c r="K1317" s="2" t="inlineStr">
        <is>
          <t>Abierto</t>
        </is>
      </c>
      <c r="L1317" s="6" t="n">
        <v>144</v>
      </c>
      <c r="M1317" s="2" t="inlineStr">
        <is>
          <t>E*-4</t>
        </is>
      </c>
      <c r="N1317" s="7" t="n">
        <v>0.4</v>
      </c>
      <c r="O1317" s="4" t="n"/>
      <c r="P1317" s="2" t="inlineStr">
        <is>
          <t>45232150</t>
        </is>
      </c>
      <c r="Q1317" s="8" t="inlineStr">
        <is>
          <t>Ver</t>
        </is>
      </c>
      <c r="R1317" s="8" t="inlineStr">
        <is>
          <t>PCAP</t>
        </is>
      </c>
      <c r="S1317" s="9" t="n">
        <v>46310</v>
      </c>
      <c r="T1317" s="3" t="n">
        <v>46308.62813657407</v>
      </c>
      <c r="U1317" s="2" t="n"/>
    </row>
    <row r="1318">
      <c r="A1318" s="2" t="inlineStr">
        <is>
          <t>En plazo</t>
        </is>
      </c>
      <c r="B1318" s="3" t="n">
        <v>46328.58333333334</v>
      </c>
      <c r="C1318" s="5" t="n">
        <v>152742.87</v>
      </c>
      <c r="D1318" s="5" t="n">
        <v>152742.87</v>
      </c>
      <c r="E1318" s="2" t="inlineStr">
        <is>
          <t>Comunitat Valenciana</t>
        </is>
      </c>
      <c r="F1318" s="2" t="inlineStr">
        <is>
          <t>Valencia</t>
        </is>
      </c>
      <c r="G1318" s="2" t="inlineStr">
        <is>
          <t>Tuéjar</t>
        </is>
      </c>
      <c r="H1318" s="2" t="inlineStr">
        <is>
          <t>Pleno del Ayuntamiento de Tuéjar</t>
        </is>
      </c>
      <c r="I1318" s="2" t="inlineStr">
        <is>
          <t>Proyecto de urbanización calle Cruz de Eugenios</t>
        </is>
      </c>
      <c r="J1318" s="2" t="inlineStr">
        <is>
          <t>747/2026</t>
        </is>
      </c>
      <c r="K1318" s="2" t="inlineStr">
        <is>
          <t>Abierto simplificado</t>
        </is>
      </c>
      <c r="L1318" s="6" t="n">
        <v>4</v>
      </c>
      <c r="M1318" s="2" t="n"/>
      <c r="N1318" s="7" t="n">
        <v>0</v>
      </c>
      <c r="O1318" s="4" t="n"/>
      <c r="P1318" s="2" t="inlineStr">
        <is>
          <t>45432112; 45232410; 44162000; 44162500; 45233200</t>
        </is>
      </c>
      <c r="Q1318" s="8" t="inlineStr">
        <is>
          <t>Ver</t>
        </is>
      </c>
      <c r="R1318" s="8" t="inlineStr">
        <is>
          <t>PCAP</t>
        </is>
      </c>
      <c r="S1318" s="9" t="n">
        <v>46310</v>
      </c>
      <c r="T1318" s="3" t="n">
        <v>46308.62798611111</v>
      </c>
      <c r="U1318" s="2" t="n"/>
    </row>
    <row r="1319">
      <c r="A1319" s="2" t="inlineStr">
        <is>
          <t>Resuelta</t>
        </is>
      </c>
      <c r="B1319" s="3" t="n">
        <v>46231.99930555555</v>
      </c>
      <c r="C1319" s="5" t="n">
        <v>555205.2</v>
      </c>
      <c r="D1319" s="5" t="n">
        <v>555205.2</v>
      </c>
      <c r="E1319" s="2" t="inlineStr">
        <is>
          <t>Andalucía</t>
        </is>
      </c>
      <c r="F1319" s="2" t="inlineStr">
        <is>
          <t>Sevilla</t>
        </is>
      </c>
      <c r="G1319" s="2" t="inlineStr">
        <is>
          <t>Alcalá de Guadaíra</t>
        </is>
      </c>
      <c r="H1319" s="2" t="inlineStr">
        <is>
          <t>Junta de Gobierno Local del Ayuntamiento de Alcalá de Guadaíra</t>
        </is>
      </c>
      <c r="I1319" s="2" t="inlineStr">
        <is>
          <t>obras de reforma y ampliación de un centro de participación ciudadana ubicado en Calle Escultor Pineda Calderón nº 1 (D) (C-2025/100)</t>
        </is>
      </c>
      <c r="J1319" s="2" t="inlineStr">
        <is>
          <t>17285/2025</t>
        </is>
      </c>
      <c r="K1319" s="2" t="inlineStr">
        <is>
          <t>Abierto simplificado</t>
        </is>
      </c>
      <c r="L1319" s="6" t="n">
        <v>12</v>
      </c>
      <c r="M1319" s="2" t="inlineStr">
        <is>
          <t>C4-3</t>
        </is>
      </c>
      <c r="N1319" s="7" t="n">
        <v>0.2</v>
      </c>
      <c r="O1319" s="4" t="n"/>
      <c r="P1319" s="2" t="inlineStr">
        <is>
          <t>45215200</t>
        </is>
      </c>
      <c r="Q1319" s="8" t="inlineStr">
        <is>
          <t>Ver</t>
        </is>
      </c>
      <c r="R1319" s="8" t="inlineStr">
        <is>
          <t>PCAP</t>
        </is>
      </c>
      <c r="S1319" s="9" t="n">
        <v>46310</v>
      </c>
      <c r="T1319" s="3" t="n">
        <v>46308.60893518518</v>
      </c>
      <c r="U1319" s="2" t="n"/>
    </row>
    <row r="1320">
      <c r="A1320" s="2" t="inlineStr">
        <is>
          <t>Pendiente de adjudicación</t>
        </is>
      </c>
      <c r="B1320" s="3" t="n">
        <v>46296.99930555555</v>
      </c>
      <c r="C1320" s="5" t="n">
        <v>64695.94</v>
      </c>
      <c r="D1320" s="5" t="n">
        <v>64695.94</v>
      </c>
      <c r="E1320" s="2" t="inlineStr">
        <is>
          <t>Comunitat Valenciana</t>
        </is>
      </c>
      <c r="F1320" s="2" t="inlineStr">
        <is>
          <t>Alicante</t>
        </is>
      </c>
      <c r="G1320" s="2" t="n"/>
      <c r="H1320" s="2" t="inlineStr">
        <is>
          <t>Alcaldía del Ayuntamiento de Dolores</t>
        </is>
      </c>
      <c r="I1320" s="2" t="inlineStr">
        <is>
          <t>Obras de mejora de la accesibilidad en Avda. Alcalde José Rodríguez en Dolores</t>
        </is>
      </c>
      <c r="J1320" s="2" t="inlineStr">
        <is>
          <t>3485/2026</t>
        </is>
      </c>
      <c r="K1320" s="2" t="inlineStr">
        <is>
          <t>Abierto simplificado</t>
        </is>
      </c>
      <c r="L1320" s="6" t="n">
        <v>2</v>
      </c>
      <c r="M1320" s="2" t="n"/>
      <c r="N1320" s="7" t="n">
        <v>0</v>
      </c>
      <c r="O1320" s="4" t="n"/>
      <c r="P1320" s="2" t="inlineStr">
        <is>
          <t>45233140</t>
        </is>
      </c>
      <c r="Q1320" s="8" t="inlineStr">
        <is>
          <t>Ver</t>
        </is>
      </c>
      <c r="R1320" s="8" t="inlineStr">
        <is>
          <t>PCAP</t>
        </is>
      </c>
      <c r="S1320" s="9" t="n">
        <v>46310</v>
      </c>
      <c r="T1320" s="3" t="n">
        <v>46308.60296296296</v>
      </c>
      <c r="U1320" s="2" t="n"/>
    </row>
    <row r="1321">
      <c r="A1321" s="2" t="inlineStr">
        <is>
          <t>Pendiente de adjudicación</t>
        </is>
      </c>
      <c r="B1321" s="3" t="n">
        <v>46171.99930555555</v>
      </c>
      <c r="C1321" s="5" t="n">
        <v>277278.77</v>
      </c>
      <c r="D1321" s="5" t="n">
        <v>277278.77</v>
      </c>
      <c r="E1321" s="2" t="inlineStr">
        <is>
          <t>Comunitat Valenciana</t>
        </is>
      </c>
      <c r="F1321" s="2" t="inlineStr">
        <is>
          <t>Alicante</t>
        </is>
      </c>
      <c r="G1321" s="2" t="n"/>
      <c r="H1321" s="2" t="inlineStr">
        <is>
          <t>Presidencia de la Diputación Provincial de Alicante</t>
        </is>
      </c>
      <c r="I1321" s="2" t="inlineStr">
        <is>
          <t>Obras de mejora en instalaciones deportivas, en el municipio de Hondón de los Frailes (2024.PLA.129).</t>
        </is>
      </c>
      <c r="J1321" s="2" t="inlineStr">
        <is>
          <t>O6S-085/2026</t>
        </is>
      </c>
      <c r="K1321" s="2" t="inlineStr">
        <is>
          <t>Abierto simplificado</t>
        </is>
      </c>
      <c r="L1321" s="6" t="n">
        <v>6</v>
      </c>
      <c r="M1321" s="2" t="n"/>
      <c r="N1321" s="7" t="n">
        <v>0</v>
      </c>
      <c r="O1321" s="4" t="n"/>
      <c r="P1321" s="2" t="inlineStr">
        <is>
          <t>45200000</t>
        </is>
      </c>
      <c r="Q1321" s="8" t="inlineStr">
        <is>
          <t>Ver</t>
        </is>
      </c>
      <c r="R1321" s="8" t="inlineStr">
        <is>
          <t>PCAP</t>
        </is>
      </c>
      <c r="S1321" s="9" t="n">
        <v>46310</v>
      </c>
      <c r="T1321" s="3" t="n">
        <v>46308.60243055555</v>
      </c>
      <c r="U1321" s="2" t="n"/>
    </row>
    <row r="1322">
      <c r="A1322" s="2" t="inlineStr">
        <is>
          <t>Pendiente de adjudicación</t>
        </is>
      </c>
      <c r="B1322" s="3" t="n">
        <v>46294.99930555555</v>
      </c>
      <c r="C1322" s="5" t="n">
        <v>40662.08</v>
      </c>
      <c r="D1322" s="5" t="n">
        <v>40662.08</v>
      </c>
      <c r="E1322" s="2" t="inlineStr">
        <is>
          <t>Comunitat Valenciana</t>
        </is>
      </c>
      <c r="F1322" s="2" t="inlineStr">
        <is>
          <t>Alicante</t>
        </is>
      </c>
      <c r="G1322" s="2" t="n"/>
      <c r="H1322" s="2" t="inlineStr">
        <is>
          <t>Teniente de Alcalde de Contratación Pública del Ayuntamiento de Elche</t>
        </is>
      </c>
      <c r="I1322" s="2" t="inlineStr">
        <is>
          <t>Obras de vallado en el perímetro del edificio municipal sede del Centro de Desarrollo Empresarial, Escuela Municipal de Hostelería y de la Policía Autonómica.</t>
        </is>
      </c>
      <c r="J1322" s="2" t="inlineStr">
        <is>
          <t>OBR/ABR_SP_SMPL/2026000137</t>
        </is>
      </c>
      <c r="K1322" s="2" t="inlineStr">
        <is>
          <t>Abierto simplificado</t>
        </is>
      </c>
      <c r="L1322" s="6" t="n">
        <v>1.5</v>
      </c>
      <c r="M1322" s="2" t="n"/>
      <c r="N1322" s="7" t="n">
        <v>0</v>
      </c>
      <c r="O1322" s="4" t="n"/>
      <c r="P1322" s="2" t="inlineStr">
        <is>
          <t>45261000; 45421160; 34928200; 45262311</t>
        </is>
      </c>
      <c r="Q1322" s="8" t="inlineStr">
        <is>
          <t>Ver</t>
        </is>
      </c>
      <c r="R1322" s="8" t="inlineStr">
        <is>
          <t>PCAP</t>
        </is>
      </c>
      <c r="S1322" s="9" t="n">
        <v>46310</v>
      </c>
      <c r="T1322" s="3" t="n">
        <v>46308.60030092593</v>
      </c>
      <c r="U1322" s="2" t="n"/>
    </row>
    <row r="1323">
      <c r="A1323" s="2" t="inlineStr">
        <is>
          <t>Resuelta</t>
        </is>
      </c>
      <c r="B1323" s="3" t="n">
        <v>46240.99930555555</v>
      </c>
      <c r="C1323" s="5" t="n">
        <v>495669.59</v>
      </c>
      <c r="D1323" s="5" t="n">
        <v>495669.59</v>
      </c>
      <c r="E1323" s="2" t="inlineStr">
        <is>
          <t>Andalucía</t>
        </is>
      </c>
      <c r="F1323" s="2" t="inlineStr">
        <is>
          <t>Huelva</t>
        </is>
      </c>
      <c r="G1323" s="2" t="n"/>
      <c r="H1323" s="2" t="inlineStr">
        <is>
          <t>Presidencia de la Diputación Provincial de Huelva</t>
        </is>
      </c>
      <c r="I1323" s="2" t="inlineStr">
        <is>
          <t>El presente contrato tiene por objeto la ejecución de las obras definidas en losProyectos de Ejecución de los Contratos de obras relativoa a la mejora del firme en la carretera provincial HU-6103, N-435 a Minas de Concepción, TM Almonaster la Real (Huelva) y el camino provincial HV-1417, de Huelva a Trigueros.</t>
        </is>
      </c>
      <c r="J1323" s="2" t="inlineStr">
        <is>
          <t>2026/CMY_03/000081</t>
        </is>
      </c>
      <c r="K1323" s="2" t="inlineStr">
        <is>
          <t>Abierto simplificado</t>
        </is>
      </c>
      <c r="L1323" s="6" t="n">
        <v>3</v>
      </c>
      <c r="M1323" s="2" t="n"/>
      <c r="N1323" s="7" t="n">
        <v>0</v>
      </c>
      <c r="O1323" s="4" t="n">
        <v>2</v>
      </c>
      <c r="P1323" s="2" t="inlineStr">
        <is>
          <t>45233000</t>
        </is>
      </c>
      <c r="Q1323" s="8" t="inlineStr">
        <is>
          <t>Ver</t>
        </is>
      </c>
      <c r="R1323" s="8" t="inlineStr">
        <is>
          <t>PCAP</t>
        </is>
      </c>
      <c r="S1323" s="9" t="n">
        <v>46310</v>
      </c>
      <c r="T1323" s="3" t="n">
        <v>46308.60006944444</v>
      </c>
      <c r="U1323" s="2" t="n"/>
    </row>
    <row r="1324">
      <c r="A1324" s="2" t="inlineStr">
        <is>
          <t>En plazo</t>
        </is>
      </c>
      <c r="B1324" s="3" t="n">
        <v>46323.99930555555</v>
      </c>
      <c r="C1324" s="5" t="n">
        <v>71646.21000000001</v>
      </c>
      <c r="D1324" s="5" t="n">
        <v>71646.21000000001</v>
      </c>
      <c r="E1324" s="2" t="inlineStr">
        <is>
          <t>Andalucía</t>
        </is>
      </c>
      <c r="F1324" s="2" t="inlineStr">
        <is>
          <t>Málaga</t>
        </is>
      </c>
      <c r="G1324" s="2" t="n"/>
      <c r="H1324" s="2" t="inlineStr">
        <is>
          <t>Alcaldía del Ayuntamiento de Guaro</t>
        </is>
      </c>
      <c r="I1324" s="2" t="inlineStr">
        <is>
          <t>Obra de saneamiento y alcantarillado de calle Barranco de Guaro</t>
        </is>
      </c>
      <c r="J1324" s="2" t="inlineStr">
        <is>
          <t>2026_177_2</t>
        </is>
      </c>
      <c r="K1324" s="2" t="inlineStr">
        <is>
          <t>Abierto simplificado</t>
        </is>
      </c>
      <c r="L1324" s="6" t="n">
        <v>6</v>
      </c>
      <c r="M1324" s="2" t="n"/>
      <c r="N1324" s="7" t="n">
        <v>0</v>
      </c>
      <c r="O1324" s="4" t="n"/>
      <c r="P1324" s="2" t="inlineStr">
        <is>
          <t>45232410; 45232150; 45233252; 45232400</t>
        </is>
      </c>
      <c r="Q1324" s="8" t="inlineStr">
        <is>
          <t>Ver</t>
        </is>
      </c>
      <c r="R1324" s="8" t="inlineStr">
        <is>
          <t>PCAP</t>
        </is>
      </c>
      <c r="S1324" s="9" t="n">
        <v>46310</v>
      </c>
      <c r="T1324" s="3" t="n">
        <v>46308.59721064815</v>
      </c>
      <c r="U1324" s="2" t="n"/>
    </row>
    <row r="1325">
      <c r="A1325" s="2" t="inlineStr">
        <is>
          <t>Resuelta</t>
        </is>
      </c>
      <c r="B1325" s="3" t="n">
        <v>46223.99930555555</v>
      </c>
      <c r="C1325" s="5" t="n">
        <v>670118.76</v>
      </c>
      <c r="D1325" s="5" t="n">
        <v>670118.76</v>
      </c>
      <c r="E1325" s="2" t="inlineStr">
        <is>
          <t>Andalucía</t>
        </is>
      </c>
      <c r="F1325" s="2" t="inlineStr">
        <is>
          <t>Huelva</t>
        </is>
      </c>
      <c r="G1325" s="2" t="n"/>
      <c r="H1325" s="2" t="inlineStr">
        <is>
          <t>Junta de Gobierno de la Diputación Provincial de Huelva</t>
        </is>
      </c>
      <c r="I1325" s="2" t="inlineStr">
        <is>
          <t>Rehabilitación de firme en diversas carreteras provinciales: Lote 2: Rehabilitación de firme CP HU-5401 Puebla de Guzmán a Paymogo.</t>
        </is>
      </c>
      <c r="J1325" s="2" t="inlineStr">
        <is>
          <t>2026/CMY_03/000091</t>
        </is>
      </c>
      <c r="K1325" s="2" t="inlineStr">
        <is>
          <t>Negociado sin publicidad</t>
        </is>
      </c>
      <c r="L1325" s="6" t="n">
        <v>4</v>
      </c>
      <c r="M1325" s="2" t="n"/>
      <c r="N1325" s="7" t="n">
        <v>0</v>
      </c>
      <c r="O1325" s="4" t="n"/>
      <c r="P1325" s="2" t="inlineStr">
        <is>
          <t>45233000</t>
        </is>
      </c>
      <c r="Q1325" s="8" t="inlineStr">
        <is>
          <t>Ver</t>
        </is>
      </c>
      <c r="R1325" s="8" t="inlineStr">
        <is>
          <t>PCAP</t>
        </is>
      </c>
      <c r="S1325" s="9" t="n">
        <v>46310</v>
      </c>
      <c r="T1325" s="3" t="n">
        <v>46308.59719907407</v>
      </c>
      <c r="U1325" s="2" t="n"/>
    </row>
    <row r="1326">
      <c r="A1326" s="2" t="inlineStr">
        <is>
          <t>En plazo</t>
        </is>
      </c>
      <c r="B1326" s="3" t="n">
        <v>46335.79166666666</v>
      </c>
      <c r="C1326" s="5" t="n">
        <v>98044.17999999999</v>
      </c>
      <c r="D1326" s="5" t="n">
        <v>98044.17999999999</v>
      </c>
      <c r="E1326" s="2" t="inlineStr">
        <is>
          <t>Comunitat Valenciana</t>
        </is>
      </c>
      <c r="F1326" s="2" t="inlineStr">
        <is>
          <t>Alicante</t>
        </is>
      </c>
      <c r="G1326" s="2" t="inlineStr">
        <is>
          <t>Alicante (Alacant)</t>
        </is>
      </c>
      <c r="H1326" s="2" t="inlineStr">
        <is>
          <t>Alcaldía del Ayuntamiento de Finestrat</t>
        </is>
      </c>
      <c r="I1326" s="2" t="inlineStr">
        <is>
          <t>Obras de Mejora en el Consultorio Médico Auxiliar Fernando Martínez López de Finestrat</t>
        </is>
      </c>
      <c r="J1326" s="2" t="inlineStr">
        <is>
          <t>1-02-2026=A(=5143/2026)</t>
        </is>
      </c>
      <c r="K1326" s="2" t="inlineStr">
        <is>
          <t>Abierto</t>
        </is>
      </c>
      <c r="L1326" s="6" t="n">
        <v>2.1</v>
      </c>
      <c r="M1326" s="2" t="n"/>
      <c r="N1326" s="7" t="n">
        <v>0.49</v>
      </c>
      <c r="O1326" s="4" t="n"/>
      <c r="P1326" s="2" t="inlineStr">
        <is>
          <t>45261420</t>
        </is>
      </c>
      <c r="Q1326" s="8" t="inlineStr">
        <is>
          <t>Ver</t>
        </is>
      </c>
      <c r="R1326" s="8" t="inlineStr">
        <is>
          <t>PCAP</t>
        </is>
      </c>
      <c r="S1326" s="9" t="n">
        <v>46310</v>
      </c>
      <c r="T1326" s="3" t="n">
        <v>46308.58686342592</v>
      </c>
      <c r="U1326" s="2" t="n"/>
    </row>
    <row r="1327">
      <c r="A1327" s="2" t="inlineStr">
        <is>
          <t>Resuelta</t>
        </is>
      </c>
      <c r="B1327" s="3" t="n">
        <v>46223.99930555555</v>
      </c>
      <c r="C1327" s="5" t="n">
        <v>413222.37</v>
      </c>
      <c r="D1327" s="5" t="n">
        <v>413222.37</v>
      </c>
      <c r="E1327" s="2" t="inlineStr">
        <is>
          <t>Andalucía</t>
        </is>
      </c>
      <c r="F1327" s="2" t="inlineStr">
        <is>
          <t>Granada</t>
        </is>
      </c>
      <c r="G1327" s="2" t="n"/>
      <c r="H1327" s="2" t="inlineStr">
        <is>
          <t>Junta de Gobierno del Ayuntamiento de Armilla</t>
        </is>
      </c>
      <c r="I1327" s="2" t="inlineStr">
        <is>
          <t>Ejecución de obras de asfaltado y pavimentación de las calles comprendidas en el proyecto PLAN DE ASFALTOS 2026</t>
        </is>
      </c>
      <c r="J1327" s="2" t="inlineStr">
        <is>
          <t>2026-7303</t>
        </is>
      </c>
      <c r="K1327" s="2" t="inlineStr">
        <is>
          <t>Abierto simplificado</t>
        </is>
      </c>
      <c r="L1327" s="6" t="n">
        <v>1.5</v>
      </c>
      <c r="M1327" s="2" t="n"/>
      <c r="N1327" s="7" t="n">
        <v>0</v>
      </c>
      <c r="O1327" s="4" t="n"/>
      <c r="P1327" s="2" t="inlineStr">
        <is>
          <t>45233200; 45233142; 45233141</t>
        </is>
      </c>
      <c r="Q1327" s="8" t="inlineStr">
        <is>
          <t>Ver</t>
        </is>
      </c>
      <c r="R1327" s="8" t="inlineStr">
        <is>
          <t>PCAP</t>
        </is>
      </c>
      <c r="S1327" s="9" t="n">
        <v>46310</v>
      </c>
      <c r="T1327" s="3" t="n">
        <v>46308.58503472222</v>
      </c>
      <c r="U1327" s="2" t="n"/>
    </row>
    <row r="1328">
      <c r="A1328" s="2" t="inlineStr">
        <is>
          <t>Pendiente de adjudicación</t>
        </is>
      </c>
      <c r="B1328" s="3" t="n">
        <v>46280.99930555555</v>
      </c>
      <c r="C1328" s="5" t="n">
        <v>661155.84</v>
      </c>
      <c r="D1328" s="5" t="n">
        <v>661155.84</v>
      </c>
      <c r="E1328" s="2" t="inlineStr">
        <is>
          <t>Andalucía</t>
        </is>
      </c>
      <c r="F1328" s="2" t="inlineStr">
        <is>
          <t>Granada</t>
        </is>
      </c>
      <c r="G1328" s="2" t="inlineStr">
        <is>
          <t>LA ZUBIA</t>
        </is>
      </c>
      <c r="H1328" s="2" t="inlineStr">
        <is>
          <t>Presidencia de la Diputación Provincial de Granada</t>
        </is>
      </c>
      <c r="I1328" s="2" t="inlineStr">
        <is>
          <t>2024/4/PPCGR/1-39 "C.P. GR-3211 de Granada (A-395) a la Zubia. Alumbrado y restauración paisajística del PK 1+440 al PK 2+330"</t>
        </is>
      </c>
      <c r="J1328" s="2" t="inlineStr">
        <is>
          <t>OB-032/26</t>
        </is>
      </c>
      <c r="K1328" s="2" t="inlineStr">
        <is>
          <t>Abierto simplificado</t>
        </is>
      </c>
      <c r="L1328" s="6" t="n">
        <v>8</v>
      </c>
      <c r="M1328" s="2" t="inlineStr">
        <is>
          <t>K5-2; K6-2; I1-2</t>
        </is>
      </c>
      <c r="N1328" s="7" t="n">
        <v>0</v>
      </c>
      <c r="O1328" s="4" t="n"/>
      <c r="P1328" s="2" t="inlineStr">
        <is>
          <t>45233120</t>
        </is>
      </c>
      <c r="Q1328" s="8" t="inlineStr">
        <is>
          <t>Ver</t>
        </is>
      </c>
      <c r="R1328" s="8" t="inlineStr">
        <is>
          <t>PCAP</t>
        </is>
      </c>
      <c r="S1328" s="9" t="n">
        <v>46310</v>
      </c>
      <c r="T1328" s="3" t="n">
        <v>46308.57484953704</v>
      </c>
      <c r="U1328" s="2" t="n"/>
    </row>
    <row r="1329">
      <c r="A1329" s="2" t="inlineStr">
        <is>
          <t>Adjudicada</t>
        </is>
      </c>
      <c r="B1329" s="3" t="n">
        <v>46195.99722222222</v>
      </c>
      <c r="C1329" s="5" t="n">
        <v>476154.55</v>
      </c>
      <c r="D1329" s="5" t="n">
        <v>476154.55</v>
      </c>
      <c r="E1329" s="2" t="inlineStr">
        <is>
          <t>Andalucía</t>
        </is>
      </c>
      <c r="F1329" s="2" t="inlineStr">
        <is>
          <t>Granada</t>
        </is>
      </c>
      <c r="G1329" s="2" t="n"/>
      <c r="H1329" s="2" t="inlineStr">
        <is>
          <t>Rectorado de la Universidad de Granada</t>
        </is>
      </c>
      <c r="I1329" s="2" t="inlineStr">
        <is>
          <t>Instalación de centro de transformación, línea de alta tensión y grupo electrógeno en edificio UGR-DONES de Escúzar</t>
        </is>
      </c>
      <c r="J1329" s="2" t="inlineStr">
        <is>
          <t>UGR/2026/0054</t>
        </is>
      </c>
      <c r="K1329" s="2" t="inlineStr">
        <is>
          <t>Abierto simplificado</t>
        </is>
      </c>
      <c r="L1329" s="6" t="n">
        <v>5</v>
      </c>
      <c r="M1329" s="2" t="n"/>
      <c r="N1329" s="7" t="n">
        <v>1</v>
      </c>
      <c r="O1329" s="4" t="n"/>
      <c r="P1329" s="2" t="inlineStr">
        <is>
          <t>45315300; 45315700; 45232220</t>
        </is>
      </c>
      <c r="Q1329" s="8" t="inlineStr">
        <is>
          <t>Ver</t>
        </is>
      </c>
      <c r="R1329" s="8" t="inlineStr">
        <is>
          <t>PCAP</t>
        </is>
      </c>
      <c r="S1329" s="9" t="n">
        <v>46310</v>
      </c>
      <c r="T1329" s="3" t="n">
        <v>46308.57318287037</v>
      </c>
      <c r="U1329" s="2" t="n"/>
    </row>
    <row r="1330">
      <c r="A1330" s="2" t="inlineStr">
        <is>
          <t>Pendiente de adjudicación</t>
        </is>
      </c>
      <c r="B1330" s="3" t="n">
        <v>46293.99930555555</v>
      </c>
      <c r="C1330" s="5" t="n">
        <v>246166.94</v>
      </c>
      <c r="D1330" s="5" t="n">
        <v>246166.94</v>
      </c>
      <c r="E1330" s="2" t="inlineStr">
        <is>
          <t>Andalucía</t>
        </is>
      </c>
      <c r="F1330" s="2" t="inlineStr">
        <is>
          <t>Granada</t>
        </is>
      </c>
      <c r="G1330" s="2" t="inlineStr">
        <is>
          <t>BEAS DE GUADIX</t>
        </is>
      </c>
      <c r="H1330" s="2" t="inlineStr">
        <is>
          <t>Presidencia de la Diputación Provincial de Granada</t>
        </is>
      </c>
      <c r="I1330" s="2" t="inlineStr">
        <is>
          <t>2020/2/PPOYS-24, 2022/2/PPOYS-24 y 2026/4/PPOYS-24 "Beas de Guadix, mejora de acceso a Beas de Guadix en Camino de Nogueras"</t>
        </is>
      </c>
      <c r="J1330" s="2" t="inlineStr">
        <is>
          <t>OB-068/26</t>
        </is>
      </c>
      <c r="K1330" s="2" t="inlineStr">
        <is>
          <t>Abierto simplificado</t>
        </is>
      </c>
      <c r="L1330" s="6" t="n">
        <v>5</v>
      </c>
      <c r="M1330" s="2" t="inlineStr">
        <is>
          <t>E7-2; G6-2</t>
        </is>
      </c>
      <c r="N1330" s="7" t="n">
        <v>0</v>
      </c>
      <c r="O1330" s="4" t="n"/>
      <c r="P1330" s="2" t="inlineStr">
        <is>
          <t>45231100; 45233252</t>
        </is>
      </c>
      <c r="Q1330" s="8" t="inlineStr">
        <is>
          <t>Ver</t>
        </is>
      </c>
      <c r="R1330" s="8" t="inlineStr">
        <is>
          <t>PCAP</t>
        </is>
      </c>
      <c r="S1330" s="9" t="n">
        <v>46310</v>
      </c>
      <c r="T1330" s="3" t="n">
        <v>46308.57306712963</v>
      </c>
      <c r="U1330" s="2" t="n"/>
    </row>
    <row r="1331">
      <c r="A1331" s="2" t="inlineStr">
        <is>
          <t>En plazo</t>
        </is>
      </c>
      <c r="B1331" s="3" t="n">
        <v>46322.99930555555</v>
      </c>
      <c r="C1331" s="5" t="n">
        <v>63300.18</v>
      </c>
      <c r="D1331" s="5" t="n">
        <v>63300.18</v>
      </c>
      <c r="E1331" s="2" t="inlineStr">
        <is>
          <t>Andalucía</t>
        </is>
      </c>
      <c r="F1331" s="2" t="inlineStr">
        <is>
          <t>Córdoba</t>
        </is>
      </c>
      <c r="G1331" s="2" t="inlineStr">
        <is>
          <t>Villanueva del Rey (Córdoba)</t>
        </is>
      </c>
      <c r="H1331" s="2" t="inlineStr">
        <is>
          <t>Diputado delegado de Infraestructuras, Sostenibilidad y Agricultura</t>
        </is>
      </c>
      <c r="I1331" s="2" t="inlineStr">
        <is>
          <t>Contratación de la obra Adaptación de Inmueble sito en Calle Real, 2 para aparcamiento público en Villanueva del Rey (Córdoba). Obra Incluida en el Plan Provincial de Obras y Servicios 2024-2027</t>
        </is>
      </c>
      <c r="J1331" s="2" t="inlineStr">
        <is>
          <t>852/26</t>
        </is>
      </c>
      <c r="K1331" s="2" t="inlineStr">
        <is>
          <t>Abierto simplificado</t>
        </is>
      </c>
      <c r="L1331" s="6" t="n">
        <v>2</v>
      </c>
      <c r="M1331" s="2" t="n"/>
      <c r="N1331" s="7" t="n">
        <v>0</v>
      </c>
      <c r="O1331" s="4" t="n"/>
      <c r="P1331" s="2" t="inlineStr">
        <is>
          <t>45110000</t>
        </is>
      </c>
      <c r="Q1331" s="8" t="inlineStr">
        <is>
          <t>Ver</t>
        </is>
      </c>
      <c r="R1331" s="8" t="inlineStr">
        <is>
          <t>PCAP</t>
        </is>
      </c>
      <c r="S1331" s="9" t="n">
        <v>46310</v>
      </c>
      <c r="T1331" s="3" t="n">
        <v>46308.57271990741</v>
      </c>
      <c r="U1331" s="2" t="n"/>
    </row>
    <row r="1332">
      <c r="A1332" s="2" t="inlineStr">
        <is>
          <t>En plazo</t>
        </is>
      </c>
      <c r="B1332" s="3" t="n">
        <v>46335.79166666666</v>
      </c>
      <c r="C1332" s="5" t="n">
        <v>486596.59</v>
      </c>
      <c r="D1332" s="5" t="n">
        <v>486596.59</v>
      </c>
      <c r="E1332" s="2" t="inlineStr">
        <is>
          <t>Andalucía</t>
        </is>
      </c>
      <c r="F1332" s="2" t="inlineStr">
        <is>
          <t>Huelva</t>
        </is>
      </c>
      <c r="G1332" s="2" t="inlineStr">
        <is>
          <t>Aljaraque</t>
        </is>
      </c>
      <c r="H1332" s="2" t="inlineStr">
        <is>
          <t>Alcaldía del Ayuntamiento de Aljaraque</t>
        </is>
      </c>
      <c r="I1332" s="2" t="inlineStr">
        <is>
          <t>Contrato mixto de elaboración de Proyecto y ejecución de Obra de Construcción de un nuevo Campo de Futbol 7 en terrenos anexos al Campo de Futbol Municipal de Aljaraque, cofinanciada por la Unión Europea a través del Fondo Europeo de Desarrollo Regional FEDER 2021-2027 (Plan EDIL)</t>
        </is>
      </c>
      <c r="J1332" s="2" t="inlineStr">
        <is>
          <t>Expte 10153/2026 Proyecto+Obra Campo futbol7</t>
        </is>
      </c>
      <c r="K1332" s="2" t="inlineStr">
        <is>
          <t>Abierto</t>
        </is>
      </c>
      <c r="L1332" s="6" t="n">
        <v>14</v>
      </c>
      <c r="M1332" s="2" t="n"/>
      <c r="N1332" s="7" t="n">
        <v>0.4</v>
      </c>
      <c r="O1332" s="4" t="n">
        <v>2</v>
      </c>
      <c r="P1332" s="2" t="inlineStr">
        <is>
          <t>45212200; 71520000; 71242000</t>
        </is>
      </c>
      <c r="Q1332" s="8" t="inlineStr">
        <is>
          <t>Ver</t>
        </is>
      </c>
      <c r="R1332" s="8" t="inlineStr">
        <is>
          <t>PCAP</t>
        </is>
      </c>
      <c r="S1332" s="9" t="n">
        <v>46310</v>
      </c>
      <c r="T1332" s="3" t="n">
        <v>46308.57258101852</v>
      </c>
      <c r="U1332" s="2" t="n"/>
    </row>
    <row r="1333">
      <c r="A1333" s="2" t="inlineStr">
        <is>
          <t>Pendiente de adjudicación</t>
        </is>
      </c>
      <c r="B1333" s="3" t="n">
        <v>46300.99930555555</v>
      </c>
      <c r="C1333" s="5" t="n">
        <v>143339.4</v>
      </c>
      <c r="D1333" s="5" t="n">
        <v>143339.4</v>
      </c>
      <c r="E1333" s="2" t="inlineStr">
        <is>
          <t>Andalucía</t>
        </is>
      </c>
      <c r="F1333" s="2" t="inlineStr">
        <is>
          <t>Granada</t>
        </is>
      </c>
      <c r="G1333" s="2" t="inlineStr">
        <is>
          <t>LA CALAHORRA</t>
        </is>
      </c>
      <c r="H1333" s="2" t="inlineStr">
        <is>
          <t>Presidencia de la Diputación Provincial de Granada</t>
        </is>
      </c>
      <c r="I1333" s="2" t="inlineStr">
        <is>
          <t>"Obras de conservación y acondicionamiento de salas en Castillo de La Calahorra·</t>
        </is>
      </c>
      <c r="J1333" s="2" t="inlineStr">
        <is>
          <t>OB-077/26</t>
        </is>
      </c>
      <c r="K1333" s="2" t="inlineStr">
        <is>
          <t>Abierto simplificado</t>
        </is>
      </c>
      <c r="L1333" s="6" t="n">
        <v>3</v>
      </c>
      <c r="M1333" s="2" t="inlineStr">
        <is>
          <t>K7-1</t>
        </is>
      </c>
      <c r="N1333" s="7" t="n">
        <v>0</v>
      </c>
      <c r="O1333" s="4" t="n"/>
      <c r="P1333" s="2" t="inlineStr">
        <is>
          <t>45454100; 45212350</t>
        </is>
      </c>
      <c r="Q1333" s="8" t="inlineStr">
        <is>
          <t>Ver</t>
        </is>
      </c>
      <c r="R1333" s="8" t="inlineStr">
        <is>
          <t>PCAP</t>
        </is>
      </c>
      <c r="S1333" s="9" t="n">
        <v>46310</v>
      </c>
      <c r="T1333" s="3" t="n">
        <v>46308.56767361111</v>
      </c>
      <c r="U1333" s="2" t="n"/>
    </row>
    <row r="1334">
      <c r="A1334" s="2" t="inlineStr">
        <is>
          <t>Resuelta</t>
        </is>
      </c>
      <c r="B1334" s="3" t="n">
        <v>46210.79166666666</v>
      </c>
      <c r="C1334" s="5" t="n">
        <v>72042.59</v>
      </c>
      <c r="D1334" s="5" t="n">
        <v>72042.59</v>
      </c>
      <c r="E1334" s="2" t="inlineStr">
        <is>
          <t>Andalucía</t>
        </is>
      </c>
      <c r="F1334" s="2" t="inlineStr">
        <is>
          <t>Cádiz</t>
        </is>
      </c>
      <c r="G1334" s="2" t="inlineStr">
        <is>
          <t>TARIFA</t>
        </is>
      </c>
      <c r="H1334" s="2" t="inlineStr">
        <is>
          <t>Alcaldía del Ayuntamiento de Tarifa</t>
        </is>
      </c>
      <c r="I1334" s="2" t="inlineStr">
        <is>
          <t>consolidación de la espadaña de la Iglesia de Santiago de Tarifa</t>
        </is>
      </c>
      <c r="J1334" s="2" t="inlineStr">
        <is>
          <t>2025/</t>
        </is>
      </c>
      <c r="K1334" s="2" t="inlineStr">
        <is>
          <t>Abierto simplificado</t>
        </is>
      </c>
      <c r="L1334" s="6" t="n">
        <v>2</v>
      </c>
      <c r="M1334" s="2" t="n"/>
      <c r="N1334" s="7" t="n">
        <v>0</v>
      </c>
      <c r="O1334" s="4" t="n"/>
      <c r="P1334" s="2" t="inlineStr">
        <is>
          <t>45000000</t>
        </is>
      </c>
      <c r="Q1334" s="8" t="inlineStr">
        <is>
          <t>Ver</t>
        </is>
      </c>
      <c r="R1334" s="8" t="inlineStr">
        <is>
          <t>PCAP</t>
        </is>
      </c>
      <c r="S1334" s="9" t="n">
        <v>46310</v>
      </c>
      <c r="T1334" s="3" t="n">
        <v>46308.56576388889</v>
      </c>
      <c r="U1334" s="2" t="n"/>
    </row>
    <row r="1335">
      <c r="A1335" s="2" t="inlineStr">
        <is>
          <t>En plazo</t>
        </is>
      </c>
      <c r="B1335" s="3" t="n">
        <v>46328.99930555555</v>
      </c>
      <c r="C1335" s="5" t="n">
        <v>106640.08</v>
      </c>
      <c r="D1335" s="5" t="n">
        <v>106640.08</v>
      </c>
      <c r="E1335" s="2" t="inlineStr">
        <is>
          <t>Comunitat Valenciana</t>
        </is>
      </c>
      <c r="F1335" s="2" t="inlineStr">
        <is>
          <t>Valencia</t>
        </is>
      </c>
      <c r="G1335" s="2" t="n"/>
      <c r="H1335" s="2" t="inlineStr">
        <is>
          <t>Junta de Gobierno del Ayuntamiento de Alzira</t>
        </is>
      </c>
      <c r="I1335" s="2" t="inlineStr">
        <is>
          <t>Obras de adaptación del edificio de la Pl. Sufragio,10, para albergar el departamento de Servicios Sociales</t>
        </is>
      </c>
      <c r="J1335" s="2" t="inlineStr">
        <is>
          <t>8113/26</t>
        </is>
      </c>
      <c r="K1335" s="2" t="inlineStr">
        <is>
          <t>Abierto simplificado</t>
        </is>
      </c>
      <c r="L1335" s="6" t="n">
        <v>3</v>
      </c>
      <c r="M1335" s="2" t="n"/>
      <c r="N1335" s="7" t="n">
        <v>0</v>
      </c>
      <c r="O1335" s="4" t="n"/>
      <c r="P1335" s="2" t="inlineStr">
        <is>
          <t>45454000</t>
        </is>
      </c>
      <c r="Q1335" s="8" t="inlineStr">
        <is>
          <t>Ver</t>
        </is>
      </c>
      <c r="R1335" s="8" t="inlineStr">
        <is>
          <t>PCAP</t>
        </is>
      </c>
      <c r="S1335" s="9" t="n">
        <v>46310</v>
      </c>
      <c r="T1335" s="3" t="n">
        <v>46308.5640162037</v>
      </c>
      <c r="U1335" s="2" t="n"/>
    </row>
    <row r="1336">
      <c r="A1336" s="2" t="inlineStr">
        <is>
          <t>En plazo</t>
        </is>
      </c>
      <c r="B1336" s="3" t="n">
        <v>46329.99930555555</v>
      </c>
      <c r="C1336" s="5" t="n">
        <v>97066.57000000001</v>
      </c>
      <c r="D1336" s="5" t="n">
        <v>97066.57000000001</v>
      </c>
      <c r="E1336" s="2" t="inlineStr">
        <is>
          <t>Andalucía</t>
        </is>
      </c>
      <c r="F1336" s="2" t="inlineStr">
        <is>
          <t>Jaén</t>
        </is>
      </c>
      <c r="G1336" s="2" t="inlineStr">
        <is>
          <t>Puente de Génave</t>
        </is>
      </c>
      <c r="H1336" s="2" t="inlineStr">
        <is>
          <t>Alcaldía del Ayuntamiento de Puente de Génave</t>
        </is>
      </c>
      <c r="I1336" s="2" t="inlineStr">
        <is>
          <t>Reparación de firme en Paseo de la Vicaria.</t>
        </is>
      </c>
      <c r="J1336" s="2" t="inlineStr">
        <is>
          <t>386/2026</t>
        </is>
      </c>
      <c r="K1336" s="2" t="inlineStr">
        <is>
          <t>Abierto simplificado</t>
        </is>
      </c>
      <c r="L1336" s="6" t="n">
        <v>5</v>
      </c>
      <c r="M1336" s="2" t="inlineStr">
        <is>
          <t>G4-1</t>
        </is>
      </c>
      <c r="N1336" s="7" t="n">
        <v>0</v>
      </c>
      <c r="O1336" s="4" t="n"/>
      <c r="P1336" s="2" t="inlineStr">
        <is>
          <t>45233252; 45233222</t>
        </is>
      </c>
      <c r="Q1336" s="8" t="inlineStr">
        <is>
          <t>Ver</t>
        </is>
      </c>
      <c r="R1336" s="8" t="inlineStr">
        <is>
          <t>PCAP</t>
        </is>
      </c>
      <c r="S1336" s="9" t="n">
        <v>46310</v>
      </c>
      <c r="T1336" s="3" t="n">
        <v>46308.56355324074</v>
      </c>
      <c r="U1336" s="2" t="n"/>
    </row>
    <row r="1337">
      <c r="A1337" s="2" t="inlineStr">
        <is>
          <t>Resuelta</t>
        </is>
      </c>
      <c r="B1337" s="3" t="n">
        <v>46246.58333333334</v>
      </c>
      <c r="C1337" s="5" t="n">
        <v>197369.82</v>
      </c>
      <c r="D1337" s="5" t="n">
        <v>197369.82</v>
      </c>
      <c r="E1337" s="2" t="inlineStr">
        <is>
          <t>Comunitat Valenciana</t>
        </is>
      </c>
      <c r="F1337" s="2" t="inlineStr">
        <is>
          <t>Valencia</t>
        </is>
      </c>
      <c r="G1337" s="2" t="inlineStr">
        <is>
          <t>Los Ruices</t>
        </is>
      </c>
      <c r="H1337" s="2" t="inlineStr">
        <is>
          <t>Junta de Gobierno Local del Ayuntamiento de Requena</t>
        </is>
      </c>
      <c r="I1337" s="2" t="inlineStr">
        <is>
          <t>Reforma del centro social de Los Ruices</t>
        </is>
      </c>
      <c r="J1337" s="2" t="inlineStr">
        <is>
          <t>2810416F</t>
        </is>
      </c>
      <c r="K1337" s="2" t="inlineStr">
        <is>
          <t>Abierto simplificado</t>
        </is>
      </c>
      <c r="L1337" s="6" t="n">
        <v>4</v>
      </c>
      <c r="M1337" s="2" t="n"/>
      <c r="N1337" s="7" t="n">
        <v>0</v>
      </c>
      <c r="O1337" s="4" t="n"/>
      <c r="P1337" s="2" t="inlineStr">
        <is>
          <t>45000000</t>
        </is>
      </c>
      <c r="Q1337" s="8" t="inlineStr">
        <is>
          <t>Ver</t>
        </is>
      </c>
      <c r="R1337" s="8" t="inlineStr">
        <is>
          <t>PCAP</t>
        </is>
      </c>
      <c r="S1337" s="9" t="n">
        <v>46310</v>
      </c>
      <c r="T1337" s="3" t="n">
        <v>46308.5568287037</v>
      </c>
      <c r="U1337" s="2" t="n"/>
    </row>
    <row r="1338">
      <c r="A1338" s="2" t="inlineStr">
        <is>
          <t>Pendiente de adjudicación</t>
        </is>
      </c>
      <c r="B1338" s="3" t="n">
        <v>46244.58333333334</v>
      </c>
      <c r="C1338" s="5" t="n">
        <v>245778.41</v>
      </c>
      <c r="D1338" s="5" t="n">
        <v>270356.25</v>
      </c>
      <c r="E1338" s="2" t="inlineStr">
        <is>
          <t>Comunitat Valenciana</t>
        </is>
      </c>
      <c r="F1338" s="2" t="inlineStr">
        <is>
          <t>Alicante</t>
        </is>
      </c>
      <c r="G1338" s="2" t="inlineStr">
        <is>
          <t>Alicante (Alacant)</t>
        </is>
      </c>
      <c r="H1338" s="2" t="inlineStr">
        <is>
          <t>Junta de Gobierno del Ayuntamiento de Petrer</t>
        </is>
      </c>
      <c r="I1338" s="2" t="inlineStr">
        <is>
          <t>Obras incluidas en el "Proyecto de mejora y renovación de las zonas de juegos infantiles del Parque Municipal El Campet (Petrer)"</t>
        </is>
      </c>
      <c r="J1338" s="2" t="inlineStr">
        <is>
          <t>4908/2026-C19/26</t>
        </is>
      </c>
      <c r="K1338" s="2" t="inlineStr">
        <is>
          <t>Abierto simplificado</t>
        </is>
      </c>
      <c r="L1338" s="6" t="n">
        <v>3</v>
      </c>
      <c r="M1338" s="2" t="n"/>
      <c r="N1338" s="7" t="n"/>
      <c r="O1338" s="4" t="n"/>
      <c r="P1338" s="2" t="inlineStr">
        <is>
          <t>45200000; 45233200; 43325000</t>
        </is>
      </c>
      <c r="Q1338" s="8" t="inlineStr">
        <is>
          <t>Ver</t>
        </is>
      </c>
      <c r="R1338" s="8" t="inlineStr">
        <is>
          <t>PCAP</t>
        </is>
      </c>
      <c r="S1338" s="9" t="n">
        <v>46310</v>
      </c>
      <c r="T1338" s="3" t="n">
        <v>46308.55604166666</v>
      </c>
      <c r="U1338" s="2" t="n"/>
    </row>
    <row r="1339">
      <c r="A1339" s="2" t="inlineStr">
        <is>
          <t>Pendiente de adjudicación</t>
        </is>
      </c>
      <c r="B1339" s="3" t="n">
        <v>46300.99930555555</v>
      </c>
      <c r="C1339" s="5" t="n">
        <v>106657.02</v>
      </c>
      <c r="D1339" s="5" t="n">
        <v>106657.02</v>
      </c>
      <c r="E1339" s="2" t="inlineStr">
        <is>
          <t>Andalucía</t>
        </is>
      </c>
      <c r="F1339" s="2" t="inlineStr">
        <is>
          <t>Granada</t>
        </is>
      </c>
      <c r="G1339" s="2" t="inlineStr">
        <is>
          <t>CARCHUNA - CALAHONDA</t>
        </is>
      </c>
      <c r="H1339" s="2" t="inlineStr">
        <is>
          <t>Presidencia de la Diputación Provincial de Granada</t>
        </is>
      </c>
      <c r="I1339" s="2" t="inlineStr">
        <is>
          <t>2026/4/PPOYS-41/1 y 2026/4/PPOYS-41/2 "Carchuna-Calahonda, reforma zona peatonal Calle Espliego (Plaza Espliego) y Calle Flor de Lis de Calahonda"</t>
        </is>
      </c>
      <c r="J1339" s="2" t="inlineStr">
        <is>
          <t>OB-055/26</t>
        </is>
      </c>
      <c r="K1339" s="2" t="inlineStr">
        <is>
          <t>Abierto simplificado</t>
        </is>
      </c>
      <c r="L1339" s="6" t="n">
        <v>6</v>
      </c>
      <c r="M1339" s="2" t="inlineStr">
        <is>
          <t>G6-1</t>
        </is>
      </c>
      <c r="N1339" s="7" t="n">
        <v>0</v>
      </c>
      <c r="O1339" s="4" t="n"/>
      <c r="P1339" s="2" t="inlineStr">
        <is>
          <t>45233252; 45316100</t>
        </is>
      </c>
      <c r="Q1339" s="8" t="inlineStr">
        <is>
          <t>Ver</t>
        </is>
      </c>
      <c r="R1339" s="8" t="inlineStr">
        <is>
          <t>PCAP</t>
        </is>
      </c>
      <c r="S1339" s="9" t="n">
        <v>46310</v>
      </c>
      <c r="T1339" s="3" t="n">
        <v>46308.55388888889</v>
      </c>
      <c r="U1339" s="2" t="n"/>
    </row>
    <row r="1340">
      <c r="A1340" s="2" t="inlineStr">
        <is>
          <t>En plazo</t>
        </is>
      </c>
      <c r="B1340" s="3" t="n">
        <v>46322.99930555555</v>
      </c>
      <c r="C1340" s="5" t="n">
        <v>66527.74000000001</v>
      </c>
      <c r="D1340" s="5" t="n">
        <v>66527.74000000001</v>
      </c>
      <c r="E1340" s="2" t="inlineStr">
        <is>
          <t>Andalucía</t>
        </is>
      </c>
      <c r="F1340" s="2" t="inlineStr">
        <is>
          <t>Cádiz</t>
        </is>
      </c>
      <c r="G1340" s="2" t="inlineStr">
        <is>
          <t>Puerto Real</t>
        </is>
      </c>
      <c r="H1340" s="2" t="inlineStr">
        <is>
          <t>Alcaldía del Ayuntamiento de Puerto Real</t>
        </is>
      </c>
      <c r="I1340" s="2" t="inlineStr">
        <is>
          <t>B/005/2026: Obras de mejora de la iluminación y eficiencia energética de la instalación deportiva Sala de Barrio 512 de Puerto Real.</t>
        </is>
      </c>
      <c r="J1340" s="2" t="inlineStr">
        <is>
          <t>12921/2026</t>
        </is>
      </c>
      <c r="K1340" s="2" t="inlineStr">
        <is>
          <t>Abierto simplificado</t>
        </is>
      </c>
      <c r="L1340" s="6" t="n">
        <v>0.9</v>
      </c>
      <c r="M1340" s="2" t="n"/>
      <c r="N1340" s="7" t="n">
        <v>0</v>
      </c>
      <c r="O1340" s="4" t="n"/>
      <c r="P1340" s="2" t="inlineStr">
        <is>
          <t>45310000; 45316000</t>
        </is>
      </c>
      <c r="Q1340" s="8" t="inlineStr">
        <is>
          <t>Ver</t>
        </is>
      </c>
      <c r="R1340" s="8" t="inlineStr">
        <is>
          <t>PCAP</t>
        </is>
      </c>
      <c r="S1340" s="9" t="n">
        <v>46310</v>
      </c>
      <c r="T1340" s="3" t="n">
        <v>46308.55271990741</v>
      </c>
      <c r="U1340" s="2" t="n"/>
    </row>
    <row r="1341">
      <c r="A1341" s="2" t="inlineStr">
        <is>
          <t>En plazo</t>
        </is>
      </c>
      <c r="B1341" s="3" t="n">
        <v>46329.99930555555</v>
      </c>
      <c r="C1341" s="5" t="n">
        <v>147607.22</v>
      </c>
      <c r="D1341" s="5" t="n">
        <v>147607.22</v>
      </c>
      <c r="E1341" s="2" t="inlineStr">
        <is>
          <t>Andalucía</t>
        </is>
      </c>
      <c r="F1341" s="2" t="inlineStr">
        <is>
          <t>Málaga</t>
        </is>
      </c>
      <c r="G1341" s="2" t="n"/>
      <c r="H1341" s="2" t="inlineStr">
        <is>
          <t>Presidencia de la Diputación Provincial de Málaga</t>
        </is>
      </c>
      <c r="I1341" s="2" t="inlineStr">
        <is>
          <t>Reforma de aseos en planta primera y segunda en Centro Virgen de la Esperanza</t>
        </is>
      </c>
      <c r="J1341" s="2" t="inlineStr">
        <is>
          <t>OP-PA.-2024/004-3A-CONV</t>
        </is>
      </c>
      <c r="K1341" s="2" t="inlineStr">
        <is>
          <t>Abierto simplificado</t>
        </is>
      </c>
      <c r="L1341" s="6" t="n">
        <v>3</v>
      </c>
      <c r="M1341" s="2" t="n"/>
      <c r="N1341" s="7" t="n">
        <v>0</v>
      </c>
      <c r="O1341" s="4" t="n"/>
      <c r="P1341" s="2" t="inlineStr">
        <is>
          <t>45211310</t>
        </is>
      </c>
      <c r="Q1341" s="8" t="inlineStr">
        <is>
          <t>Ver</t>
        </is>
      </c>
      <c r="R1341" s="8" t="inlineStr">
        <is>
          <t>PCAP</t>
        </is>
      </c>
      <c r="S1341" s="9" t="n">
        <v>46310</v>
      </c>
      <c r="T1341" s="3" t="n">
        <v>46308.55158564815</v>
      </c>
      <c r="U1341" s="2" t="n"/>
    </row>
    <row r="1342">
      <c r="A1342" s="2" t="inlineStr">
        <is>
          <t>Pendiente de adjudicación</t>
        </is>
      </c>
      <c r="B1342" s="3" t="n">
        <v>46246.99930555555</v>
      </c>
      <c r="C1342" s="5" t="n">
        <v>488969.76</v>
      </c>
      <c r="D1342" s="5" t="n">
        <v>635660.6899999999</v>
      </c>
      <c r="E1342" s="2" t="inlineStr">
        <is>
          <t>Comunitat Valenciana</t>
        </is>
      </c>
      <c r="F1342" s="2" t="inlineStr">
        <is>
          <t>Valencia</t>
        </is>
      </c>
      <c r="G1342" s="2" t="n"/>
      <c r="H1342" s="2" t="inlineStr">
        <is>
          <t>Dirección de la Agencia Valenciana de Seguridad y Respuestas a las Emergencias</t>
        </is>
      </c>
      <c r="I1342" s="2" t="inlineStr">
        <is>
          <t>Obras de reparación de diversas patologías en el hormigón y revestimientos del edificio de departamentos docentes del Instituto Valenciano de Seguridad Pública y Emergencias, ubicado en el Complejo Educativo de Cheste</t>
        </is>
      </c>
      <c r="J1342" s="2" t="inlineStr">
        <is>
          <t>CNMY26/IVA/09</t>
        </is>
      </c>
      <c r="K1342" s="2" t="inlineStr">
        <is>
          <t>Abierto simplificado</t>
        </is>
      </c>
      <c r="L1342" s="6" t="n">
        <v>6</v>
      </c>
      <c r="M1342" s="2" t="n"/>
      <c r="N1342" s="7" t="n">
        <v>0</v>
      </c>
      <c r="O1342" s="4" t="n"/>
      <c r="P1342" s="2" t="inlineStr">
        <is>
          <t>45000000; 45262700; 45400000; 45212350; 45262690</t>
        </is>
      </c>
      <c r="Q1342" s="8" t="inlineStr">
        <is>
          <t>Ver</t>
        </is>
      </c>
      <c r="R1342" s="8" t="inlineStr">
        <is>
          <t>PCAP</t>
        </is>
      </c>
      <c r="S1342" s="9" t="n">
        <v>46310</v>
      </c>
      <c r="T1342" s="3" t="n">
        <v>46308.54888888889</v>
      </c>
      <c r="U1342" s="2" t="n"/>
    </row>
    <row r="1343">
      <c r="A1343" s="2" t="inlineStr">
        <is>
          <t>En plazo</t>
        </is>
      </c>
      <c r="B1343" s="3" t="n">
        <v>46328.99930555555</v>
      </c>
      <c r="C1343" s="5" t="n">
        <v>407724.68</v>
      </c>
      <c r="D1343" s="5" t="n">
        <v>407724.68</v>
      </c>
      <c r="E1343" s="2" t="inlineStr">
        <is>
          <t>Comunitat Valenciana</t>
        </is>
      </c>
      <c r="F1343" s="2" t="inlineStr">
        <is>
          <t>Valencia</t>
        </is>
      </c>
      <c r="G1343" s="2" t="inlineStr">
        <is>
          <t>Sinarcas</t>
        </is>
      </c>
      <c r="H1343" s="2" t="inlineStr">
        <is>
          <t>Pleno del Ayuntamiento de Sinarcas</t>
        </is>
      </c>
      <c r="I1343" s="2" t="inlineStr">
        <is>
          <t>Habilitación y urbanización de la zona comprendida entre C/ Cerro Carpio y Avda. Gran Sinarcas</t>
        </is>
      </c>
      <c r="J1343" s="2" t="inlineStr">
        <is>
          <t>76/2026 DANA 2024</t>
        </is>
      </c>
      <c r="K1343" s="2" t="inlineStr">
        <is>
          <t>Abierto simplificado</t>
        </is>
      </c>
      <c r="L1343" s="6" t="n">
        <v>11</v>
      </c>
      <c r="M1343" s="2" t="n"/>
      <c r="N1343" s="7" t="n">
        <v>0</v>
      </c>
      <c r="O1343" s="4" t="n"/>
      <c r="P1343" s="2" t="inlineStr">
        <is>
          <t>45211360; 45233252; 45232451; 45112710</t>
        </is>
      </c>
      <c r="Q1343" s="8" t="inlineStr">
        <is>
          <t>Ver</t>
        </is>
      </c>
      <c r="R1343" s="8" t="inlineStr">
        <is>
          <t>PCAP</t>
        </is>
      </c>
      <c r="S1343" s="9" t="n">
        <v>46310</v>
      </c>
      <c r="T1343" s="3" t="n">
        <v>46308.54163194444</v>
      </c>
      <c r="U1343" s="2" t="n"/>
    </row>
    <row r="1344">
      <c r="A1344" s="2" t="inlineStr">
        <is>
          <t>En plazo</t>
        </is>
      </c>
      <c r="B1344" s="3" t="n">
        <v>46322.99930555555</v>
      </c>
      <c r="C1344" s="5" t="n">
        <v>39283.62</v>
      </c>
      <c r="D1344" s="5" t="n">
        <v>39283.62</v>
      </c>
      <c r="E1344" s="2" t="inlineStr">
        <is>
          <t>Andalucía</t>
        </is>
      </c>
      <c r="F1344" s="2" t="inlineStr">
        <is>
          <t>Córdoba</t>
        </is>
      </c>
      <c r="G1344" s="2" t="inlineStr">
        <is>
          <t>Peñarroya-Pueblonuevo</t>
        </is>
      </c>
      <c r="H1344" s="2" t="inlineStr">
        <is>
          <t>Alcaldía del Ayuntamiento de Peñarroya-Pueblonuevo</t>
        </is>
      </c>
      <c r="I1344" s="2" t="inlineStr">
        <is>
          <t>Constituye el objeto del contrato la ejecución de las obras de restauración de la chimenea de la antigua fábrica de ácido sulfúrico, contenidas en el Proyecto Técnico redactado por D.ª María Isabel Payer Ibáñez y aprobado por acuerdo de fecha 05/12/2025, de acuerdo al mismo y a las determinaciones contenidas en este pliego y en el de prescripciones técnicas.</t>
        </is>
      </c>
      <c r="J1344" s="2" t="inlineStr">
        <is>
          <t>12250/2026</t>
        </is>
      </c>
      <c r="K1344" s="2" t="inlineStr">
        <is>
          <t>Abierto simplificado</t>
        </is>
      </c>
      <c r="L1344" s="6" t="n">
        <v>2</v>
      </c>
      <c r="M1344" s="2" t="n"/>
      <c r="N1344" s="7" t="n">
        <v>0</v>
      </c>
      <c r="O1344" s="4" t="n"/>
      <c r="P1344" s="2" t="inlineStr">
        <is>
          <t>45200000; 45262520; 45450000</t>
        </is>
      </c>
      <c r="Q1344" s="8" t="inlineStr">
        <is>
          <t>Ver</t>
        </is>
      </c>
      <c r="R1344" s="8" t="inlineStr">
        <is>
          <t>PCAP</t>
        </is>
      </c>
      <c r="S1344" s="9" t="n">
        <v>46310</v>
      </c>
      <c r="T1344" s="3" t="n">
        <v>46308.54046296296</v>
      </c>
      <c r="U1344" s="2" t="n"/>
    </row>
    <row r="1345">
      <c r="A1345" s="2" t="inlineStr">
        <is>
          <t>Pendiente de adjudicación</t>
        </is>
      </c>
      <c r="B1345" s="3" t="n">
        <v>46217.54166666666</v>
      </c>
      <c r="C1345" s="5" t="n">
        <v>6462516.64</v>
      </c>
      <c r="D1345" s="5" t="n">
        <v>6462516.64</v>
      </c>
      <c r="E1345" s="2" t="inlineStr">
        <is>
          <t>Comunitat Valenciana</t>
        </is>
      </c>
      <c r="F1345" s="2" t="inlineStr">
        <is>
          <t>Valencia</t>
        </is>
      </c>
      <c r="G1345" s="2" t="n"/>
      <c r="H1345" s="2" t="inlineStr">
        <is>
          <t>ADIF -Consejo de Administración</t>
        </is>
      </c>
      <c r="I1345" s="2" t="inlineStr">
        <is>
          <t>Ejecución de las obras del proyecto constructivo de la nueva subestación eléctrica de tracción de Gandía y del proyecto constructivo de línea de acometida entre Set Iberdrola Gandía y nueva subestación Gandía Adif.</t>
        </is>
      </c>
      <c r="J1345" s="2" t="inlineStr">
        <is>
          <t>3.26/27507.0089</t>
        </is>
      </c>
      <c r="K1345" s="2" t="inlineStr">
        <is>
          <t>Abierto</t>
        </is>
      </c>
      <c r="L1345" s="6" t="n">
        <v>17</v>
      </c>
      <c r="M1345" s="2" t="inlineStr">
        <is>
          <t>I4-4</t>
        </is>
      </c>
      <c r="N1345" s="7" t="n">
        <v>0.49</v>
      </c>
      <c r="O1345" s="4" t="n"/>
      <c r="P1345" s="2" t="inlineStr">
        <is>
          <t>45234170</t>
        </is>
      </c>
      <c r="Q1345" s="8" t="inlineStr">
        <is>
          <t>Ver</t>
        </is>
      </c>
      <c r="R1345" s="8" t="inlineStr">
        <is>
          <t>PCAP</t>
        </is>
      </c>
      <c r="S1345" s="9" t="n">
        <v>46310</v>
      </c>
      <c r="T1345" s="3" t="n">
        <v>46308.53894675926</v>
      </c>
      <c r="U1345" s="2" t="n"/>
    </row>
    <row r="1346">
      <c r="A1346" s="2" t="inlineStr">
        <is>
          <t>Resuelta</t>
        </is>
      </c>
      <c r="B1346" s="3" t="n"/>
      <c r="C1346" s="5" t="n">
        <v>3593984.23</v>
      </c>
      <c r="D1346" s="5" t="n">
        <v>4348720.92</v>
      </c>
      <c r="E1346" s="2" t="inlineStr">
        <is>
          <t>Andalucía</t>
        </is>
      </c>
      <c r="F1346" s="2" t="inlineStr">
        <is>
          <t>Granada</t>
        </is>
      </c>
      <c r="G1346" s="2" t="n"/>
      <c r="H1346" s="2" t="inlineStr">
        <is>
          <t>Demarcación de Carreteras del Estado en Andalucía Oriental</t>
        </is>
      </c>
      <c r="I1346" s="2" t="inlineStr">
        <is>
          <t>Reparación del Viaducto de Rules en el P.K. 171+400 de la autovía A-44. Provincia de Granada . LOTE 1-AMPLIACIÓN EM23-GR-02.L1.AMPLIACION-2</t>
        </is>
      </c>
      <c r="J1346" s="2" t="inlineStr">
        <is>
          <t>EM23-GR-02.L1.AMPLIACION-2</t>
        </is>
      </c>
      <c r="K1346" s="2" t="inlineStr">
        <is>
          <t>Negociado sin publicidad</t>
        </is>
      </c>
      <c r="L1346" s="6" t="n">
        <v>14</v>
      </c>
      <c r="M1346" s="2" t="n"/>
      <c r="N1346" s="7" t="n"/>
      <c r="O1346" s="4" t="n"/>
      <c r="P1346" s="2" t="inlineStr">
        <is>
          <t>45000000</t>
        </is>
      </c>
      <c r="Q1346" s="8" t="inlineStr">
        <is>
          <t>Ver</t>
        </is>
      </c>
      <c r="R1346" s="2" t="n"/>
      <c r="S1346" s="9" t="n">
        <v>46310</v>
      </c>
      <c r="T1346" s="3" t="n">
        <v>46308.53878472222</v>
      </c>
      <c r="U1346" s="2" t="n"/>
    </row>
    <row r="1347">
      <c r="A1347" s="2" t="inlineStr">
        <is>
          <t>Resuelta</t>
        </is>
      </c>
      <c r="B1347" s="3" t="n"/>
      <c r="C1347" s="5" t="n">
        <v>868220.77</v>
      </c>
      <c r="D1347" s="5" t="n">
        <v>1094662.01</v>
      </c>
      <c r="E1347" s="2" t="inlineStr">
        <is>
          <t>Andalucía</t>
        </is>
      </c>
      <c r="F1347" s="2" t="inlineStr">
        <is>
          <t>Granada</t>
        </is>
      </c>
      <c r="G1347" s="2" t="n"/>
      <c r="H1347" s="2" t="inlineStr">
        <is>
          <t>Demarcación de Carreteras del Estado en Andalucía Oriental</t>
        </is>
      </c>
      <c r="I1347" s="2" t="inlineStr">
        <is>
          <t>Reparación del Viaducto de Rules en el P.K. 171+400 de la autovía A-44. Provincia de Granada ”.</t>
        </is>
      </c>
      <c r="J1347" s="2" t="inlineStr">
        <is>
          <t>EM23-GR-02.L3</t>
        </is>
      </c>
      <c r="K1347" s="2" t="inlineStr">
        <is>
          <t>Negociado sin publicidad</t>
        </is>
      </c>
      <c r="L1347" s="6" t="n">
        <v>17</v>
      </c>
      <c r="M1347" s="2" t="n"/>
      <c r="N1347" s="7" t="n"/>
      <c r="O1347" s="4" t="n"/>
      <c r="P1347" s="2" t="inlineStr">
        <is>
          <t>45000000</t>
        </is>
      </c>
      <c r="Q1347" s="8" t="inlineStr">
        <is>
          <t>Ver</t>
        </is>
      </c>
      <c r="R1347" s="2" t="n"/>
      <c r="S1347" s="9" t="n">
        <v>46310</v>
      </c>
      <c r="T1347" s="3" t="n">
        <v>46308.53636574074</v>
      </c>
      <c r="U1347" s="2" t="n"/>
    </row>
    <row r="1348">
      <c r="A1348" s="2" t="inlineStr">
        <is>
          <t>Adjudicada</t>
        </is>
      </c>
      <c r="B1348" s="3" t="n">
        <v>46169.99930555555</v>
      </c>
      <c r="C1348" s="5" t="n">
        <v>1439846.95</v>
      </c>
      <c r="D1348" s="5" t="n">
        <v>1439846.95</v>
      </c>
      <c r="E1348" s="2" t="inlineStr">
        <is>
          <t>Comunitat Valenciana</t>
        </is>
      </c>
      <c r="F1348" s="2" t="inlineStr">
        <is>
          <t>Valencia</t>
        </is>
      </c>
      <c r="G1348" s="2" t="inlineStr">
        <is>
          <t>Benetússer</t>
        </is>
      </c>
      <c r="H1348" s="2" t="inlineStr">
        <is>
          <t>Pleno del Ayuntamiento de Benetússer</t>
        </is>
      </c>
      <c r="I1348" s="2" t="inlineStr">
        <is>
          <t>Ejecución del Proyecto de obras de "Intervención en molí de Benetússer, de reparación y restauración por daños provocados por la DANA. Bien de relevancia local: espacio etnológico de interés local"</t>
        </is>
      </c>
      <c r="J1348" s="2" t="inlineStr">
        <is>
          <t>2497682D</t>
        </is>
      </c>
      <c r="K1348" s="2" t="inlineStr">
        <is>
          <t>Abierto simplificado</t>
        </is>
      </c>
      <c r="L1348" s="6" t="n">
        <v>15</v>
      </c>
      <c r="M1348" s="2" t="inlineStr">
        <is>
          <t>C2-4</t>
        </is>
      </c>
      <c r="N1348" s="7" t="n">
        <v>0</v>
      </c>
      <c r="O1348" s="4" t="n"/>
      <c r="P1348" s="2" t="inlineStr">
        <is>
          <t>45212314</t>
        </is>
      </c>
      <c r="Q1348" s="8" t="inlineStr">
        <is>
          <t>Ver</t>
        </is>
      </c>
      <c r="R1348" s="8" t="inlineStr">
        <is>
          <t>PCAP</t>
        </is>
      </c>
      <c r="S1348" s="9" t="n">
        <v>46310</v>
      </c>
      <c r="T1348" s="3" t="n">
        <v>46308.53483796296</v>
      </c>
      <c r="U1348" s="2" t="n"/>
    </row>
    <row r="1349">
      <c r="A1349" s="2" t="inlineStr">
        <is>
          <t>En plazo</t>
        </is>
      </c>
      <c r="B1349" s="3" t="n">
        <v>46329.54166666666</v>
      </c>
      <c r="C1349" s="5" t="n">
        <v>164454.24</v>
      </c>
      <c r="D1349" s="5" t="n">
        <v>164454.24</v>
      </c>
      <c r="E1349" s="2" t="inlineStr">
        <is>
          <t>Comunitat Valenciana</t>
        </is>
      </c>
      <c r="F1349" s="2" t="inlineStr">
        <is>
          <t>Alicante</t>
        </is>
      </c>
      <c r="G1349" s="2" t="inlineStr">
        <is>
          <t>Onil</t>
        </is>
      </c>
      <c r="H1349" s="2" t="inlineStr">
        <is>
          <t>Junta de Gobierno Local del Ayuntamiento de Onil</t>
        </is>
      </c>
      <c r="I1349" s="2" t="inlineStr">
        <is>
          <t>Contratación de obras de reforma del local de AFA en la calle Doctor Esquerdo, 1, de Onil (Alicante)</t>
        </is>
      </c>
      <c r="J1349" s="2" t="inlineStr">
        <is>
          <t>4123/2026</t>
        </is>
      </c>
      <c r="K1349" s="2" t="inlineStr">
        <is>
          <t>Abierto simplificado</t>
        </is>
      </c>
      <c r="L1349" s="6" t="n">
        <v>4</v>
      </c>
      <c r="M1349" s="2" t="n"/>
      <c r="N1349" s="7" t="n">
        <v>0</v>
      </c>
      <c r="O1349" s="4" t="n"/>
      <c r="P1349" s="2" t="inlineStr">
        <is>
          <t>45215200; 45454000; 45321000; 45211350</t>
        </is>
      </c>
      <c r="Q1349" s="8" t="inlineStr">
        <is>
          <t>Ver</t>
        </is>
      </c>
      <c r="R1349" s="8" t="inlineStr">
        <is>
          <t>PCAP</t>
        </is>
      </c>
      <c r="S1349" s="9" t="n">
        <v>46310</v>
      </c>
      <c r="T1349" s="3" t="n">
        <v>46308.53428240741</v>
      </c>
      <c r="U1349" s="2" t="n"/>
    </row>
    <row r="1350">
      <c r="A1350" s="2" t="inlineStr">
        <is>
          <t>Resuelta</t>
        </is>
      </c>
      <c r="B1350" s="3" t="n"/>
      <c r="C1350" s="5" t="n">
        <v>15121763.47</v>
      </c>
      <c r="D1350" s="5" t="n">
        <v>18297333.81</v>
      </c>
      <c r="E1350" s="2" t="inlineStr">
        <is>
          <t>Andalucía</t>
        </is>
      </c>
      <c r="F1350" s="2" t="inlineStr">
        <is>
          <t>Granada</t>
        </is>
      </c>
      <c r="G1350" s="2" t="n"/>
      <c r="H1350" s="2" t="inlineStr">
        <is>
          <t>Demarcación de Carreteras del Estado en Andalucía Oriental</t>
        </is>
      </c>
      <c r="I1350" s="2" t="inlineStr">
        <is>
          <t>Reparación del Viaducto de Rules en el P.K. 171+400 de la autovía A-44. Provincia de Granada - EM23-GR-02.L1.AMPLIACION-1</t>
        </is>
      </c>
      <c r="J1350" s="2" t="inlineStr">
        <is>
          <t>EM23-GR-02.L1.AMPLIACION-1</t>
        </is>
      </c>
      <c r="K1350" s="2" t="inlineStr">
        <is>
          <t>Negociado sin publicidad</t>
        </is>
      </c>
      <c r="L1350" s="6" t="n">
        <v>17</v>
      </c>
      <c r="M1350" s="2" t="n"/>
      <c r="N1350" s="7" t="n"/>
      <c r="O1350" s="4" t="n"/>
      <c r="P1350" s="2" t="inlineStr">
        <is>
          <t>45000000</t>
        </is>
      </c>
      <c r="Q1350" s="8" t="inlineStr">
        <is>
          <t>Ver</t>
        </is>
      </c>
      <c r="R1350" s="2" t="n"/>
      <c r="S1350" s="9" t="n">
        <v>46310</v>
      </c>
      <c r="T1350" s="3" t="n">
        <v>46308.53365740741</v>
      </c>
      <c r="U1350" s="2" t="n"/>
    </row>
    <row r="1351">
      <c r="A1351" s="2" t="inlineStr">
        <is>
          <t>Pendiente de adjudicación</t>
        </is>
      </c>
      <c r="B1351" s="3" t="n">
        <v>46279.99930555555</v>
      </c>
      <c r="C1351" s="5" t="n">
        <v>79271.89999999999</v>
      </c>
      <c r="D1351" s="5" t="n">
        <v>79271.89999999999</v>
      </c>
      <c r="E1351" s="2" t="inlineStr">
        <is>
          <t>Andalucía</t>
        </is>
      </c>
      <c r="F1351" s="2" t="inlineStr">
        <is>
          <t>Granada</t>
        </is>
      </c>
      <c r="G1351" s="2" t="inlineStr">
        <is>
          <t>PURULLENA</t>
        </is>
      </c>
      <c r="H1351" s="2" t="inlineStr">
        <is>
          <t>Presidencia de la Diputación Provincial de Granada</t>
        </is>
      </c>
      <c r="I1351" s="2" t="inlineStr">
        <is>
          <t>2026/4/PPOYS-146/2 "Purullena, acondicionamiento de redes y pavimentación en C/ Federico García Lorca (El Bejarín)"</t>
        </is>
      </c>
      <c r="J1351" s="2" t="inlineStr">
        <is>
          <t>OB-056/26</t>
        </is>
      </c>
      <c r="K1351" s="2" t="inlineStr">
        <is>
          <t>Abierto simplificado</t>
        </is>
      </c>
      <c r="L1351" s="6" t="n">
        <v>4</v>
      </c>
      <c r="M1351" s="2" t="inlineStr">
        <is>
          <t>G6-1; E7-1</t>
        </is>
      </c>
      <c r="N1351" s="7" t="n">
        <v>0</v>
      </c>
      <c r="O1351" s="4" t="n"/>
      <c r="P1351" s="2" t="inlineStr">
        <is>
          <t>45231100; 45233252</t>
        </is>
      </c>
      <c r="Q1351" s="8" t="inlineStr">
        <is>
          <t>Ver</t>
        </is>
      </c>
      <c r="R1351" s="8" t="inlineStr">
        <is>
          <t>PCAP</t>
        </is>
      </c>
      <c r="S1351" s="9" t="n">
        <v>46310</v>
      </c>
      <c r="T1351" s="3" t="n">
        <v>46308.53363425926</v>
      </c>
      <c r="U1351" s="2" t="n"/>
    </row>
    <row r="1352">
      <c r="A1352" s="2" t="inlineStr">
        <is>
          <t>En plazo</t>
        </is>
      </c>
      <c r="B1352" s="3" t="n">
        <v>46328.99930555555</v>
      </c>
      <c r="C1352" s="5" t="n">
        <v>347409.87</v>
      </c>
      <c r="D1352" s="5" t="n">
        <v>347409.87</v>
      </c>
      <c r="E1352" s="2" t="inlineStr">
        <is>
          <t>Comunitat Valenciana</t>
        </is>
      </c>
      <c r="F1352" s="2" t="inlineStr">
        <is>
          <t>Castellón</t>
        </is>
      </c>
      <c r="G1352" s="2" t="inlineStr">
        <is>
          <t>LA SALZADELLA</t>
        </is>
      </c>
      <c r="H1352" s="2" t="inlineStr">
        <is>
          <t>Pleno del Ayuntamiento de La Salzadella</t>
        </is>
      </c>
      <c r="I1352" s="2" t="inlineStr">
        <is>
          <t>Reforma y ampliación del Centro de Salud de La Salzadella</t>
        </is>
      </c>
      <c r="J1352" s="2" t="inlineStr">
        <is>
          <t>475/2026</t>
        </is>
      </c>
      <c r="K1352" s="2" t="inlineStr">
        <is>
          <t>Abierto simplificado</t>
        </is>
      </c>
      <c r="L1352" s="6" t="n">
        <v>13</v>
      </c>
      <c r="M1352" s="2" t="n"/>
      <c r="N1352" s="7" t="n">
        <v>0.24</v>
      </c>
      <c r="O1352" s="4" t="n"/>
      <c r="P1352" s="2" t="inlineStr">
        <is>
          <t>45210000; 45454000</t>
        </is>
      </c>
      <c r="Q1352" s="8" t="inlineStr">
        <is>
          <t>Ver</t>
        </is>
      </c>
      <c r="R1352" s="8" t="inlineStr">
        <is>
          <t>PCAP</t>
        </is>
      </c>
      <c r="S1352" s="9" t="n">
        <v>46310</v>
      </c>
      <c r="T1352" s="3" t="n">
        <v>46308.52773148148</v>
      </c>
      <c r="U1352" s="2" t="n"/>
    </row>
    <row r="1353">
      <c r="A1353" s="2" t="inlineStr">
        <is>
          <t>Adjudicada</t>
        </is>
      </c>
      <c r="B1353" s="3" t="n">
        <v>46232.99930555555</v>
      </c>
      <c r="C1353" s="5" t="n">
        <v>1068114.41</v>
      </c>
      <c r="D1353" s="5" t="n">
        <v>1068114.41</v>
      </c>
      <c r="E1353" s="2" t="inlineStr">
        <is>
          <t>Comunitat Valenciana</t>
        </is>
      </c>
      <c r="F1353" s="2" t="inlineStr">
        <is>
          <t>Valencia</t>
        </is>
      </c>
      <c r="G1353" s="2" t="n"/>
      <c r="H1353" s="2" t="inlineStr">
        <is>
          <t>Junta de Gobierno del Ayuntamiento de Alzira</t>
        </is>
      </c>
      <c r="I1353" s="2" t="inlineStr">
        <is>
          <t>Construcción de dos pistas semicubiertas en Tulell</t>
        </is>
      </c>
      <c r="J1353" s="2" t="inlineStr">
        <is>
          <t>OC-3886/26</t>
        </is>
      </c>
      <c r="K1353" s="2" t="inlineStr">
        <is>
          <t>Abierto simplificado</t>
        </is>
      </c>
      <c r="L1353" s="6" t="n">
        <v>6</v>
      </c>
      <c r="M1353" s="2" t="n"/>
      <c r="N1353" s="7" t="n">
        <v>0</v>
      </c>
      <c r="O1353" s="4" t="n"/>
      <c r="P1353" s="2" t="inlineStr">
        <is>
          <t>45212220; 45223100</t>
        </is>
      </c>
      <c r="Q1353" s="8" t="inlineStr">
        <is>
          <t>Ver</t>
        </is>
      </c>
      <c r="R1353" s="8" t="inlineStr">
        <is>
          <t>PCAP</t>
        </is>
      </c>
      <c r="S1353" s="9" t="n">
        <v>46310</v>
      </c>
      <c r="T1353" s="3" t="n">
        <v>46308.52258101852</v>
      </c>
      <c r="U1353" s="2" t="n"/>
    </row>
    <row r="1354">
      <c r="A1354" s="2" t="inlineStr">
        <is>
          <t>En plazo</t>
        </is>
      </c>
      <c r="B1354" s="3" t="n">
        <v>46329.99930555555</v>
      </c>
      <c r="C1354" s="5" t="n">
        <v>66115.7</v>
      </c>
      <c r="D1354" s="5" t="n">
        <v>66115.7</v>
      </c>
      <c r="E1354" s="2" t="inlineStr">
        <is>
          <t>Andalucía</t>
        </is>
      </c>
      <c r="F1354" s="2" t="inlineStr">
        <is>
          <t>Almería</t>
        </is>
      </c>
      <c r="G1354" s="2" t="n"/>
      <c r="H1354" s="2" t="inlineStr">
        <is>
          <t>Junta de Gobierno de la Diputación Provincial de Almería</t>
        </is>
      </c>
      <c r="I1354" s="2" t="inlineStr">
        <is>
          <t>Pavimentación Caminos Municipales. Velefique 86PCAM24-27BII</t>
        </is>
      </c>
      <c r="J1354" s="2" t="inlineStr">
        <is>
          <t>2025/D31000/006-013/00301</t>
        </is>
      </c>
      <c r="K1354" s="2" t="inlineStr">
        <is>
          <t>Abierto simplificado</t>
        </is>
      </c>
      <c r="L1354" s="6" t="n">
        <v>2</v>
      </c>
      <c r="M1354" s="2" t="n"/>
      <c r="N1354" s="7" t="n">
        <v>0.25</v>
      </c>
      <c r="O1354" s="4" t="n"/>
      <c r="P1354" s="2" t="inlineStr">
        <is>
          <t>45233222</t>
        </is>
      </c>
      <c r="Q1354" s="8" t="inlineStr">
        <is>
          <t>Ver</t>
        </is>
      </c>
      <c r="R1354" s="8" t="inlineStr">
        <is>
          <t>PCAP</t>
        </is>
      </c>
      <c r="S1354" s="9" t="n">
        <v>46310</v>
      </c>
      <c r="T1354" s="3" t="n">
        <v>46308.52186342593</v>
      </c>
      <c r="U1354" s="2" t="n"/>
    </row>
    <row r="1355">
      <c r="A1355" s="2" t="inlineStr">
        <is>
          <t>Resuelta</t>
        </is>
      </c>
      <c r="B1355" s="3" t="n">
        <v>46230.99930555555</v>
      </c>
      <c r="C1355" s="5" t="n">
        <v>33866.49</v>
      </c>
      <c r="D1355" s="5" t="n">
        <v>33866.49</v>
      </c>
      <c r="E1355" s="2" t="inlineStr">
        <is>
          <t>Andalucía</t>
        </is>
      </c>
      <c r="F1355" s="2" t="inlineStr">
        <is>
          <t>Granada</t>
        </is>
      </c>
      <c r="G1355" s="2" t="n"/>
      <c r="H1355" s="2" t="inlineStr">
        <is>
          <t>Alcaldía del Ayuntamiento de Las Gabias</t>
        </is>
      </c>
      <c r="I1355" s="2" t="inlineStr">
        <is>
          <t>Suministro, desmontaje, instalación y puesta en marcha de caldera y acumuladores de ACS en la piscina municipal.</t>
        </is>
      </c>
      <c r="J1355" s="2" t="inlineStr">
        <is>
          <t>113/2026</t>
        </is>
      </c>
      <c r="K1355" s="2" t="inlineStr">
        <is>
          <t>Abierto simplificado</t>
        </is>
      </c>
      <c r="L1355" s="6" t="n">
        <v>3</v>
      </c>
      <c r="M1355" s="2" t="n"/>
      <c r="N1355" s="7" t="n">
        <v>0</v>
      </c>
      <c r="O1355" s="4" t="n"/>
      <c r="P1355" s="2" t="inlineStr">
        <is>
          <t>45331100; 45232150; 45331110; 50511000</t>
        </is>
      </c>
      <c r="Q1355" s="8" t="inlineStr">
        <is>
          <t>Ver</t>
        </is>
      </c>
      <c r="R1355" s="8" t="inlineStr">
        <is>
          <t>PCAP</t>
        </is>
      </c>
      <c r="S1355" s="9" t="n">
        <v>46310</v>
      </c>
      <c r="T1355" s="3" t="n">
        <v>46308.52038194444</v>
      </c>
      <c r="U1355" s="2" t="n"/>
    </row>
    <row r="1356">
      <c r="A1356" s="2" t="inlineStr">
        <is>
          <t>Pendiente de adjudicación</t>
        </is>
      </c>
      <c r="B1356" s="3" t="n">
        <v>46217.54166666666</v>
      </c>
      <c r="C1356" s="5" t="n">
        <v>2746158.14</v>
      </c>
      <c r="D1356" s="5" t="n">
        <v>2746158.14</v>
      </c>
      <c r="E1356" s="2" t="inlineStr">
        <is>
          <t>Andalucía</t>
        </is>
      </c>
      <c r="F1356" s="2" t="n"/>
      <c r="G1356" s="2" t="n"/>
      <c r="H1356" s="2" t="inlineStr">
        <is>
          <t>ADIF - Presidencia</t>
        </is>
      </c>
      <c r="I1356" s="2" t="inlineStr">
        <is>
          <t>Ejecución de las obras correspondientes a los proyectos de reposición y ejecución de cerramientos en el ámbito de la Subdirección de Operaciones de Red Convencional Sur. Gerencia de Área de Infraestructura Sur. Jefatura de Área de Mantenimiento de Córdoba. Línea 400 (p.k. 430/9 al 498/1, Línea 420 (p.k. 35/000 al 42/550, 69/5 al 75/4, 129/680 al 173/300).</t>
        </is>
      </c>
      <c r="J1356" s="2" t="inlineStr">
        <is>
          <t>3.26/27507.0098</t>
        </is>
      </c>
      <c r="K1356" s="2" t="inlineStr">
        <is>
          <t>Abierto</t>
        </is>
      </c>
      <c r="L1356" s="6" t="n">
        <v>12</v>
      </c>
      <c r="M1356" s="2" t="inlineStr">
        <is>
          <t>D5-5</t>
        </is>
      </c>
      <c r="N1356" s="7" t="n">
        <v>0.49</v>
      </c>
      <c r="O1356" s="4" t="n"/>
      <c r="P1356" s="2" t="inlineStr">
        <is>
          <t>45234100</t>
        </is>
      </c>
      <c r="Q1356" s="8" t="inlineStr">
        <is>
          <t>Ver</t>
        </is>
      </c>
      <c r="R1356" s="8" t="inlineStr">
        <is>
          <t>PCAP</t>
        </is>
      </c>
      <c r="S1356" s="9" t="n">
        <v>46310</v>
      </c>
      <c r="T1356" s="3" t="n">
        <v>46308.51822916666</v>
      </c>
      <c r="U1356" s="2" t="n"/>
    </row>
    <row r="1357">
      <c r="A1357" s="2" t="inlineStr">
        <is>
          <t>En plazo</t>
        </is>
      </c>
      <c r="B1357" s="3" t="n">
        <v>46322.5625</v>
      </c>
      <c r="C1357" s="5" t="n">
        <v>112651.35</v>
      </c>
      <c r="D1357" s="5" t="n">
        <v>136308.13</v>
      </c>
      <c r="E1357" s="2" t="inlineStr">
        <is>
          <t>Comunitat Valenciana</t>
        </is>
      </c>
      <c r="F1357" s="2" t="inlineStr">
        <is>
          <t>Alicante</t>
        </is>
      </c>
      <c r="G1357" s="2" t="n"/>
      <c r="H1357" s="2" t="inlineStr">
        <is>
          <t>Alcaldía del Ayuntamiento de Hondón de las Nieves</t>
        </is>
      </c>
      <c r="I1357" s="2" t="inlineStr">
        <is>
          <t>obras construcción carril bici</t>
        </is>
      </c>
      <c r="J1357" s="2" t="inlineStr">
        <is>
          <t>1558/2026</t>
        </is>
      </c>
      <c r="K1357" s="2" t="inlineStr">
        <is>
          <t>Abierto</t>
        </is>
      </c>
      <c r="L1357" s="6" t="n">
        <v>2</v>
      </c>
      <c r="M1357" s="2" t="n"/>
      <c r="N1357" s="7" t="n">
        <v>0</v>
      </c>
      <c r="O1357" s="4" t="n"/>
      <c r="P1357" s="2" t="inlineStr">
        <is>
          <t>45000000</t>
        </is>
      </c>
      <c r="Q1357" s="8" t="inlineStr">
        <is>
          <t>Ver</t>
        </is>
      </c>
      <c r="R1357" s="8" t="inlineStr">
        <is>
          <t>PCAP</t>
        </is>
      </c>
      <c r="S1357" s="9" t="n">
        <v>46310</v>
      </c>
      <c r="T1357" s="3" t="n">
        <v>46308.51814814815</v>
      </c>
      <c r="U1357" s="2" t="n"/>
    </row>
    <row r="1358">
      <c r="A1358" s="2" t="inlineStr">
        <is>
          <t>En plazo</t>
        </is>
      </c>
      <c r="B1358" s="3" t="n">
        <v>46329.99930555555</v>
      </c>
      <c r="C1358" s="5" t="n">
        <v>49245.45</v>
      </c>
      <c r="D1358" s="5" t="n">
        <v>49245.45</v>
      </c>
      <c r="E1358" s="2" t="inlineStr">
        <is>
          <t>Andalucía</t>
        </is>
      </c>
      <c r="F1358" s="2" t="inlineStr">
        <is>
          <t>Cádiz</t>
        </is>
      </c>
      <c r="G1358" s="2" t="n"/>
      <c r="H1358" s="2" t="inlineStr">
        <is>
          <t>Junta de Gobierno del Ayuntamiento de Espera</t>
        </is>
      </c>
      <c r="I1358" s="2" t="inlineStr">
        <is>
          <t>Embellecimiento y puesta en valor del edificio municipal Silo</t>
        </is>
      </c>
      <c r="J1358" s="2" t="inlineStr">
        <is>
          <t>2026/NSP_03/000001</t>
        </is>
      </c>
      <c r="K1358" s="2" t="inlineStr">
        <is>
          <t>Negociado sin publicidad</t>
        </is>
      </c>
      <c r="L1358" s="6" t="n">
        <v>3</v>
      </c>
      <c r="M1358" s="2" t="n"/>
      <c r="N1358" s="7" t="n">
        <v>0</v>
      </c>
      <c r="O1358" s="4" t="n"/>
      <c r="P1358" s="2" t="inlineStr">
        <is>
          <t>45451000</t>
        </is>
      </c>
      <c r="Q1358" s="8" t="inlineStr">
        <is>
          <t>Ver</t>
        </is>
      </c>
      <c r="R1358" s="8" t="inlineStr">
        <is>
          <t>PCAP</t>
        </is>
      </c>
      <c r="S1358" s="9" t="n">
        <v>46310</v>
      </c>
      <c r="T1358" s="3" t="n">
        <v>46308.51125</v>
      </c>
      <c r="U1358" s="2" t="n"/>
    </row>
    <row r="1359">
      <c r="A1359" s="2" t="inlineStr">
        <is>
          <t>En plazo</t>
        </is>
      </c>
      <c r="B1359" s="3" t="n">
        <v>46329.99930555555</v>
      </c>
      <c r="C1359" s="5" t="n">
        <v>66115.7</v>
      </c>
      <c r="D1359" s="5" t="n">
        <v>66115.7</v>
      </c>
      <c r="E1359" s="2" t="inlineStr">
        <is>
          <t>Andalucía</t>
        </is>
      </c>
      <c r="F1359" s="2" t="inlineStr">
        <is>
          <t>Almería</t>
        </is>
      </c>
      <c r="G1359" s="2" t="n"/>
      <c r="H1359" s="2" t="inlineStr">
        <is>
          <t>Junta de Gobierno de la Diputación Provincial de Almería</t>
        </is>
      </c>
      <c r="I1359" s="2" t="inlineStr">
        <is>
          <t>Pavimentación Caminos Municipales. Urrácal 85PCAM24-27BII</t>
        </is>
      </c>
      <c r="J1359" s="2" t="inlineStr">
        <is>
          <t>2026/D31000/006-013/00082</t>
        </is>
      </c>
      <c r="K1359" s="2" t="inlineStr">
        <is>
          <t>Abierto simplificado</t>
        </is>
      </c>
      <c r="L1359" s="6" t="n">
        <v>2</v>
      </c>
      <c r="M1359" s="2" t="n"/>
      <c r="N1359" s="7" t="n">
        <v>0.25</v>
      </c>
      <c r="O1359" s="4" t="n"/>
      <c r="P1359" s="2" t="inlineStr">
        <is>
          <t>45233222</t>
        </is>
      </c>
      <c r="Q1359" s="8" t="inlineStr">
        <is>
          <t>Ver</t>
        </is>
      </c>
      <c r="R1359" s="8" t="inlineStr">
        <is>
          <t>PCAP</t>
        </is>
      </c>
      <c r="S1359" s="9" t="n">
        <v>46310</v>
      </c>
      <c r="T1359" s="3" t="n">
        <v>46308.51040509259</v>
      </c>
      <c r="U1359" s="2" t="n"/>
    </row>
    <row r="1360">
      <c r="A1360" s="2" t="inlineStr">
        <is>
          <t>Resuelta</t>
        </is>
      </c>
      <c r="B1360" s="3" t="n"/>
      <c r="C1360" s="5" t="n">
        <v>97497.39</v>
      </c>
      <c r="D1360" s="5" t="n">
        <v>97497.39</v>
      </c>
      <c r="E1360" s="2" t="inlineStr">
        <is>
          <t>Comunitat Valenciana</t>
        </is>
      </c>
      <c r="F1360" s="2" t="inlineStr">
        <is>
          <t>Valencia</t>
        </is>
      </c>
      <c r="G1360" s="2" t="n"/>
      <c r="H1360" s="2" t="inlineStr">
        <is>
          <t>Alcaldía del Ayuntamiento de Alfafar</t>
        </is>
      </c>
      <c r="I1360" s="2" t="inlineStr">
        <is>
          <t>Reposición del SAC y sótano de la Casa Consistorial, como consecuencia de la DANA 2024</t>
        </is>
      </c>
      <c r="J1360" s="2" t="inlineStr">
        <is>
          <t>111/2025 Emg</t>
        </is>
      </c>
      <c r="K1360" s="2" t="inlineStr">
        <is>
          <t>Negociado sin publicidad</t>
        </is>
      </c>
      <c r="L1360" s="6" t="n">
        <v>1</v>
      </c>
      <c r="M1360" s="2" t="n"/>
      <c r="N1360" s="7" t="n"/>
      <c r="O1360" s="4" t="n"/>
      <c r="P1360" s="2" t="inlineStr">
        <is>
          <t>45210000</t>
        </is>
      </c>
      <c r="Q1360" s="8" t="inlineStr">
        <is>
          <t>Ver</t>
        </is>
      </c>
      <c r="R1360" s="2" t="n"/>
      <c r="S1360" s="9" t="n">
        <v>46310</v>
      </c>
      <c r="T1360" s="3" t="n">
        <v>46308.50802083333</v>
      </c>
      <c r="U1360" s="2" t="n"/>
    </row>
    <row r="1361">
      <c r="A1361" s="2" t="inlineStr">
        <is>
          <t>Pendiente de adjudicación</t>
        </is>
      </c>
      <c r="B1361" s="3" t="n">
        <v>46238.5</v>
      </c>
      <c r="C1361" s="5" t="n">
        <v>343240.95</v>
      </c>
      <c r="D1361" s="5" t="n">
        <v>343240.95</v>
      </c>
      <c r="E1361" s="2" t="inlineStr">
        <is>
          <t>Andalucía</t>
        </is>
      </c>
      <c r="F1361" s="2" t="inlineStr">
        <is>
          <t>Málaga</t>
        </is>
      </c>
      <c r="G1361" s="2" t="n"/>
      <c r="H1361" s="2" t="inlineStr">
        <is>
          <t>Instituto Municipal de la Vivienda de Málaga</t>
        </is>
      </c>
      <c r="I1361" s="2" t="inlineStr">
        <is>
          <t>Obras de adaptación parcial de planta primera e instalación de ascensor en edificio destinada a ejercer la actividad de medicina del trabajo de vigilancia de la salud y seguridad laboral del área de recursos humanos y calidad del Ayuntamiento de Málaga, sito en c/ Palestina nº 7.</t>
        </is>
      </c>
      <c r="J1361" s="2" t="inlineStr">
        <is>
          <t>2026/05</t>
        </is>
      </c>
      <c r="K1361" s="2" t="inlineStr">
        <is>
          <t>Abierto</t>
        </is>
      </c>
      <c r="L1361" s="6" t="n">
        <v>9</v>
      </c>
      <c r="M1361" s="2" t="inlineStr">
        <is>
          <t>C4-2; C6-2</t>
        </is>
      </c>
      <c r="N1361" s="7" t="n">
        <v>0.4</v>
      </c>
      <c r="O1361" s="4" t="n"/>
      <c r="P1361" s="2" t="inlineStr">
        <is>
          <t>45200000; 42416100; 45111100</t>
        </is>
      </c>
      <c r="Q1361" s="8" t="inlineStr">
        <is>
          <t>Ver</t>
        </is>
      </c>
      <c r="R1361" s="8" t="inlineStr">
        <is>
          <t>PCAP</t>
        </is>
      </c>
      <c r="S1361" s="9" t="n">
        <v>46310</v>
      </c>
      <c r="T1361" s="3" t="n">
        <v>46308.50767361111</v>
      </c>
      <c r="U1361" s="2" t="n"/>
    </row>
    <row r="1362">
      <c r="A1362" s="2" t="inlineStr">
        <is>
          <t>En plazo</t>
        </is>
      </c>
      <c r="B1362" s="3" t="n">
        <v>46329.99930555555</v>
      </c>
      <c r="C1362" s="5" t="n">
        <v>223895.1</v>
      </c>
      <c r="D1362" s="5" t="n">
        <v>223895.1</v>
      </c>
      <c r="E1362" s="2" t="inlineStr">
        <is>
          <t>Andalucía</t>
        </is>
      </c>
      <c r="F1362" s="2" t="inlineStr">
        <is>
          <t>Jaén</t>
        </is>
      </c>
      <c r="G1362" s="2" t="inlineStr">
        <is>
          <t>JAÉN</t>
        </is>
      </c>
      <c r="H1362" s="2" t="inlineStr">
        <is>
          <t>Presidencia del Servicio Provincial de Gestión y Recaudación</t>
        </is>
      </c>
      <c r="I1362" s="2" t="inlineStr">
        <is>
          <t>Contrato de obras de renovación instalación eléctrica y obras en edificios del área de Recaudación de Jaén.</t>
        </is>
      </c>
      <c r="J1362" s="2" t="inlineStr">
        <is>
          <t>CO-2026/001163</t>
        </is>
      </c>
      <c r="K1362" s="2" t="inlineStr">
        <is>
          <t>Abierto simplificado</t>
        </is>
      </c>
      <c r="L1362" s="6" t="n">
        <v>5</v>
      </c>
      <c r="M1362" s="2" t="n"/>
      <c r="N1362" s="7" t="n">
        <v>0.25</v>
      </c>
      <c r="O1362" s="4" t="n"/>
      <c r="P1362" s="2" t="inlineStr">
        <is>
          <t>45453100</t>
        </is>
      </c>
      <c r="Q1362" s="8" t="inlineStr">
        <is>
          <t>Ver</t>
        </is>
      </c>
      <c r="R1362" s="8" t="inlineStr">
        <is>
          <t>PCAP</t>
        </is>
      </c>
      <c r="S1362" s="9" t="n">
        <v>46310</v>
      </c>
      <c r="T1362" s="3" t="n">
        <v>46308.50734953704</v>
      </c>
      <c r="U1362" s="2" t="n"/>
    </row>
    <row r="1363">
      <c r="A1363" s="2" t="inlineStr">
        <is>
          <t>Plazo vencido</t>
        </is>
      </c>
      <c r="B1363" s="3" t="n">
        <v>46318.99930555555</v>
      </c>
      <c r="C1363" s="5" t="n">
        <v>3018964.07</v>
      </c>
      <c r="D1363" s="5" t="n">
        <v>3924653.29</v>
      </c>
      <c r="E1363" s="2" t="inlineStr">
        <is>
          <t>Comunitat Valenciana</t>
        </is>
      </c>
      <c r="F1363" s="2" t="inlineStr">
        <is>
          <t>Alicante</t>
        </is>
      </c>
      <c r="G1363" s="2" t="inlineStr">
        <is>
          <t>ELCHE</t>
        </is>
      </c>
      <c r="H1363" s="2" t="inlineStr">
        <is>
          <t>Departamento de Salud de Elche. Dirección Económica-Gerencia</t>
        </is>
      </c>
      <c r="I1363" s="2" t="inlineStr">
        <is>
          <t>Obras de reforma integral de la Unidad de Cuidados Intensivos (Uci) del Hospital General Universitario de Elche</t>
        </is>
      </c>
      <c r="J1363" s="2" t="inlineStr">
        <is>
          <t>PA 428/2026</t>
        </is>
      </c>
      <c r="K1363" s="2" t="inlineStr">
        <is>
          <t>Abierto</t>
        </is>
      </c>
      <c r="L1363" s="6" t="n">
        <v>16</v>
      </c>
      <c r="M1363" s="2" t="inlineStr">
        <is>
          <t>J2-4</t>
        </is>
      </c>
      <c r="N1363" s="7" t="n">
        <v>0</v>
      </c>
      <c r="O1363" s="4" t="n"/>
      <c r="P1363" s="2" t="inlineStr">
        <is>
          <t>45215140; 45215142</t>
        </is>
      </c>
      <c r="Q1363" s="8" t="inlineStr">
        <is>
          <t>Ver</t>
        </is>
      </c>
      <c r="R1363" s="8" t="inlineStr">
        <is>
          <t>PCAP</t>
        </is>
      </c>
      <c r="S1363" s="9" t="n">
        <v>46310</v>
      </c>
      <c r="T1363" s="3" t="n">
        <v>46308.50434027778</v>
      </c>
      <c r="U1363" s="2" t="n"/>
    </row>
    <row r="1364">
      <c r="A1364" s="2" t="inlineStr">
        <is>
          <t>Pendiente de adjudicación</t>
        </is>
      </c>
      <c r="B1364" s="3" t="n">
        <v>46283.99930555555</v>
      </c>
      <c r="C1364" s="5" t="n">
        <v>375755.51</v>
      </c>
      <c r="D1364" s="5" t="n">
        <v>375755.51</v>
      </c>
      <c r="E1364" s="2" t="inlineStr">
        <is>
          <t>Andalucía</t>
        </is>
      </c>
      <c r="F1364" s="2" t="inlineStr">
        <is>
          <t>Sevilla</t>
        </is>
      </c>
      <c r="G1364" s="2" t="inlineStr">
        <is>
          <t>Alcalá de Guadaíra</t>
        </is>
      </c>
      <c r="H1364" s="2" t="inlineStr">
        <is>
          <t>Junta de Gobierno Local del Ayuntamiento de Alcalá de Guadaíra</t>
        </is>
      </c>
      <c r="I1364" s="2" t="inlineStr">
        <is>
          <t>obras de construcción de vestuarios en pista cubierta de polideportivo Pablo VI (C-2025/083)</t>
        </is>
      </c>
      <c r="J1364" s="2" t="inlineStr">
        <is>
          <t>14221/2025</t>
        </is>
      </c>
      <c r="K1364" s="2" t="inlineStr">
        <is>
          <t>Abierto simplificado</t>
        </is>
      </c>
      <c r="L1364" s="6" t="n">
        <v>11</v>
      </c>
      <c r="M1364" s="2" t="n"/>
      <c r="N1364" s="7" t="n">
        <v>0.2</v>
      </c>
      <c r="O1364" s="4" t="n"/>
      <c r="P1364" s="2" t="inlineStr">
        <is>
          <t>45212222; 45212230; 45212225</t>
        </is>
      </c>
      <c r="Q1364" s="8" t="inlineStr">
        <is>
          <t>Ver</t>
        </is>
      </c>
      <c r="R1364" s="8" t="inlineStr">
        <is>
          <t>PCAP</t>
        </is>
      </c>
      <c r="S1364" s="9" t="n">
        <v>46310</v>
      </c>
      <c r="T1364" s="3" t="n">
        <v>46308.50402777778</v>
      </c>
      <c r="U1364" s="2" t="n"/>
    </row>
    <row r="1365">
      <c r="A1365" s="2" t="inlineStr">
        <is>
          <t>En plazo</t>
        </is>
      </c>
      <c r="B1365" s="3" t="n">
        <v>46329.99930555555</v>
      </c>
      <c r="C1365" s="5" t="n">
        <v>74380.17</v>
      </c>
      <c r="D1365" s="5" t="n">
        <v>74380.17</v>
      </c>
      <c r="E1365" s="2" t="inlineStr">
        <is>
          <t>Andalucía</t>
        </is>
      </c>
      <c r="F1365" s="2" t="inlineStr">
        <is>
          <t>Almería</t>
        </is>
      </c>
      <c r="G1365" s="2" t="n"/>
      <c r="H1365" s="2" t="inlineStr">
        <is>
          <t>Junta de Gobierno de la Diputación Provincial de Almería</t>
        </is>
      </c>
      <c r="I1365" s="2" t="inlineStr">
        <is>
          <t>Pavimentación Caminos Municipales. Turre 82PCAM24-27BII</t>
        </is>
      </c>
      <c r="J1365" s="2" t="inlineStr">
        <is>
          <t>2025/D31000/006-013/00300</t>
        </is>
      </c>
      <c r="K1365" s="2" t="inlineStr">
        <is>
          <t>Abierto simplificado</t>
        </is>
      </c>
      <c r="L1365" s="6" t="n">
        <v>1</v>
      </c>
      <c r="M1365" s="2" t="n"/>
      <c r="N1365" s="7" t="n">
        <v>0.25</v>
      </c>
      <c r="O1365" s="4" t="n"/>
      <c r="P1365" s="2" t="inlineStr">
        <is>
          <t>45233222</t>
        </is>
      </c>
      <c r="Q1365" s="8" t="inlineStr">
        <is>
          <t>Ver</t>
        </is>
      </c>
      <c r="R1365" s="8" t="inlineStr">
        <is>
          <t>PCAP</t>
        </is>
      </c>
      <c r="S1365" s="9" t="n">
        <v>46310</v>
      </c>
      <c r="T1365" s="3" t="n">
        <v>46308.5034837963</v>
      </c>
      <c r="U1365" s="2" t="n"/>
    </row>
    <row r="1366">
      <c r="A1366" s="2" t="inlineStr">
        <is>
          <t>Adjudicada</t>
        </is>
      </c>
      <c r="B1366" s="3" t="n">
        <v>46170.5</v>
      </c>
      <c r="C1366" s="5" t="n">
        <v>5104082.6</v>
      </c>
      <c r="D1366" s="5" t="n">
        <v>5308245.9</v>
      </c>
      <c r="E1366" s="2" t="inlineStr">
        <is>
          <t>Comunitat Valenciana</t>
        </is>
      </c>
      <c r="F1366" s="2" t="inlineStr">
        <is>
          <t>Alicante</t>
        </is>
      </c>
      <c r="G1366" s="2" t="inlineStr">
        <is>
          <t>Alicante / Alacant</t>
        </is>
      </c>
      <c r="H1366" s="2" t="inlineStr">
        <is>
          <t>Aena. Presidencia. Consejero Delegado</t>
        </is>
      </c>
      <c r="I1366" s="2" t="inlineStr">
        <is>
          <t>Nuevas Oficinas De Aena En P30 De La Nat. Aeropuerto De Alicante-Elche</t>
        </is>
      </c>
      <c r="J1366" s="2" t="inlineStr">
        <is>
          <t>DIN-564/2025</t>
        </is>
      </c>
      <c r="K1366" s="2" t="inlineStr">
        <is>
          <t>Normas internas</t>
        </is>
      </c>
      <c r="L1366" s="6" t="n">
        <v>15</v>
      </c>
      <c r="M1366" s="2" t="n"/>
      <c r="N1366" s="7" t="n">
        <v>0</v>
      </c>
      <c r="O1366" s="4" t="n"/>
      <c r="P1366" s="2" t="inlineStr">
        <is>
          <t>45200000</t>
        </is>
      </c>
      <c r="Q1366" s="8" t="inlineStr">
        <is>
          <t>Ver</t>
        </is>
      </c>
      <c r="R1366" s="8" t="inlineStr">
        <is>
          <t>PCAP</t>
        </is>
      </c>
      <c r="S1366" s="9" t="n">
        <v>46310</v>
      </c>
      <c r="T1366" s="3" t="n">
        <v>46308.50247685185</v>
      </c>
      <c r="U1366" s="2" t="n"/>
    </row>
    <row r="1367">
      <c r="A1367" s="2" t="inlineStr">
        <is>
          <t>En plazo</t>
        </is>
      </c>
      <c r="B1367" s="3" t="n">
        <v>46335.58333333334</v>
      </c>
      <c r="C1367" s="5" t="n">
        <v>266270.79</v>
      </c>
      <c r="D1367" s="5" t="n">
        <v>266270.79</v>
      </c>
      <c r="E1367" s="2" t="inlineStr">
        <is>
          <t>Andalucía</t>
        </is>
      </c>
      <c r="F1367" s="2" t="inlineStr">
        <is>
          <t>Almería</t>
        </is>
      </c>
      <c r="G1367" s="2" t="inlineStr">
        <is>
          <t>Adra</t>
        </is>
      </c>
      <c r="H1367" s="2" t="inlineStr">
        <is>
          <t>Junta de Gobierno Local del Ayuntamiento de Adra</t>
        </is>
      </c>
      <c r="I1367" s="2" t="inlineStr">
        <is>
          <t>Obras de Reforma y Conservación de la Guardería Municipal de Adra</t>
        </is>
      </c>
      <c r="J1367" s="2" t="inlineStr">
        <is>
          <t>9459/2026</t>
        </is>
      </c>
      <c r="K1367" s="2" t="inlineStr">
        <is>
          <t>Abierto</t>
        </is>
      </c>
      <c r="L1367" s="6" t="n">
        <v>4</v>
      </c>
      <c r="M1367" s="2" t="n"/>
      <c r="N1367" s="7" t="n">
        <v>0.4</v>
      </c>
      <c r="O1367" s="4" t="n"/>
      <c r="P1367" s="2" t="inlineStr">
        <is>
          <t>45453000</t>
        </is>
      </c>
      <c r="Q1367" s="8" t="inlineStr">
        <is>
          <t>Ver</t>
        </is>
      </c>
      <c r="R1367" s="8" t="inlineStr">
        <is>
          <t>PCAP</t>
        </is>
      </c>
      <c r="S1367" s="9" t="n">
        <v>46310</v>
      </c>
      <c r="T1367" s="3" t="n">
        <v>46308.50241898148</v>
      </c>
      <c r="U1367" s="2" t="n"/>
    </row>
    <row r="1368">
      <c r="A1368" s="2" t="inlineStr">
        <is>
          <t>En plazo</t>
        </is>
      </c>
      <c r="B1368" s="3" t="n">
        <v>46329.99930555555</v>
      </c>
      <c r="C1368" s="5" t="n">
        <v>98900.02</v>
      </c>
      <c r="D1368" s="5" t="n">
        <v>98900.02</v>
      </c>
      <c r="E1368" s="2" t="inlineStr">
        <is>
          <t>Andalucía</t>
        </is>
      </c>
      <c r="F1368" s="2" t="inlineStr">
        <is>
          <t>Jaén</t>
        </is>
      </c>
      <c r="G1368" s="2" t="inlineStr">
        <is>
          <t>Puente de Génave</t>
        </is>
      </c>
      <c r="H1368" s="2" t="inlineStr">
        <is>
          <t>Alcaldía del Ayuntamiento de Puente de Génave</t>
        </is>
      </c>
      <c r="I1368" s="2" t="inlineStr">
        <is>
          <t>Reparación de firme en Avenida de Andalucía y acceso a Peñolite en el municipio de Puente de Génave (Jaén).</t>
        </is>
      </c>
      <c r="J1368" s="2" t="inlineStr">
        <is>
          <t>462/2026</t>
        </is>
      </c>
      <c r="K1368" s="2" t="inlineStr">
        <is>
          <t>Abierto simplificado</t>
        </is>
      </c>
      <c r="L1368" s="6" t="n">
        <v>5</v>
      </c>
      <c r="M1368" s="2" t="inlineStr">
        <is>
          <t>G4-1</t>
        </is>
      </c>
      <c r="N1368" s="7" t="n">
        <v>0</v>
      </c>
      <c r="O1368" s="4" t="n"/>
      <c r="P1368" s="2" t="inlineStr">
        <is>
          <t>45233252; 45233222</t>
        </is>
      </c>
      <c r="Q1368" s="8" t="inlineStr">
        <is>
          <t>Ver</t>
        </is>
      </c>
      <c r="R1368" s="8" t="inlineStr">
        <is>
          <t>PCAP</t>
        </is>
      </c>
      <c r="S1368" s="9" t="n">
        <v>46310</v>
      </c>
      <c r="T1368" s="3" t="n">
        <v>46308.50174768519</v>
      </c>
      <c r="U1368" s="2" t="n"/>
    </row>
    <row r="1369">
      <c r="A1369" s="2" t="inlineStr">
        <is>
          <t>Pendiente de adjudicación</t>
        </is>
      </c>
      <c r="B1369" s="3" t="n">
        <v>46253.99930555555</v>
      </c>
      <c r="C1369" s="5" t="n">
        <v>352496.23</v>
      </c>
      <c r="D1369" s="5" t="n">
        <v>352496.23</v>
      </c>
      <c r="E1369" s="2" t="inlineStr">
        <is>
          <t>Andalucía</t>
        </is>
      </c>
      <c r="F1369" s="2" t="inlineStr">
        <is>
          <t>Sevilla</t>
        </is>
      </c>
      <c r="G1369" s="2" t="inlineStr">
        <is>
          <t>Mairena del Aljarafe</t>
        </is>
      </c>
      <c r="H1369" s="2" t="inlineStr">
        <is>
          <t>Consejo de Gobierno de la Gerencia Municipal de Urbanismo del Ayuntamiento de Mairena del Aljarafe</t>
        </is>
      </c>
      <c r="I1369" s="2" t="inlineStr">
        <is>
          <t>Adecuación de oficinas municipales en edificio Aljarafe Center</t>
        </is>
      </c>
      <c r="J1369" s="2" t="inlineStr">
        <is>
          <t>732/2026</t>
        </is>
      </c>
      <c r="K1369" s="2" t="inlineStr">
        <is>
          <t>Abierto simplificado</t>
        </is>
      </c>
      <c r="L1369" s="6" t="n">
        <v>4</v>
      </c>
      <c r="M1369" s="2" t="n"/>
      <c r="N1369" s="7" t="n">
        <v>0.25</v>
      </c>
      <c r="O1369" s="4" t="n"/>
      <c r="P1369" s="2" t="inlineStr">
        <is>
          <t>45000000</t>
        </is>
      </c>
      <c r="Q1369" s="8" t="inlineStr">
        <is>
          <t>Ver</t>
        </is>
      </c>
      <c r="R1369" s="8" t="inlineStr">
        <is>
          <t>PCAP</t>
        </is>
      </c>
      <c r="S1369" s="9" t="n">
        <v>46310</v>
      </c>
      <c r="T1369" s="3" t="n">
        <v>46308.49665509259</v>
      </c>
      <c r="U1369" s="2" t="n"/>
    </row>
    <row r="1370">
      <c r="A1370" s="2" t="inlineStr">
        <is>
          <t>Plazo vencido</t>
        </is>
      </c>
      <c r="B1370" s="3" t="n">
        <v>46316.54166666666</v>
      </c>
      <c r="C1370" s="5" t="n">
        <v>38364304.82</v>
      </c>
      <c r="D1370" s="5" t="n">
        <v>46037165.78</v>
      </c>
      <c r="E1370" s="2" t="inlineStr">
        <is>
          <t>Comunitat Valenciana</t>
        </is>
      </c>
      <c r="F1370" s="2" t="inlineStr">
        <is>
          <t>Valencia</t>
        </is>
      </c>
      <c r="G1370" s="2" t="inlineStr">
        <is>
          <t>Valencia</t>
        </is>
      </c>
      <c r="H1370" s="2" t="inlineStr">
        <is>
          <t>Consejo de Administración de la Autoridad Portuaria de Valencia</t>
        </is>
      </c>
      <c r="I1370" s="2" t="inlineStr">
        <is>
          <t>Adaptación del espigón del Turia para mejora del área de pasaje en el Puerto de Valencia</t>
        </is>
      </c>
      <c r="J1370" s="2" t="inlineStr">
        <is>
          <t>EC26-C02-01510</t>
        </is>
      </c>
      <c r="K1370" s="2" t="inlineStr">
        <is>
          <t>Abierto</t>
        </is>
      </c>
      <c r="L1370" s="6" t="n">
        <v>30</v>
      </c>
      <c r="M1370" s="2" t="inlineStr">
        <is>
          <t>F7-6; F5-5; F1-5</t>
        </is>
      </c>
      <c r="N1370" s="7" t="n">
        <v>0.49</v>
      </c>
      <c r="O1370" s="4" t="n"/>
      <c r="P1370" s="2" t="inlineStr">
        <is>
          <t>45241100</t>
        </is>
      </c>
      <c r="Q1370" s="8" t="inlineStr">
        <is>
          <t>Ver</t>
        </is>
      </c>
      <c r="R1370" s="8" t="inlineStr">
        <is>
          <t>PCAP</t>
        </is>
      </c>
      <c r="S1370" s="9" t="n">
        <v>46310</v>
      </c>
      <c r="T1370" s="3" t="n">
        <v>46308.49501157407</v>
      </c>
      <c r="U1370" s="2" t="n"/>
    </row>
    <row r="1371">
      <c r="A1371" s="2" t="inlineStr">
        <is>
          <t>Pendiente de adjudicación</t>
        </is>
      </c>
      <c r="B1371" s="3" t="n">
        <v>46032.99930555555</v>
      </c>
      <c r="C1371" s="5" t="n">
        <v>578512.4</v>
      </c>
      <c r="D1371" s="5" t="n">
        <v>578512.4</v>
      </c>
      <c r="E1371" s="2" t="inlineStr">
        <is>
          <t>Andalucía</t>
        </is>
      </c>
      <c r="F1371" s="2" t="inlineStr">
        <is>
          <t>Málaga</t>
        </is>
      </c>
      <c r="G1371" s="2" t="n"/>
      <c r="H1371" s="2" t="inlineStr">
        <is>
          <t>Junta de Gobierno del Ayuntamiento de Istán</t>
        </is>
      </c>
      <c r="I1371" s="2" t="inlineStr">
        <is>
          <t>El objeto del presente contrato consiste en definir las obras necesarias para la cubrición de la pista polideportiva existente en el complejo municipal de Istán, de conformidad con la descripción técnica que se recoge en el Proyecto básico y de ejecución.</t>
        </is>
      </c>
      <c r="J1371" s="2" t="inlineStr">
        <is>
          <t>H441/2025 CUBRICIÓN PISTA DEPORTIVA</t>
        </is>
      </c>
      <c r="K1371" s="2" t="inlineStr">
        <is>
          <t>Abierto</t>
        </is>
      </c>
      <c r="L1371" s="6" t="n">
        <v>6</v>
      </c>
      <c r="M1371" s="2" t="inlineStr">
        <is>
          <t>C3-1</t>
        </is>
      </c>
      <c r="N1371" s="7" t="n">
        <v>0.49</v>
      </c>
      <c r="O1371" s="4" t="n"/>
      <c r="P1371" s="2" t="inlineStr">
        <is>
          <t>45200000; 45261000; 45212200</t>
        </is>
      </c>
      <c r="Q1371" s="8" t="inlineStr">
        <is>
          <t>Ver</t>
        </is>
      </c>
      <c r="R1371" s="8" t="inlineStr">
        <is>
          <t>PCAP</t>
        </is>
      </c>
      <c r="S1371" s="9" t="n">
        <v>46310</v>
      </c>
      <c r="T1371" s="3" t="n">
        <v>46308.49230324074</v>
      </c>
      <c r="U1371" s="2" t="n"/>
    </row>
    <row r="1372">
      <c r="A1372" s="2" t="inlineStr">
        <is>
          <t>Resuelta</t>
        </is>
      </c>
      <c r="B1372" s="3" t="n">
        <v>45588.99930555555</v>
      </c>
      <c r="C1372" s="5" t="n">
        <v>3221354.75</v>
      </c>
      <c r="D1372" s="5" t="n">
        <v>3221354.75</v>
      </c>
      <c r="E1372" s="2" t="inlineStr">
        <is>
          <t>Andalucía</t>
        </is>
      </c>
      <c r="F1372" s="2" t="inlineStr">
        <is>
          <t>Sevilla</t>
        </is>
      </c>
      <c r="G1372" s="2" t="inlineStr">
        <is>
          <t>Sevilla</t>
        </is>
      </c>
      <c r="H1372" s="2" t="inlineStr">
        <is>
          <t>Rectorado de la Universidad Pablo de Olavide</t>
        </is>
      </c>
      <c r="I1372" s="2" t="inlineStr">
        <is>
          <t>Obras para la rehabilitación integral del edificio de la antigua central térmica de la Universidad Pablo de Olavide en el marco del plan de impulso a la rehabilitación de edificios públicos (PIREP) con financiación del Plan de Recuperación, Transformación y Resiliencia -financiado por la Unión Europea – Next Generationeu.</t>
        </is>
      </c>
      <c r="J1372" s="2" t="inlineStr">
        <is>
          <t>OB.02/24</t>
        </is>
      </c>
      <c r="K1372" s="2" t="inlineStr">
        <is>
          <t>Abierto</t>
        </is>
      </c>
      <c r="L1372" s="6" t="n">
        <v>12</v>
      </c>
      <c r="M1372" s="2" t="inlineStr">
        <is>
          <t>C*-5</t>
        </is>
      </c>
      <c r="N1372" s="7" t="n">
        <v>0.47</v>
      </c>
      <c r="O1372" s="4" t="n"/>
      <c r="P1372" s="2" t="inlineStr">
        <is>
          <t>45210000</t>
        </is>
      </c>
      <c r="Q1372" s="8" t="inlineStr">
        <is>
          <t>Ver</t>
        </is>
      </c>
      <c r="R1372" s="8" t="inlineStr">
        <is>
          <t>PCAP</t>
        </is>
      </c>
      <c r="S1372" s="9" t="n">
        <v>46310</v>
      </c>
      <c r="T1372" s="3" t="n">
        <v>46308.48670138889</v>
      </c>
      <c r="U1372" s="2" t="n"/>
    </row>
    <row r="1373">
      <c r="A1373" s="2" t="inlineStr">
        <is>
          <t>Resuelta</t>
        </is>
      </c>
      <c r="B1373" s="3" t="n">
        <v>46188.79166666666</v>
      </c>
      <c r="C1373" s="5" t="n">
        <v>964890.92</v>
      </c>
      <c r="D1373" s="5" t="n">
        <v>1157869.1</v>
      </c>
      <c r="E1373" s="2" t="inlineStr">
        <is>
          <t>Andalucía</t>
        </is>
      </c>
      <c r="F1373" s="2" t="inlineStr">
        <is>
          <t>Sevilla</t>
        </is>
      </c>
      <c r="G1373" s="2" t="inlineStr">
        <is>
          <t>Gines</t>
        </is>
      </c>
      <c r="H1373" s="2" t="inlineStr">
        <is>
          <t>Consejo de Administración de la Empresa Mancomunada del Aljarafe, S.A. (ALJARAFESA)</t>
        </is>
      </c>
      <c r="I1373" s="2" t="inlineStr">
        <is>
          <t>Proyecto Constructivo: Mejora y sectorización de la Infraestructura de Abastecimiento de la Zona Sur del municipio de Gines (Sevilla)</t>
        </is>
      </c>
      <c r="J1373" s="2" t="inlineStr">
        <is>
          <t>PAA/104/2026</t>
        </is>
      </c>
      <c r="K1373" s="2" t="inlineStr">
        <is>
          <t>Abierto</t>
        </is>
      </c>
      <c r="L1373" s="6" t="n">
        <v>8</v>
      </c>
      <c r="M1373" s="2" t="inlineStr">
        <is>
          <t>G6-2; E1-4</t>
        </is>
      </c>
      <c r="N1373" s="7" t="n">
        <v>0</v>
      </c>
      <c r="O1373" s="4" t="n"/>
      <c r="P1373" s="2" t="inlineStr">
        <is>
          <t>45231300; 45233251</t>
        </is>
      </c>
      <c r="Q1373" s="8" t="inlineStr">
        <is>
          <t>Ver</t>
        </is>
      </c>
      <c r="R1373" s="8" t="inlineStr">
        <is>
          <t>PCAP</t>
        </is>
      </c>
      <c r="S1373" s="9" t="n">
        <v>46310</v>
      </c>
      <c r="T1373" s="3" t="n">
        <v>46308.48290509259</v>
      </c>
      <c r="U1373" s="2" t="n"/>
    </row>
    <row r="1374">
      <c r="A1374" s="2" t="inlineStr">
        <is>
          <t>En plazo</t>
        </is>
      </c>
      <c r="B1374" s="3" t="n">
        <v>46322.99930555555</v>
      </c>
      <c r="C1374" s="5" t="n">
        <v>40891.41</v>
      </c>
      <c r="D1374" s="5" t="n">
        <v>40891.41</v>
      </c>
      <c r="E1374" s="2" t="inlineStr">
        <is>
          <t>Andalucía</t>
        </is>
      </c>
      <c r="F1374" s="2" t="inlineStr">
        <is>
          <t>Sevilla</t>
        </is>
      </c>
      <c r="G1374" s="2" t="n"/>
      <c r="H1374" s="2" t="inlineStr">
        <is>
          <t>Alcaldía del Ayuntamiento de La Roda de Andalucía</t>
        </is>
      </c>
      <c r="I1374" s="2" t="inlineStr">
        <is>
          <t>Contrato mixto de obras y suministro por procedimiento abierto simplificado sumario para la ejecución de las actuaciones previstas en el "Proyecto básico y de ejecución de mejora y modernización de Casa de la Cultura". Más Sevilla. Terminación</t>
        </is>
      </c>
      <c r="J1374" s="2" t="inlineStr">
        <is>
          <t>P4108200I-2026/000012-PAAB</t>
        </is>
      </c>
      <c r="K1374" s="2" t="inlineStr">
        <is>
          <t>Abierto simplificado</t>
        </is>
      </c>
      <c r="L1374" s="6" t="n">
        <v>1</v>
      </c>
      <c r="M1374" s="2" t="n"/>
      <c r="N1374" s="7" t="n">
        <v>0</v>
      </c>
      <c r="O1374" s="4" t="n">
        <v>4</v>
      </c>
      <c r="P1374" s="2" t="inlineStr">
        <is>
          <t>45400000; 42520000; 42510000; 42500000</t>
        </is>
      </c>
      <c r="Q1374" s="8" t="inlineStr">
        <is>
          <t>Ver</t>
        </is>
      </c>
      <c r="R1374" s="8" t="inlineStr">
        <is>
          <t>PCAP</t>
        </is>
      </c>
      <c r="S1374" s="9" t="n">
        <v>46310</v>
      </c>
      <c r="T1374" s="3" t="n">
        <v>46308.48239583334</v>
      </c>
      <c r="U1374" s="2" t="n"/>
    </row>
    <row r="1375">
      <c r="A1375" s="2" t="inlineStr">
        <is>
          <t>Pendiente de adjudicación</t>
        </is>
      </c>
      <c r="B1375" s="3" t="n">
        <v>46302.99930555555</v>
      </c>
      <c r="C1375" s="5" t="n">
        <v>93939.17</v>
      </c>
      <c r="D1375" s="5" t="n">
        <v>93939.17</v>
      </c>
      <c r="E1375" s="2" t="inlineStr">
        <is>
          <t>Comunitat Valenciana</t>
        </is>
      </c>
      <c r="F1375" s="2" t="inlineStr">
        <is>
          <t>Valencia</t>
        </is>
      </c>
      <c r="G1375" s="2" t="inlineStr">
        <is>
          <t>Castelló de Rugat</t>
        </is>
      </c>
      <c r="H1375" s="2" t="inlineStr">
        <is>
          <t>Alcaldía de l'Ajuntament de Castelló de Rugat</t>
        </is>
      </c>
      <c r="I1375" s="2" t="inlineStr">
        <is>
          <t>Mejora, modernización y dotación de infraestructuras en el Polígono Industrial El Molí de Castelló de Rugat</t>
        </is>
      </c>
      <c r="J1375" s="2" t="inlineStr">
        <is>
          <t>875/2026</t>
        </is>
      </c>
      <c r="K1375" s="2" t="inlineStr">
        <is>
          <t>Abierto simplificado</t>
        </is>
      </c>
      <c r="L1375" s="6" t="n">
        <v>3</v>
      </c>
      <c r="M1375" s="2" t="n"/>
      <c r="N1375" s="7" t="n">
        <v>0</v>
      </c>
      <c r="O1375" s="4" t="n"/>
      <c r="P1375" s="2" t="inlineStr">
        <is>
          <t>45316100; 34928500; 32323500; 45310000</t>
        </is>
      </c>
      <c r="Q1375" s="8" t="inlineStr">
        <is>
          <t>Ver</t>
        </is>
      </c>
      <c r="R1375" s="8" t="inlineStr">
        <is>
          <t>PCAP</t>
        </is>
      </c>
      <c r="S1375" s="9" t="n">
        <v>46310</v>
      </c>
      <c r="T1375" s="3" t="n">
        <v>46308.48003472222</v>
      </c>
      <c r="U1375" s="2" t="n"/>
    </row>
    <row r="1376">
      <c r="A1376" s="2" t="inlineStr">
        <is>
          <t>En plazo</t>
        </is>
      </c>
      <c r="B1376" s="3" t="n">
        <v>46323.99930555555</v>
      </c>
      <c r="C1376" s="5" t="n">
        <v>734951.3100000001</v>
      </c>
      <c r="D1376" s="5" t="n">
        <v>734951.3100000001</v>
      </c>
      <c r="E1376" s="2" t="inlineStr">
        <is>
          <t>Comunitat Valenciana</t>
        </is>
      </c>
      <c r="F1376" s="2" t="inlineStr">
        <is>
          <t>Valencia</t>
        </is>
      </c>
      <c r="G1376" s="2" t="n"/>
      <c r="H1376" s="2" t="inlineStr">
        <is>
          <t>Alcaldía del Ayuntamiento de Manises</t>
        </is>
      </c>
      <c r="I1376" s="2" t="inlineStr">
        <is>
          <t>Reasfaltado de la travesia de Manises de la CV-370 desde Avenida dels Tranvies hasta la V-11 de acceso al aeropuerto y sustitución del alumbrado del puente de la CV-371 en el término de Manises</t>
        </is>
      </c>
      <c r="J1376" s="2" t="inlineStr">
        <is>
          <t>3034000P</t>
        </is>
      </c>
      <c r="K1376" s="2" t="inlineStr">
        <is>
          <t>Abierto simplificado</t>
        </is>
      </c>
      <c r="L1376" s="6" t="n">
        <v>2</v>
      </c>
      <c r="M1376" s="2" t="inlineStr">
        <is>
          <t>G4-3</t>
        </is>
      </c>
      <c r="N1376" s="7" t="n">
        <v>0</v>
      </c>
      <c r="O1376" s="4" t="n"/>
      <c r="P1376" s="2" t="inlineStr">
        <is>
          <t>45233222; 45233252; 45233223; 45233251; 34928530; 34991000; 50232100</t>
        </is>
      </c>
      <c r="Q1376" s="8" t="inlineStr">
        <is>
          <t>Ver</t>
        </is>
      </c>
      <c r="R1376" s="8" t="inlineStr">
        <is>
          <t>PCAP</t>
        </is>
      </c>
      <c r="S1376" s="9" t="n">
        <v>46310</v>
      </c>
      <c r="T1376" s="3" t="n">
        <v>46308.47482638889</v>
      </c>
      <c r="U1376" s="2" t="n"/>
    </row>
    <row r="1377">
      <c r="A1377" s="2" t="inlineStr">
        <is>
          <t>Resuelta</t>
        </is>
      </c>
      <c r="B1377" s="3" t="n">
        <v>46286.5</v>
      </c>
      <c r="C1377" s="5" t="n">
        <v>141356.5</v>
      </c>
      <c r="D1377" s="5" t="n">
        <v>141356.5</v>
      </c>
      <c r="E1377" s="2" t="inlineStr">
        <is>
          <t>Andalucía</t>
        </is>
      </c>
      <c r="F1377" s="2" t="inlineStr">
        <is>
          <t>Málaga</t>
        </is>
      </c>
      <c r="G1377" s="2" t="n"/>
      <c r="H1377" s="2" t="inlineStr">
        <is>
          <t>Jefatura de Intendencia de Asuntos Económicos Sur</t>
        </is>
      </c>
      <c r="I1377" s="2" t="inlineStr">
        <is>
          <t>OBRA TC 208-12/24 de reasfaltado parking zona barracones, Acuartelamiento Montejaque, Ronda (Málaga)</t>
        </is>
      </c>
      <c r="J1377" s="2" t="inlineStr">
        <is>
          <t>2026/ETSAE0226/00006059E</t>
        </is>
      </c>
      <c r="K1377" s="2" t="inlineStr">
        <is>
          <t>Abierto</t>
        </is>
      </c>
      <c r="L1377" s="6" t="n">
        <v>2</v>
      </c>
      <c r="M1377" s="2" t="n"/>
      <c r="N1377" s="7" t="n">
        <v>0</v>
      </c>
      <c r="O1377" s="4" t="n"/>
      <c r="P1377" s="2" t="inlineStr">
        <is>
          <t>45216200</t>
        </is>
      </c>
      <c r="Q1377" s="8" t="inlineStr">
        <is>
          <t>Ver</t>
        </is>
      </c>
      <c r="R1377" s="8" t="inlineStr">
        <is>
          <t>PCAP</t>
        </is>
      </c>
      <c r="S1377" s="9" t="n">
        <v>46310</v>
      </c>
      <c r="T1377" s="3" t="n">
        <v>46308.47252314815</v>
      </c>
      <c r="U1377" s="2" t="n"/>
    </row>
    <row r="1378">
      <c r="A1378" s="2" t="inlineStr">
        <is>
          <t>En plazo</t>
        </is>
      </c>
      <c r="B1378" s="3" t="n">
        <v>46329.99930555555</v>
      </c>
      <c r="C1378" s="5" t="n">
        <v>66115.7</v>
      </c>
      <c r="D1378" s="5" t="n">
        <v>66115.7</v>
      </c>
      <c r="E1378" s="2" t="inlineStr">
        <is>
          <t>Andalucía</t>
        </is>
      </c>
      <c r="F1378" s="2" t="inlineStr">
        <is>
          <t>Almería</t>
        </is>
      </c>
      <c r="G1378" s="2" t="n"/>
      <c r="H1378" s="2" t="inlineStr">
        <is>
          <t>Junta de Gobierno de la Diputación Provincial de Almería</t>
        </is>
      </c>
      <c r="I1378" s="2" t="inlineStr">
        <is>
          <t>Pavimentación Caminos Municipales. Sierro 72PCAM24-27BII</t>
        </is>
      </c>
      <c r="J1378" s="2" t="inlineStr">
        <is>
          <t>2025/D31000/006-013/00178</t>
        </is>
      </c>
      <c r="K1378" s="2" t="inlineStr">
        <is>
          <t>Abierto simplificado</t>
        </is>
      </c>
      <c r="L1378" s="6" t="n">
        <v>2</v>
      </c>
      <c r="M1378" s="2" t="n"/>
      <c r="N1378" s="7" t="n">
        <v>0.25</v>
      </c>
      <c r="O1378" s="4" t="n"/>
      <c r="P1378" s="2" t="inlineStr">
        <is>
          <t>45233222</t>
        </is>
      </c>
      <c r="Q1378" s="8" t="inlineStr">
        <is>
          <t>Ver</t>
        </is>
      </c>
      <c r="R1378" s="8" t="inlineStr">
        <is>
          <t>PCAP</t>
        </is>
      </c>
      <c r="S1378" s="9" t="n">
        <v>46310</v>
      </c>
      <c r="T1378" s="3" t="n">
        <v>46308.47114583333</v>
      </c>
      <c r="U1378" s="2" t="n"/>
    </row>
    <row r="1379">
      <c r="A1379" s="2" t="inlineStr">
        <is>
          <t>Pendiente de adjudicación</t>
        </is>
      </c>
      <c r="B1379" s="3" t="n">
        <v>46238.54166666666</v>
      </c>
      <c r="C1379" s="5" t="n">
        <v>326414.62</v>
      </c>
      <c r="D1379" s="5" t="n">
        <v>326414.62</v>
      </c>
      <c r="E1379" s="2" t="inlineStr">
        <is>
          <t>Andalucía</t>
        </is>
      </c>
      <c r="F1379" s="2" t="inlineStr">
        <is>
          <t>Málaga</t>
        </is>
      </c>
      <c r="G1379" s="2" t="n"/>
      <c r="H1379" s="2" t="inlineStr">
        <is>
          <t>Junta de Gobierno del Ayuntamiento de Málaga</t>
        </is>
      </c>
      <c r="I1379" s="2" t="inlineStr">
        <is>
          <t>Obras de reforma de la cubierta del Mercado Municipal de Atarazanas</t>
        </is>
      </c>
      <c r="J1379" s="2" t="inlineStr">
        <is>
          <t>88/26</t>
        </is>
      </c>
      <c r="K1379" s="2" t="inlineStr">
        <is>
          <t>Abierto simplificado</t>
        </is>
      </c>
      <c r="L1379" s="6" t="n">
        <v>6</v>
      </c>
      <c r="M1379" s="2" t="n"/>
      <c r="N1379" s="7" t="n">
        <v>0</v>
      </c>
      <c r="O1379" s="4" t="n"/>
      <c r="P1379" s="2" t="inlineStr">
        <is>
          <t>45212350; 45261910; 45213141</t>
        </is>
      </c>
      <c r="Q1379" s="8" t="inlineStr">
        <is>
          <t>Ver</t>
        </is>
      </c>
      <c r="R1379" s="8" t="inlineStr">
        <is>
          <t>PCAP</t>
        </is>
      </c>
      <c r="S1379" s="9" t="n">
        <v>46310</v>
      </c>
      <c r="T1379" s="3" t="n">
        <v>46308.46273148148</v>
      </c>
      <c r="U1379" s="2" t="n"/>
    </row>
    <row r="1380">
      <c r="A1380" s="2" t="inlineStr">
        <is>
          <t>En plazo</t>
        </is>
      </c>
      <c r="B1380" s="3" t="n">
        <v>46337.99930555555</v>
      </c>
      <c r="C1380" s="5" t="n">
        <v>137097.1</v>
      </c>
      <c r="D1380" s="5" t="n">
        <v>137097.1</v>
      </c>
      <c r="E1380" s="2" t="inlineStr">
        <is>
          <t>Andalucía</t>
        </is>
      </c>
      <c r="F1380" s="2" t="inlineStr">
        <is>
          <t>Cádiz</t>
        </is>
      </c>
      <c r="G1380" s="2" t="inlineStr">
        <is>
          <t>SAN JOSE DEL VALLE</t>
        </is>
      </c>
      <c r="H1380" s="2" t="inlineStr">
        <is>
          <t>Alcaldía del Ayuntamiento de San José del Valle</t>
        </is>
      </c>
      <c r="I1380" s="2" t="inlineStr">
        <is>
          <t>Reparación de la cubierta de la Iglesia Parroquial San José, Plaza de Andalucía nº 9 de San José del Valle.</t>
        </is>
      </c>
      <c r="J1380" s="2" t="inlineStr">
        <is>
          <t>2709-2026</t>
        </is>
      </c>
      <c r="K1380" s="2" t="inlineStr">
        <is>
          <t>Abierto simplificado</t>
        </is>
      </c>
      <c r="L1380" s="6" t="n">
        <v>3</v>
      </c>
      <c r="M1380" s="2" t="n"/>
      <c r="N1380" s="7" t="n">
        <v>0</v>
      </c>
      <c r="O1380" s="4" t="n"/>
      <c r="P1380" s="2" t="inlineStr">
        <is>
          <t>45000000; 45200000</t>
        </is>
      </c>
      <c r="Q1380" s="8" t="inlineStr">
        <is>
          <t>Ver</t>
        </is>
      </c>
      <c r="R1380" s="8" t="inlineStr">
        <is>
          <t>PCAP</t>
        </is>
      </c>
      <c r="S1380" s="9" t="n">
        <v>46310</v>
      </c>
      <c r="T1380" s="3" t="n">
        <v>46308.46052083333</v>
      </c>
      <c r="U1380" s="2" t="n"/>
    </row>
    <row r="1381">
      <c r="A1381" s="2" t="inlineStr">
        <is>
          <t>Resuelta</t>
        </is>
      </c>
      <c r="B1381" s="3" t="n">
        <v>45994.99930555555</v>
      </c>
      <c r="C1381" s="5" t="n">
        <v>196665.92</v>
      </c>
      <c r="D1381" s="5" t="n">
        <v>196665.92</v>
      </c>
      <c r="E1381" s="2" t="inlineStr">
        <is>
          <t>Comunitat Valenciana</t>
        </is>
      </c>
      <c r="F1381" s="2" t="inlineStr">
        <is>
          <t>Alicante</t>
        </is>
      </c>
      <c r="G1381" s="2" t="n"/>
      <c r="H1381" s="2" t="inlineStr">
        <is>
          <t>Presidencia de la Diputación Provincial de Alicante</t>
        </is>
      </c>
      <c r="I1381" s="2" t="inlineStr">
        <is>
          <t>Obra de restauración del vallado del Palacio Provincial. sectores de la Avda. de la Estación, en el municipio de Alicante.</t>
        </is>
      </c>
      <c r="J1381" s="2" t="inlineStr">
        <is>
          <t>O4S-236/2025</t>
        </is>
      </c>
      <c r="K1381" s="2" t="inlineStr">
        <is>
          <t>Abierto simplificado</t>
        </is>
      </c>
      <c r="L1381" s="6" t="n">
        <v>6</v>
      </c>
      <c r="M1381" s="2" t="n"/>
      <c r="N1381" s="7" t="n">
        <v>0.25</v>
      </c>
      <c r="O1381" s="4" t="n"/>
      <c r="P1381" s="2" t="inlineStr">
        <is>
          <t>45212350; 45262210; 45262510; 45454100; 45262520</t>
        </is>
      </c>
      <c r="Q1381" s="8" t="inlineStr">
        <is>
          <t>Ver</t>
        </is>
      </c>
      <c r="R1381" s="8" t="inlineStr">
        <is>
          <t>PCAP</t>
        </is>
      </c>
      <c r="S1381" s="9" t="n">
        <v>46310</v>
      </c>
      <c r="T1381" s="3" t="n">
        <v>46308.45729166667</v>
      </c>
      <c r="U1381" s="2" t="n"/>
    </row>
    <row r="1382">
      <c r="A1382" s="2" t="inlineStr">
        <is>
          <t>Resuelta</t>
        </is>
      </c>
      <c r="B1382" s="3" t="n"/>
      <c r="C1382" s="5" t="n">
        <v>7790213.77</v>
      </c>
      <c r="D1382" s="5" t="n">
        <v>9426158.66</v>
      </c>
      <c r="E1382" s="2" t="inlineStr">
        <is>
          <t>Andalucía</t>
        </is>
      </c>
      <c r="F1382" s="2" t="inlineStr">
        <is>
          <t>Granada</t>
        </is>
      </c>
      <c r="G1382" s="2" t="n"/>
      <c r="H1382" s="2" t="inlineStr">
        <is>
          <t>Demarcación de Carreteras del Estado en Andalucía Oriental</t>
        </is>
      </c>
      <c r="I1382" s="2" t="inlineStr">
        <is>
          <t>Reparación del Viaducto de Rules en el P.K. 171+400 de la autovía A-44, provincia de Granada, subsanando la situación de grave peligro existente.</t>
        </is>
      </c>
      <c r="J1382" s="2" t="inlineStr">
        <is>
          <t>EM23-GR-02.L1</t>
        </is>
      </c>
      <c r="K1382" s="2" t="inlineStr">
        <is>
          <t>Negociado sin publicidad</t>
        </is>
      </c>
      <c r="L1382" s="6" t="n">
        <v>12</v>
      </c>
      <c r="M1382" s="2" t="n"/>
      <c r="N1382" s="7" t="n"/>
      <c r="O1382" s="4" t="n"/>
      <c r="P1382" s="2" t="inlineStr">
        <is>
          <t>45000000</t>
        </is>
      </c>
      <c r="Q1382" s="8" t="inlineStr">
        <is>
          <t>Ver</t>
        </is>
      </c>
      <c r="R1382" s="2" t="n"/>
      <c r="S1382" s="9" t="n">
        <v>46310</v>
      </c>
      <c r="T1382" s="3" t="n">
        <v>46308.45436342592</v>
      </c>
      <c r="U1382" s="2" t="n"/>
    </row>
    <row r="1383">
      <c r="A1383" s="2" t="inlineStr">
        <is>
          <t>En plazo</t>
        </is>
      </c>
      <c r="B1383" s="3" t="n">
        <v>46337.99930555555</v>
      </c>
      <c r="C1383" s="5" t="n">
        <v>481367.76</v>
      </c>
      <c r="D1383" s="5" t="n">
        <v>481367.76</v>
      </c>
      <c r="E1383" s="2" t="inlineStr">
        <is>
          <t>Andalucía</t>
        </is>
      </c>
      <c r="F1383" s="2" t="inlineStr">
        <is>
          <t>Cádiz</t>
        </is>
      </c>
      <c r="G1383" s="2" t="inlineStr">
        <is>
          <t>SAN JOSE DEL VALLE</t>
        </is>
      </c>
      <c r="H1383" s="2" t="inlineStr">
        <is>
          <t>Alcaldía del Ayuntamiento de San José del Valle</t>
        </is>
      </c>
      <c r="I1383" s="2" t="inlineStr">
        <is>
          <t>Ejecución de Caseta de Eventos en Recinto Ferial. Plan Marcha Cádiz + 2026</t>
        </is>
      </c>
      <c r="J1383" s="2" t="inlineStr">
        <is>
          <t>2711-2026</t>
        </is>
      </c>
      <c r="K1383" s="2" t="inlineStr">
        <is>
          <t>Abierto simplificado</t>
        </is>
      </c>
      <c r="L1383" s="6" t="n">
        <v>12</v>
      </c>
      <c r="M1383" s="2" t="n"/>
      <c r="N1383" s="7" t="n">
        <v>0</v>
      </c>
      <c r="O1383" s="4" t="n"/>
      <c r="P1383" s="2" t="inlineStr">
        <is>
          <t>45000000; 45200000</t>
        </is>
      </c>
      <c r="Q1383" s="8" t="inlineStr">
        <is>
          <t>Ver</t>
        </is>
      </c>
      <c r="R1383" s="8" t="inlineStr">
        <is>
          <t>PCAP</t>
        </is>
      </c>
      <c r="S1383" s="9" t="n">
        <v>46310</v>
      </c>
      <c r="T1383" s="3" t="n">
        <v>46308.4490162037</v>
      </c>
      <c r="U1383" s="2" t="n"/>
    </row>
    <row r="1384">
      <c r="A1384" s="2" t="inlineStr">
        <is>
          <t>En plazo</t>
        </is>
      </c>
      <c r="B1384" s="3" t="n">
        <v>46329.99930555555</v>
      </c>
      <c r="C1384" s="5" t="n">
        <v>66115.7</v>
      </c>
      <c r="D1384" s="5" t="n">
        <v>66115.7</v>
      </c>
      <c r="E1384" s="2" t="inlineStr">
        <is>
          <t>Andalucía</t>
        </is>
      </c>
      <c r="F1384" s="2" t="inlineStr">
        <is>
          <t>Almería</t>
        </is>
      </c>
      <c r="G1384" s="2" t="n"/>
      <c r="H1384" s="2" t="inlineStr">
        <is>
          <t>Junta de Gobierno de la Diputación Provincial de Almería</t>
        </is>
      </c>
      <c r="I1384" s="2" t="inlineStr">
        <is>
          <t>Pavimentación Caminos Municipales. Santa Fe De Mondújar 69PCAM24-27BII</t>
        </is>
      </c>
      <c r="J1384" s="2" t="inlineStr">
        <is>
          <t>2025/D31000/006-013/00171</t>
        </is>
      </c>
      <c r="K1384" s="2" t="inlineStr">
        <is>
          <t>Abierto simplificado</t>
        </is>
      </c>
      <c r="L1384" s="6" t="n">
        <v>1</v>
      </c>
      <c r="M1384" s="2" t="n"/>
      <c r="N1384" s="7" t="n">
        <v>0.25</v>
      </c>
      <c r="O1384" s="4" t="n"/>
      <c r="P1384" s="2" t="inlineStr">
        <is>
          <t>45233222</t>
        </is>
      </c>
      <c r="Q1384" s="8" t="inlineStr">
        <is>
          <t>Ver</t>
        </is>
      </c>
      <c r="R1384" s="8" t="inlineStr">
        <is>
          <t>PCAP</t>
        </is>
      </c>
      <c r="S1384" s="9" t="n">
        <v>46310</v>
      </c>
      <c r="T1384" s="3" t="n">
        <v>46308.44577546296</v>
      </c>
      <c r="U1384" s="2" t="n"/>
    </row>
    <row r="1385">
      <c r="A1385" s="2" t="inlineStr">
        <is>
          <t>Resuelta</t>
        </is>
      </c>
      <c r="B1385" s="3" t="n">
        <v>46288.99930555555</v>
      </c>
      <c r="C1385" s="5" t="n">
        <v>6704.4</v>
      </c>
      <c r="D1385" s="5" t="n">
        <v>6704.4</v>
      </c>
      <c r="E1385" s="2" t="inlineStr">
        <is>
          <t>Comunitat Valenciana</t>
        </is>
      </c>
      <c r="F1385" s="2" t="inlineStr">
        <is>
          <t>Valencia</t>
        </is>
      </c>
      <c r="G1385" s="2" t="n"/>
      <c r="H1385" s="2" t="inlineStr">
        <is>
          <t>Sexta Zona de la Guardia Civil en la Comunidad Valenciana</t>
        </is>
      </c>
      <c r="I1385" s="2" t="inlineStr">
        <is>
          <t>Adecuación de las dependencias para despachos y zona administrativa Policía Judicial</t>
        </is>
      </c>
      <c r="J1385" s="2" t="inlineStr">
        <is>
          <t>P/0179/Y/26/6</t>
        </is>
      </c>
      <c r="K1385" s="2" t="inlineStr">
        <is>
          <t>Abierto simplificado</t>
        </is>
      </c>
      <c r="L1385" s="6" t="n">
        <v>1</v>
      </c>
      <c r="M1385" s="2" t="n"/>
      <c r="N1385" s="7" t="n">
        <v>0</v>
      </c>
      <c r="O1385" s="4" t="n"/>
      <c r="P1385" s="2" t="inlineStr">
        <is>
          <t>45000000</t>
        </is>
      </c>
      <c r="Q1385" s="8" t="inlineStr">
        <is>
          <t>Ver</t>
        </is>
      </c>
      <c r="R1385" s="8" t="inlineStr">
        <is>
          <t>PCAP</t>
        </is>
      </c>
      <c r="S1385" s="9" t="n">
        <v>46310</v>
      </c>
      <c r="T1385" s="3" t="n">
        <v>46308.4412037037</v>
      </c>
      <c r="U1385" s="2" t="n"/>
    </row>
    <row r="1386">
      <c r="A1386" s="2" t="inlineStr">
        <is>
          <t>En plazo</t>
        </is>
      </c>
      <c r="B1386" s="3" t="n">
        <v>46329.99930555555</v>
      </c>
      <c r="C1386" s="5" t="n">
        <v>66115.7</v>
      </c>
      <c r="D1386" s="5" t="n">
        <v>66115.7</v>
      </c>
      <c r="E1386" s="2" t="inlineStr">
        <is>
          <t>Andalucía</t>
        </is>
      </c>
      <c r="F1386" s="2" t="inlineStr">
        <is>
          <t>Almería</t>
        </is>
      </c>
      <c r="G1386" s="2" t="n"/>
      <c r="H1386" s="2" t="inlineStr">
        <is>
          <t>Junta de Gobierno de la Diputación Provincial de Almería</t>
        </is>
      </c>
      <c r="I1386" s="2" t="inlineStr">
        <is>
          <t>Caminos Municipales, Ohanes 57PCAM24-27BII</t>
        </is>
      </c>
      <c r="J1386" s="2" t="inlineStr">
        <is>
          <t>2025/D31000/006-013/00259</t>
        </is>
      </c>
      <c r="K1386" s="2" t="inlineStr">
        <is>
          <t>Abierto simplificado</t>
        </is>
      </c>
      <c r="L1386" s="6" t="n">
        <v>1</v>
      </c>
      <c r="M1386" s="2" t="n"/>
      <c r="N1386" s="7" t="n">
        <v>0.25</v>
      </c>
      <c r="O1386" s="4" t="n"/>
      <c r="P1386" s="2" t="inlineStr">
        <is>
          <t>45233222</t>
        </is>
      </c>
      <c r="Q1386" s="8" t="inlineStr">
        <is>
          <t>Ver</t>
        </is>
      </c>
      <c r="R1386" s="8" t="inlineStr">
        <is>
          <t>PCAP</t>
        </is>
      </c>
      <c r="S1386" s="9" t="n">
        <v>46310</v>
      </c>
      <c r="T1386" s="3" t="n">
        <v>46308.43667824074</v>
      </c>
      <c r="U1386" s="2" t="n"/>
    </row>
    <row r="1387">
      <c r="A1387" s="2" t="inlineStr">
        <is>
          <t>Resuelta</t>
        </is>
      </c>
      <c r="B1387" s="3" t="n">
        <v>45929.99930555555</v>
      </c>
      <c r="C1387" s="5" t="n">
        <v>248688.39</v>
      </c>
      <c r="D1387" s="5" t="n">
        <v>248688.39</v>
      </c>
      <c r="E1387" s="2" t="inlineStr">
        <is>
          <t>Comunitat Valenciana</t>
        </is>
      </c>
      <c r="F1387" s="2" t="inlineStr">
        <is>
          <t>Valencia</t>
        </is>
      </c>
      <c r="G1387" s="2" t="inlineStr">
        <is>
          <t>Sedaví</t>
        </is>
      </c>
      <c r="H1387" s="2" t="inlineStr">
        <is>
          <t>Junta de Gobierno del Ayuntamiento de Sedaví</t>
        </is>
      </c>
      <c r="I1387" s="2" t="inlineStr">
        <is>
          <t>Obra de reforma interior del Ayuntamiento por daños DANA</t>
        </is>
      </c>
      <c r="J1387" s="2" t="inlineStr">
        <is>
          <t>2025/11</t>
        </is>
      </c>
      <c r="K1387" s="2" t="inlineStr">
        <is>
          <t>Abierto simplificado</t>
        </is>
      </c>
      <c r="L1387" s="6" t="n">
        <v>5</v>
      </c>
      <c r="M1387" s="2" t="n"/>
      <c r="N1387" s="7" t="n">
        <v>0</v>
      </c>
      <c r="O1387" s="4" t="n"/>
      <c r="P1387" s="2" t="inlineStr">
        <is>
          <t>45000000</t>
        </is>
      </c>
      <c r="Q1387" s="8" t="inlineStr">
        <is>
          <t>Ver</t>
        </is>
      </c>
      <c r="R1387" s="8" t="inlineStr">
        <is>
          <t>PCAP</t>
        </is>
      </c>
      <c r="S1387" s="9" t="n">
        <v>46310</v>
      </c>
      <c r="T1387" s="3" t="n">
        <v>46308.43458333334</v>
      </c>
      <c r="U1387" s="2" t="n"/>
    </row>
    <row r="1388">
      <c r="A1388" s="2" t="inlineStr">
        <is>
          <t>Pendiente de adjudicación</t>
        </is>
      </c>
      <c r="B1388" s="3" t="n">
        <v>46301.99930555555</v>
      </c>
      <c r="C1388" s="5" t="n">
        <v>49198.24</v>
      </c>
      <c r="D1388" s="5" t="n">
        <v>49198.24</v>
      </c>
      <c r="E1388" s="2" t="inlineStr">
        <is>
          <t>Comunitat Valenciana</t>
        </is>
      </c>
      <c r="F1388" s="2" t="inlineStr">
        <is>
          <t>Alicante</t>
        </is>
      </c>
      <c r="G1388" s="2" t="inlineStr">
        <is>
          <t>Pego</t>
        </is>
      </c>
      <c r="H1388" s="2" t="inlineStr">
        <is>
          <t>Alcaldía del Ayuntamiento de Pego</t>
        </is>
      </c>
      <c r="I1388" s="2" t="inlineStr">
        <is>
          <t>Remodelación de la calle Ramón y Cajal a plataforma única.</t>
        </is>
      </c>
      <c r="J1388" s="2" t="inlineStr">
        <is>
          <t>2052/2026</t>
        </is>
      </c>
      <c r="K1388" s="2" t="inlineStr">
        <is>
          <t>Abierto simplificado</t>
        </is>
      </c>
      <c r="L1388" s="6" t="n">
        <v>2</v>
      </c>
      <c r="M1388" s="2" t="inlineStr">
        <is>
          <t>G6-1</t>
        </is>
      </c>
      <c r="N1388" s="7" t="n">
        <v>0</v>
      </c>
      <c r="O1388" s="4" t="n"/>
      <c r="P1388" s="2" t="inlineStr">
        <is>
          <t>45233251</t>
        </is>
      </c>
      <c r="Q1388" s="8" t="inlineStr">
        <is>
          <t>Ver</t>
        </is>
      </c>
      <c r="R1388" s="8" t="inlineStr">
        <is>
          <t>PCAP</t>
        </is>
      </c>
      <c r="S1388" s="9" t="n">
        <v>46310</v>
      </c>
      <c r="T1388" s="3" t="n">
        <v>46308.43315972222</v>
      </c>
      <c r="U1388" s="2" t="n"/>
    </row>
    <row r="1389">
      <c r="A1389" s="2" t="inlineStr">
        <is>
          <t>Resuelta</t>
        </is>
      </c>
      <c r="B1389" s="3" t="n">
        <v>46288.99930555555</v>
      </c>
      <c r="C1389" s="5" t="n">
        <v>13970</v>
      </c>
      <c r="D1389" s="5" t="n">
        <v>13970</v>
      </c>
      <c r="E1389" s="2" t="inlineStr">
        <is>
          <t>Comunitat Valenciana</t>
        </is>
      </c>
      <c r="F1389" s="2" t="inlineStr">
        <is>
          <t>Valencia</t>
        </is>
      </c>
      <c r="G1389" s="2" t="n"/>
      <c r="H1389" s="2" t="inlineStr">
        <is>
          <t>Sexta Zona de la Guardia Civil en la Comunidad Valenciana</t>
        </is>
      </c>
      <c r="I1389" s="2" t="inlineStr">
        <is>
          <t>Obra de rehabilitación y adecuación de las instalaciones y el vallado del Grupo Cinológico de la 6ª Zona de la Guardia civil en la Comunidad Valenciana, ubicado en el recinto del Acuartelamiento de Almussafes (Valencia).</t>
        </is>
      </c>
      <c r="J1389" s="2" t="inlineStr">
        <is>
          <t>P/0180/Y/26/2</t>
        </is>
      </c>
      <c r="K1389" s="2" t="inlineStr">
        <is>
          <t>Abierto simplificado</t>
        </is>
      </c>
      <c r="L1389" s="6" t="n">
        <v>2</v>
      </c>
      <c r="M1389" s="2" t="n"/>
      <c r="N1389" s="7" t="n">
        <v>0</v>
      </c>
      <c r="O1389" s="4" t="n"/>
      <c r="P1389" s="2" t="inlineStr">
        <is>
          <t>45000000</t>
        </is>
      </c>
      <c r="Q1389" s="8" t="inlineStr">
        <is>
          <t>Ver</t>
        </is>
      </c>
      <c r="R1389" s="8" t="inlineStr">
        <is>
          <t>PCAP</t>
        </is>
      </c>
      <c r="S1389" s="9" t="n">
        <v>46310</v>
      </c>
      <c r="T1389" s="3" t="n">
        <v>46308.43181712963</v>
      </c>
      <c r="U1389" s="2" t="n"/>
    </row>
    <row r="1390">
      <c r="A1390" s="2" t="inlineStr">
        <is>
          <t>En plazo</t>
        </is>
      </c>
      <c r="B1390" s="3" t="n">
        <v>46328.58333333334</v>
      </c>
      <c r="C1390" s="5" t="n">
        <v>283254.39</v>
      </c>
      <c r="D1390" s="5" t="n">
        <v>283254.39</v>
      </c>
      <c r="E1390" s="2" t="inlineStr">
        <is>
          <t>Comunitat Valenciana</t>
        </is>
      </c>
      <c r="F1390" s="2" t="inlineStr">
        <is>
          <t>Valencia</t>
        </is>
      </c>
      <c r="G1390" s="2" t="inlineStr">
        <is>
          <t>REQUENA</t>
        </is>
      </c>
      <c r="H1390" s="2" t="inlineStr">
        <is>
          <t>Junta de Gobierno Local del Ayuntamiento de Requena</t>
        </is>
      </c>
      <c r="I1390" s="2" t="inlineStr">
        <is>
          <t>Ejecucion de Dos pistas de Padel y cubierta</t>
        </is>
      </c>
      <c r="J1390" s="2" t="inlineStr">
        <is>
          <t>2984184A</t>
        </is>
      </c>
      <c r="K1390" s="2" t="inlineStr">
        <is>
          <t>Abierto simplificado</t>
        </is>
      </c>
      <c r="L1390" s="6" t="n">
        <v>3</v>
      </c>
      <c r="M1390" s="2" t="n"/>
      <c r="N1390" s="7" t="n">
        <v>0</v>
      </c>
      <c r="O1390" s="4" t="n"/>
      <c r="P1390" s="2" t="inlineStr">
        <is>
          <t>45212200</t>
        </is>
      </c>
      <c r="Q1390" s="8" t="inlineStr">
        <is>
          <t>Ver</t>
        </is>
      </c>
      <c r="R1390" s="8" t="inlineStr">
        <is>
          <t>PCAP</t>
        </is>
      </c>
      <c r="S1390" s="9" t="n">
        <v>46310</v>
      </c>
      <c r="T1390" s="3" t="n">
        <v>46308.4302662037</v>
      </c>
      <c r="U1390" s="2" t="n"/>
    </row>
    <row r="1391">
      <c r="A1391" s="2" t="inlineStr">
        <is>
          <t>Resuelta</t>
        </is>
      </c>
      <c r="B1391" s="3" t="n">
        <v>46262.75</v>
      </c>
      <c r="C1391" s="5" t="n">
        <v>56000</v>
      </c>
      <c r="D1391" s="5" t="n">
        <v>56000</v>
      </c>
      <c r="E1391" s="2" t="inlineStr">
        <is>
          <t>Comunitat Valenciana</t>
        </is>
      </c>
      <c r="F1391" s="2" t="inlineStr">
        <is>
          <t>Valencia</t>
        </is>
      </c>
      <c r="G1391" s="2" t="n"/>
      <c r="H1391" s="2" t="inlineStr">
        <is>
          <t>Empresa de Transformación Agraria S.A.,S.M.E., M.P., (TRAGSA)</t>
        </is>
      </c>
      <c r="I1391" s="2" t="inlineStr">
        <is>
          <t>UT2-contrato derivado del acuerdo marco para el alquiler de maquinaria autopropulsada con conductor en el ámbito territorial de la provincia de valencia durante dos anualidades, en el marco del plan de recuperación, transformacion y resiliencia financiado por la union europea - nextgenerationeu-prtr, y resto de encargos, N 0796001 DANA24 TAPONES CHJ. FASE II</t>
        </is>
      </c>
      <c r="J1391" s="2" t="inlineStr">
        <is>
          <t>TSA0081958-007</t>
        </is>
      </c>
      <c r="K1391" s="2" t="inlineStr">
        <is>
          <t>Abierto</t>
        </is>
      </c>
      <c r="L1391" s="6" t="n">
        <v>12</v>
      </c>
      <c r="M1391" s="2" t="n"/>
      <c r="N1391" s="7" t="n">
        <v>0</v>
      </c>
      <c r="O1391" s="4" t="n"/>
      <c r="P1391" s="2" t="inlineStr">
        <is>
          <t>45500000</t>
        </is>
      </c>
      <c r="Q1391" s="8" t="inlineStr">
        <is>
          <t>Ver</t>
        </is>
      </c>
      <c r="R1391" s="8" t="inlineStr">
        <is>
          <t>PCAP</t>
        </is>
      </c>
      <c r="S1391" s="9" t="n">
        <v>46310</v>
      </c>
      <c r="T1391" s="3" t="n">
        <v>46308.42991898148</v>
      </c>
      <c r="U1391" s="2" t="n"/>
    </row>
    <row r="1392">
      <c r="A1392" s="2" t="inlineStr">
        <is>
          <t>En plazo</t>
        </is>
      </c>
      <c r="B1392" s="3" t="n">
        <v>46328.58333333334</v>
      </c>
      <c r="C1392" s="5" t="n">
        <v>557102.23</v>
      </c>
      <c r="D1392" s="5" t="n">
        <v>557102.23</v>
      </c>
      <c r="E1392" s="2" t="inlineStr">
        <is>
          <t>Comunitat Valenciana</t>
        </is>
      </c>
      <c r="F1392" s="2" t="inlineStr">
        <is>
          <t>Valencia</t>
        </is>
      </c>
      <c r="G1392" s="2" t="inlineStr">
        <is>
          <t>REQUENA</t>
        </is>
      </c>
      <c r="H1392" s="2" t="inlineStr">
        <is>
          <t>Junta de Gobierno Local del Ayuntamiento de Requena</t>
        </is>
      </c>
      <c r="I1392" s="2" t="inlineStr">
        <is>
          <t>Demolicion y construccion Centro Social de Campo Arcís</t>
        </is>
      </c>
      <c r="J1392" s="2" t="inlineStr">
        <is>
          <t>2896352M</t>
        </is>
      </c>
      <c r="K1392" s="2" t="inlineStr">
        <is>
          <t>Abierto simplificado</t>
        </is>
      </c>
      <c r="L1392" s="6" t="n">
        <v>24</v>
      </c>
      <c r="M1392" s="2" t="n"/>
      <c r="N1392" s="7" t="n">
        <v>0</v>
      </c>
      <c r="O1392" s="4" t="n"/>
      <c r="P1392" s="2" t="inlineStr">
        <is>
          <t>45211350; 45111100</t>
        </is>
      </c>
      <c r="Q1392" s="8" t="inlineStr">
        <is>
          <t>Ver</t>
        </is>
      </c>
      <c r="R1392" s="8" t="inlineStr">
        <is>
          <t>PCAP</t>
        </is>
      </c>
      <c r="S1392" s="9" t="n">
        <v>46310</v>
      </c>
      <c r="T1392" s="3" t="n">
        <v>46308.42965277778</v>
      </c>
      <c r="U1392" s="2" t="n"/>
    </row>
    <row r="1393">
      <c r="A1393" s="2" t="inlineStr">
        <is>
          <t>En plazo</t>
        </is>
      </c>
      <c r="B1393" s="3" t="n">
        <v>46329.99930555555</v>
      </c>
      <c r="C1393" s="5" t="n">
        <v>74380.17</v>
      </c>
      <c r="D1393" s="5" t="n">
        <v>74380.17</v>
      </c>
      <c r="E1393" s="2" t="inlineStr">
        <is>
          <t>Andalucía</t>
        </is>
      </c>
      <c r="F1393" s="2" t="inlineStr">
        <is>
          <t>Almería</t>
        </is>
      </c>
      <c r="G1393" s="2" t="n"/>
      <c r="H1393" s="2" t="inlineStr">
        <is>
          <t>Junta de Gobierno de la Diputación Provincial de Almería</t>
        </is>
      </c>
      <c r="I1393" s="2" t="inlineStr">
        <is>
          <t>Caminos Municipales, Arboleas 15PCAM24-27BII</t>
        </is>
      </c>
      <c r="J1393" s="2" t="inlineStr">
        <is>
          <t>2025/D31000/006-013/00269</t>
        </is>
      </c>
      <c r="K1393" s="2" t="inlineStr">
        <is>
          <t>Abierto simplificado</t>
        </is>
      </c>
      <c r="L1393" s="6" t="n">
        <v>2</v>
      </c>
      <c r="M1393" s="2" t="n"/>
      <c r="N1393" s="7" t="n">
        <v>0.25</v>
      </c>
      <c r="O1393" s="4" t="n"/>
      <c r="P1393" s="2" t="inlineStr">
        <is>
          <t>45233222</t>
        </is>
      </c>
      <c r="Q1393" s="8" t="inlineStr">
        <is>
          <t>Ver</t>
        </is>
      </c>
      <c r="R1393" s="8" t="inlineStr">
        <is>
          <t>PCAP</t>
        </is>
      </c>
      <c r="S1393" s="9" t="n">
        <v>46310</v>
      </c>
      <c r="T1393" s="3" t="n">
        <v>46308.429375</v>
      </c>
      <c r="U1393" s="2" t="n"/>
    </row>
    <row r="1394">
      <c r="A1394" s="2" t="inlineStr">
        <is>
          <t>Pendiente de adjudicación</t>
        </is>
      </c>
      <c r="B1394" s="3" t="n">
        <v>46050.99930555555</v>
      </c>
      <c r="C1394" s="5" t="n">
        <v>40460.01</v>
      </c>
      <c r="D1394" s="5" t="n">
        <v>40460.01</v>
      </c>
      <c r="E1394" s="2" t="inlineStr">
        <is>
          <t>Comunitat Valenciana</t>
        </is>
      </c>
      <c r="F1394" s="2" t="inlineStr">
        <is>
          <t>Alicante</t>
        </is>
      </c>
      <c r="G1394" s="2" t="n"/>
      <c r="H1394" s="2" t="inlineStr">
        <is>
          <t>Presidencia de la Diputación Provincial de Alicante</t>
        </is>
      </c>
      <c r="I1394" s="2" t="inlineStr">
        <is>
          <t>Obras de instalaciones de nuevos elementos de control en Comunidad Regantes Riegos Levante Margen Derecha del Río Segura</t>
        </is>
      </c>
      <c r="J1394" s="2" t="inlineStr">
        <is>
          <t>O4S-259/2025</t>
        </is>
      </c>
      <c r="K1394" s="2" t="inlineStr">
        <is>
          <t>Abierto simplificado</t>
        </is>
      </c>
      <c r="L1394" s="6" t="n">
        <v>2</v>
      </c>
      <c r="M1394" s="2" t="n"/>
      <c r="N1394" s="7" t="n">
        <v>0.2</v>
      </c>
      <c r="O1394" s="4" t="n"/>
      <c r="P1394" s="2" t="inlineStr">
        <is>
          <t>45232121</t>
        </is>
      </c>
      <c r="Q1394" s="8" t="inlineStr">
        <is>
          <t>Ver</t>
        </is>
      </c>
      <c r="R1394" s="8" t="inlineStr">
        <is>
          <t>PCAP</t>
        </is>
      </c>
      <c r="S1394" s="9" t="n">
        <v>46310</v>
      </c>
      <c r="T1394" s="3" t="n">
        <v>46308.42788194444</v>
      </c>
      <c r="U1394" s="2" t="n"/>
    </row>
    <row r="1395">
      <c r="A1395" s="2" t="inlineStr">
        <is>
          <t>Pendiente de adjudicación</t>
        </is>
      </c>
      <c r="B1395" s="3" t="n">
        <v>46218.58333333334</v>
      </c>
      <c r="C1395" s="5" t="n">
        <v>9786106.130000001</v>
      </c>
      <c r="D1395" s="5" t="n">
        <v>10764716.74</v>
      </c>
      <c r="E1395" s="2" t="inlineStr">
        <is>
          <t>Comunitat Valenciana</t>
        </is>
      </c>
      <c r="F1395" s="2" t="inlineStr">
        <is>
          <t>Alicante</t>
        </is>
      </c>
      <c r="G1395" s="2" t="inlineStr">
        <is>
          <t>Alicante</t>
        </is>
      </c>
      <c r="H1395" s="2" t="inlineStr">
        <is>
          <t>Dirección General de Gestión Económica, Contratación e Infraestructuras de la Conselleria de Sanidad</t>
        </is>
      </c>
      <c r="I1395" s="2" t="inlineStr">
        <is>
          <t>obras mediante procedimiento abierto, para la nueva construcción del centro de salud la Condomina de Alacant (Alicante).</t>
        </is>
      </c>
      <c r="J1395" s="2" t="inlineStr">
        <is>
          <t>361/2026</t>
        </is>
      </c>
      <c r="K1395" s="2" t="inlineStr">
        <is>
          <t>Abierto</t>
        </is>
      </c>
      <c r="L1395" s="6" t="n">
        <v>24</v>
      </c>
      <c r="M1395" s="2" t="inlineStr">
        <is>
          <t>C*-6</t>
        </is>
      </c>
      <c r="N1395" s="7" t="n">
        <v>0.1</v>
      </c>
      <c r="O1395" s="4" t="n"/>
      <c r="P1395" s="2" t="inlineStr">
        <is>
          <t>45215100</t>
        </is>
      </c>
      <c r="Q1395" s="8" t="inlineStr">
        <is>
          <t>Ver</t>
        </is>
      </c>
      <c r="R1395" s="8" t="inlineStr">
        <is>
          <t>PCAP</t>
        </is>
      </c>
      <c r="S1395" s="9" t="n">
        <v>46310</v>
      </c>
      <c r="T1395" s="3" t="n">
        <v>46308.4278587963</v>
      </c>
      <c r="U1395" s="2" t="n"/>
    </row>
    <row r="1396">
      <c r="A1396" s="2" t="inlineStr">
        <is>
          <t>En plazo</t>
        </is>
      </c>
      <c r="B1396" s="3" t="n">
        <v>46322.58333333334</v>
      </c>
      <c r="C1396" s="5" t="n">
        <v>52220.57</v>
      </c>
      <c r="D1396" s="5" t="n">
        <v>52220.57</v>
      </c>
      <c r="E1396" s="2" t="inlineStr">
        <is>
          <t>Comunitat Valenciana</t>
        </is>
      </c>
      <c r="F1396" s="2" t="inlineStr">
        <is>
          <t>Valencia</t>
        </is>
      </c>
      <c r="G1396" s="2" t="inlineStr">
        <is>
          <t>SAN ANTONIO DE REQUENA</t>
        </is>
      </c>
      <c r="H1396" s="2" t="inlineStr">
        <is>
          <t>Alcaldía del Ayuntamiento de Requena</t>
        </is>
      </c>
      <c r="I1396" s="2" t="inlineStr">
        <is>
          <t>Reurbanizacion Plaza San Antonio Abad de los Isidros</t>
        </is>
      </c>
      <c r="J1396" s="2" t="inlineStr">
        <is>
          <t>2980642F</t>
        </is>
      </c>
      <c r="K1396" s="2" t="inlineStr">
        <is>
          <t>Abierto simplificado</t>
        </is>
      </c>
      <c r="L1396" s="6" t="n">
        <v>3</v>
      </c>
      <c r="M1396" s="2" t="n"/>
      <c r="N1396" s="7" t="n">
        <v>0</v>
      </c>
      <c r="O1396" s="4" t="n"/>
      <c r="P1396" s="2" t="inlineStr">
        <is>
          <t>45212100</t>
        </is>
      </c>
      <c r="Q1396" s="8" t="inlineStr">
        <is>
          <t>Ver</t>
        </is>
      </c>
      <c r="R1396" s="8" t="inlineStr">
        <is>
          <t>PCAP</t>
        </is>
      </c>
      <c r="S1396" s="9" t="n">
        <v>46310</v>
      </c>
      <c r="T1396" s="3" t="n">
        <v>46308.4252662037</v>
      </c>
      <c r="U1396" s="2" t="n"/>
    </row>
    <row r="1397">
      <c r="A1397" s="2" t="inlineStr">
        <is>
          <t>Resuelta</t>
        </is>
      </c>
      <c r="B1397" s="3" t="n">
        <v>46175.5</v>
      </c>
      <c r="C1397" s="5" t="n">
        <v>4408429.38</v>
      </c>
      <c r="D1397" s="5" t="n">
        <v>4408429.38</v>
      </c>
      <c r="E1397" s="2" t="inlineStr">
        <is>
          <t>Andalucía</t>
        </is>
      </c>
      <c r="F1397" s="2" t="inlineStr">
        <is>
          <t>Sevilla</t>
        </is>
      </c>
      <c r="G1397" s="2" t="inlineStr">
        <is>
          <t>Sevilla</t>
        </is>
      </c>
      <c r="H1397" s="2" t="inlineStr">
        <is>
          <t>Consejería Delegada de la Empresa Metropolitana de Abastecimiento y Saneamiento de Aguas de Sevilla S.A. (EMASESA)</t>
        </is>
      </c>
      <c r="I1397" s="2" t="inlineStr">
        <is>
          <t>Proyecto para la renovación de las redes de abastecimiento y saneamiento en Avda. de la Reina Mercedes. Distrito Bellavista- La Palmera, Sevilla.</t>
        </is>
      </c>
      <c r="J1397" s="2" t="inlineStr">
        <is>
          <t>0552/2026</t>
        </is>
      </c>
      <c r="K1397" s="2" t="inlineStr">
        <is>
          <t>Abierto</t>
        </is>
      </c>
      <c r="L1397" s="6" t="n">
        <v>15.6</v>
      </c>
      <c r="M1397" s="2" t="inlineStr">
        <is>
          <t>E1-4; G6-4</t>
        </is>
      </c>
      <c r="N1397" s="7" t="n">
        <v>0.47</v>
      </c>
      <c r="O1397" s="4" t="n"/>
      <c r="P1397" s="2" t="inlineStr">
        <is>
          <t>45231300</t>
        </is>
      </c>
      <c r="Q1397" s="8" t="inlineStr">
        <is>
          <t>Ver</t>
        </is>
      </c>
      <c r="R1397" s="8" t="inlineStr">
        <is>
          <t>PCAP</t>
        </is>
      </c>
      <c r="S1397" s="9" t="n">
        <v>46310</v>
      </c>
      <c r="T1397" s="3" t="n">
        <v>46308.42040509259</v>
      </c>
      <c r="U1397" s="2" t="n"/>
    </row>
    <row r="1398">
      <c r="A1398" s="2" t="inlineStr">
        <is>
          <t>Resuelta</t>
        </is>
      </c>
      <c r="B1398" s="3" t="n">
        <v>46171.54166666666</v>
      </c>
      <c r="C1398" s="5" t="n">
        <v>7499719.54</v>
      </c>
      <c r="D1398" s="5" t="n">
        <v>7499719.54</v>
      </c>
      <c r="E1398" s="2" t="inlineStr">
        <is>
          <t>Andalucía</t>
        </is>
      </c>
      <c r="F1398" s="2" t="inlineStr">
        <is>
          <t>Huelva</t>
        </is>
      </c>
      <c r="G1398" s="2" t="inlineStr">
        <is>
          <t>MAZAGÓN - HUELVA</t>
        </is>
      </c>
      <c r="H1398" s="2" t="inlineStr">
        <is>
          <t>Consejo de Administración de Sociedad Mercantil Estatal Aguas de las Cuencas de España, S.A. (ACUAES)</t>
        </is>
      </c>
      <c r="I1398" s="2" t="inlineStr">
        <is>
          <t>Ejecución de las obras del proyecto "Nueva EDAR de Mazagón (Huelva). Ampliación de la capacidad de tratamiento". Fase 1, cofinanciado por el Programa Plurirregional de España FEDER 2021 - 2027.</t>
        </is>
      </c>
      <c r="J1398" s="2" t="inlineStr">
        <is>
          <t>ACE/422.01/25/OBRA/01</t>
        </is>
      </c>
      <c r="K1398" s="2" t="inlineStr">
        <is>
          <t>Abierto</t>
        </is>
      </c>
      <c r="L1398" s="6" t="n">
        <v>22</v>
      </c>
      <c r="M1398" s="2" t="inlineStr">
        <is>
          <t>K8-4</t>
        </is>
      </c>
      <c r="N1398" s="7" t="n">
        <v>0.45</v>
      </c>
      <c r="O1398" s="4" t="n"/>
      <c r="P1398" s="2" t="inlineStr">
        <is>
          <t>45232420</t>
        </is>
      </c>
      <c r="Q1398" s="8" t="inlineStr">
        <is>
          <t>Ver</t>
        </is>
      </c>
      <c r="R1398" s="8" t="inlineStr">
        <is>
          <t>PCAP</t>
        </is>
      </c>
      <c r="S1398" s="9" t="n">
        <v>46310</v>
      </c>
      <c r="T1398" s="3" t="n">
        <v>46308.40811342592</v>
      </c>
      <c r="U1398" s="2" t="n"/>
    </row>
    <row r="1399">
      <c r="A1399" s="2" t="inlineStr">
        <is>
          <t>Resuelta</t>
        </is>
      </c>
      <c r="B1399" s="3" t="n">
        <v>46232.99930555555</v>
      </c>
      <c r="C1399" s="5" t="n">
        <v>243762.7</v>
      </c>
      <c r="D1399" s="5" t="n">
        <v>243762.7</v>
      </c>
      <c r="E1399" s="2" t="inlineStr">
        <is>
          <t>Comunitat Valenciana</t>
        </is>
      </c>
      <c r="F1399" s="2" t="inlineStr">
        <is>
          <t>Castellón</t>
        </is>
      </c>
      <c r="G1399" s="2" t="n"/>
      <c r="H1399" s="2" t="inlineStr">
        <is>
          <t>Alcaldía del Ayuntamiento de Oropesa del Mar</t>
        </is>
      </c>
      <c r="I1399" s="2" t="inlineStr">
        <is>
          <t>El objeto del presente contrato es ejecutar las obras correspondientes para la adecuación del solar para CEIP número 3 del municipio de Oropesa del Mar.</t>
        </is>
      </c>
      <c r="J1399" s="2" t="inlineStr">
        <is>
          <t>4-SERV2026</t>
        </is>
      </c>
      <c r="K1399" s="2" t="inlineStr">
        <is>
          <t>Abierto simplificado</t>
        </is>
      </c>
      <c r="L1399" s="6" t="n">
        <v>3</v>
      </c>
      <c r="M1399" s="2" t="n"/>
      <c r="N1399" s="7" t="n">
        <v>0</v>
      </c>
      <c r="O1399" s="4" t="n"/>
      <c r="P1399" s="2" t="inlineStr">
        <is>
          <t>45100000; 45111000; 45231000; 45112500</t>
        </is>
      </c>
      <c r="Q1399" s="8" t="inlineStr">
        <is>
          <t>Ver</t>
        </is>
      </c>
      <c r="R1399" s="8" t="inlineStr">
        <is>
          <t>PCAP</t>
        </is>
      </c>
      <c r="S1399" s="9" t="n">
        <v>46310</v>
      </c>
      <c r="T1399" s="3" t="n">
        <v>46308.40290509259</v>
      </c>
      <c r="U1399" s="2" t="n"/>
    </row>
    <row r="1400">
      <c r="A1400" s="2" t="inlineStr">
        <is>
          <t>En plazo</t>
        </is>
      </c>
      <c r="B1400" s="3" t="n">
        <v>46328.99930555555</v>
      </c>
      <c r="C1400" s="5" t="n">
        <v>90909.09</v>
      </c>
      <c r="D1400" s="5" t="n">
        <v>90909.09</v>
      </c>
      <c r="E1400" s="2" t="inlineStr">
        <is>
          <t>Andalucía</t>
        </is>
      </c>
      <c r="F1400" s="2" t="inlineStr">
        <is>
          <t>Cádiz</t>
        </is>
      </c>
      <c r="G1400" s="2" t="inlineStr">
        <is>
          <t>El Gastor</t>
        </is>
      </c>
      <c r="H1400" s="2" t="inlineStr">
        <is>
          <t>Alcaldía del Ayuntamiento de El Gastor</t>
        </is>
      </c>
      <c r="I1400" s="2" t="inlineStr">
        <is>
          <t>Terminación de la Residencia Municipal de Mayores de El Gastor.</t>
        </is>
      </c>
      <c r="J1400" s="2" t="inlineStr">
        <is>
          <t>796/2026</t>
        </is>
      </c>
      <c r="K1400" s="2" t="inlineStr">
        <is>
          <t>Abierto simplificado</t>
        </is>
      </c>
      <c r="L1400" s="6" t="n">
        <v>6</v>
      </c>
      <c r="M1400" s="2" t="n"/>
      <c r="N1400" s="7" t="n">
        <v>0</v>
      </c>
      <c r="O1400" s="4" t="n"/>
      <c r="P1400" s="2" t="inlineStr">
        <is>
          <t>45200000</t>
        </is>
      </c>
      <c r="Q1400" s="8" t="inlineStr">
        <is>
          <t>Ver</t>
        </is>
      </c>
      <c r="R1400" s="8" t="inlineStr">
        <is>
          <t>PCAP</t>
        </is>
      </c>
      <c r="S1400" s="9" t="n">
        <v>46310</v>
      </c>
      <c r="T1400" s="3" t="n">
        <v>46308.39884259259</v>
      </c>
      <c r="U1400" s="2" t="n"/>
    </row>
    <row r="1401">
      <c r="A1401" s="2" t="inlineStr">
        <is>
          <t>En plazo</t>
        </is>
      </c>
      <c r="B1401" s="3" t="n">
        <v>46335.58333333334</v>
      </c>
      <c r="C1401" s="5" t="n">
        <v>86000</v>
      </c>
      <c r="D1401" s="5" t="n">
        <v>86000</v>
      </c>
      <c r="E1401" s="2" t="inlineStr">
        <is>
          <t>Andalucía</t>
        </is>
      </c>
      <c r="F1401" s="2" t="inlineStr">
        <is>
          <t>Huelva</t>
        </is>
      </c>
      <c r="G1401" s="2" t="inlineStr">
        <is>
          <t>Palos de la Frontera.</t>
        </is>
      </c>
      <c r="H1401" s="2" t="inlineStr">
        <is>
          <t>Alcaldia del Ayuntamiento de Palos de la Frontera</t>
        </is>
      </c>
      <c r="I1401" s="2" t="inlineStr">
        <is>
          <t>Contratación de las obras de ejecución de revestimiento cerámico del muro y los edificios anexos de la Plaza de la Cruz de Palos de la Frontera.</t>
        </is>
      </c>
      <c r="J1401" s="2" t="inlineStr">
        <is>
          <t>Contrato de Obras 11/2026</t>
        </is>
      </c>
      <c r="K1401" s="2" t="inlineStr">
        <is>
          <t>Abierto</t>
        </is>
      </c>
      <c r="L1401" s="6" t="n">
        <v>4</v>
      </c>
      <c r="M1401" s="2" t="n"/>
      <c r="N1401" s="7" t="n">
        <v>0.4</v>
      </c>
      <c r="O1401" s="4" t="n"/>
      <c r="P1401" s="2" t="inlineStr">
        <is>
          <t>45432210; 44111300</t>
        </is>
      </c>
      <c r="Q1401" s="8" t="inlineStr">
        <is>
          <t>Ver</t>
        </is>
      </c>
      <c r="R1401" s="8" t="inlineStr">
        <is>
          <t>PCAP</t>
        </is>
      </c>
      <c r="S1401" s="9" t="n">
        <v>46310</v>
      </c>
      <c r="T1401" s="3" t="n">
        <v>46308.39758101852</v>
      </c>
      <c r="U1401" s="2" t="n"/>
    </row>
    <row r="1402">
      <c r="A1402" s="2" t="inlineStr">
        <is>
          <t>Resuelta</t>
        </is>
      </c>
      <c r="B1402" s="3" t="n">
        <v>46245.375</v>
      </c>
      <c r="C1402" s="5" t="n">
        <v>99878.75</v>
      </c>
      <c r="D1402" s="5" t="n">
        <v>99878.75</v>
      </c>
      <c r="E1402" s="2" t="inlineStr">
        <is>
          <t>Andalucía</t>
        </is>
      </c>
      <c r="F1402" s="2" t="inlineStr">
        <is>
          <t>Cádiz</t>
        </is>
      </c>
      <c r="G1402" s="2" t="n"/>
      <c r="H1402" s="2" t="inlineStr">
        <is>
          <t>Intendente de San Fernando</t>
        </is>
      </c>
      <c r="I1402" s="2" t="inlineStr">
        <is>
          <t>Obras de conservación en impermeabilización de la Iglesia "Nª Sª del Rosario"</t>
        </is>
      </c>
      <c r="J1402" s="2" t="inlineStr">
        <is>
          <t>2026/AR43U/00001765E</t>
        </is>
      </c>
      <c r="K1402" s="2" t="inlineStr">
        <is>
          <t>Abierto simplificado</t>
        </is>
      </c>
      <c r="L1402" s="6" t="n">
        <v>2.3</v>
      </c>
      <c r="M1402" s="2" t="n"/>
      <c r="N1402" s="7" t="n">
        <v>0</v>
      </c>
      <c r="O1402" s="4" t="n"/>
      <c r="P1402" s="2" t="inlineStr">
        <is>
          <t>45261214</t>
        </is>
      </c>
      <c r="Q1402" s="8" t="inlineStr">
        <is>
          <t>Ver</t>
        </is>
      </c>
      <c r="R1402" s="8" t="inlineStr">
        <is>
          <t>PCAP</t>
        </is>
      </c>
      <c r="S1402" s="9" t="n">
        <v>46310</v>
      </c>
      <c r="T1402" s="3" t="n">
        <v>46308.38732638889</v>
      </c>
      <c r="U1402" s="2" t="n"/>
    </row>
    <row r="1403">
      <c r="A1403" s="2" t="inlineStr">
        <is>
          <t>Resuelta</t>
        </is>
      </c>
      <c r="B1403" s="3" t="n">
        <v>46213.54166666666</v>
      </c>
      <c r="C1403" s="5" t="n">
        <v>393281.94</v>
      </c>
      <c r="D1403" s="5" t="n">
        <v>393281.94</v>
      </c>
      <c r="E1403" s="2" t="inlineStr">
        <is>
          <t>Andalucía</t>
        </is>
      </c>
      <c r="F1403" s="2" t="inlineStr">
        <is>
          <t>Almería</t>
        </is>
      </c>
      <c r="G1403" s="2" t="inlineStr">
        <is>
          <t>Almeria</t>
        </is>
      </c>
      <c r="H1403" s="2" t="inlineStr">
        <is>
          <t>Rectorado de la Universidad de Almería</t>
        </is>
      </c>
      <c r="I1403" s="2" t="inlineStr">
        <is>
          <t>obra la adaptación de las Aulas a Docencia Avanzada de la Universidad de Almería</t>
        </is>
      </c>
      <c r="J1403" s="2" t="inlineStr">
        <is>
          <t>1094</t>
        </is>
      </c>
      <c r="K1403" s="2" t="inlineStr">
        <is>
          <t>Abierto simplificado</t>
        </is>
      </c>
      <c r="L1403" s="6" t="n">
        <v>5</v>
      </c>
      <c r="M1403" s="2" t="n"/>
      <c r="N1403" s="7" t="n">
        <v>0.2</v>
      </c>
      <c r="O1403" s="4" t="n"/>
      <c r="P1403" s="2" t="inlineStr">
        <is>
          <t>45210000; 45214400; 45214000</t>
        </is>
      </c>
      <c r="Q1403" s="8" t="inlineStr">
        <is>
          <t>Ver</t>
        </is>
      </c>
      <c r="R1403" s="8" t="inlineStr">
        <is>
          <t>PCAP</t>
        </is>
      </c>
      <c r="S1403" s="9" t="n">
        <v>46310</v>
      </c>
      <c r="T1403" s="3" t="n">
        <v>46308.38399305556</v>
      </c>
      <c r="U1403" s="2" t="n"/>
    </row>
    <row r="1404">
      <c r="A1404" s="2" t="inlineStr">
        <is>
          <t>Pendiente de adjudicación</t>
        </is>
      </c>
      <c r="B1404" s="3" t="n">
        <v>46300.99930555555</v>
      </c>
      <c r="C1404" s="5" t="n">
        <v>1561590.24</v>
      </c>
      <c r="D1404" s="5" t="n">
        <v>1561590.24</v>
      </c>
      <c r="E1404" s="2" t="inlineStr">
        <is>
          <t>Andalucía</t>
        </is>
      </c>
      <c r="F1404" s="2" t="inlineStr">
        <is>
          <t>Granada</t>
        </is>
      </c>
      <c r="G1404" s="2" t="n"/>
      <c r="H1404" s="2" t="inlineStr">
        <is>
          <t>Alcaldía del Ayuntamiento de Atarfe</t>
        </is>
      </c>
      <c r="I1404" s="2" t="inlineStr">
        <is>
          <t>Obra para la reforma integral y puesta en valor del Parque Los Olivares de Elvira como refugio climático</t>
        </is>
      </c>
      <c r="J1404" s="2" t="inlineStr">
        <is>
          <t>5782/2026</t>
        </is>
      </c>
      <c r="K1404" s="2" t="inlineStr">
        <is>
          <t>Abierto</t>
        </is>
      </c>
      <c r="L1404" s="6" t="n">
        <v>21</v>
      </c>
      <c r="M1404" s="2" t="n"/>
      <c r="N1404" s="7" t="n">
        <v>0</v>
      </c>
      <c r="O1404" s="4" t="n"/>
      <c r="P1404" s="2" t="inlineStr">
        <is>
          <t>45000000; 45112700; 45210000; 45100000</t>
        </is>
      </c>
      <c r="Q1404" s="8" t="inlineStr">
        <is>
          <t>Ver</t>
        </is>
      </c>
      <c r="R1404" s="8" t="inlineStr">
        <is>
          <t>PCAP</t>
        </is>
      </c>
      <c r="S1404" s="9" t="n">
        <v>46310</v>
      </c>
      <c r="T1404" s="3" t="n">
        <v>46308.38209490741</v>
      </c>
      <c r="U1404" s="2" t="n"/>
    </row>
    <row r="1405">
      <c r="A1405" s="2" t="inlineStr">
        <is>
          <t>Resuelta</t>
        </is>
      </c>
      <c r="B1405" s="3" t="n">
        <v>46302.58333333334</v>
      </c>
      <c r="C1405" s="5" t="n">
        <v>74703.53</v>
      </c>
      <c r="D1405" s="5" t="n">
        <v>74703.53</v>
      </c>
      <c r="E1405" s="2" t="inlineStr">
        <is>
          <t>Andalucía</t>
        </is>
      </c>
      <c r="F1405" s="2" t="inlineStr">
        <is>
          <t>Cádiz</t>
        </is>
      </c>
      <c r="G1405" s="2" t="inlineStr">
        <is>
          <t>Algeciras</t>
        </is>
      </c>
      <c r="H1405" s="2" t="inlineStr">
        <is>
          <t>TGSS-Dirección provincial de Cádiz</t>
        </is>
      </c>
      <c r="I1405" s="2" t="inlineStr">
        <is>
          <t>Ejecución de las obras de impermeabilización de las cubiertas de la OISS. de Algeciras dependiente de la Dirección Provincial de la Tesorería General de la S.S. en la provincia de Cádiz, que se describen en el proyecto de ejecución que hace las veces de pliego de prescripciones técnicas.</t>
        </is>
      </c>
      <c r="J1405" s="2" t="inlineStr">
        <is>
          <t>2026/110260</t>
        </is>
      </c>
      <c r="K1405" s="2" t="inlineStr">
        <is>
          <t>Abierto simplificado</t>
        </is>
      </c>
      <c r="L1405" s="6" t="n">
        <v>3</v>
      </c>
      <c r="M1405" s="2" t="n"/>
      <c r="N1405" s="7" t="n">
        <v>0</v>
      </c>
      <c r="O1405" s="4" t="n"/>
      <c r="P1405" s="2" t="inlineStr">
        <is>
          <t>45261420; 45442300; 45246400</t>
        </is>
      </c>
      <c r="Q1405" s="8" t="inlineStr">
        <is>
          <t>Ver</t>
        </is>
      </c>
      <c r="R1405" s="8" t="inlineStr">
        <is>
          <t>PCAP</t>
        </is>
      </c>
      <c r="S1405" s="9" t="n">
        <v>46310</v>
      </c>
      <c r="T1405" s="3" t="n">
        <v>46308.37878472222</v>
      </c>
      <c r="U1405" s="2" t="n"/>
    </row>
    <row r="1406">
      <c r="A1406" s="2" t="inlineStr">
        <is>
          <t>Resuelta</t>
        </is>
      </c>
      <c r="B1406" s="3" t="n">
        <v>46224.99930555555</v>
      </c>
      <c r="C1406" s="5" t="n">
        <v>627891.59</v>
      </c>
      <c r="D1406" s="5" t="n">
        <v>627891.59</v>
      </c>
      <c r="E1406" s="2" t="inlineStr">
        <is>
          <t>Andalucía</t>
        </is>
      </c>
      <c r="F1406" s="2" t="inlineStr">
        <is>
          <t>Granada</t>
        </is>
      </c>
      <c r="G1406" s="2" t="inlineStr">
        <is>
          <t>Gójar</t>
        </is>
      </c>
      <c r="H1406" s="2" t="inlineStr">
        <is>
          <t>Junta de Gobierno Local del Ayuntamiento de Gójar</t>
        </is>
      </c>
      <c r="I1406" s="2" t="inlineStr">
        <is>
          <t>Obras de demolición de los vestuarios existentes y construcción de un nuevo edificio destinado a vestuarios deportivos y cafetería en el Polideportivo Municipal de Gójar, situado en Camino de la Sierra n.º 26, Gójar (Granada).</t>
        </is>
      </c>
      <c r="J1406" s="2" t="inlineStr">
        <is>
          <t>156/2026</t>
        </is>
      </c>
      <c r="K1406" s="2" t="inlineStr">
        <is>
          <t>Abierto simplificado</t>
        </is>
      </c>
      <c r="L1406" s="6" t="n">
        <v>8</v>
      </c>
      <c r="M1406" s="2" t="n"/>
      <c r="N1406" s="7" t="n">
        <v>0</v>
      </c>
      <c r="O1406" s="4" t="n"/>
      <c r="P1406" s="2" t="inlineStr">
        <is>
          <t>45212200; 45212000; 45111100; 45210000</t>
        </is>
      </c>
      <c r="Q1406" s="8" t="inlineStr">
        <is>
          <t>Ver</t>
        </is>
      </c>
      <c r="R1406" s="8" t="inlineStr">
        <is>
          <t>PCAP</t>
        </is>
      </c>
      <c r="S1406" s="9" t="n">
        <v>46310</v>
      </c>
      <c r="T1406" s="3" t="n">
        <v>46308.3785300926</v>
      </c>
      <c r="U1406" s="2" t="n"/>
    </row>
    <row r="1407">
      <c r="A1407" s="2" t="inlineStr">
        <is>
          <t>Resuelta</t>
        </is>
      </c>
      <c r="B1407" s="3" t="n">
        <v>46196.99930555555</v>
      </c>
      <c r="C1407" s="5" t="n">
        <v>244629.29</v>
      </c>
      <c r="D1407" s="5" t="n">
        <v>244629.29</v>
      </c>
      <c r="E1407" s="2" t="inlineStr">
        <is>
          <t>Comunitat Valenciana</t>
        </is>
      </c>
      <c r="F1407" s="2" t="inlineStr">
        <is>
          <t>Valencia</t>
        </is>
      </c>
      <c r="G1407" s="2" t="inlineStr">
        <is>
          <t>Cortes de Pallás</t>
        </is>
      </c>
      <c r="H1407" s="2" t="inlineStr">
        <is>
          <t>Alcaldía del Ayuntamiento de Cortes de Pallás</t>
        </is>
      </c>
      <c r="I1407" s="2" t="inlineStr">
        <is>
          <t>Proyecto de Habilitación local para gimnasio</t>
        </is>
      </c>
      <c r="J1407" s="2" t="inlineStr">
        <is>
          <t>221791K.v2</t>
        </is>
      </c>
      <c r="K1407" s="2" t="inlineStr">
        <is>
          <t>Abierto simplificado</t>
        </is>
      </c>
      <c r="L1407" s="6" t="n">
        <v>6</v>
      </c>
      <c r="M1407" s="2" t="inlineStr">
        <is>
          <t>C*-2</t>
        </is>
      </c>
      <c r="N1407" s="7" t="n">
        <v>0</v>
      </c>
      <c r="O1407" s="4" t="n"/>
      <c r="P1407" s="2" t="inlineStr">
        <is>
          <t>45212222; 45200000</t>
        </is>
      </c>
      <c r="Q1407" s="8" t="inlineStr">
        <is>
          <t>Ver</t>
        </is>
      </c>
      <c r="R1407" s="8" t="inlineStr">
        <is>
          <t>PCAP</t>
        </is>
      </c>
      <c r="S1407" s="9" t="n">
        <v>46310</v>
      </c>
      <c r="T1407" s="3" t="n">
        <v>46308.37706018519</v>
      </c>
      <c r="U1407" s="2" t="n"/>
    </row>
    <row r="1408">
      <c r="A1408" s="2" t="inlineStr">
        <is>
          <t>Pendiente de adjudicación</t>
        </is>
      </c>
      <c r="B1408" s="3" t="n">
        <v>46248.54166666666</v>
      </c>
      <c r="C1408" s="5" t="n">
        <v>135136.69</v>
      </c>
      <c r="D1408" s="5" t="n">
        <v>162164.03</v>
      </c>
      <c r="E1408" s="2" t="inlineStr">
        <is>
          <t>Andalucía</t>
        </is>
      </c>
      <c r="F1408" s="2" t="inlineStr">
        <is>
          <t>Málaga</t>
        </is>
      </c>
      <c r="G1408" s="2" t="n"/>
      <c r="H1408" s="2" t="inlineStr">
        <is>
          <t>Junta de Gobierno del Ayuntamiento de Málaga</t>
        </is>
      </c>
      <c r="I1408" s="2" t="inlineStr">
        <is>
          <t>Obras de Construcción de Depósito de Regulación de Agua para Riego en Cl Alcalde Tomás Domínguez</t>
        </is>
      </c>
      <c r="J1408" s="2" t="inlineStr">
        <is>
          <t>60/26</t>
        </is>
      </c>
      <c r="K1408" s="2" t="inlineStr">
        <is>
          <t>Abierto simplificado</t>
        </is>
      </c>
      <c r="L1408" s="6" t="n">
        <v>7</v>
      </c>
      <c r="M1408" s="2" t="n"/>
      <c r="N1408" s="7" t="n">
        <v>0</v>
      </c>
      <c r="O1408" s="4" t="n"/>
      <c r="P1408" s="2" t="inlineStr">
        <is>
          <t>45232152</t>
        </is>
      </c>
      <c r="Q1408" s="8" t="inlineStr">
        <is>
          <t>Ver</t>
        </is>
      </c>
      <c r="R1408" s="8" t="inlineStr">
        <is>
          <t>PCAP</t>
        </is>
      </c>
      <c r="S1408" s="9" t="n">
        <v>46310</v>
      </c>
      <c r="T1408" s="3" t="n">
        <v>46308.36747685185</v>
      </c>
      <c r="U1408" s="2" t="n"/>
    </row>
    <row r="1409">
      <c r="A1409" s="2" t="inlineStr">
        <is>
          <t>Pendiente de adjudicación</t>
        </is>
      </c>
      <c r="B1409" s="3" t="n">
        <v>46294.99930555555</v>
      </c>
      <c r="C1409" s="5" t="n">
        <v>66115.7</v>
      </c>
      <c r="D1409" s="5" t="n">
        <v>66115.7</v>
      </c>
      <c r="E1409" s="2" t="inlineStr">
        <is>
          <t>Andalucía</t>
        </is>
      </c>
      <c r="F1409" s="2" t="inlineStr">
        <is>
          <t>Almería</t>
        </is>
      </c>
      <c r="G1409" s="2" t="n"/>
      <c r="H1409" s="2" t="inlineStr">
        <is>
          <t>Junta de Gobierno de la Diputación Provincial de Almería</t>
        </is>
      </c>
      <c r="I1409" s="2" t="inlineStr">
        <is>
          <t>Caminos Municipales, Alhabia 9PCAM24-27BII</t>
        </is>
      </c>
      <c r="J1409" s="2" t="inlineStr">
        <is>
          <t>2025/D31000/006-013/00263</t>
        </is>
      </c>
      <c r="K1409" s="2" t="inlineStr">
        <is>
          <t>Abierto simplificado</t>
        </is>
      </c>
      <c r="L1409" s="6" t="n">
        <v>2</v>
      </c>
      <c r="M1409" s="2" t="n"/>
      <c r="N1409" s="7" t="n">
        <v>0.25</v>
      </c>
      <c r="O1409" s="4" t="n"/>
      <c r="P1409" s="2" t="inlineStr">
        <is>
          <t>45233222</t>
        </is>
      </c>
      <c r="Q1409" s="8" t="inlineStr">
        <is>
          <t>Ver</t>
        </is>
      </c>
      <c r="R1409" s="8" t="inlineStr">
        <is>
          <t>PCAP</t>
        </is>
      </c>
      <c r="S1409" s="9" t="n">
        <v>46310</v>
      </c>
      <c r="T1409" s="3" t="n">
        <v>46308.36564814814</v>
      </c>
      <c r="U1409" s="2" t="n"/>
    </row>
    <row r="1410">
      <c r="A1410" s="2" t="inlineStr">
        <is>
          <t>Pendiente de adjudicación</t>
        </is>
      </c>
      <c r="B1410" s="3" t="n">
        <v>46294.99930555555</v>
      </c>
      <c r="C1410" s="5" t="n">
        <v>74380.17</v>
      </c>
      <c r="D1410" s="5" t="n">
        <v>74380.17</v>
      </c>
      <c r="E1410" s="2" t="inlineStr">
        <is>
          <t>Andalucía</t>
        </is>
      </c>
      <c r="F1410" s="2" t="inlineStr">
        <is>
          <t>Almería</t>
        </is>
      </c>
      <c r="G1410" s="2" t="n"/>
      <c r="H1410" s="2" t="inlineStr">
        <is>
          <t>Junta de Gobierno de la Diputación Provincial de Almería</t>
        </is>
      </c>
      <c r="I1410" s="2" t="inlineStr">
        <is>
          <t>Pavimentación Caminos Municipales. Vera 89PCAM24-27BII</t>
        </is>
      </c>
      <c r="J1410" s="2" t="inlineStr">
        <is>
          <t>2025/D31000/006-013/00299</t>
        </is>
      </c>
      <c r="K1410" s="2" t="inlineStr">
        <is>
          <t>Abierto simplificado</t>
        </is>
      </c>
      <c r="L1410" s="6" t="n">
        <v>2</v>
      </c>
      <c r="M1410" s="2" t="n"/>
      <c r="N1410" s="7" t="n">
        <v>0.25</v>
      </c>
      <c r="O1410" s="4" t="n"/>
      <c r="P1410" s="2" t="inlineStr">
        <is>
          <t>45233222</t>
        </is>
      </c>
      <c r="Q1410" s="8" t="inlineStr">
        <is>
          <t>Ver</t>
        </is>
      </c>
      <c r="R1410" s="8" t="inlineStr">
        <is>
          <t>PCAP</t>
        </is>
      </c>
      <c r="S1410" s="9" t="n">
        <v>46310</v>
      </c>
      <c r="T1410" s="3" t="n">
        <v>46308.36511574074</v>
      </c>
      <c r="U1410" s="2" t="n"/>
    </row>
    <row r="1411">
      <c r="A1411" s="2" t="inlineStr">
        <is>
          <t>Pendiente de adjudicación</t>
        </is>
      </c>
      <c r="B1411" s="3" t="n">
        <v>46293.99930555555</v>
      </c>
      <c r="C1411" s="5" t="n">
        <v>185950.41</v>
      </c>
      <c r="D1411" s="5" t="n">
        <v>185950.41</v>
      </c>
      <c r="E1411" s="2" t="inlineStr">
        <is>
          <t>Andalucía</t>
        </is>
      </c>
      <c r="F1411" s="2" t="inlineStr">
        <is>
          <t>Almería</t>
        </is>
      </c>
      <c r="G1411" s="2" t="n"/>
      <c r="H1411" s="2" t="inlineStr">
        <is>
          <t>Junta de Gobierno de la Diputación Provincial de Almería</t>
        </is>
      </c>
      <c r="I1411" s="2" t="inlineStr">
        <is>
          <t>Construcción De Local Para Farmacia En Benizalón 48PPOS24-27BII</t>
        </is>
      </c>
      <c r="J1411" s="2" t="inlineStr">
        <is>
          <t>2025/D31000/006-013/00219</t>
        </is>
      </c>
      <c r="K1411" s="2" t="inlineStr">
        <is>
          <t>Abierto simplificado</t>
        </is>
      </c>
      <c r="L1411" s="6" t="n">
        <v>12.2</v>
      </c>
      <c r="M1411" s="2" t="n"/>
      <c r="N1411" s="7" t="n">
        <v>0.25</v>
      </c>
      <c r="O1411" s="4" t="n"/>
      <c r="P1411" s="2" t="inlineStr">
        <is>
          <t>45210000</t>
        </is>
      </c>
      <c r="Q1411" s="8" t="inlineStr">
        <is>
          <t>Ver</t>
        </is>
      </c>
      <c r="R1411" s="8" t="inlineStr">
        <is>
          <t>PCAP</t>
        </is>
      </c>
      <c r="S1411" s="9" t="n">
        <v>46310</v>
      </c>
      <c r="T1411" s="3" t="n">
        <v>46308.36445601852</v>
      </c>
      <c r="U1411" s="2" t="n"/>
    </row>
    <row r="1412">
      <c r="A1412" s="2" t="inlineStr">
        <is>
          <t>Pendiente de adjudicación</t>
        </is>
      </c>
      <c r="B1412" s="3" t="n">
        <v>46282.99930555555</v>
      </c>
      <c r="C1412" s="5" t="n">
        <v>181818.18</v>
      </c>
      <c r="D1412" s="5" t="n">
        <v>181818.18</v>
      </c>
      <c r="E1412" s="2" t="inlineStr">
        <is>
          <t>Andalucía</t>
        </is>
      </c>
      <c r="F1412" s="2" t="inlineStr">
        <is>
          <t>Almería</t>
        </is>
      </c>
      <c r="G1412" s="2" t="n"/>
      <c r="H1412" s="2" t="inlineStr">
        <is>
          <t>Junta de Gobierno de la Diputación Provincial de Almería</t>
        </is>
      </c>
      <c r="I1412" s="2" t="inlineStr">
        <is>
          <t>Rehabilitación De Firme Y Mejora De Diversos Tramos De Caminos Municipales En Tijola 17PG2026</t>
        </is>
      </c>
      <c r="J1412" s="2" t="inlineStr">
        <is>
          <t>2026/D31000/006-013/00058</t>
        </is>
      </c>
      <c r="K1412" s="2" t="inlineStr">
        <is>
          <t>Abierto simplificado</t>
        </is>
      </c>
      <c r="L1412" s="6" t="n">
        <v>3</v>
      </c>
      <c r="M1412" s="2" t="n"/>
      <c r="N1412" s="7" t="n">
        <v>0.25</v>
      </c>
      <c r="O1412" s="4" t="n"/>
      <c r="P1412" s="2" t="inlineStr">
        <is>
          <t>45233220</t>
        </is>
      </c>
      <c r="Q1412" s="8" t="inlineStr">
        <is>
          <t>Ver</t>
        </is>
      </c>
      <c r="R1412" s="8" t="inlineStr">
        <is>
          <t>PCAP</t>
        </is>
      </c>
      <c r="S1412" s="9" t="n">
        <v>46310</v>
      </c>
      <c r="T1412" s="3" t="n">
        <v>46308.36378472222</v>
      </c>
      <c r="U1412" s="2" t="n"/>
    </row>
    <row r="1413">
      <c r="A1413" s="2" t="inlineStr">
        <is>
          <t>Pendiente de adjudicación</t>
        </is>
      </c>
      <c r="B1413" s="3" t="n">
        <v>46295.99930555555</v>
      </c>
      <c r="C1413" s="5" t="n">
        <v>57851.24</v>
      </c>
      <c r="D1413" s="5" t="n">
        <v>57851.24</v>
      </c>
      <c r="E1413" s="2" t="inlineStr">
        <is>
          <t>Andalucía</t>
        </is>
      </c>
      <c r="F1413" s="2" t="inlineStr">
        <is>
          <t>Almería</t>
        </is>
      </c>
      <c r="G1413" s="2" t="n"/>
      <c r="H1413" s="2" t="inlineStr">
        <is>
          <t>Junta de Gobierno de la Diputación Provincial de Almería</t>
        </is>
      </c>
      <c r="I1413" s="2" t="inlineStr">
        <is>
          <t>Reparación De Daños En Puente Sobre El Río Andarax. T.m. De Rioja. 6PG2026</t>
        </is>
      </c>
      <c r="J1413" s="2" t="inlineStr">
        <is>
          <t>2026/D31000/006-013/00016</t>
        </is>
      </c>
      <c r="K1413" s="2" t="inlineStr">
        <is>
          <t>Abierto simplificado</t>
        </is>
      </c>
      <c r="L1413" s="6" t="n">
        <v>3</v>
      </c>
      <c r="M1413" s="2" t="n"/>
      <c r="N1413" s="7" t="n">
        <v>0</v>
      </c>
      <c r="O1413" s="4" t="n"/>
      <c r="P1413" s="2" t="inlineStr">
        <is>
          <t>45233220</t>
        </is>
      </c>
      <c r="Q1413" s="8" t="inlineStr">
        <is>
          <t>Ver</t>
        </is>
      </c>
      <c r="R1413" s="8" t="inlineStr">
        <is>
          <t>PCAP</t>
        </is>
      </c>
      <c r="S1413" s="9" t="n">
        <v>46310</v>
      </c>
      <c r="T1413" s="3" t="n">
        <v>46308.36280092593</v>
      </c>
      <c r="U1413" s="2" t="n"/>
    </row>
    <row r="1414">
      <c r="A1414" s="2" t="inlineStr">
        <is>
          <t>Resuelta</t>
        </is>
      </c>
      <c r="B1414" s="3" t="n">
        <v>45905.75</v>
      </c>
      <c r="C1414" s="5" t="n">
        <v>1306985.35</v>
      </c>
      <c r="D1414" s="5" t="n">
        <v>1568382.42</v>
      </c>
      <c r="E1414" s="2" t="inlineStr">
        <is>
          <t>Andalucía</t>
        </is>
      </c>
      <c r="F1414" s="2" t="inlineStr">
        <is>
          <t>Málaga</t>
        </is>
      </c>
      <c r="G1414" s="2" t="n"/>
      <c r="H1414" s="2" t="inlineStr">
        <is>
          <t>Consejero Delegado de la Empresa Municipal de Aguas de Málaga S.A.</t>
        </is>
      </c>
      <c r="I1414" s="2" t="inlineStr">
        <is>
          <t>Obras de Separación de redes en la calle Abogado Federico Orellana Toledano (Málaga) (Expdte Ingeniería: 108/2020)</t>
        </is>
      </c>
      <c r="J1414" s="2" t="inlineStr">
        <is>
          <t>25-522-4</t>
        </is>
      </c>
      <c r="K1414" s="2" t="inlineStr">
        <is>
          <t>Abierto</t>
        </is>
      </c>
      <c r="L1414" s="6" t="n">
        <v>11</v>
      </c>
      <c r="M1414" s="2" t="n"/>
      <c r="N1414" s="7" t="n">
        <v>0</v>
      </c>
      <c r="O1414" s="4" t="n"/>
      <c r="P1414" s="2" t="inlineStr">
        <is>
          <t>45000000</t>
        </is>
      </c>
      <c r="Q1414" s="8" t="inlineStr">
        <is>
          <t>Ver</t>
        </is>
      </c>
      <c r="R1414" s="8" t="inlineStr">
        <is>
          <t>PCAP</t>
        </is>
      </c>
      <c r="S1414" s="9" t="n">
        <v>46310</v>
      </c>
      <c r="T1414" s="3" t="n">
        <v>46308.35751157408</v>
      </c>
      <c r="U1414" s="2" t="n"/>
    </row>
    <row r="1415">
      <c r="A1415" s="2" t="inlineStr">
        <is>
          <t>Pendiente de adjudicación</t>
        </is>
      </c>
      <c r="B1415" s="3" t="n">
        <v>46209.99930555555</v>
      </c>
      <c r="C1415" s="5" t="n">
        <v>111140.49</v>
      </c>
      <c r="D1415" s="5" t="n">
        <v>111140.49</v>
      </c>
      <c r="E1415" s="2" t="inlineStr">
        <is>
          <t>Andalucía</t>
        </is>
      </c>
      <c r="F1415" s="2" t="inlineStr">
        <is>
          <t>Córdoba</t>
        </is>
      </c>
      <c r="G1415" s="2" t="n"/>
      <c r="H1415" s="2" t="inlineStr">
        <is>
          <t>Diputado delegado de Infraestructuras, Sostenibilidad y Agricultura</t>
        </is>
      </c>
      <c r="I1415" s="2" t="inlineStr">
        <is>
          <t>Contrato de obra de Reordenación de la confluencia de las calles Murillo y Olavides. Peñarroya-Pueblonuevo (Córdoba)</t>
        </is>
      </c>
      <c r="J1415" s="2" t="inlineStr">
        <is>
          <t>413/26</t>
        </is>
      </c>
      <c r="K1415" s="2" t="inlineStr">
        <is>
          <t>Abierto</t>
        </is>
      </c>
      <c r="L1415" s="6" t="n">
        <v>5</v>
      </c>
      <c r="M1415" s="2" t="n"/>
      <c r="N1415" s="7" t="n">
        <v>0.4</v>
      </c>
      <c r="O1415" s="4" t="n"/>
      <c r="P1415" s="2" t="inlineStr">
        <is>
          <t>45232411; 45233160; 45233252; 45232410</t>
        </is>
      </c>
      <c r="Q1415" s="8" t="inlineStr">
        <is>
          <t>Ver</t>
        </is>
      </c>
      <c r="R1415" s="8" t="inlineStr">
        <is>
          <t>PCAP</t>
        </is>
      </c>
      <c r="S1415" s="9" t="n">
        <v>46310</v>
      </c>
      <c r="T1415" s="3" t="n">
        <v>46308.35682870371</v>
      </c>
      <c r="U1415" s="2" t="n"/>
    </row>
    <row r="1416">
      <c r="A1416" s="2" t="inlineStr">
        <is>
          <t>Resuelta</t>
        </is>
      </c>
      <c r="B1416" s="3" t="n">
        <v>46037.99930555555</v>
      </c>
      <c r="C1416" s="5" t="n">
        <v>49586.78</v>
      </c>
      <c r="D1416" s="5" t="n">
        <v>49586.78</v>
      </c>
      <c r="E1416" s="2" t="inlineStr">
        <is>
          <t>Comunitat Valenciana</t>
        </is>
      </c>
      <c r="F1416" s="2" t="inlineStr">
        <is>
          <t>Alicante</t>
        </is>
      </c>
      <c r="G1416" s="2" t="n"/>
      <c r="H1416" s="2" t="inlineStr">
        <is>
          <t>Presidencia de la Diputación Provincial de Alicante</t>
        </is>
      </c>
      <c r="I1416" s="2" t="inlineStr">
        <is>
          <t>Obras de adecuación y mejora de área infantil en la plaza Juan Pablo II, en el municipio de Daya Vieja.</t>
        </is>
      </c>
      <c r="J1416" s="2" t="inlineStr">
        <is>
          <t>O4S-249/2025</t>
        </is>
      </c>
      <c r="K1416" s="2" t="inlineStr">
        <is>
          <t>Abierto simplificado</t>
        </is>
      </c>
      <c r="L1416" s="6" t="n">
        <v>2</v>
      </c>
      <c r="M1416" s="2" t="n"/>
      <c r="N1416" s="7" t="n">
        <v>0</v>
      </c>
      <c r="O1416" s="4" t="n"/>
      <c r="P1416" s="2" t="inlineStr">
        <is>
          <t>45112700</t>
        </is>
      </c>
      <c r="Q1416" s="8" t="inlineStr">
        <is>
          <t>Ver</t>
        </is>
      </c>
      <c r="R1416" s="8" t="inlineStr">
        <is>
          <t>PCAP</t>
        </is>
      </c>
      <c r="S1416" s="9" t="n">
        <v>46310</v>
      </c>
      <c r="T1416" s="3" t="n">
        <v>46308.35675925926</v>
      </c>
      <c r="U1416" s="2" t="n"/>
    </row>
    <row r="1417">
      <c r="A1417" s="2" t="inlineStr">
        <is>
          <t>Pendiente de adjudicación</t>
        </is>
      </c>
      <c r="B1417" s="3" t="n">
        <v>46286.72916666666</v>
      </c>
      <c r="C1417" s="5" t="n">
        <v>3300525.62</v>
      </c>
      <c r="D1417" s="5" t="n">
        <v>3300525.62</v>
      </c>
      <c r="E1417" s="2" t="inlineStr">
        <is>
          <t>Andalucía</t>
        </is>
      </c>
      <c r="F1417" s="2" t="inlineStr">
        <is>
          <t>Granada</t>
        </is>
      </c>
      <c r="G1417" s="2" t="n"/>
      <c r="H1417" s="2" t="inlineStr">
        <is>
          <t>Junta de Gobierno del Ayuntamiento de Granada</t>
        </is>
      </c>
      <c r="I1417" s="2" t="inlineStr">
        <is>
          <t>Contrato de obras de elaboración de proyecto y ejecución de las obras de adaptación climática de espacios exteriores (Plan de Actuación Integrado Granada Cohesión Conexión 2030)</t>
        </is>
      </c>
      <c r="J1417" s="2" t="inlineStr">
        <is>
          <t>OBR-2026000100</t>
        </is>
      </c>
      <c r="K1417" s="2" t="inlineStr">
        <is>
          <t>Abierto</t>
        </is>
      </c>
      <c r="L1417" s="6" t="n">
        <v>10</v>
      </c>
      <c r="M1417" s="2" t="n"/>
      <c r="N1417" s="7" t="n">
        <v>0.27</v>
      </c>
      <c r="O1417" s="4" t="n">
        <v>2</v>
      </c>
      <c r="P1417" s="2" t="inlineStr">
        <is>
          <t>45223210; 45223110; 45212190; 45233250; 45233251; 45330000; 45232120; 71242000; 71240000; 45112710; 45223100</t>
        </is>
      </c>
      <c r="Q1417" s="8" t="inlineStr">
        <is>
          <t>Ver</t>
        </is>
      </c>
      <c r="R1417" s="8" t="inlineStr">
        <is>
          <t>PCAP</t>
        </is>
      </c>
      <c r="S1417" s="9" t="n">
        <v>46310</v>
      </c>
      <c r="T1417" s="3" t="n">
        <v>46308.35216435185</v>
      </c>
      <c r="U1417" s="2" t="n"/>
    </row>
    <row r="1418">
      <c r="A1418" s="2" t="inlineStr">
        <is>
          <t>Resuelta</t>
        </is>
      </c>
      <c r="B1418" s="3" t="n">
        <v>45950.99930555555</v>
      </c>
      <c r="C1418" s="5" t="n">
        <v>349637.49</v>
      </c>
      <c r="D1418" s="5" t="n">
        <v>349637.49</v>
      </c>
      <c r="E1418" s="2" t="inlineStr">
        <is>
          <t>Andalucía</t>
        </is>
      </c>
      <c r="F1418" s="2" t="inlineStr">
        <is>
          <t>Málaga</t>
        </is>
      </c>
      <c r="G1418" s="2" t="inlineStr">
        <is>
          <t>Villanueva de Algaidas (Málaga)</t>
        </is>
      </c>
      <c r="H1418" s="2" t="inlineStr">
        <is>
          <t>Alcaldía del Ayuntamiento de Villanueva de Algaidas</t>
        </is>
      </c>
      <c r="I1418" s="2" t="inlineStr">
        <is>
          <t>Remodelación calle Archidona. Tramo 5</t>
        </is>
      </c>
      <c r="J1418" s="2" t="inlineStr">
        <is>
          <t>937/2024</t>
        </is>
      </c>
      <c r="K1418" s="2" t="inlineStr">
        <is>
          <t>Abierto simplificado</t>
        </is>
      </c>
      <c r="L1418" s="6" t="n">
        <v>5</v>
      </c>
      <c r="M1418" s="2" t="n"/>
      <c r="N1418" s="7" t="n">
        <v>0</v>
      </c>
      <c r="O1418" s="4" t="n"/>
      <c r="P1418" s="2" t="inlineStr">
        <is>
          <t>45232410; 45233200</t>
        </is>
      </c>
      <c r="Q1418" s="8" t="inlineStr">
        <is>
          <t>Ver</t>
        </is>
      </c>
      <c r="R1418" s="8" t="inlineStr">
        <is>
          <t>PCAP</t>
        </is>
      </c>
      <c r="S1418" s="9" t="n">
        <v>46310</v>
      </c>
      <c r="T1418" s="3" t="n">
        <v>46308.35211805555</v>
      </c>
      <c r="U1418" s="2" t="n"/>
    </row>
    <row r="1419">
      <c r="A1419" s="2" t="inlineStr">
        <is>
          <t>Resuelta</t>
        </is>
      </c>
      <c r="B1419" s="3" t="n">
        <v>46247.99930555555</v>
      </c>
      <c r="C1419" s="5" t="n">
        <v>82639.3</v>
      </c>
      <c r="D1419" s="5" t="n">
        <v>82639.3</v>
      </c>
      <c r="E1419" s="2" t="inlineStr">
        <is>
          <t>Andalucía</t>
        </is>
      </c>
      <c r="F1419" s="2" t="inlineStr">
        <is>
          <t>Jaén</t>
        </is>
      </c>
      <c r="G1419" s="2" t="inlineStr">
        <is>
          <t>Canena</t>
        </is>
      </c>
      <c r="H1419" s="2" t="inlineStr">
        <is>
          <t>Alcaldía del Ayuntamiento de Canena</t>
        </is>
      </c>
      <c r="I1419" s="2" t="inlineStr">
        <is>
          <t>Actuación de emergencia en la red de saneamiento en esquina calle Altozano y calle Iglesia, Canena (Jaén)</t>
        </is>
      </c>
      <c r="J1419" s="2" t="inlineStr">
        <is>
          <t>190/2026</t>
        </is>
      </c>
      <c r="K1419" s="2" t="inlineStr">
        <is>
          <t>Abierto simplificado</t>
        </is>
      </c>
      <c r="L1419" s="6" t="n">
        <v>3</v>
      </c>
      <c r="M1419" s="2" t="n"/>
      <c r="N1419" s="7" t="n">
        <v>0</v>
      </c>
      <c r="O1419" s="4" t="n"/>
      <c r="P1419" s="2" t="inlineStr">
        <is>
          <t>45231300</t>
        </is>
      </c>
      <c r="Q1419" s="8" t="inlineStr">
        <is>
          <t>Ver</t>
        </is>
      </c>
      <c r="R1419" s="8" t="inlineStr">
        <is>
          <t>PCAP</t>
        </is>
      </c>
      <c r="S1419" s="9" t="n">
        <v>46310</v>
      </c>
      <c r="T1419" s="3" t="n">
        <v>46308.34502314815</v>
      </c>
      <c r="U1419" s="2" t="n"/>
    </row>
    <row r="1420">
      <c r="A1420" s="2" t="inlineStr">
        <is>
          <t>En plazo</t>
        </is>
      </c>
      <c r="B1420" s="3" t="n">
        <v>46321.99930555555</v>
      </c>
      <c r="C1420" s="5" t="n">
        <v>425420.9</v>
      </c>
      <c r="D1420" s="5" t="n">
        <v>425420.9</v>
      </c>
      <c r="E1420" s="2" t="inlineStr">
        <is>
          <t>Comunitat Valenciana</t>
        </is>
      </c>
      <c r="F1420" s="2" t="inlineStr">
        <is>
          <t>Valencia</t>
        </is>
      </c>
      <c r="G1420" s="2" t="inlineStr">
        <is>
          <t>Bétera</t>
        </is>
      </c>
      <c r="H1420" s="2" t="inlineStr">
        <is>
          <t>Junta de Gobierno del Ayuntamiento de Bétera</t>
        </is>
      </c>
      <c r="I1420" s="2" t="inlineStr">
        <is>
          <t>Construcción y puesta en servicio de una planta de carbón activo en uno de los pozos de abastecimiento de agua de consumo de Bétera</t>
        </is>
      </c>
      <c r="J1420" s="2" t="inlineStr">
        <is>
          <t>495/2026</t>
        </is>
      </c>
      <c r="K1420" s="2" t="inlineStr">
        <is>
          <t>Abierto simplificado</t>
        </is>
      </c>
      <c r="L1420" s="6" t="n">
        <v>4</v>
      </c>
      <c r="M1420" s="2" t="inlineStr">
        <is>
          <t>K8-3</t>
        </is>
      </c>
      <c r="N1420" s="7" t="n">
        <v>0.25</v>
      </c>
      <c r="O1420" s="4" t="n"/>
      <c r="P1420" s="2" t="inlineStr">
        <is>
          <t>45252126</t>
        </is>
      </c>
      <c r="Q1420" s="8" t="inlineStr">
        <is>
          <t>Ver</t>
        </is>
      </c>
      <c r="R1420" s="8" t="inlineStr">
        <is>
          <t>PCAP</t>
        </is>
      </c>
      <c r="S1420" s="9" t="n">
        <v>46310</v>
      </c>
      <c r="T1420" s="3" t="n">
        <v>46308.32517361111</v>
      </c>
      <c r="U1420" s="2" t="n"/>
    </row>
    <row r="1421">
      <c r="A1421" s="2" t="inlineStr">
        <is>
          <t>Resuelta</t>
        </is>
      </c>
      <c r="B1421" s="3" t="n">
        <v>46269.99930555555</v>
      </c>
      <c r="C1421" s="5" t="n">
        <v>99153.17999999999</v>
      </c>
      <c r="D1421" s="5" t="n">
        <v>99153.17999999999</v>
      </c>
      <c r="E1421" s="2" t="inlineStr">
        <is>
          <t>Comunitat Valenciana</t>
        </is>
      </c>
      <c r="F1421" s="2" t="inlineStr">
        <is>
          <t>Valencia</t>
        </is>
      </c>
      <c r="G1421" s="2" t="n"/>
      <c r="H1421" s="2" t="inlineStr">
        <is>
          <t>Alcaldía del Ayuntamiento de Alginet</t>
        </is>
      </c>
      <c r="I1421" s="2" t="inlineStr">
        <is>
          <t>Obras para la creación de espacios lúdicos en parque Sant Josep, Parque Hort de Feliu y Ronda Pintor José Espert - calle de la Belenguera.</t>
        </is>
      </c>
      <c r="J1421" s="2" t="inlineStr">
        <is>
          <t>2885075Z</t>
        </is>
      </c>
      <c r="K1421" s="2" t="inlineStr">
        <is>
          <t>Abierto simplificado</t>
        </is>
      </c>
      <c r="L1421" s="6" t="n">
        <v>6</v>
      </c>
      <c r="M1421" s="2" t="n"/>
      <c r="N1421" s="7" t="n">
        <v>0</v>
      </c>
      <c r="O1421" s="4" t="n"/>
      <c r="P1421" s="2" t="inlineStr">
        <is>
          <t>45236210; 45112723; 43325000</t>
        </is>
      </c>
      <c r="Q1421" s="8" t="inlineStr">
        <is>
          <t>Ver</t>
        </is>
      </c>
      <c r="R1421" s="8" t="inlineStr">
        <is>
          <t>PCAP</t>
        </is>
      </c>
      <c r="S1421" s="9" t="n">
        <v>46310</v>
      </c>
      <c r="T1421" s="3" t="n">
        <v>46308.29914351852</v>
      </c>
      <c r="U1421" s="2" t="n"/>
    </row>
    <row r="1422">
      <c r="A1422" s="2" t="inlineStr">
        <is>
          <t>Resuelta</t>
        </is>
      </c>
      <c r="B1422" s="3" t="n">
        <v>46237.79166666666</v>
      </c>
      <c r="C1422" s="5" t="n">
        <v>493301.67</v>
      </c>
      <c r="D1422" s="5" t="n">
        <v>493301.67</v>
      </c>
      <c r="E1422" s="2" t="inlineStr">
        <is>
          <t>Andalucía</t>
        </is>
      </c>
      <c r="F1422" s="2" t="inlineStr">
        <is>
          <t>Jaén</t>
        </is>
      </c>
      <c r="G1422" s="2" t="n"/>
      <c r="H1422" s="2" t="inlineStr">
        <is>
          <t>Alcaldía del Ayuntamiento de Jaén</t>
        </is>
      </c>
      <c r="I1422" s="2" t="inlineStr">
        <is>
          <t>Contratación de las obras de reparación de cubiertas del pabellón principal de la Salobreja</t>
        </is>
      </c>
      <c r="J1422" s="2" t="inlineStr">
        <is>
          <t>2026000050</t>
        </is>
      </c>
      <c r="K1422" s="2" t="inlineStr">
        <is>
          <t>Abierto</t>
        </is>
      </c>
      <c r="L1422" s="6" t="n">
        <v>3</v>
      </c>
      <c r="M1422" s="2" t="n"/>
      <c r="N1422" s="7" t="n">
        <v>0.4</v>
      </c>
      <c r="O1422" s="4" t="n"/>
      <c r="P1422" s="2" t="inlineStr">
        <is>
          <t>45261900</t>
        </is>
      </c>
      <c r="Q1422" s="8" t="inlineStr">
        <is>
          <t>Ver</t>
        </is>
      </c>
      <c r="R1422" s="8" t="inlineStr">
        <is>
          <t>PCAP</t>
        </is>
      </c>
      <c r="S1422" s="9" t="n">
        <v>46310</v>
      </c>
      <c r="T1422" s="3" t="n">
        <v>46306.48440972222</v>
      </c>
      <c r="U1422" s="2" t="n"/>
    </row>
    <row r="1423">
      <c r="A1423" s="2" t="inlineStr">
        <is>
          <t>Plazo vencido</t>
        </is>
      </c>
      <c r="B1423" s="3" t="n">
        <v>46311.75</v>
      </c>
      <c r="C1423" s="5" t="n">
        <v>20042739.4</v>
      </c>
      <c r="D1423" s="5" t="n">
        <v>20042739.4</v>
      </c>
      <c r="E1423" s="2" t="inlineStr">
        <is>
          <t>Andalucía</t>
        </is>
      </c>
      <c r="F1423" s="2" t="inlineStr">
        <is>
          <t>Almería</t>
        </is>
      </c>
      <c r="G1423" s="2" t="inlineStr">
        <is>
          <t>Almería</t>
        </is>
      </c>
      <c r="H1423" s="2" t="inlineStr">
        <is>
          <t>Presidencia de la Autoridad Portuaria de Almería</t>
        </is>
      </c>
      <c r="I1423" s="2" t="inlineStr">
        <is>
          <t>Actuaciones en el frente litoral en espacios Puerto-Ciudad de Almería</t>
        </is>
      </c>
      <c r="J1423" s="2" t="inlineStr">
        <is>
          <t>15/O/A/AL26</t>
        </is>
      </c>
      <c r="K1423" s="2" t="inlineStr">
        <is>
          <t>Abierto</t>
        </is>
      </c>
      <c r="L1423" s="6" t="n">
        <v>24</v>
      </c>
      <c r="M1423" s="2" t="inlineStr">
        <is>
          <t>G6-5</t>
        </is>
      </c>
      <c r="N1423" s="7" t="n">
        <v>0.45</v>
      </c>
      <c r="O1423" s="4" t="n"/>
      <c r="P1423" s="2" t="inlineStr">
        <is>
          <t>45233140; 45262311; 71351810; 45233200; 45211360; 45231400; 45231300; 45223810</t>
        </is>
      </c>
      <c r="Q1423" s="8" t="inlineStr">
        <is>
          <t>Ver</t>
        </is>
      </c>
      <c r="R1423" s="8" t="inlineStr">
        <is>
          <t>PCAP</t>
        </is>
      </c>
      <c r="S1423" s="9" t="n">
        <v>46310</v>
      </c>
      <c r="T1423" s="3" t="n">
        <v>46306.44572916667</v>
      </c>
      <c r="U1423" s="2" t="n"/>
    </row>
    <row r="1424">
      <c r="A1424" s="2" t="inlineStr">
        <is>
          <t>Resuelta</t>
        </is>
      </c>
      <c r="B1424" s="3" t="n">
        <v>46265.99930555555</v>
      </c>
      <c r="C1424" s="5" t="n">
        <v>179216.44</v>
      </c>
      <c r="D1424" s="5" t="n">
        <v>215059.73</v>
      </c>
      <c r="E1424" s="2" t="inlineStr">
        <is>
          <t>Andalucía</t>
        </is>
      </c>
      <c r="F1424" s="2" t="inlineStr">
        <is>
          <t>Sevilla</t>
        </is>
      </c>
      <c r="G1424" s="2" t="inlineStr">
        <is>
          <t>Carmona</t>
        </is>
      </c>
      <c r="H1424" s="2" t="inlineStr">
        <is>
          <t>Consejo de Administración de Limpieza y Mantenimiento de Carmona, S.L.U.</t>
        </is>
      </c>
      <c r="I1424" s="2" t="inlineStr">
        <is>
          <t>Obras de demolición de edificaciones en antiguo cine Rialto y adecuación de los espacios para establecimiento de zona de estacionamiento público</t>
        </is>
      </c>
      <c r="J1424" s="2" t="inlineStr">
        <is>
          <t>2026-L32</t>
        </is>
      </c>
      <c r="K1424" s="2" t="inlineStr">
        <is>
          <t>Abierto</t>
        </is>
      </c>
      <c r="L1424" s="6" t="n">
        <v>5</v>
      </c>
      <c r="M1424" s="2" t="n"/>
      <c r="N1424" s="7" t="n">
        <v>0.48</v>
      </c>
      <c r="O1424" s="4" t="n"/>
      <c r="P1424" s="2" t="inlineStr">
        <is>
          <t>45110000; 45111100; 45233120; 45215400</t>
        </is>
      </c>
      <c r="Q1424" s="8" t="inlineStr">
        <is>
          <t>Ver</t>
        </is>
      </c>
      <c r="R1424" s="8" t="inlineStr">
        <is>
          <t>PCAP</t>
        </is>
      </c>
      <c r="S1424" s="9" t="n">
        <v>46310</v>
      </c>
      <c r="T1424" s="3" t="n">
        <v>46305.51399305555</v>
      </c>
      <c r="U1424" s="2" t="n"/>
    </row>
    <row r="1425">
      <c r="A1425" s="2" t="inlineStr">
        <is>
          <t>Pendiente de adjudicación</t>
        </is>
      </c>
      <c r="B1425" s="3" t="n">
        <v>46320.99930555555</v>
      </c>
      <c r="C1425" s="5" t="n">
        <v>71557.14999999999</v>
      </c>
      <c r="D1425" s="5" t="n">
        <v>86584.14999999999</v>
      </c>
      <c r="E1425" s="2" t="inlineStr">
        <is>
          <t>Andalucía</t>
        </is>
      </c>
      <c r="F1425" s="2" t="inlineStr">
        <is>
          <t>Huelva</t>
        </is>
      </c>
      <c r="G1425" s="2" t="inlineStr">
        <is>
          <t>Arroyomolinos de Leon</t>
        </is>
      </c>
      <c r="H1425" s="2" t="inlineStr">
        <is>
          <t>Alcaldía del Ayuntamiento de Arroyomolinos de León</t>
        </is>
      </c>
      <c r="I1425" s="2" t="inlineStr">
        <is>
          <t>Obras de conservación, habitabilidad, mejora en materia de accesibilidad y eficiencia energética en edificio de tipología tradicional con uso de almacén para la implantación de casa de la mujer en Arroyomolinos de León</t>
        </is>
      </c>
      <c r="J1425" s="2" t="inlineStr">
        <is>
          <t>1/2026</t>
        </is>
      </c>
      <c r="K1425" s="2" t="inlineStr">
        <is>
          <t>Negociado sin publicidad</t>
        </is>
      </c>
      <c r="L1425" s="6" t="n">
        <v>1.5</v>
      </c>
      <c r="M1425" s="2" t="n"/>
      <c r="N1425" s="7" t="n">
        <v>0</v>
      </c>
      <c r="O1425" s="4" t="n"/>
      <c r="P1425" s="2" t="inlineStr">
        <is>
          <t>45200000</t>
        </is>
      </c>
      <c r="Q1425" s="8" t="inlineStr">
        <is>
          <t>Ver</t>
        </is>
      </c>
      <c r="R1425" s="8" t="inlineStr">
        <is>
          <t>PCAP</t>
        </is>
      </c>
      <c r="S1425" s="9" t="n">
        <v>46310</v>
      </c>
      <c r="T1425" s="3" t="n">
        <v>46305.42913194445</v>
      </c>
      <c r="U1425" s="2" t="n"/>
    </row>
    <row r="1426">
      <c r="A1426" s="2" t="inlineStr">
        <is>
          <t>En plazo</t>
        </is>
      </c>
      <c r="B1426" s="3" t="n">
        <v>46325.99930555555</v>
      </c>
      <c r="C1426" s="5" t="n">
        <v>220331.08</v>
      </c>
      <c r="D1426" s="5" t="n">
        <v>220331.08</v>
      </c>
      <c r="E1426" s="2" t="inlineStr">
        <is>
          <t>Andalucía</t>
        </is>
      </c>
      <c r="F1426" s="2" t="inlineStr">
        <is>
          <t>Sevilla</t>
        </is>
      </c>
      <c r="G1426" s="2" t="inlineStr">
        <is>
          <t>Alcalá de Guadaíra</t>
        </is>
      </c>
      <c r="H1426" s="2" t="inlineStr">
        <is>
          <t>Junta de Gobierno Local del Ayuntamiento de Alcalá de Guadaíra</t>
        </is>
      </c>
      <c r="I1426" s="2" t="inlineStr">
        <is>
          <t>obras adecuación de la infraestructura eléctrica de comunicaciones del parque empresarial las espaldillas asociada a la plataforma para la gestión de parques empresariales inteligentes de Alcalá de Guadaíra (C-2026/029)</t>
        </is>
      </c>
      <c r="J1426" s="2" t="inlineStr">
        <is>
          <t>694/2026</t>
        </is>
      </c>
      <c r="K1426" s="2" t="inlineStr">
        <is>
          <t>Abierto simplificado</t>
        </is>
      </c>
      <c r="L1426" s="6" t="n">
        <v>4</v>
      </c>
      <c r="M1426" s="2" t="n"/>
      <c r="N1426" s="7" t="n">
        <v>0.25</v>
      </c>
      <c r="O1426" s="4" t="n"/>
      <c r="P1426" s="2" t="inlineStr">
        <is>
          <t>45314000; 45311000; 32400000; 32570000</t>
        </is>
      </c>
      <c r="Q1426" s="8" t="inlineStr">
        <is>
          <t>Ver</t>
        </is>
      </c>
      <c r="R1426" s="8" t="inlineStr">
        <is>
          <t>PCAP</t>
        </is>
      </c>
      <c r="S1426" s="9" t="n">
        <v>46310</v>
      </c>
      <c r="T1426" s="3" t="n">
        <v>46304.89554398148</v>
      </c>
      <c r="U1426" s="2" t="n"/>
    </row>
    <row r="1427">
      <c r="A1427" s="2" t="inlineStr">
        <is>
          <t>En plazo</t>
        </is>
      </c>
      <c r="B1427" s="3" t="n">
        <v>46330.99305555555</v>
      </c>
      <c r="C1427" s="5" t="n">
        <v>67725.88</v>
      </c>
      <c r="D1427" s="5" t="n">
        <v>67725.88</v>
      </c>
      <c r="E1427" s="2" t="inlineStr">
        <is>
          <t>Andalucía</t>
        </is>
      </c>
      <c r="F1427" s="2" t="inlineStr">
        <is>
          <t>Sevilla</t>
        </is>
      </c>
      <c r="G1427" s="2" t="n"/>
      <c r="H1427" s="2" t="inlineStr">
        <is>
          <t>Alcaldía del Ayuntamiento de Almadén de la Plata</t>
        </is>
      </c>
      <c r="I1427" s="2" t="inlineStr">
        <is>
          <t>Licitación "obras de implantación de farolas fotovoltaicas en entornos rurales del término municipal de Almadén de la Plata".</t>
        </is>
      </c>
      <c r="J1427" s="2" t="inlineStr">
        <is>
          <t>P4100900B-2026/000015-PAA</t>
        </is>
      </c>
      <c r="K1427" s="2" t="inlineStr">
        <is>
          <t>Abierto</t>
        </is>
      </c>
      <c r="L1427" s="6" t="n">
        <v>4</v>
      </c>
      <c r="M1427" s="2" t="n"/>
      <c r="N1427" s="7" t="n">
        <v>0.4</v>
      </c>
      <c r="O1427" s="4" t="n"/>
      <c r="P1427" s="2" t="inlineStr">
        <is>
          <t>45316100</t>
        </is>
      </c>
      <c r="Q1427" s="8" t="inlineStr">
        <is>
          <t>Ver</t>
        </is>
      </c>
      <c r="R1427" s="8" t="inlineStr">
        <is>
          <t>PCAP</t>
        </is>
      </c>
      <c r="S1427" s="9" t="n">
        <v>46310</v>
      </c>
      <c r="T1427" s="3" t="n">
        <v>46304.86631944445</v>
      </c>
      <c r="U1427" s="2" t="n"/>
    </row>
    <row r="1428">
      <c r="A1428" s="2" t="inlineStr">
        <is>
          <t>En plazo</t>
        </is>
      </c>
      <c r="B1428" s="3" t="n">
        <v>46324.99930555555</v>
      </c>
      <c r="C1428" s="5" t="n">
        <v>568417.8100000001</v>
      </c>
      <c r="D1428" s="5" t="n">
        <v>568417.8100000001</v>
      </c>
      <c r="E1428" s="2" t="inlineStr">
        <is>
          <t>Andalucía</t>
        </is>
      </c>
      <c r="F1428" s="2" t="inlineStr">
        <is>
          <t>Huelva</t>
        </is>
      </c>
      <c r="G1428" s="2" t="inlineStr">
        <is>
          <t>BONARES</t>
        </is>
      </c>
      <c r="H1428" s="2" t="inlineStr">
        <is>
          <t>Alcaldia del Ayuntamiento de Bonares</t>
        </is>
      </c>
      <c r="I1428" s="2" t="inlineStr">
        <is>
          <t>Creación de aparcamiento y plaza pública ajardinada en Avda. Nuestra Señora del Rocío nº 3 de Bonares (Huelva</t>
        </is>
      </c>
      <c r="J1428" s="2" t="inlineStr">
        <is>
          <t>4654/2026</t>
        </is>
      </c>
      <c r="K1428" s="2" t="inlineStr">
        <is>
          <t>Abierto simplificado</t>
        </is>
      </c>
      <c r="L1428" s="6" t="n">
        <v>12</v>
      </c>
      <c r="M1428" s="2" t="inlineStr">
        <is>
          <t>C*-3</t>
        </is>
      </c>
      <c r="N1428" s="7" t="n">
        <v>0</v>
      </c>
      <c r="O1428" s="4" t="n"/>
      <c r="P1428" s="2" t="inlineStr">
        <is>
          <t>45220000; 45223000; 45000000</t>
        </is>
      </c>
      <c r="Q1428" s="8" t="inlineStr">
        <is>
          <t>Ver</t>
        </is>
      </c>
      <c r="R1428" s="8" t="inlineStr">
        <is>
          <t>PCAP</t>
        </is>
      </c>
      <c r="S1428" s="9" t="n">
        <v>46310</v>
      </c>
      <c r="T1428" s="3" t="n">
        <v>46304.83042824074</v>
      </c>
      <c r="U1428" s="2" t="n"/>
    </row>
    <row r="1429">
      <c r="A1429" s="2" t="inlineStr">
        <is>
          <t>Pendiente de adjudicación</t>
        </is>
      </c>
      <c r="B1429" s="3" t="n">
        <v>46296.99930555555</v>
      </c>
      <c r="C1429" s="5" t="n">
        <v>104297.52</v>
      </c>
      <c r="D1429" s="5" t="n">
        <v>104297.52</v>
      </c>
      <c r="E1429" s="2" t="inlineStr">
        <is>
          <t>Andalucía</t>
        </is>
      </c>
      <c r="F1429" s="2" t="inlineStr">
        <is>
          <t>Granada</t>
        </is>
      </c>
      <c r="G1429" s="2" t="inlineStr">
        <is>
          <t>Acula</t>
        </is>
      </c>
      <c r="H1429" s="2" t="inlineStr">
        <is>
          <t>Alcaldía del Ayuntamiento de Ventas de Huelma</t>
        </is>
      </c>
      <c r="I1429" s="2" t="inlineStr">
        <is>
          <t>Actuaciones de renovación de redes de abastecimiento y saneamiento en viales a Acula (Pz. Constitucion) PPOYS 2026-2027: 2026/4/PPOYS-169/1</t>
        </is>
      </c>
      <c r="J1429" s="2" t="inlineStr">
        <is>
          <t>124/2025 N</t>
        </is>
      </c>
      <c r="K1429" s="2" t="inlineStr">
        <is>
          <t>Abierto simplificado</t>
        </is>
      </c>
      <c r="L1429" s="6" t="n">
        <v>4</v>
      </c>
      <c r="M1429" s="2" t="n"/>
      <c r="N1429" s="7" t="n">
        <v>0</v>
      </c>
      <c r="O1429" s="4" t="n"/>
      <c r="P1429" s="2" t="inlineStr">
        <is>
          <t>45233140; 45232410; 45233222; 45316100; 44162500; 45232200; 45232000</t>
        </is>
      </c>
      <c r="Q1429" s="8" t="inlineStr">
        <is>
          <t>Ver</t>
        </is>
      </c>
      <c r="R1429" s="8" t="inlineStr">
        <is>
          <t>PCAP</t>
        </is>
      </c>
      <c r="S1429" s="9" t="n">
        <v>46310</v>
      </c>
      <c r="T1429" s="3" t="n">
        <v>46304.7459837963</v>
      </c>
      <c r="U1429" s="2" t="n"/>
    </row>
    <row r="1430">
      <c r="A1430" s="2" t="inlineStr">
        <is>
          <t>En plazo</t>
        </is>
      </c>
      <c r="B1430" s="3" t="n">
        <v>46324.99930555555</v>
      </c>
      <c r="C1430" s="5" t="n">
        <v>122183.25</v>
      </c>
      <c r="D1430" s="5" t="n">
        <v>122183.25</v>
      </c>
      <c r="E1430" s="2" t="inlineStr">
        <is>
          <t>Andalucía</t>
        </is>
      </c>
      <c r="F1430" s="2" t="inlineStr">
        <is>
          <t>Huelva</t>
        </is>
      </c>
      <c r="G1430" s="2" t="inlineStr">
        <is>
          <t>BONARES</t>
        </is>
      </c>
      <c r="H1430" s="2" t="inlineStr">
        <is>
          <t>Alcaldia del Ayuntamiento de Bonares</t>
        </is>
      </c>
      <c r="I1430" s="2" t="inlineStr">
        <is>
          <t>Obras de asfaltado y triple tratamiento de caminos rurales. Año 2026.</t>
        </is>
      </c>
      <c r="J1430" s="2" t="inlineStr">
        <is>
          <t>4259/2026</t>
        </is>
      </c>
      <c r="K1430" s="2" t="inlineStr">
        <is>
          <t>Abierto simplificado</t>
        </is>
      </c>
      <c r="L1430" s="6" t="n">
        <v>6</v>
      </c>
      <c r="M1430" s="2" t="n"/>
      <c r="N1430" s="7" t="n">
        <v>0</v>
      </c>
      <c r="O1430" s="4" t="n"/>
      <c r="P1430" s="2" t="inlineStr">
        <is>
          <t>45233222</t>
        </is>
      </c>
      <c r="Q1430" s="8" t="inlineStr">
        <is>
          <t>Ver</t>
        </is>
      </c>
      <c r="R1430" s="8" t="inlineStr">
        <is>
          <t>PCAP</t>
        </is>
      </c>
      <c r="S1430" s="9" t="n">
        <v>46310</v>
      </c>
      <c r="T1430" s="3" t="n">
        <v>46304.7455787037</v>
      </c>
      <c r="U1430" s="2" t="n"/>
    </row>
    <row r="1431">
      <c r="A1431" s="2" t="inlineStr">
        <is>
          <t>En plazo</t>
        </is>
      </c>
      <c r="B1431" s="3" t="n">
        <v>46337.58333333334</v>
      </c>
      <c r="C1431" s="5" t="n">
        <v>238677.73</v>
      </c>
      <c r="D1431" s="5" t="n">
        <v>238677.73</v>
      </c>
      <c r="E1431" s="2" t="inlineStr">
        <is>
          <t>Andalucía</t>
        </is>
      </c>
      <c r="F1431" s="2" t="inlineStr">
        <is>
          <t>Sevilla</t>
        </is>
      </c>
      <c r="G1431" s="2" t="inlineStr">
        <is>
          <t>Sevilla</t>
        </is>
      </c>
      <c r="H1431" s="2" t="inlineStr">
        <is>
          <t>Compras de la Corporación de Radio y Televisión Española S.A.</t>
        </is>
      </c>
      <c r="I1431" s="2" t="inlineStr">
        <is>
          <t>Sustitución ascensores CPP RTVE Andalucía en Sevilla</t>
        </is>
      </c>
      <c r="J1431" s="2" t="inlineStr">
        <is>
          <t>S-04054-2026</t>
        </is>
      </c>
      <c r="K1431" s="2" t="inlineStr">
        <is>
          <t>Abierto</t>
        </is>
      </c>
      <c r="L1431" s="6" t="n">
        <v>5</v>
      </c>
      <c r="M1431" s="2" t="n"/>
      <c r="N1431" s="7" t="n">
        <v>0.4</v>
      </c>
      <c r="O1431" s="4" t="n"/>
      <c r="P1431" s="2" t="inlineStr">
        <is>
          <t>45313100; 45313000</t>
        </is>
      </c>
      <c r="Q1431" s="8" t="inlineStr">
        <is>
          <t>Ver</t>
        </is>
      </c>
      <c r="R1431" s="8" t="inlineStr">
        <is>
          <t>PCAP</t>
        </is>
      </c>
      <c r="S1431" s="9" t="n">
        <v>46310</v>
      </c>
      <c r="T1431" s="3" t="n">
        <v>46304.70791666667</v>
      </c>
      <c r="U1431" s="2" t="n"/>
    </row>
    <row r="1432">
      <c r="A1432" s="2" t="inlineStr">
        <is>
          <t>Pendiente de adjudicación</t>
        </is>
      </c>
      <c r="B1432" s="3" t="n">
        <v>46268.45833333334</v>
      </c>
      <c r="C1432" s="5" t="n">
        <v>948799.2</v>
      </c>
      <c r="D1432" s="5" t="n">
        <v>948799.2</v>
      </c>
      <c r="E1432" s="2" t="inlineStr">
        <is>
          <t>Andalucía</t>
        </is>
      </c>
      <c r="F1432" s="2" t="inlineStr">
        <is>
          <t>Granada</t>
        </is>
      </c>
      <c r="G1432" s="2" t="n"/>
      <c r="H1432" s="2" t="inlineStr">
        <is>
          <t>ADIF Alta Velocidad - Presidencia</t>
        </is>
      </c>
      <c r="I1432" s="2" t="inlineStr">
        <is>
          <t>Obras de ejecución del proyecto de estabilización de taludes mediante colocación de malla en terraplenes del entorno de la subestación electrica de Íllora de la L.A.V Antequera-Granada sin afecciones a la circulación</t>
        </is>
      </c>
      <c r="J1432" s="2" t="inlineStr">
        <is>
          <t>3.26/20810.0067</t>
        </is>
      </c>
      <c r="K1432" s="2" t="inlineStr">
        <is>
          <t>Abierto</t>
        </is>
      </c>
      <c r="L1432" s="6" t="n">
        <v>6</v>
      </c>
      <c r="M1432" s="2" t="inlineStr">
        <is>
          <t>A2-4</t>
        </is>
      </c>
      <c r="N1432" s="7" t="n">
        <v>0</v>
      </c>
      <c r="O1432" s="4" t="n"/>
      <c r="P1432" s="2" t="inlineStr">
        <is>
          <t>45111200</t>
        </is>
      </c>
      <c r="Q1432" s="8" t="inlineStr">
        <is>
          <t>Ver</t>
        </is>
      </c>
      <c r="R1432" s="8" t="inlineStr">
        <is>
          <t>PCAP</t>
        </is>
      </c>
      <c r="S1432" s="9" t="n">
        <v>46310</v>
      </c>
      <c r="T1432" s="3" t="n">
        <v>46304.61934027778</v>
      </c>
      <c r="U1432" s="2" t="n"/>
    </row>
    <row r="1433">
      <c r="A1433" s="2" t="inlineStr">
        <is>
          <t>En plazo</t>
        </is>
      </c>
      <c r="B1433" s="3" t="n">
        <v>46324.99930555555</v>
      </c>
      <c r="C1433" s="5" t="n">
        <v>60942.13</v>
      </c>
      <c r="D1433" s="5" t="n">
        <v>60942.13</v>
      </c>
      <c r="E1433" s="2" t="inlineStr">
        <is>
          <t>Andalucía</t>
        </is>
      </c>
      <c r="F1433" s="2" t="inlineStr">
        <is>
          <t>Jaén</t>
        </is>
      </c>
      <c r="G1433" s="2" t="inlineStr">
        <is>
          <t>QUESADA</t>
        </is>
      </c>
      <c r="H1433" s="2" t="inlineStr">
        <is>
          <t>Alcaldia del Ayuntamiento de Quesada</t>
        </is>
      </c>
      <c r="I1433" s="2" t="inlineStr">
        <is>
          <t>Contratación obra: Reparación camino del Santo (Quesada)</t>
        </is>
      </c>
      <c r="J1433" s="2" t="inlineStr">
        <is>
          <t>1549/2026</t>
        </is>
      </c>
      <c r="K1433" s="2" t="inlineStr">
        <is>
          <t>Abierto</t>
        </is>
      </c>
      <c r="L1433" s="6" t="n">
        <v>2</v>
      </c>
      <c r="M1433" s="2" t="n"/>
      <c r="N1433" s="7" t="n">
        <v>0</v>
      </c>
      <c r="O1433" s="4" t="n"/>
      <c r="P1433" s="2" t="inlineStr">
        <is>
          <t>45233222; 45233160</t>
        </is>
      </c>
      <c r="Q1433" s="8" t="inlineStr">
        <is>
          <t>Ver</t>
        </is>
      </c>
      <c r="R1433" s="8" t="inlineStr">
        <is>
          <t>PCAP</t>
        </is>
      </c>
      <c r="S1433" s="9" t="n">
        <v>46310</v>
      </c>
      <c r="T1433" s="3" t="n">
        <v>46304.61648148148</v>
      </c>
      <c r="U1433" s="2" t="n"/>
    </row>
    <row r="1434">
      <c r="A1434" s="2" t="inlineStr">
        <is>
          <t>Pendiente de adjudicación</t>
        </is>
      </c>
      <c r="B1434" s="3" t="n">
        <v>46279.99930555555</v>
      </c>
      <c r="C1434" s="5" t="n">
        <v>495867.77</v>
      </c>
      <c r="D1434" s="5" t="n">
        <v>495867.77</v>
      </c>
      <c r="E1434" s="2" t="inlineStr">
        <is>
          <t>Andalucía</t>
        </is>
      </c>
      <c r="F1434" s="2" t="inlineStr">
        <is>
          <t>Granada</t>
        </is>
      </c>
      <c r="G1434" s="2" t="n"/>
      <c r="H1434" s="2" t="inlineStr">
        <is>
          <t>Junta de Gobierno del Ayuntamiento de Armilla</t>
        </is>
      </c>
      <c r="I1434" s="2" t="inlineStr">
        <is>
          <t>Ejecución de las obras de renovación e instalación de elementos recreativos infantiles en parques municipales de Armilla.</t>
        </is>
      </c>
      <c r="J1434" s="2" t="inlineStr">
        <is>
          <t>2026-7803</t>
        </is>
      </c>
      <c r="K1434" s="2" t="inlineStr">
        <is>
          <t>Abierto simplificado</t>
        </is>
      </c>
      <c r="L1434" s="6" t="n">
        <v>1</v>
      </c>
      <c r="M1434" s="2" t="n"/>
      <c r="N1434" s="7" t="n">
        <v>0</v>
      </c>
      <c r="O1434" s="4" t="n">
        <v>5</v>
      </c>
      <c r="P1434" s="2" t="inlineStr">
        <is>
          <t>45212140; 45212100</t>
        </is>
      </c>
      <c r="Q1434" s="8" t="inlineStr">
        <is>
          <t>Ver</t>
        </is>
      </c>
      <c r="R1434" s="8" t="inlineStr">
        <is>
          <t>PCAP</t>
        </is>
      </c>
      <c r="S1434" s="9" t="n">
        <v>46310</v>
      </c>
      <c r="T1434" s="3" t="n">
        <v>46304.60900462963</v>
      </c>
      <c r="U1434" s="2" t="n"/>
    </row>
    <row r="1435">
      <c r="A1435" s="2" t="inlineStr">
        <is>
          <t>Adjudicada</t>
        </is>
      </c>
      <c r="B1435" s="3" t="n">
        <v>46244.99930555555</v>
      </c>
      <c r="C1435" s="5" t="n">
        <v>1487603.31</v>
      </c>
      <c r="D1435" s="5" t="n">
        <v>1487603.31</v>
      </c>
      <c r="E1435" s="2" t="inlineStr">
        <is>
          <t>Andalucía</t>
        </is>
      </c>
      <c r="F1435" s="2" t="inlineStr">
        <is>
          <t>Granada</t>
        </is>
      </c>
      <c r="G1435" s="2" t="n"/>
      <c r="H1435" s="2" t="inlineStr">
        <is>
          <t>Alcaldía del Ayuntamiento de Las Gabias</t>
        </is>
      </c>
      <c r="I1435" s="2" t="inlineStr">
        <is>
          <t>Ejecución de la obra definida en el proyecto de ampliación del vial de Carlos Cano.</t>
        </is>
      </c>
      <c r="J1435" s="2" t="inlineStr">
        <is>
          <t>100/2026</t>
        </is>
      </c>
      <c r="K1435" s="2" t="inlineStr">
        <is>
          <t>Abierto simplificado</t>
        </is>
      </c>
      <c r="L1435" s="6" t="n">
        <v>11</v>
      </c>
      <c r="M1435" s="2" t="n"/>
      <c r="N1435" s="7" t="n">
        <v>0</v>
      </c>
      <c r="O1435" s="4" t="n"/>
      <c r="P1435" s="2" t="inlineStr">
        <is>
          <t>45112000; 45233122; 45233253; 45233128</t>
        </is>
      </c>
      <c r="Q1435" s="8" t="inlineStr">
        <is>
          <t>Ver</t>
        </is>
      </c>
      <c r="R1435" s="8" t="inlineStr">
        <is>
          <t>PCAP</t>
        </is>
      </c>
      <c r="S1435" s="9" t="n">
        <v>46310</v>
      </c>
      <c r="T1435" s="3" t="n">
        <v>46304.60699074074</v>
      </c>
      <c r="U1435" s="2" t="n"/>
    </row>
    <row r="1436">
      <c r="A1436" s="2" t="inlineStr">
        <is>
          <t>En plazo</t>
        </is>
      </c>
      <c r="B1436" s="3" t="n">
        <v>46321.625</v>
      </c>
      <c r="C1436" s="5" t="n">
        <v>76946.25999999999</v>
      </c>
      <c r="D1436" s="5" t="n">
        <v>76946.25999999999</v>
      </c>
      <c r="E1436" s="2" t="inlineStr">
        <is>
          <t>Andalucía</t>
        </is>
      </c>
      <c r="F1436" s="2" t="inlineStr">
        <is>
          <t>Córdoba</t>
        </is>
      </c>
      <c r="G1436" s="2" t="n"/>
      <c r="H1436" s="2" t="inlineStr">
        <is>
          <t>TGSS-Dirección provincial de Córdoba</t>
        </is>
      </c>
      <c r="I1436" s="2" t="inlineStr">
        <is>
          <t>Obras de adecuación y mejora de la sala de subastas de la sede de la Dirección Provincial de la Tesorería General de la Seguridad Social de Córdoba, sita en Ronda de los Tejares, 23-25.</t>
        </is>
      </c>
      <c r="J1436" s="2" t="inlineStr">
        <is>
          <t>2026/140155</t>
        </is>
      </c>
      <c r="K1436" s="2" t="inlineStr">
        <is>
          <t>Abierto simplificado</t>
        </is>
      </c>
      <c r="L1436" s="6" t="n">
        <v>2</v>
      </c>
      <c r="M1436" s="2" t="n"/>
      <c r="N1436" s="7" t="n">
        <v>0</v>
      </c>
      <c r="O1436" s="4" t="n"/>
      <c r="P1436" s="2" t="inlineStr">
        <is>
          <t>45453100; 45310000</t>
        </is>
      </c>
      <c r="Q1436" s="8" t="inlineStr">
        <is>
          <t>Ver</t>
        </is>
      </c>
      <c r="R1436" s="8" t="inlineStr">
        <is>
          <t>PCAP</t>
        </is>
      </c>
      <c r="S1436" s="9" t="n">
        <v>46310</v>
      </c>
      <c r="T1436" s="3" t="n">
        <v>46304.59569444445</v>
      </c>
      <c r="U1436" s="2" t="n"/>
    </row>
    <row r="1437">
      <c r="A1437" s="2" t="inlineStr">
        <is>
          <t>Pendiente de adjudicación</t>
        </is>
      </c>
      <c r="B1437" s="3" t="n">
        <v>46211.99930555555</v>
      </c>
      <c r="C1437" s="5" t="n">
        <v>849986.51</v>
      </c>
      <c r="D1437" s="5" t="n">
        <v>849986.51</v>
      </c>
      <c r="E1437" s="2" t="inlineStr">
        <is>
          <t>Andalucía</t>
        </is>
      </c>
      <c r="F1437" s="2" t="inlineStr">
        <is>
          <t>Sevilla</t>
        </is>
      </c>
      <c r="G1437" s="2" t="inlineStr">
        <is>
          <t>Mairena del Aljarafe</t>
        </is>
      </c>
      <c r="H1437" s="2" t="inlineStr">
        <is>
          <t>Consejo de Gobierno de la Gerencia Municipal de Urbanismo del Ayuntamiento de Mairena del Aljarafe</t>
        </is>
      </c>
      <c r="I1437" s="2" t="inlineStr">
        <is>
          <t>Obras de firmes asfálticos 2025 de Mairena del Aljarafe</t>
        </is>
      </c>
      <c r="J1437" s="2" t="inlineStr">
        <is>
          <t>359/2026</t>
        </is>
      </c>
      <c r="K1437" s="2" t="inlineStr">
        <is>
          <t>Abierto simplificado</t>
        </is>
      </c>
      <c r="L1437" s="6" t="n">
        <v>3</v>
      </c>
      <c r="M1437" s="2" t="inlineStr">
        <is>
          <t>A*-4</t>
        </is>
      </c>
      <c r="N1437" s="7" t="n">
        <v>0</v>
      </c>
      <c r="O1437" s="4" t="n"/>
      <c r="P1437" s="2" t="inlineStr">
        <is>
          <t>45233252</t>
        </is>
      </c>
      <c r="Q1437" s="8" t="inlineStr">
        <is>
          <t>Ver</t>
        </is>
      </c>
      <c r="R1437" s="8" t="inlineStr">
        <is>
          <t>PCAP</t>
        </is>
      </c>
      <c r="S1437" s="9" t="n">
        <v>46310</v>
      </c>
      <c r="T1437" s="3" t="n">
        <v>46304.58962962963</v>
      </c>
      <c r="U1437" s="2" t="n"/>
    </row>
    <row r="1438">
      <c r="A1438" s="2" t="inlineStr">
        <is>
          <t>Resuelta</t>
        </is>
      </c>
      <c r="B1438" s="3" t="n"/>
      <c r="C1438" s="5" t="n">
        <v>7789045.65</v>
      </c>
      <c r="D1438" s="5" t="n">
        <v>9424745.24</v>
      </c>
      <c r="E1438" s="2" t="inlineStr">
        <is>
          <t>Andalucía</t>
        </is>
      </c>
      <c r="F1438" s="2" t="inlineStr">
        <is>
          <t>Granada</t>
        </is>
      </c>
      <c r="G1438" s="2" t="n"/>
      <c r="H1438" s="2" t="inlineStr">
        <is>
          <t>Demarcación de Carreteras del Estado en Andalucía Oriental</t>
        </is>
      </c>
      <c r="I1438" s="2" t="inlineStr">
        <is>
          <t>Reparación de daños localizados en el viaducto del barranco del Caballar en el P.K. 441+500 de la A-7, ampliación vanos 1 a 6 de la estructura. LOTE 1-AMPLIACIÓN. provincia de Almería</t>
        </is>
      </c>
      <c r="J1438" s="2" t="inlineStr">
        <is>
          <t>EM22-AL-04.L1. AMPLIACION</t>
        </is>
      </c>
      <c r="K1438" s="2" t="inlineStr">
        <is>
          <t>Negociado sin publicidad</t>
        </is>
      </c>
      <c r="L1438" s="6" t="n">
        <v>12</v>
      </c>
      <c r="M1438" s="2" t="n"/>
      <c r="N1438" s="7" t="n"/>
      <c r="O1438" s="4" t="n"/>
      <c r="P1438" s="2" t="inlineStr">
        <is>
          <t>45000000</t>
        </is>
      </c>
      <c r="Q1438" s="8" t="inlineStr">
        <is>
          <t>Ver</t>
        </is>
      </c>
      <c r="R1438" s="2" t="n"/>
      <c r="S1438" s="9" t="n">
        <v>46310</v>
      </c>
      <c r="T1438" s="3" t="n">
        <v>46304.58797453704</v>
      </c>
      <c r="U1438" s="2" t="n"/>
    </row>
    <row r="1439">
      <c r="A1439" s="2" t="inlineStr">
        <is>
          <t>Resuelta</t>
        </is>
      </c>
      <c r="B1439" s="3" t="n">
        <v>46282.58333333334</v>
      </c>
      <c r="C1439" s="5" t="n">
        <v>172972.66</v>
      </c>
      <c r="D1439" s="5" t="n">
        <v>172972.66</v>
      </c>
      <c r="E1439" s="2" t="inlineStr">
        <is>
          <t>Andalucía</t>
        </is>
      </c>
      <c r="F1439" s="2" t="inlineStr">
        <is>
          <t>Cádiz</t>
        </is>
      </c>
      <c r="G1439" s="2" t="n"/>
      <c r="H1439" s="2" t="inlineStr">
        <is>
          <t>Presidencia de la Autoridad Portuaria de la Bahía de Algeciras</t>
        </is>
      </c>
      <c r="I1439" s="2" t="inlineStr">
        <is>
          <t>Proyecto de construcción de puntos limpios para la recogida de aceites usados de embarcaciones pesqueras y deportivas en las instalaciones de la Autoridad Portuaria de la Bahía de Algeciras</t>
        </is>
      </c>
      <c r="J1439" s="2" t="inlineStr">
        <is>
          <t>2026-068</t>
        </is>
      </c>
      <c r="K1439" s="2" t="inlineStr">
        <is>
          <t>Abierto simplificado</t>
        </is>
      </c>
      <c r="L1439" s="6" t="n">
        <v>5</v>
      </c>
      <c r="M1439" s="2" t="inlineStr">
        <is>
          <t>B2-2</t>
        </is>
      </c>
      <c r="N1439" s="7" t="n">
        <v>0</v>
      </c>
      <c r="O1439" s="4" t="n"/>
      <c r="P1439" s="2" t="inlineStr">
        <is>
          <t>45000000; 44613800; 45223000</t>
        </is>
      </c>
      <c r="Q1439" s="8" t="inlineStr">
        <is>
          <t>Ver</t>
        </is>
      </c>
      <c r="R1439" s="8" t="inlineStr">
        <is>
          <t>PCAP</t>
        </is>
      </c>
      <c r="S1439" s="9" t="n">
        <v>46310</v>
      </c>
      <c r="T1439" s="3" t="n">
        <v>46304.58417824074</v>
      </c>
      <c r="U1439" s="2" t="n"/>
    </row>
    <row r="1440">
      <c r="A1440" s="2" t="inlineStr">
        <is>
          <t>Adjudicada</t>
        </is>
      </c>
      <c r="B1440" s="3" t="n">
        <v>46252.41666666666</v>
      </c>
      <c r="C1440" s="5" t="n">
        <v>370195.86</v>
      </c>
      <c r="D1440" s="5" t="n">
        <v>370195.86</v>
      </c>
      <c r="E1440" s="2" t="inlineStr">
        <is>
          <t>Andalucía</t>
        </is>
      </c>
      <c r="F1440" s="2" t="inlineStr">
        <is>
          <t>Cádiz</t>
        </is>
      </c>
      <c r="G1440" s="2" t="inlineStr">
        <is>
          <t>Cádiz</t>
        </is>
      </c>
      <c r="H1440" s="2" t="inlineStr">
        <is>
          <t>Junta de Gobierno del Ayuntamiento de Cádiz</t>
        </is>
      </c>
      <c r="I1440" s="2" t="inlineStr">
        <is>
          <t>Señalización Horizontal en la Ciudad de Cádiz.</t>
        </is>
      </c>
      <c r="J1440" s="2" t="inlineStr">
        <is>
          <t>2026/087</t>
        </is>
      </c>
      <c r="K1440" s="2" t="inlineStr">
        <is>
          <t>Abierto simplificado</t>
        </is>
      </c>
      <c r="L1440" s="6" t="n">
        <v>6</v>
      </c>
      <c r="M1440" s="2" t="n"/>
      <c r="N1440" s="7" t="n">
        <v>0</v>
      </c>
      <c r="O1440" s="4" t="n"/>
      <c r="P1440" s="2" t="inlineStr">
        <is>
          <t>45233221</t>
        </is>
      </c>
      <c r="Q1440" s="8" t="inlineStr">
        <is>
          <t>Ver</t>
        </is>
      </c>
      <c r="R1440" s="8" t="inlineStr">
        <is>
          <t>PCAP</t>
        </is>
      </c>
      <c r="S1440" s="9" t="n">
        <v>46310</v>
      </c>
      <c r="T1440" s="3" t="n">
        <v>46304.57646990741</v>
      </c>
      <c r="U1440" s="2" t="n"/>
    </row>
    <row r="1441">
      <c r="A1441" s="2" t="inlineStr">
        <is>
          <t>Pendiente de adjudicación</t>
        </is>
      </c>
      <c r="B1441" s="3" t="n">
        <v>46294.99930555555</v>
      </c>
      <c r="C1441" s="5" t="n">
        <v>28551.49</v>
      </c>
      <c r="D1441" s="5" t="n">
        <v>28551.49</v>
      </c>
      <c r="E1441" s="2" t="inlineStr">
        <is>
          <t>Andalucía</t>
        </is>
      </c>
      <c r="F1441" s="2" t="inlineStr">
        <is>
          <t>Jaén</t>
        </is>
      </c>
      <c r="G1441" s="2" t="inlineStr">
        <is>
          <t>Cárcheles</t>
        </is>
      </c>
      <c r="H1441" s="2" t="inlineStr">
        <is>
          <t>Alcaldía del Ayuntamiento de Cárcheles</t>
        </is>
      </c>
      <c r="I1441" s="2" t="inlineStr">
        <is>
          <t>Pavimentación y arreglo del parque de la fuente, renovación pavimento asfáltico en calzada municipal y renovación pavimento pétreo acceso a calle a mediodía en Cárcheles (Jaén), mediante lotes (3).</t>
        </is>
      </c>
      <c r="J1441" s="2" t="inlineStr">
        <is>
          <t>424/2026</t>
        </is>
      </c>
      <c r="K1441" s="2" t="inlineStr">
        <is>
          <t>Abierto simplificado</t>
        </is>
      </c>
      <c r="L1441" s="6" t="n">
        <v>1</v>
      </c>
      <c r="M1441" s="2" t="n"/>
      <c r="N1441" s="7" t="n">
        <v>0</v>
      </c>
      <c r="O1441" s="4" t="n">
        <v>3</v>
      </c>
      <c r="P1441" s="2" t="inlineStr">
        <is>
          <t>45233200; 45233222; 45233252</t>
        </is>
      </c>
      <c r="Q1441" s="8" t="inlineStr">
        <is>
          <t>Ver</t>
        </is>
      </c>
      <c r="R1441" s="8" t="inlineStr">
        <is>
          <t>PCAP</t>
        </is>
      </c>
      <c r="S1441" s="9" t="n">
        <v>46310</v>
      </c>
      <c r="T1441" s="3" t="n">
        <v>46304.57047453704</v>
      </c>
      <c r="U1441" s="2" t="n"/>
    </row>
    <row r="1442">
      <c r="A1442" s="2" t="inlineStr">
        <is>
          <t>Resuelta</t>
        </is>
      </c>
      <c r="B1442" s="3" t="n">
        <v>46174.99930555555</v>
      </c>
      <c r="C1442" s="5" t="n">
        <v>427251.04</v>
      </c>
      <c r="D1442" s="5" t="n">
        <v>512701.25</v>
      </c>
      <c r="E1442" s="2" t="inlineStr">
        <is>
          <t>Andalucía</t>
        </is>
      </c>
      <c r="F1442" s="2" t="inlineStr">
        <is>
          <t>Málaga</t>
        </is>
      </c>
      <c r="G1442" s="2" t="n"/>
      <c r="H1442" s="2" t="inlineStr">
        <is>
          <t>Concejalía Delegada en Materia de Contratación del Ayuntamiento de Torremolinos</t>
        </is>
      </c>
      <c r="I1442" s="2" t="inlineStr">
        <is>
          <t>Obras del Proyecto de ordinarias de urbanización de C/ Europa Fase 1- PAEM 2023 -2ª FASE</t>
        </is>
      </c>
      <c r="J1442" s="2" t="inlineStr">
        <is>
          <t>219/2026</t>
        </is>
      </c>
      <c r="K1442" s="2" t="inlineStr">
        <is>
          <t>Abierto</t>
        </is>
      </c>
      <c r="L1442" s="6" t="n">
        <v>4</v>
      </c>
      <c r="M1442" s="2" t="n"/>
      <c r="N1442" s="7" t="n">
        <v>0.3</v>
      </c>
      <c r="O1442" s="4" t="n"/>
      <c r="P1442" s="2" t="inlineStr">
        <is>
          <t>45220000</t>
        </is>
      </c>
      <c r="Q1442" s="8" t="inlineStr">
        <is>
          <t>Ver</t>
        </is>
      </c>
      <c r="R1442" s="8" t="inlineStr">
        <is>
          <t>PCAP</t>
        </is>
      </c>
      <c r="S1442" s="9" t="n">
        <v>46310</v>
      </c>
      <c r="T1442" s="3" t="n">
        <v>46304.5670949074</v>
      </c>
      <c r="U1442" s="2" t="n"/>
    </row>
    <row r="1443">
      <c r="A1443" s="2" t="inlineStr">
        <is>
          <t>Pendiente de adjudicación</t>
        </is>
      </c>
      <c r="B1443" s="3" t="n">
        <v>46167.54166666666</v>
      </c>
      <c r="C1443" s="5" t="n">
        <v>120460.15</v>
      </c>
      <c r="D1443" s="5" t="n">
        <v>120460.15</v>
      </c>
      <c r="E1443" s="2" t="inlineStr">
        <is>
          <t>Andalucía</t>
        </is>
      </c>
      <c r="F1443" s="2" t="inlineStr">
        <is>
          <t>Granada</t>
        </is>
      </c>
      <c r="G1443" s="2" t="inlineStr">
        <is>
          <t>Atarfe (Granada)</t>
        </is>
      </c>
      <c r="H1443" s="2" t="inlineStr">
        <is>
          <t>Dirección Gerente de Aguas Vega Sierra Elvira, S.A.</t>
        </is>
      </c>
      <c r="I1443" s="2" t="inlineStr">
        <is>
          <t>Renovación de redes de Abastecimiento y Saneamiento en Calle Huertos en Alfacar (Granada)</t>
        </is>
      </c>
      <c r="J1443" s="2" t="inlineStr">
        <is>
          <t>Obras 11/2026</t>
        </is>
      </c>
      <c r="K1443" s="2" t="inlineStr">
        <is>
          <t>Abierto</t>
        </is>
      </c>
      <c r="L1443" s="6" t="n">
        <v>2</v>
      </c>
      <c r="M1443" s="2" t="n"/>
      <c r="N1443" s="7" t="n">
        <v>0.4</v>
      </c>
      <c r="O1443" s="4" t="n"/>
      <c r="P1443" s="2" t="inlineStr">
        <is>
          <t>45200000; 45220000; 44160000; 45231100; 45232100</t>
        </is>
      </c>
      <c r="Q1443" s="8" t="inlineStr">
        <is>
          <t>Ver</t>
        </is>
      </c>
      <c r="R1443" s="8" t="inlineStr">
        <is>
          <t>PCAP</t>
        </is>
      </c>
      <c r="S1443" s="9" t="n">
        <v>46310</v>
      </c>
      <c r="T1443" s="3" t="n">
        <v>46304.56675925926</v>
      </c>
      <c r="U1443" s="2" t="n"/>
    </row>
    <row r="1444">
      <c r="A1444" s="2" t="inlineStr">
        <is>
          <t>En plazo</t>
        </is>
      </c>
      <c r="B1444" s="3" t="n">
        <v>46324.58333333334</v>
      </c>
      <c r="C1444" s="5" t="n">
        <v>743801.65</v>
      </c>
      <c r="D1444" s="5" t="n">
        <v>743801.65</v>
      </c>
      <c r="E1444" s="2" t="inlineStr">
        <is>
          <t>Andalucía</t>
        </is>
      </c>
      <c r="F1444" s="2" t="inlineStr">
        <is>
          <t>Sevilla</t>
        </is>
      </c>
      <c r="G1444" s="2" t="n"/>
      <c r="H1444" s="2" t="inlineStr">
        <is>
          <t>Alcaldia del Ayuntamiento de Pilas</t>
        </is>
      </c>
      <c r="I1444" s="2" t="inlineStr">
        <is>
          <t>Ejecución de la obra "Proyecto de reasfaltado 2026, de Pilas (Sevilla).</t>
        </is>
      </c>
      <c r="J1444" s="2" t="inlineStr">
        <is>
          <t>P4107500C-2026/000082-PAAS</t>
        </is>
      </c>
      <c r="K1444" s="2" t="inlineStr">
        <is>
          <t>Abierto simplificado</t>
        </is>
      </c>
      <c r="L1444" s="6" t="n">
        <v>6</v>
      </c>
      <c r="M1444" s="2" t="inlineStr">
        <is>
          <t>G4-3; G*-3</t>
        </is>
      </c>
      <c r="N1444" s="7" t="n">
        <v>0</v>
      </c>
      <c r="O1444" s="4" t="n"/>
      <c r="P1444" s="2" t="inlineStr">
        <is>
          <t>45233222</t>
        </is>
      </c>
      <c r="Q1444" s="8" t="inlineStr">
        <is>
          <t>Ver</t>
        </is>
      </c>
      <c r="R1444" s="8" t="inlineStr">
        <is>
          <t>PCAP</t>
        </is>
      </c>
      <c r="S1444" s="9" t="n">
        <v>46310</v>
      </c>
      <c r="T1444" s="3" t="n">
        <v>46304.56592592593</v>
      </c>
      <c r="U1444" s="2" t="n"/>
    </row>
    <row r="1445">
      <c r="A1445" s="2" t="inlineStr">
        <is>
          <t>En plazo</t>
        </is>
      </c>
      <c r="B1445" s="3" t="n">
        <v>46321.99930555555</v>
      </c>
      <c r="C1445" s="5" t="n">
        <v>56990</v>
      </c>
      <c r="D1445" s="5" t="n">
        <v>56990</v>
      </c>
      <c r="E1445" s="2" t="inlineStr">
        <is>
          <t>Andalucía</t>
        </is>
      </c>
      <c r="F1445" s="2" t="inlineStr">
        <is>
          <t>Sevilla</t>
        </is>
      </c>
      <c r="G1445" s="2" t="n"/>
      <c r="H1445" s="2" t="inlineStr">
        <is>
          <t>Alcaldía del Ayuntamiento de Coria del Río</t>
        </is>
      </c>
      <c r="I1445" s="2" t="inlineStr">
        <is>
          <t>Contrato de obras de ampliación de la sede de la Policía Local de Coria del Río, mediante procedimiento abierto supersimplificado.</t>
        </is>
      </c>
      <c r="J1445" s="2" t="inlineStr">
        <is>
          <t>P4103400J-2026/000387-PAAB</t>
        </is>
      </c>
      <c r="K1445" s="2" t="inlineStr">
        <is>
          <t>Abierto simplificado</t>
        </is>
      </c>
      <c r="L1445" s="6" t="n">
        <v>6</v>
      </c>
      <c r="M1445" s="2" t="n"/>
      <c r="N1445" s="7" t="n">
        <v>0</v>
      </c>
      <c r="O1445" s="4" t="n"/>
      <c r="P1445" s="2" t="inlineStr">
        <is>
          <t>45216111</t>
        </is>
      </c>
      <c r="Q1445" s="8" t="inlineStr">
        <is>
          <t>Ver</t>
        </is>
      </c>
      <c r="R1445" s="8" t="inlineStr">
        <is>
          <t>PCAP</t>
        </is>
      </c>
      <c r="S1445" s="9" t="n">
        <v>46310</v>
      </c>
      <c r="T1445" s="3" t="n">
        <v>46304.55881944444</v>
      </c>
      <c r="U1445" s="2" t="n"/>
    </row>
    <row r="1446">
      <c r="A1446" s="2" t="inlineStr">
        <is>
          <t>Pendiente de adjudicación</t>
        </is>
      </c>
      <c r="B1446" s="3" t="n">
        <v>46268.99930555555</v>
      </c>
      <c r="C1446" s="5" t="n">
        <v>1697727.74</v>
      </c>
      <c r="D1446" s="5" t="n">
        <v>1697727.74</v>
      </c>
      <c r="E1446" s="2" t="inlineStr">
        <is>
          <t>Andalucía</t>
        </is>
      </c>
      <c r="F1446" s="2" t="inlineStr">
        <is>
          <t>Almería</t>
        </is>
      </c>
      <c r="G1446" s="2" t="inlineStr">
        <is>
          <t>Huércal-Overa</t>
        </is>
      </c>
      <c r="H1446" s="2" t="inlineStr">
        <is>
          <t>Junta De Gobierno Local del Ayuntamiento de Huércal-Overa</t>
        </is>
      </c>
      <c r="I1446" s="2" t="inlineStr">
        <is>
          <t>Contrato de obras de construcción de Pistas de Atletismo y dos Campos de Fútbol 7 en Huércal-Overa</t>
        </is>
      </c>
      <c r="J1446" s="2" t="inlineStr">
        <is>
          <t>611/2026</t>
        </is>
      </c>
      <c r="K1446" s="2" t="inlineStr">
        <is>
          <t>Abierto simplificado</t>
        </is>
      </c>
      <c r="L1446" s="6" t="n">
        <v>8</v>
      </c>
      <c r="M1446" s="2" t="inlineStr">
        <is>
          <t>G*-1</t>
        </is>
      </c>
      <c r="N1446" s="7" t="n">
        <v>0.25</v>
      </c>
      <c r="O1446" s="4" t="n"/>
      <c r="P1446" s="2" t="inlineStr">
        <is>
          <t>45212200</t>
        </is>
      </c>
      <c r="Q1446" s="8" t="inlineStr">
        <is>
          <t>Ver</t>
        </is>
      </c>
      <c r="R1446" s="8" t="inlineStr">
        <is>
          <t>PCAP</t>
        </is>
      </c>
      <c r="S1446" s="9" t="n">
        <v>46310</v>
      </c>
      <c r="T1446" s="3" t="n">
        <v>46304.55604166666</v>
      </c>
      <c r="U1446" s="2" t="n"/>
    </row>
    <row r="1447">
      <c r="A1447" s="2" t="inlineStr">
        <is>
          <t>Adjudicada</t>
        </is>
      </c>
      <c r="B1447" s="3" t="n">
        <v>46289.99930555555</v>
      </c>
      <c r="C1447" s="5" t="n">
        <v>51436.37</v>
      </c>
      <c r="D1447" s="5" t="n">
        <v>51436.37</v>
      </c>
      <c r="E1447" s="2" t="inlineStr">
        <is>
          <t>Andalucía</t>
        </is>
      </c>
      <c r="F1447" s="2" t="inlineStr">
        <is>
          <t>Granada</t>
        </is>
      </c>
      <c r="G1447" s="2" t="n"/>
      <c r="H1447" s="2" t="inlineStr">
        <is>
          <t>Alcaldía del Ayuntamiento de Cádiar</t>
        </is>
      </c>
      <c r="I1447" s="2" t="inlineStr">
        <is>
          <t>Construcción de 36 nuevos nichos prefabricados dentro del cementerio municipal, sin ampliación de superficie del mismo. El objeto del presente proyecto es definir las obras y actuaciones necesarias para proceder a la ampliación del número de nichos en los cementerios municipales de Cádiar y Narila</t>
        </is>
      </c>
      <c r="J1447" s="2" t="inlineStr">
        <is>
          <t>496/2026</t>
        </is>
      </c>
      <c r="K1447" s="2" t="inlineStr">
        <is>
          <t>Abierto simplificado</t>
        </is>
      </c>
      <c r="L1447" s="6" t="n">
        <v>2</v>
      </c>
      <c r="M1447" s="2" t="n"/>
      <c r="N1447" s="7" t="n">
        <v>0</v>
      </c>
      <c r="O1447" s="4" t="n"/>
      <c r="P1447" s="2" t="inlineStr">
        <is>
          <t>45223810; 45262300; 45000000; 45112000</t>
        </is>
      </c>
      <c r="Q1447" s="8" t="inlineStr">
        <is>
          <t>Ver</t>
        </is>
      </c>
      <c r="R1447" s="2" t="n"/>
      <c r="S1447" s="9" t="n">
        <v>46310</v>
      </c>
      <c r="T1447" s="3" t="n">
        <v>46304.55481481482</v>
      </c>
      <c r="U1447" s="2" t="n"/>
    </row>
    <row r="1448">
      <c r="A1448" s="2" t="inlineStr">
        <is>
          <t>Pendiente de adjudicación</t>
        </is>
      </c>
      <c r="B1448" s="3" t="n">
        <v>46964.60416666666</v>
      </c>
      <c r="C1448" s="5" t="n">
        <v>5775000</v>
      </c>
      <c r="D1448" s="5" t="n">
        <v>7700000</v>
      </c>
      <c r="E1448" s="2" t="inlineStr">
        <is>
          <t>Andalucía</t>
        </is>
      </c>
      <c r="F1448" s="2" t="inlineStr">
        <is>
          <t>Almería</t>
        </is>
      </c>
      <c r="G1448" s="2" t="inlineStr">
        <is>
          <t>Vera</t>
        </is>
      </c>
      <c r="H1448" s="2" t="inlineStr">
        <is>
          <t>Pleno del Ayuntamiento de Vera</t>
        </is>
      </c>
      <c r="I1448" s="2" t="inlineStr">
        <is>
          <t>Ejecución de obras habituales para prestación de los servicios públicos de competencia municipal mediante un sistema dinámico de adquisición.</t>
        </is>
      </c>
      <c r="J1448" s="2" t="inlineStr">
        <is>
          <t>2911/2024</t>
        </is>
      </c>
      <c r="K1448" s="2" t="inlineStr">
        <is>
          <t>Restringido</t>
        </is>
      </c>
      <c r="L1448" s="6" t="n"/>
      <c r="M1448" s="2" t="n"/>
      <c r="N1448" s="7" t="n">
        <v>0.4</v>
      </c>
      <c r="O1448" s="4" t="n">
        <v>8</v>
      </c>
      <c r="P1448" s="2" t="inlineStr">
        <is>
          <t>45000000; 45111200; 45112710; 45233222; 45400000; 45330000; 45233293; 45316000; 45500000</t>
        </is>
      </c>
      <c r="Q1448" s="8" t="inlineStr">
        <is>
          <t>Ver</t>
        </is>
      </c>
      <c r="R1448" s="8" t="inlineStr">
        <is>
          <t>PCAP</t>
        </is>
      </c>
      <c r="S1448" s="9" t="n">
        <v>46310</v>
      </c>
      <c r="T1448" s="3" t="n">
        <v>46304.55150462963</v>
      </c>
      <c r="U1448" s="2" t="n"/>
    </row>
    <row r="1449">
      <c r="A1449" s="2" t="inlineStr">
        <is>
          <t>Resuelta</t>
        </is>
      </c>
      <c r="B1449" s="3" t="n">
        <v>46272.99930555555</v>
      </c>
      <c r="C1449" s="5" t="n">
        <v>80951.97</v>
      </c>
      <c r="D1449" s="5" t="n">
        <v>80951.97</v>
      </c>
      <c r="E1449" s="2" t="inlineStr">
        <is>
          <t>Andalucía</t>
        </is>
      </c>
      <c r="F1449" s="2" t="inlineStr">
        <is>
          <t>Granada</t>
        </is>
      </c>
      <c r="G1449" s="2" t="n"/>
      <c r="H1449" s="2" t="inlineStr">
        <is>
          <t>Alcaldía del Ayuntamiento de Cenes de la Vega</t>
        </is>
      </c>
      <c r="I1449" s="2" t="inlineStr">
        <is>
          <t>Pavimentación de Calle Trébol, Cuesta del Cerrillo y Camino Viejo de Güéjar</t>
        </is>
      </c>
      <c r="J1449" s="2" t="inlineStr">
        <is>
          <t>2354/2026</t>
        </is>
      </c>
      <c r="K1449" s="2" t="inlineStr">
        <is>
          <t>Abierto simplificado</t>
        </is>
      </c>
      <c r="L1449" s="6" t="n">
        <v>1</v>
      </c>
      <c r="M1449" s="2" t="n"/>
      <c r="N1449" s="7" t="n">
        <v>0</v>
      </c>
      <c r="O1449" s="4" t="n"/>
      <c r="P1449" s="2" t="inlineStr">
        <is>
          <t>45233252</t>
        </is>
      </c>
      <c r="Q1449" s="8" t="inlineStr">
        <is>
          <t>Ver</t>
        </is>
      </c>
      <c r="R1449" s="8" t="inlineStr">
        <is>
          <t>PCAP</t>
        </is>
      </c>
      <c r="S1449" s="9" t="n">
        <v>46310</v>
      </c>
      <c r="T1449" s="3" t="n">
        <v>46304.54775462963</v>
      </c>
      <c r="U1449" s="2" t="n"/>
    </row>
    <row r="1450">
      <c r="A1450" s="2" t="inlineStr">
        <is>
          <t>Pendiente de adjudicación</t>
        </is>
      </c>
      <c r="B1450" s="3" t="n">
        <v>46293.99930555555</v>
      </c>
      <c r="C1450" s="5" t="n">
        <v>57851.24</v>
      </c>
      <c r="D1450" s="5" t="n">
        <v>57851.24</v>
      </c>
      <c r="E1450" s="2" t="inlineStr">
        <is>
          <t>Andalucía</t>
        </is>
      </c>
      <c r="F1450" s="2" t="inlineStr">
        <is>
          <t>Granada</t>
        </is>
      </c>
      <c r="G1450" s="2" t="inlineStr">
        <is>
          <t>JUN.</t>
        </is>
      </c>
      <c r="H1450" s="2" t="inlineStr">
        <is>
          <t>Alcaldía del Ayuntamiento de Jun</t>
        </is>
      </c>
      <c r="I1450" s="2" t="inlineStr">
        <is>
          <t>Pavimentación e instalaciones en calle Colonia.</t>
        </is>
      </c>
      <c r="J1450" s="2" t="inlineStr">
        <is>
          <t>270/2026</t>
        </is>
      </c>
      <c r="K1450" s="2" t="inlineStr">
        <is>
          <t>Abierto simplificado</t>
        </is>
      </c>
      <c r="L1450" s="6" t="n">
        <v>1.4</v>
      </c>
      <c r="M1450" s="2" t="n"/>
      <c r="N1450" s="7" t="n">
        <v>0</v>
      </c>
      <c r="O1450" s="4" t="n"/>
      <c r="P1450" s="2" t="inlineStr">
        <is>
          <t>45000000; 45233252; 45316100</t>
        </is>
      </c>
      <c r="Q1450" s="8" t="inlineStr">
        <is>
          <t>Ver</t>
        </is>
      </c>
      <c r="R1450" s="8" t="inlineStr">
        <is>
          <t>PCAP</t>
        </is>
      </c>
      <c r="S1450" s="9" t="n">
        <v>46310</v>
      </c>
      <c r="T1450" s="3" t="n">
        <v>46304.54684027778</v>
      </c>
      <c r="U1450" s="2" t="n"/>
    </row>
    <row r="1451">
      <c r="A1451" s="2" t="inlineStr">
        <is>
          <t>Pendiente de adjudicación</t>
        </is>
      </c>
      <c r="B1451" s="3" t="n">
        <v>46287.99930555555</v>
      </c>
      <c r="C1451" s="5" t="n">
        <v>603305.79</v>
      </c>
      <c r="D1451" s="5" t="n">
        <v>603305.79</v>
      </c>
      <c r="E1451" s="2" t="inlineStr">
        <is>
          <t>Andalucía</t>
        </is>
      </c>
      <c r="F1451" s="2" t="inlineStr">
        <is>
          <t>Córdoba</t>
        </is>
      </c>
      <c r="G1451" s="2" t="n"/>
      <c r="H1451" s="2" t="inlineStr">
        <is>
          <t>Junta de Gobierno de la Diputación Provincial de Córdoba</t>
        </is>
      </c>
      <c r="I1451" s="2" t="inlineStr">
        <is>
          <t>Obras de ampliación de la calzada de la CO-6304 "de la A-3150 al L.P. de Sevilla por el Calonge" entre los pp.kk. 0+000 y 3+681, en Palma del Río (Córdoba)</t>
        </is>
      </c>
      <c r="J1451" s="2" t="inlineStr">
        <is>
          <t>718/26</t>
        </is>
      </c>
      <c r="K1451" s="2" t="inlineStr">
        <is>
          <t>Abierto</t>
        </is>
      </c>
      <c r="L1451" s="6" t="n">
        <v>3</v>
      </c>
      <c r="M1451" s="2" t="inlineStr">
        <is>
          <t>G4-3</t>
        </is>
      </c>
      <c r="N1451" s="7" t="n">
        <v>0.4</v>
      </c>
      <c r="O1451" s="4" t="n"/>
      <c r="P1451" s="2" t="inlineStr">
        <is>
          <t>45233000</t>
        </is>
      </c>
      <c r="Q1451" s="8" t="inlineStr">
        <is>
          <t>Ver</t>
        </is>
      </c>
      <c r="R1451" s="8" t="inlineStr">
        <is>
          <t>PCAP</t>
        </is>
      </c>
      <c r="S1451" s="9" t="n">
        <v>46310</v>
      </c>
      <c r="T1451" s="3" t="n">
        <v>46304.5422337963</v>
      </c>
      <c r="U1451" s="2" t="n"/>
    </row>
    <row r="1452">
      <c r="A1452" s="2" t="inlineStr">
        <is>
          <t>Resuelta</t>
        </is>
      </c>
      <c r="B1452" s="3" t="n">
        <v>46272.99930555555</v>
      </c>
      <c r="C1452" s="5" t="n">
        <v>69080.17</v>
      </c>
      <c r="D1452" s="5" t="n">
        <v>69080.17</v>
      </c>
      <c r="E1452" s="2" t="inlineStr">
        <is>
          <t>Andalucía</t>
        </is>
      </c>
      <c r="F1452" s="2" t="inlineStr">
        <is>
          <t>Granada</t>
        </is>
      </c>
      <c r="G1452" s="2" t="n"/>
      <c r="H1452" s="2" t="inlineStr">
        <is>
          <t>Alcaldía del Ayuntamiento de Cenes de la Vega</t>
        </is>
      </c>
      <c r="I1452" s="2" t="inlineStr">
        <is>
          <t>Llevar a cabo las obras descritas en el PROYECTO de pavimentación de la calle arco y camino viejo de Guejar, suscrito por José Medialdea Cela, arquitecto</t>
        </is>
      </c>
      <c r="J1452" s="2" t="inlineStr">
        <is>
          <t>2352/2026</t>
        </is>
      </c>
      <c r="K1452" s="2" t="inlineStr">
        <is>
          <t>Abierto simplificado</t>
        </is>
      </c>
      <c r="L1452" s="6" t="n">
        <v>2</v>
      </c>
      <c r="M1452" s="2" t="n"/>
      <c r="N1452" s="7" t="n">
        <v>0</v>
      </c>
      <c r="O1452" s="4" t="n"/>
      <c r="P1452" s="2" t="inlineStr">
        <is>
          <t>45233252</t>
        </is>
      </c>
      <c r="Q1452" s="8" t="inlineStr">
        <is>
          <t>Ver</t>
        </is>
      </c>
      <c r="R1452" s="8" t="inlineStr">
        <is>
          <t>PCAP</t>
        </is>
      </c>
      <c r="S1452" s="9" t="n">
        <v>46310</v>
      </c>
      <c r="T1452" s="3" t="n">
        <v>46304.53863425926</v>
      </c>
      <c r="U1452" s="2" t="n"/>
    </row>
    <row r="1453">
      <c r="A1453" s="2" t="inlineStr">
        <is>
          <t>En plazo</t>
        </is>
      </c>
      <c r="B1453" s="3" t="n">
        <v>46324.58333333334</v>
      </c>
      <c r="C1453" s="5" t="n">
        <v>224803.83</v>
      </c>
      <c r="D1453" s="5" t="n">
        <v>224803.83</v>
      </c>
      <c r="E1453" s="2" t="inlineStr">
        <is>
          <t>Andalucía</t>
        </is>
      </c>
      <c r="F1453" s="2" t="inlineStr">
        <is>
          <t>Cádiz</t>
        </is>
      </c>
      <c r="G1453" s="2" t="inlineStr">
        <is>
          <t>La Línea de la Concepción</t>
        </is>
      </c>
      <c r="H1453" s="2" t="inlineStr">
        <is>
          <t>Alcaldía del Ayuntamiento de la Línea de la Concepción</t>
        </is>
      </c>
      <c r="I1453" s="2" t="inlineStr">
        <is>
          <t>Contrato de obra de reparación de cubiertas de edificios municipales o de uso municipal, en La Línea de la Concepción (Cádiz)</t>
        </is>
      </c>
      <c r="J1453" s="2" t="inlineStr">
        <is>
          <t>89/26</t>
        </is>
      </c>
      <c r="K1453" s="2" t="inlineStr">
        <is>
          <t>Abierto</t>
        </is>
      </c>
      <c r="L1453" s="6" t="n">
        <v>4</v>
      </c>
      <c r="M1453" s="2" t="inlineStr">
        <is>
          <t>C7-2</t>
        </is>
      </c>
      <c r="N1453" s="7" t="n">
        <v>0.25</v>
      </c>
      <c r="O1453" s="4" t="n"/>
      <c r="P1453" s="2" t="inlineStr">
        <is>
          <t>45261900; 45260000; 45000000; 45261000; 45200000</t>
        </is>
      </c>
      <c r="Q1453" s="8" t="inlineStr">
        <is>
          <t>Ver</t>
        </is>
      </c>
      <c r="R1453" s="8" t="inlineStr">
        <is>
          <t>PCAP</t>
        </is>
      </c>
      <c r="S1453" s="9" t="n">
        <v>46310</v>
      </c>
      <c r="T1453" s="3" t="n">
        <v>46304.53011574074</v>
      </c>
      <c r="U1453" s="2" t="n"/>
    </row>
    <row r="1454">
      <c r="A1454" s="2" t="inlineStr">
        <is>
          <t>Pendiente de adjudicación</t>
        </is>
      </c>
      <c r="B1454" s="3" t="n">
        <v>46303.99930555555</v>
      </c>
      <c r="C1454" s="5" t="n">
        <v>49653.78</v>
      </c>
      <c r="D1454" s="5" t="n">
        <v>49653.78</v>
      </c>
      <c r="E1454" s="2" t="inlineStr">
        <is>
          <t>Andalucía</t>
        </is>
      </c>
      <c r="F1454" s="2" t="inlineStr">
        <is>
          <t>Córdoba</t>
        </is>
      </c>
      <c r="G1454" s="2" t="inlineStr">
        <is>
          <t>La Carlota (Córdoba)</t>
        </is>
      </c>
      <c r="H1454" s="2" t="inlineStr">
        <is>
          <t>Alcaldía de Ayuntamiento de la Carlota</t>
        </is>
      </c>
      <c r="I1454" s="2" t="inlineStr">
        <is>
          <t>Contrato de obras para construcción de servicios y pavimentación en tramo de calle Gran Carlota La Carlota (Córdoba). Siguiendo las determinaciones marcadas en el Proyecto de la obra.</t>
        </is>
      </c>
      <c r="J1454" s="2" t="inlineStr">
        <is>
          <t>GEX 2026/10924 La Carlota</t>
        </is>
      </c>
      <c r="K1454" s="2" t="inlineStr">
        <is>
          <t>Abierto simplificado</t>
        </is>
      </c>
      <c r="L1454" s="6" t="n">
        <v>2</v>
      </c>
      <c r="M1454" s="2" t="n"/>
      <c r="N1454" s="7" t="n">
        <v>0</v>
      </c>
      <c r="O1454" s="4" t="n"/>
      <c r="P1454" s="2" t="inlineStr">
        <is>
          <t>45220000; 45232400; 45233140; 45233222; 45232150; 45316100; 45314300; 45315300; 45232410</t>
        </is>
      </c>
      <c r="Q1454" s="8" t="inlineStr">
        <is>
          <t>Ver</t>
        </is>
      </c>
      <c r="R1454" s="8" t="inlineStr">
        <is>
          <t>PCAP</t>
        </is>
      </c>
      <c r="S1454" s="9" t="n">
        <v>46310</v>
      </c>
      <c r="T1454" s="3" t="n">
        <v>46304.52862268518</v>
      </c>
      <c r="U1454" s="2" t="n"/>
    </row>
    <row r="1455">
      <c r="A1455" s="2" t="inlineStr">
        <is>
          <t>Pendiente de adjudicación</t>
        </is>
      </c>
      <c r="B1455" s="3" t="n">
        <v>46295.99930555555</v>
      </c>
      <c r="C1455" s="5" t="n">
        <v>1608264.46</v>
      </c>
      <c r="D1455" s="5" t="n">
        <v>1608264.46</v>
      </c>
      <c r="E1455" s="2" t="inlineStr">
        <is>
          <t>Andalucía</t>
        </is>
      </c>
      <c r="F1455" s="2" t="inlineStr">
        <is>
          <t>Málaga</t>
        </is>
      </c>
      <c r="G1455" s="2" t="n"/>
      <c r="H1455" s="2" t="inlineStr">
        <is>
          <t>Presidencia de la Diputación Provincial de Málaga</t>
        </is>
      </c>
      <c r="I1455" s="2" t="inlineStr">
        <is>
          <t>PC.-2026/001. Rehabilitación estructural de la plataforma de un tramo de la Crta. MA-4402, de A-343 a la Joya (P.K.3+100 a 5+000).</t>
        </is>
      </c>
      <c r="J1455" s="2" t="inlineStr">
        <is>
          <t>PC.-2026/001</t>
        </is>
      </c>
      <c r="K1455" s="2" t="inlineStr">
        <is>
          <t>Abierto</t>
        </is>
      </c>
      <c r="L1455" s="6" t="n">
        <v>10</v>
      </c>
      <c r="M1455" s="2" t="inlineStr">
        <is>
          <t>G6-4</t>
        </is>
      </c>
      <c r="N1455" s="7" t="n">
        <v>0</v>
      </c>
      <c r="O1455" s="4" t="n"/>
      <c r="P1455" s="2" t="inlineStr">
        <is>
          <t>45233142</t>
        </is>
      </c>
      <c r="Q1455" s="8" t="inlineStr">
        <is>
          <t>Ver</t>
        </is>
      </c>
      <c r="R1455" s="8" t="inlineStr">
        <is>
          <t>PCAP</t>
        </is>
      </c>
      <c r="S1455" s="9" t="n">
        <v>46310</v>
      </c>
      <c r="T1455" s="3" t="n">
        <v>46304.52140046296</v>
      </c>
      <c r="U1455" s="2" t="n"/>
    </row>
    <row r="1456">
      <c r="A1456" s="2" t="inlineStr">
        <is>
          <t>En plazo</t>
        </is>
      </c>
      <c r="B1456" s="3" t="n">
        <v>46332.42986111111</v>
      </c>
      <c r="C1456" s="5" t="n">
        <v>209012.79</v>
      </c>
      <c r="D1456" s="5" t="n">
        <v>252905.48</v>
      </c>
      <c r="E1456" s="2" t="inlineStr">
        <is>
          <t>Andalucía</t>
        </is>
      </c>
      <c r="F1456" s="2" t="inlineStr">
        <is>
          <t>Granada</t>
        </is>
      </c>
      <c r="G1456" s="2" t="inlineStr">
        <is>
          <t>SOPORTUJAR</t>
        </is>
      </c>
      <c r="H1456" s="2" t="inlineStr">
        <is>
          <t>Alcaldía del Ayuntamiento de Soportujar</t>
        </is>
      </c>
      <c r="I1456" s="2" t="inlineStr">
        <is>
          <t>Construcción de circunvalación de acceso al pueblo habilitando una segunda entrada al mismo de la actuación 4 1 del plan de sostenibilidad turística</t>
        </is>
      </c>
      <c r="J1456" s="2" t="inlineStr">
        <is>
          <t>77/2026</t>
        </is>
      </c>
      <c r="K1456" s="2" t="inlineStr">
        <is>
          <t>Abierto</t>
        </is>
      </c>
      <c r="L1456" s="6" t="n">
        <v>9</v>
      </c>
      <c r="M1456" s="2" t="n"/>
      <c r="N1456" s="7" t="n">
        <v>0</v>
      </c>
      <c r="O1456" s="4" t="n"/>
      <c r="P1456" s="2" t="inlineStr">
        <is>
          <t>45233122</t>
        </is>
      </c>
      <c r="Q1456" s="8" t="inlineStr">
        <is>
          <t>Ver</t>
        </is>
      </c>
      <c r="R1456" s="8" t="inlineStr">
        <is>
          <t>PCAP</t>
        </is>
      </c>
      <c r="S1456" s="9" t="n">
        <v>46310</v>
      </c>
      <c r="T1456" s="3" t="n">
        <v>46304.51469907408</v>
      </c>
      <c r="U1456" s="2" t="n"/>
    </row>
    <row r="1457">
      <c r="A1457" s="2" t="inlineStr">
        <is>
          <t>Resuelta</t>
        </is>
      </c>
      <c r="B1457" s="3" t="n">
        <v>46210.99930555555</v>
      </c>
      <c r="C1457" s="5" t="n">
        <v>66115.7</v>
      </c>
      <c r="D1457" s="5" t="n">
        <v>66115.7</v>
      </c>
      <c r="E1457" s="2" t="inlineStr">
        <is>
          <t>Andalucía</t>
        </is>
      </c>
      <c r="F1457" s="2" t="inlineStr">
        <is>
          <t>Almería</t>
        </is>
      </c>
      <c r="G1457" s="2" t="n"/>
      <c r="H1457" s="2" t="inlineStr">
        <is>
          <t>Junta de Gobierno de la Diputación Provincial de Almería</t>
        </is>
      </c>
      <c r="I1457" s="2" t="inlineStr">
        <is>
          <t>Caminos Municipales, Fondón 38PCAM24-27BII</t>
        </is>
      </c>
      <c r="J1457" s="2" t="inlineStr">
        <is>
          <t>2026/D31000/006-013/00064</t>
        </is>
      </c>
      <c r="K1457" s="2" t="inlineStr">
        <is>
          <t>Abierto simplificado</t>
        </is>
      </c>
      <c r="L1457" s="6" t="n">
        <v>2</v>
      </c>
      <c r="M1457" s="2" t="n"/>
      <c r="N1457" s="7" t="n">
        <v>0.25</v>
      </c>
      <c r="O1457" s="4" t="n"/>
      <c r="P1457" s="2" t="inlineStr">
        <is>
          <t>45233222</t>
        </is>
      </c>
      <c r="Q1457" s="8" t="inlineStr">
        <is>
          <t>Ver</t>
        </is>
      </c>
      <c r="R1457" s="8" t="inlineStr">
        <is>
          <t>PCAP</t>
        </is>
      </c>
      <c r="S1457" s="9" t="n">
        <v>46310</v>
      </c>
      <c r="T1457" s="3" t="n">
        <v>46304.51358796296</v>
      </c>
      <c r="U1457" s="2" t="n"/>
    </row>
    <row r="1458">
      <c r="A1458" s="2" t="inlineStr">
        <is>
          <t>Resuelta</t>
        </is>
      </c>
      <c r="B1458" s="3" t="n">
        <v>46279.58333333334</v>
      </c>
      <c r="C1458" s="5" t="n">
        <v>130616.72</v>
      </c>
      <c r="D1458" s="5" t="n">
        <v>130616.72</v>
      </c>
      <c r="E1458" s="2" t="inlineStr">
        <is>
          <t>Andalucía</t>
        </is>
      </c>
      <c r="F1458" s="2" t="inlineStr">
        <is>
          <t>Jaén</t>
        </is>
      </c>
      <c r="G1458" s="2" t="inlineStr">
        <is>
          <t>Alcaudete</t>
        </is>
      </c>
      <c r="H1458" s="2" t="inlineStr">
        <is>
          <t>Alcaldía del Ayuntamiento de Alcaudete</t>
        </is>
      </c>
      <c r="I1458" s="2" t="inlineStr">
        <is>
          <t>Urbanización del vial prolongación Camino Viejo de la Fuensanta de Alcaudete (Jaén).</t>
        </is>
      </c>
      <c r="J1458" s="2" t="inlineStr">
        <is>
          <t>5904/2026</t>
        </is>
      </c>
      <c r="K1458" s="2" t="inlineStr">
        <is>
          <t>Abierto simplificado</t>
        </is>
      </c>
      <c r="L1458" s="6" t="n">
        <v>5</v>
      </c>
      <c r="M1458" s="2" t="n"/>
      <c r="N1458" s="7" t="n">
        <v>0</v>
      </c>
      <c r="O1458" s="4" t="n"/>
      <c r="P1458" s="2" t="inlineStr">
        <is>
          <t>45220000; 45233140; 45233252</t>
        </is>
      </c>
      <c r="Q1458" s="8" t="inlineStr">
        <is>
          <t>Ver</t>
        </is>
      </c>
      <c r="R1458" s="8" t="inlineStr">
        <is>
          <t>PCAP</t>
        </is>
      </c>
      <c r="S1458" s="9" t="n">
        <v>46310</v>
      </c>
      <c r="T1458" s="3" t="n">
        <v>46304.51325231481</v>
      </c>
      <c r="U1458" s="2" t="n"/>
    </row>
    <row r="1459">
      <c r="A1459" s="2" t="inlineStr">
        <is>
          <t>En plazo</t>
        </is>
      </c>
      <c r="B1459" s="3" t="n">
        <v>46322.99930555555</v>
      </c>
      <c r="C1459" s="5" t="n">
        <v>206584.58</v>
      </c>
      <c r="D1459" s="5" t="n">
        <v>206584.58</v>
      </c>
      <c r="E1459" s="2" t="inlineStr">
        <is>
          <t>Andalucía</t>
        </is>
      </c>
      <c r="F1459" s="2" t="inlineStr">
        <is>
          <t>Sevilla</t>
        </is>
      </c>
      <c r="G1459" s="2" t="n"/>
      <c r="H1459" s="2" t="inlineStr">
        <is>
          <t>Alcaldía del Ayuntamiento de Lora del Río</t>
        </is>
      </c>
      <c r="I1459" s="2" t="inlineStr">
        <is>
          <t>El objeto de la actuación consiste en la reparación de los viales existentes en calle Naranjo, Avenida de Prim, Avenida de la Cruz y calle Don Juan Bosco, realizando nueva capa de rodadura en las zonas más deterioradas, realizando una primera fase de acondicionamiento de las zonas de actuación para su posterior asfaltado.</t>
        </is>
      </c>
      <c r="J1459" s="2" t="inlineStr">
        <is>
          <t>9046/2026</t>
        </is>
      </c>
      <c r="K1459" s="2" t="inlineStr">
        <is>
          <t>Abierto simplificado</t>
        </is>
      </c>
      <c r="L1459" s="6" t="n">
        <v>2</v>
      </c>
      <c r="M1459" s="2" t="n"/>
      <c r="N1459" s="7" t="n">
        <v>0</v>
      </c>
      <c r="O1459" s="4" t="n"/>
      <c r="P1459" s="2" t="inlineStr">
        <is>
          <t>45233222</t>
        </is>
      </c>
      <c r="Q1459" s="8" t="inlineStr">
        <is>
          <t>Ver</t>
        </is>
      </c>
      <c r="R1459" s="8" t="inlineStr">
        <is>
          <t>PCAP</t>
        </is>
      </c>
      <c r="S1459" s="9" t="n">
        <v>46310</v>
      </c>
      <c r="T1459" s="3" t="n">
        <v>46304.50760416667</v>
      </c>
      <c r="U1459" s="2" t="n"/>
    </row>
    <row r="1460">
      <c r="A1460" s="2" t="inlineStr">
        <is>
          <t>Resuelta</t>
        </is>
      </c>
      <c r="B1460" s="3" t="n">
        <v>46230.99930555555</v>
      </c>
      <c r="C1460" s="5" t="n">
        <v>66115.7</v>
      </c>
      <c r="D1460" s="5" t="n">
        <v>66115.7</v>
      </c>
      <c r="E1460" s="2" t="inlineStr">
        <is>
          <t>Andalucía</t>
        </is>
      </c>
      <c r="F1460" s="2" t="inlineStr">
        <is>
          <t>Almería</t>
        </is>
      </c>
      <c r="G1460" s="2" t="n"/>
      <c r="H1460" s="2" t="inlineStr">
        <is>
          <t>Junta de Gobierno de la Diputación Provincial de Almería</t>
        </is>
      </c>
      <c r="I1460" s="2" t="inlineStr">
        <is>
          <t>Caminos Municipales, Alsodux 13PCAM24-27BII</t>
        </is>
      </c>
      <c r="J1460" s="2" t="inlineStr">
        <is>
          <t>2025/D31000/006-013/00266</t>
        </is>
      </c>
      <c r="K1460" s="2" t="inlineStr">
        <is>
          <t>Abierto simplificado</t>
        </is>
      </c>
      <c r="L1460" s="6" t="n">
        <v>2</v>
      </c>
      <c r="M1460" s="2" t="n"/>
      <c r="N1460" s="7" t="n">
        <v>0.25</v>
      </c>
      <c r="O1460" s="4" t="n"/>
      <c r="P1460" s="2" t="inlineStr">
        <is>
          <t>45233222</t>
        </is>
      </c>
      <c r="Q1460" s="8" t="inlineStr">
        <is>
          <t>Ver</t>
        </is>
      </c>
      <c r="R1460" s="8" t="inlineStr">
        <is>
          <t>PCAP</t>
        </is>
      </c>
      <c r="S1460" s="9" t="n">
        <v>46310</v>
      </c>
      <c r="T1460" s="3" t="n">
        <v>46304.50708333333</v>
      </c>
      <c r="U1460" s="2" t="n"/>
    </row>
    <row r="1461">
      <c r="A1461" s="2" t="inlineStr">
        <is>
          <t>En plazo</t>
        </is>
      </c>
      <c r="B1461" s="3" t="n">
        <v>46322.99930555555</v>
      </c>
      <c r="C1461" s="5" t="n">
        <v>264905.5</v>
      </c>
      <c r="D1461" s="5" t="n">
        <v>264905.5</v>
      </c>
      <c r="E1461" s="2" t="inlineStr">
        <is>
          <t>Andalucía</t>
        </is>
      </c>
      <c r="F1461" s="2" t="inlineStr">
        <is>
          <t>Sevilla</t>
        </is>
      </c>
      <c r="G1461" s="2" t="n"/>
      <c r="H1461" s="2" t="inlineStr">
        <is>
          <t>Alcaldía del Ayuntamiento de Lora del Río</t>
        </is>
      </c>
      <c r="I1461" s="2" t="inlineStr">
        <is>
          <t>El objeto de la actuación consiste en el mantenimiento de los viales existentes en calle Guadalquivir, Sierra de Cazorla y Las Palmeras, realizando nueva capa de rodadura en las zonas más deterioradas de las calles indicadas, realizando una primera fase de acondicionamiento de las zonas de actuación para su posterior asfaltado.</t>
        </is>
      </c>
      <c r="J1461" s="2" t="inlineStr">
        <is>
          <t>9045/2026</t>
        </is>
      </c>
      <c r="K1461" s="2" t="inlineStr">
        <is>
          <t>Abierto simplificado</t>
        </is>
      </c>
      <c r="L1461" s="6" t="n">
        <v>2</v>
      </c>
      <c r="M1461" s="2" t="n"/>
      <c r="N1461" s="7" t="n">
        <v>0</v>
      </c>
      <c r="O1461" s="4" t="n"/>
      <c r="P1461" s="2" t="inlineStr">
        <is>
          <t>45233222</t>
        </is>
      </c>
      <c r="Q1461" s="8" t="inlineStr">
        <is>
          <t>Ver</t>
        </is>
      </c>
      <c r="R1461" s="8" t="inlineStr">
        <is>
          <t>PCAP</t>
        </is>
      </c>
      <c r="S1461" s="9" t="n">
        <v>46310</v>
      </c>
      <c r="T1461" s="3" t="n">
        <v>46304.50619212963</v>
      </c>
      <c r="U1461" s="2" t="n"/>
    </row>
    <row r="1462">
      <c r="A1462" s="2" t="inlineStr">
        <is>
          <t>Resuelta</t>
        </is>
      </c>
      <c r="B1462" s="3" t="n"/>
      <c r="C1462" s="5" t="n">
        <v>250332.59</v>
      </c>
      <c r="D1462" s="5" t="n">
        <v>302902.59</v>
      </c>
      <c r="E1462" s="2" t="inlineStr">
        <is>
          <t>Andalucía</t>
        </is>
      </c>
      <c r="F1462" s="2" t="inlineStr">
        <is>
          <t>Granada</t>
        </is>
      </c>
      <c r="G1462" s="2" t="n"/>
      <c r="H1462" s="2" t="inlineStr">
        <is>
          <t>Demarcación de Carreteras del Estado en Andalucía Oriental</t>
        </is>
      </c>
      <c r="I1462" s="2" t="inlineStr">
        <is>
          <t>Reparación de daños localizados en el Viaducto del Barranco de El Caballar en el P.K. 441+500 de la A-7, provincia de Almería, subsanando la situación de grave peligro existente. Provincia de ALMERÍA. LOTE 2 montaje y desmontaje de los desvíos necesarios para ejecutar los trabajos en la celosía del viaducto”.</t>
        </is>
      </c>
      <c r="J1462" s="2" t="inlineStr">
        <is>
          <t>EM22-AL-04.L2</t>
        </is>
      </c>
      <c r="K1462" s="2" t="inlineStr">
        <is>
          <t>Restringido</t>
        </is>
      </c>
      <c r="L1462" s="6" t="n">
        <v>9</v>
      </c>
      <c r="M1462" s="2" t="n"/>
      <c r="N1462" s="7" t="n"/>
      <c r="O1462" s="4" t="n"/>
      <c r="P1462" s="2" t="inlineStr">
        <is>
          <t>45000000</t>
        </is>
      </c>
      <c r="Q1462" s="8" t="inlineStr">
        <is>
          <t>Ver</t>
        </is>
      </c>
      <c r="R1462" s="2" t="n"/>
      <c r="S1462" s="9" t="n">
        <v>46310</v>
      </c>
      <c r="T1462" s="3" t="n">
        <v>46304.50513888889</v>
      </c>
      <c r="U1462" s="2" t="n"/>
    </row>
    <row r="1463">
      <c r="A1463" s="2" t="inlineStr">
        <is>
          <t>Resuelta</t>
        </is>
      </c>
      <c r="B1463" s="3" t="n">
        <v>46218.99930555555</v>
      </c>
      <c r="C1463" s="5" t="n">
        <v>66115.7</v>
      </c>
      <c r="D1463" s="5" t="n">
        <v>66115.7</v>
      </c>
      <c r="E1463" s="2" t="inlineStr">
        <is>
          <t>Andalucía</t>
        </is>
      </c>
      <c r="F1463" s="2" t="inlineStr">
        <is>
          <t>Almería</t>
        </is>
      </c>
      <c r="G1463" s="2" t="n"/>
      <c r="H1463" s="2" t="inlineStr">
        <is>
          <t>Junta de Gobierno de la Diputación Provincial de Almería</t>
        </is>
      </c>
      <c r="I1463" s="2" t="inlineStr">
        <is>
          <t>Caminos Municipales, Fines 36PCAM24-27BII</t>
        </is>
      </c>
      <c r="J1463" s="2" t="inlineStr">
        <is>
          <t>2025/D31000/006-013/00286</t>
        </is>
      </c>
      <c r="K1463" s="2" t="inlineStr">
        <is>
          <t>Abierto simplificado</t>
        </is>
      </c>
      <c r="L1463" s="6" t="n">
        <v>1</v>
      </c>
      <c r="M1463" s="2" t="n"/>
      <c r="N1463" s="7" t="n">
        <v>0.25</v>
      </c>
      <c r="O1463" s="4" t="n"/>
      <c r="P1463" s="2" t="inlineStr">
        <is>
          <t>45233222</t>
        </is>
      </c>
      <c r="Q1463" s="8" t="inlineStr">
        <is>
          <t>Ver</t>
        </is>
      </c>
      <c r="R1463" s="8" t="inlineStr">
        <is>
          <t>PCAP</t>
        </is>
      </c>
      <c r="S1463" s="9" t="n">
        <v>46310</v>
      </c>
      <c r="T1463" s="3" t="n">
        <v>46304.50460648148</v>
      </c>
      <c r="U1463" s="2" t="n"/>
    </row>
    <row r="1464">
      <c r="A1464" s="2" t="inlineStr">
        <is>
          <t>Resuelta</t>
        </is>
      </c>
      <c r="B1464" s="3" t="n">
        <v>46279.99930555555</v>
      </c>
      <c r="C1464" s="5" t="n">
        <v>91342.14999999999</v>
      </c>
      <c r="D1464" s="5" t="n">
        <v>91342.14999999999</v>
      </c>
      <c r="E1464" s="2" t="inlineStr">
        <is>
          <t>Andalucía</t>
        </is>
      </c>
      <c r="F1464" s="2" t="inlineStr">
        <is>
          <t>Granada</t>
        </is>
      </c>
      <c r="G1464" s="2" t="inlineStr">
        <is>
          <t>DEIFONTES</t>
        </is>
      </c>
      <c r="H1464" s="2" t="inlineStr">
        <is>
          <t>Presidencia de la Diputación Provincial de Granada</t>
        </is>
      </c>
      <c r="I1464" s="2" t="inlineStr">
        <is>
          <t>2026/4/PPOYS-61 "Deifontes, rehabilitación estructural de firmes tramo Av. Andalucía y encuentro C/ Marqués de Casablanca"</t>
        </is>
      </c>
      <c r="J1464" s="2" t="inlineStr">
        <is>
          <t>OB-063/26</t>
        </is>
      </c>
      <c r="K1464" s="2" t="inlineStr">
        <is>
          <t>Abierto simplificado</t>
        </is>
      </c>
      <c r="L1464" s="6" t="n">
        <v>5</v>
      </c>
      <c r="M1464" s="2" t="inlineStr">
        <is>
          <t>G6-1; E7-1</t>
        </is>
      </c>
      <c r="N1464" s="7" t="n">
        <v>0</v>
      </c>
      <c r="O1464" s="4" t="n"/>
      <c r="P1464" s="2" t="inlineStr">
        <is>
          <t>45231100; 45233252</t>
        </is>
      </c>
      <c r="Q1464" s="8" t="inlineStr">
        <is>
          <t>Ver</t>
        </is>
      </c>
      <c r="R1464" s="8" t="inlineStr">
        <is>
          <t>PCAP</t>
        </is>
      </c>
      <c r="S1464" s="9" t="n">
        <v>46310</v>
      </c>
      <c r="T1464" s="3" t="n">
        <v>46304.5040162037</v>
      </c>
      <c r="U1464" s="2" t="n"/>
    </row>
    <row r="1465">
      <c r="A1465" s="2" t="inlineStr">
        <is>
          <t>Resuelta</t>
        </is>
      </c>
      <c r="B1465" s="3" t="n"/>
      <c r="C1465" s="5" t="n">
        <v>557740.71</v>
      </c>
      <c r="D1465" s="5" t="n">
        <v>674866.26</v>
      </c>
      <c r="E1465" s="2" t="inlineStr">
        <is>
          <t>Andalucía</t>
        </is>
      </c>
      <c r="F1465" s="2" t="inlineStr">
        <is>
          <t>Granada</t>
        </is>
      </c>
      <c r="G1465" s="2" t="n"/>
      <c r="H1465" s="2" t="inlineStr">
        <is>
          <t>Demarcación de Carreteras del Estado en Andalucía Oriental</t>
        </is>
      </c>
      <c r="I1465" s="2" t="inlineStr">
        <is>
          <t>“Reparación de daños localizados en el viaducto del barranco del Caballar en el P.K. 441+500 de la A-7, provincia de Almería”. LOTE 1</t>
        </is>
      </c>
      <c r="J1465" s="2" t="inlineStr">
        <is>
          <t>EM22-AL-04.L1</t>
        </is>
      </c>
      <c r="K1465" s="2" t="inlineStr">
        <is>
          <t>Restringido</t>
        </is>
      </c>
      <c r="L1465" s="6" t="n">
        <v>9</v>
      </c>
      <c r="M1465" s="2" t="n"/>
      <c r="N1465" s="7" t="n"/>
      <c r="O1465" s="4" t="n"/>
      <c r="P1465" s="2" t="inlineStr">
        <is>
          <t>45000000</t>
        </is>
      </c>
      <c r="Q1465" s="8" t="inlineStr">
        <is>
          <t>Ver</t>
        </is>
      </c>
      <c r="R1465" s="2" t="n"/>
      <c r="S1465" s="9" t="n">
        <v>46310</v>
      </c>
      <c r="T1465" s="3" t="n">
        <v>46304.50293981482</v>
      </c>
      <c r="U1465" s="2" t="n"/>
    </row>
    <row r="1466">
      <c r="A1466" s="2" t="inlineStr">
        <is>
          <t>Resuelta</t>
        </is>
      </c>
      <c r="B1466" s="3" t="n">
        <v>46218.99930555555</v>
      </c>
      <c r="C1466" s="5" t="n">
        <v>66115.7</v>
      </c>
      <c r="D1466" s="5" t="n">
        <v>66115.7</v>
      </c>
      <c r="E1466" s="2" t="inlineStr">
        <is>
          <t>Andalucía</t>
        </is>
      </c>
      <c r="F1466" s="2" t="inlineStr">
        <is>
          <t>Almería</t>
        </is>
      </c>
      <c r="G1466" s="2" t="n"/>
      <c r="H1466" s="2" t="inlineStr">
        <is>
          <t>Junta de Gobierno de la Diputación Provincial de Almería</t>
        </is>
      </c>
      <c r="I1466" s="2" t="inlineStr">
        <is>
          <t>Caminos Municipales, Albanchez 3PCAM24-27BII</t>
        </is>
      </c>
      <c r="J1466" s="2" t="inlineStr">
        <is>
          <t>2025/D31000/006-013/00258</t>
        </is>
      </c>
      <c r="K1466" s="2" t="inlineStr">
        <is>
          <t>Abierto simplificado</t>
        </is>
      </c>
      <c r="L1466" s="6" t="n">
        <v>1</v>
      </c>
      <c r="M1466" s="2" t="n"/>
      <c r="N1466" s="7" t="n">
        <v>0.25</v>
      </c>
      <c r="O1466" s="4" t="n"/>
      <c r="P1466" s="2" t="inlineStr">
        <is>
          <t>45233222</t>
        </is>
      </c>
      <c r="Q1466" s="8" t="inlineStr">
        <is>
          <t>Ver</t>
        </is>
      </c>
      <c r="R1466" s="8" t="inlineStr">
        <is>
          <t>PCAP</t>
        </is>
      </c>
      <c r="S1466" s="9" t="n">
        <v>46310</v>
      </c>
      <c r="T1466" s="3" t="n">
        <v>46304.50086805555</v>
      </c>
      <c r="U1466" s="2" t="n"/>
    </row>
    <row r="1467">
      <c r="A1467" s="2" t="inlineStr">
        <is>
          <t>Pendiente de adjudicación</t>
        </is>
      </c>
      <c r="B1467" s="3" t="n">
        <v>46268.99930555555</v>
      </c>
      <c r="C1467" s="5" t="n">
        <v>231194.41</v>
      </c>
      <c r="D1467" s="5" t="n">
        <v>231194.41</v>
      </c>
      <c r="E1467" s="2" t="inlineStr">
        <is>
          <t>Andalucía</t>
        </is>
      </c>
      <c r="F1467" s="2" t="inlineStr">
        <is>
          <t>Cádiz</t>
        </is>
      </c>
      <c r="G1467" s="2" t="inlineStr">
        <is>
          <t>Los BArrios</t>
        </is>
      </c>
      <c r="H1467" s="2" t="inlineStr">
        <is>
          <t>Alcaldía del Ayuntamiento de Los Barrios (Cádiz)</t>
        </is>
      </c>
      <c r="I1467" s="2" t="inlineStr">
        <is>
          <t>Contrato de obras por lotes de los proyectos de reforma de Patio Junco de Los Barrios, (Cádiz), reforma y remodelación de escaleras en la Plaza Luis de Góngora de Los Barrios (Cádiz) y reconstrucción del muro de contención en Calle Gonzalo de Berceo de Los Cortijillos Termino Municipal de Los Barrios (Cádiz).</t>
        </is>
      </c>
      <c r="J1467" s="2" t="inlineStr">
        <is>
          <t>58/26</t>
        </is>
      </c>
      <c r="K1467" s="2" t="inlineStr">
        <is>
          <t>Abierto simplificado</t>
        </is>
      </c>
      <c r="L1467" s="6" t="n">
        <v>4</v>
      </c>
      <c r="M1467" s="2" t="n"/>
      <c r="N1467" s="7" t="n">
        <v>0</v>
      </c>
      <c r="O1467" s="4" t="n">
        <v>3</v>
      </c>
      <c r="P1467" s="2" t="inlineStr">
        <is>
          <t>45233140</t>
        </is>
      </c>
      <c r="Q1467" s="8" t="inlineStr">
        <is>
          <t>Ver</t>
        </is>
      </c>
      <c r="R1467" s="8" t="inlineStr">
        <is>
          <t>PCAP</t>
        </is>
      </c>
      <c r="S1467" s="9" t="n">
        <v>46310</v>
      </c>
      <c r="T1467" s="3" t="n">
        <v>46304.49858796296</v>
      </c>
      <c r="U1467" s="2" t="n"/>
    </row>
    <row r="1468">
      <c r="A1468" s="2" t="inlineStr">
        <is>
          <t>Pendiente de adjudicación</t>
        </is>
      </c>
      <c r="B1468" s="3" t="n">
        <v>46295.99930555555</v>
      </c>
      <c r="C1468" s="5" t="n">
        <v>1025680.86</v>
      </c>
      <c r="D1468" s="5" t="n">
        <v>1025680.86</v>
      </c>
      <c r="E1468" s="2" t="inlineStr">
        <is>
          <t>Andalucía</t>
        </is>
      </c>
      <c r="F1468" s="2" t="inlineStr">
        <is>
          <t>Cádiz</t>
        </is>
      </c>
      <c r="G1468" s="2" t="inlineStr">
        <is>
          <t>Los Barrios</t>
        </is>
      </c>
      <c r="H1468" s="2" t="inlineStr">
        <is>
          <t>Alcaldía del Ayuntamiento de Los Barrios (Cádiz)</t>
        </is>
      </c>
      <c r="I1468" s="2" t="inlineStr">
        <is>
          <t>Contrato de obras del Proyecto Municipal de nuevas instalaciones náutico-deportivas en el estuario del río Palmones TM de Los Barrios, (Cádiz).</t>
        </is>
      </c>
      <c r="J1468" s="2" t="inlineStr">
        <is>
          <t>67.26</t>
        </is>
      </c>
      <c r="K1468" s="2" t="inlineStr">
        <is>
          <t>Abierto simplificado</t>
        </is>
      </c>
      <c r="L1468" s="6" t="n">
        <v>4</v>
      </c>
      <c r="M1468" s="2" t="inlineStr">
        <is>
          <t>F*-4</t>
        </is>
      </c>
      <c r="N1468" s="7" t="n">
        <v>0</v>
      </c>
      <c r="O1468" s="4" t="n"/>
      <c r="P1468" s="2" t="inlineStr">
        <is>
          <t>45241300; 34515000</t>
        </is>
      </c>
      <c r="Q1468" s="8" t="inlineStr">
        <is>
          <t>Ver</t>
        </is>
      </c>
      <c r="R1468" s="8" t="inlineStr">
        <is>
          <t>PCAP</t>
        </is>
      </c>
      <c r="S1468" s="9" t="n">
        <v>46310</v>
      </c>
      <c r="T1468" s="3" t="n">
        <v>46304.49732638889</v>
      </c>
      <c r="U1468" s="2" t="n"/>
    </row>
    <row r="1469">
      <c r="A1469" s="2" t="inlineStr">
        <is>
          <t>En plazo</t>
        </is>
      </c>
      <c r="B1469" s="3" t="n">
        <v>46324.99930555555</v>
      </c>
      <c r="C1469" s="5" t="n">
        <v>134772.28</v>
      </c>
      <c r="D1469" s="5" t="n">
        <v>134772.28</v>
      </c>
      <c r="E1469" s="2" t="inlineStr">
        <is>
          <t>Andalucía</t>
        </is>
      </c>
      <c r="F1469" s="2" t="inlineStr">
        <is>
          <t>Granada</t>
        </is>
      </c>
      <c r="G1469" s="2" t="n"/>
      <c r="H1469" s="2" t="inlineStr">
        <is>
          <t>Junta de Gobierno del Ayuntamiento de Cájar</t>
        </is>
      </c>
      <c r="I1469" s="2" t="inlineStr">
        <is>
          <t>Contrato de obras para la ejecución del "Proyecto de acerado de la vía de acceso a Cájar en su entrada en la población por Avenida Huétor Vega y que comunica con los municipios colindantes de Huétor Vega y Monachil".</t>
        </is>
      </c>
      <c r="J1469" s="2" t="inlineStr">
        <is>
          <t>133/2026</t>
        </is>
      </c>
      <c r="K1469" s="2" t="inlineStr">
        <is>
          <t>Abierto simplificado</t>
        </is>
      </c>
      <c r="L1469" s="6" t="n">
        <v>6</v>
      </c>
      <c r="M1469" s="2" t="n"/>
      <c r="N1469" s="7" t="n">
        <v>0</v>
      </c>
      <c r="O1469" s="4" t="n"/>
      <c r="P1469" s="2" t="inlineStr">
        <is>
          <t>45233340</t>
        </is>
      </c>
      <c r="Q1469" s="8" t="inlineStr">
        <is>
          <t>Ver</t>
        </is>
      </c>
      <c r="R1469" s="8" t="inlineStr">
        <is>
          <t>PCAP</t>
        </is>
      </c>
      <c r="S1469" s="9" t="n">
        <v>46310</v>
      </c>
      <c r="T1469" s="3" t="n">
        <v>46304.49677083334</v>
      </c>
      <c r="U1469" s="2" t="n"/>
    </row>
    <row r="1470">
      <c r="A1470" s="2" t="inlineStr">
        <is>
          <t>Resuelta</t>
        </is>
      </c>
      <c r="B1470" s="3" t="n">
        <v>46157.41666666666</v>
      </c>
      <c r="C1470" s="5" t="n">
        <v>52000</v>
      </c>
      <c r="D1470" s="5" t="n">
        <v>52000</v>
      </c>
      <c r="E1470" s="2" t="inlineStr">
        <is>
          <t>Andalucía</t>
        </is>
      </c>
      <c r="F1470" s="2" t="inlineStr">
        <is>
          <t>Cádiz</t>
        </is>
      </c>
      <c r="G1470" s="2" t="n"/>
      <c r="H1470" s="2" t="inlineStr">
        <is>
          <t>Comité Central de Compras de Navantia S.A., S.M.E.</t>
        </is>
      </c>
      <c r="I1470" s="2" t="inlineStr">
        <is>
          <t>La presente licitación tiene por objeto la contratación de la obra de sustitución de las puertas de extracción de la cabina de chorro nº2 Navantia San Fernando.</t>
        </is>
      </c>
      <c r="J1470" s="2" t="inlineStr">
        <is>
          <t>5100063547 - Sust de las puertas de extracción</t>
        </is>
      </c>
      <c r="K1470" s="2" t="inlineStr">
        <is>
          <t>Normas internas</t>
        </is>
      </c>
      <c r="L1470" s="6" t="n">
        <v>1.9</v>
      </c>
      <c r="M1470" s="2" t="n"/>
      <c r="N1470" s="7" t="n">
        <v>1</v>
      </c>
      <c r="O1470" s="4" t="n"/>
      <c r="P1470" s="2" t="inlineStr">
        <is>
          <t>45000000; 45421131</t>
        </is>
      </c>
      <c r="Q1470" s="8" t="inlineStr">
        <is>
          <t>Ver</t>
        </is>
      </c>
      <c r="R1470" s="8" t="inlineStr">
        <is>
          <t>PCAP</t>
        </is>
      </c>
      <c r="S1470" s="9" t="n">
        <v>46310</v>
      </c>
      <c r="T1470" s="3" t="n">
        <v>46304.49297453704</v>
      </c>
      <c r="U1470" s="2" t="n"/>
    </row>
    <row r="1471">
      <c r="A1471" s="2" t="inlineStr">
        <is>
          <t>Resuelta</t>
        </is>
      </c>
      <c r="B1471" s="3" t="n">
        <v>46266.41666666666</v>
      </c>
      <c r="C1471" s="5" t="n">
        <v>63000</v>
      </c>
      <c r="D1471" s="5" t="n">
        <v>63000</v>
      </c>
      <c r="E1471" s="2" t="inlineStr">
        <is>
          <t>Andalucía</t>
        </is>
      </c>
      <c r="F1471" s="2" t="inlineStr">
        <is>
          <t>Huelva</t>
        </is>
      </c>
      <c r="G1471" s="2" t="n"/>
      <c r="H1471" s="2" t="inlineStr">
        <is>
          <t>Empresa de Transformación Agraria S.A.,S.M.E., M.P., (TRAGSA)</t>
        </is>
      </c>
      <c r="I1471"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TS PINAR DEL PINTO</t>
        </is>
      </c>
      <c r="J1471" s="2" t="inlineStr">
        <is>
          <t>TSA0080057-240</t>
        </is>
      </c>
      <c r="K1471" s="2" t="inlineStr">
        <is>
          <t>Abierto</t>
        </is>
      </c>
      <c r="L1471" s="6" t="n">
        <v>8</v>
      </c>
      <c r="M1471" s="2" t="n"/>
      <c r="N1471" s="7" t="n">
        <v>0</v>
      </c>
      <c r="O1471" s="4" t="n"/>
      <c r="P1471" s="2" t="inlineStr">
        <is>
          <t>45500000</t>
        </is>
      </c>
      <c r="Q1471" s="8" t="inlineStr">
        <is>
          <t>Ver</t>
        </is>
      </c>
      <c r="R1471" s="8" t="inlineStr">
        <is>
          <t>PCAP</t>
        </is>
      </c>
      <c r="S1471" s="9" t="n">
        <v>46310</v>
      </c>
      <c r="T1471" s="3" t="n">
        <v>46304.49168981481</v>
      </c>
      <c r="U1471" s="2" t="n"/>
    </row>
    <row r="1472">
      <c r="A1472" s="2" t="inlineStr">
        <is>
          <t>Resuelta</t>
        </is>
      </c>
      <c r="B1472" s="3" t="n">
        <v>46266.41666666666</v>
      </c>
      <c r="C1472" s="5" t="n">
        <v>63000</v>
      </c>
      <c r="D1472" s="5" t="n">
        <v>63000</v>
      </c>
      <c r="E1472" s="2" t="inlineStr">
        <is>
          <t>Andalucía</t>
        </is>
      </c>
      <c r="F1472" s="2" t="inlineStr">
        <is>
          <t>Huelva</t>
        </is>
      </c>
      <c r="G1472" s="2" t="n"/>
      <c r="H1472" s="2" t="inlineStr">
        <is>
          <t>Empresa de Transformación Agraria S.A.,S.M.E., M.P., (TRAGSA)</t>
        </is>
      </c>
      <c r="I1472"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TS PINAR DEL PINTO</t>
        </is>
      </c>
      <c r="J1472" s="2" t="inlineStr">
        <is>
          <t>TSA0080057-237</t>
        </is>
      </c>
      <c r="K1472" s="2" t="inlineStr">
        <is>
          <t>Abierto</t>
        </is>
      </c>
      <c r="L1472" s="6" t="n">
        <v>8</v>
      </c>
      <c r="M1472" s="2" t="n"/>
      <c r="N1472" s="7" t="n">
        <v>0</v>
      </c>
      <c r="O1472" s="4" t="n"/>
      <c r="P1472" s="2" t="inlineStr">
        <is>
          <t>45500000</t>
        </is>
      </c>
      <c r="Q1472" s="8" t="inlineStr">
        <is>
          <t>Ver</t>
        </is>
      </c>
      <c r="R1472" s="8" t="inlineStr">
        <is>
          <t>PCAP</t>
        </is>
      </c>
      <c r="S1472" s="9" t="n">
        <v>46310</v>
      </c>
      <c r="T1472" s="3" t="n">
        <v>46304.4897337963</v>
      </c>
      <c r="U1472" s="2" t="n"/>
    </row>
    <row r="1473">
      <c r="A1473" s="2" t="inlineStr">
        <is>
          <t>Resuelta</t>
        </is>
      </c>
      <c r="B1473" s="3" t="n">
        <v>46259.41666666666</v>
      </c>
      <c r="C1473" s="5" t="n">
        <v>63000</v>
      </c>
      <c r="D1473" s="5" t="n">
        <v>63000</v>
      </c>
      <c r="E1473" s="2" t="inlineStr">
        <is>
          <t>Andalucía</t>
        </is>
      </c>
      <c r="F1473" s="2" t="inlineStr">
        <is>
          <t>Huelva</t>
        </is>
      </c>
      <c r="G1473" s="2" t="n"/>
      <c r="H1473" s="2" t="inlineStr">
        <is>
          <t>Empresa de Transformación Agraria S.A.,S.M.E., M.P., (TRAGSA)</t>
        </is>
      </c>
      <c r="I1473"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TS PINAR DEL PINTO</t>
        </is>
      </c>
      <c r="J1473" s="2" t="inlineStr">
        <is>
          <t>TSA0080057-235</t>
        </is>
      </c>
      <c r="K1473" s="2" t="inlineStr">
        <is>
          <t>Abierto</t>
        </is>
      </c>
      <c r="L1473" s="6" t="n">
        <v>8</v>
      </c>
      <c r="M1473" s="2" t="n"/>
      <c r="N1473" s="7" t="n">
        <v>0</v>
      </c>
      <c r="O1473" s="4" t="n"/>
      <c r="P1473" s="2" t="inlineStr">
        <is>
          <t>45500000</t>
        </is>
      </c>
      <c r="Q1473" s="8" t="inlineStr">
        <is>
          <t>Ver</t>
        </is>
      </c>
      <c r="R1473" s="8" t="inlineStr">
        <is>
          <t>PCAP</t>
        </is>
      </c>
      <c r="S1473" s="9" t="n">
        <v>46310</v>
      </c>
      <c r="T1473" s="3" t="n">
        <v>46304.48721064815</v>
      </c>
      <c r="U1473" s="2" t="n"/>
    </row>
    <row r="1474">
      <c r="A1474" s="2" t="inlineStr">
        <is>
          <t>Resuelta</t>
        </is>
      </c>
      <c r="B1474" s="3" t="n">
        <v>46259.41666666666</v>
      </c>
      <c r="C1474" s="5" t="n">
        <v>63000</v>
      </c>
      <c r="D1474" s="5" t="n">
        <v>63000</v>
      </c>
      <c r="E1474" s="2" t="inlineStr">
        <is>
          <t>Andalucía</t>
        </is>
      </c>
      <c r="F1474" s="2" t="inlineStr">
        <is>
          <t>Huelva</t>
        </is>
      </c>
      <c r="G1474" s="2" t="n"/>
      <c r="H1474" s="2" t="inlineStr">
        <is>
          <t>Empresa de Transformación Agraria S.A.,S.M.E., M.P., (TRAGSA)</t>
        </is>
      </c>
      <c r="I1474"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TS PINAR DEL PINTO</t>
        </is>
      </c>
      <c r="J1474" s="2" t="inlineStr">
        <is>
          <t>TSA0080057-232</t>
        </is>
      </c>
      <c r="K1474" s="2" t="inlineStr">
        <is>
          <t>Abierto</t>
        </is>
      </c>
      <c r="L1474" s="6" t="n">
        <v>8</v>
      </c>
      <c r="M1474" s="2" t="n"/>
      <c r="N1474" s="7" t="n">
        <v>0</v>
      </c>
      <c r="O1474" s="4" t="n"/>
      <c r="P1474" s="2" t="inlineStr">
        <is>
          <t>45500000</t>
        </is>
      </c>
      <c r="Q1474" s="8" t="inlineStr">
        <is>
          <t>Ver</t>
        </is>
      </c>
      <c r="R1474" s="8" t="inlineStr">
        <is>
          <t>PCAP</t>
        </is>
      </c>
      <c r="S1474" s="9" t="n">
        <v>46310</v>
      </c>
      <c r="T1474" s="3" t="n">
        <v>46304.48612268519</v>
      </c>
      <c r="U1474" s="2" t="n"/>
    </row>
    <row r="1475">
      <c r="A1475" s="2" t="inlineStr">
        <is>
          <t>Resuelta</t>
        </is>
      </c>
      <c r="B1475" s="3" t="n">
        <v>46252.41666666666</v>
      </c>
      <c r="C1475" s="5" t="n">
        <v>22500</v>
      </c>
      <c r="D1475" s="5" t="n">
        <v>22500</v>
      </c>
      <c r="E1475" s="2" t="inlineStr">
        <is>
          <t>Andalucía</t>
        </is>
      </c>
      <c r="F1475" s="2" t="inlineStr">
        <is>
          <t>Huelva</t>
        </is>
      </c>
      <c r="G1475" s="2" t="n"/>
      <c r="H1475" s="2" t="inlineStr">
        <is>
          <t>Empresa de Transformación Agraria S.A.,S.M.E., M.P., (TRAGSA)</t>
        </is>
      </c>
      <c r="I1475"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SERVICIO CAUCES HUELVA 25-27</t>
        </is>
      </c>
      <c r="J1475" s="2" t="inlineStr">
        <is>
          <t>TSA0080057-222</t>
        </is>
      </c>
      <c r="K1475" s="2" t="inlineStr">
        <is>
          <t>Abierto</t>
        </is>
      </c>
      <c r="L1475" s="6" t="n">
        <v>7</v>
      </c>
      <c r="M1475" s="2" t="n"/>
      <c r="N1475" s="7" t="n">
        <v>0</v>
      </c>
      <c r="O1475" s="4" t="n"/>
      <c r="P1475" s="2" t="inlineStr">
        <is>
          <t>45500000</t>
        </is>
      </c>
      <c r="Q1475" s="8" t="inlineStr">
        <is>
          <t>Ver</t>
        </is>
      </c>
      <c r="R1475" s="8" t="inlineStr">
        <is>
          <t>PCAP</t>
        </is>
      </c>
      <c r="S1475" s="9" t="n">
        <v>46310</v>
      </c>
      <c r="T1475" s="3" t="n">
        <v>46304.48461805555</v>
      </c>
      <c r="U1475" s="2" t="n"/>
    </row>
    <row r="1476">
      <c r="A1476" s="2" t="inlineStr">
        <is>
          <t>Adjudicada</t>
        </is>
      </c>
      <c r="B1476" s="3" t="n"/>
      <c r="C1476" s="5" t="n">
        <v>21520.52</v>
      </c>
      <c r="D1476" s="5" t="n">
        <v>21520.52</v>
      </c>
      <c r="E1476" s="2" t="inlineStr">
        <is>
          <t>Andalucía</t>
        </is>
      </c>
      <c r="F1476" s="2" t="inlineStr">
        <is>
          <t>Cádiz</t>
        </is>
      </c>
      <c r="G1476" s="2" t="inlineStr">
        <is>
          <t>Cádiz</t>
        </is>
      </c>
      <c r="H1476" s="2" t="inlineStr">
        <is>
          <t>Aena. Dirección del Aeropuerto de Jerez</t>
        </is>
      </c>
      <c r="I1476" s="2" t="inlineStr">
        <is>
          <t>Reparación Cubierta Superior De Tejas Del Edificio Terminal Del Aeropuerto De Jerez</t>
        </is>
      </c>
      <c r="J1476" s="2" t="inlineStr">
        <is>
          <t>XRY-77/2026</t>
        </is>
      </c>
      <c r="K1476" s="2" t="inlineStr">
        <is>
          <t>Normas internas</t>
        </is>
      </c>
      <c r="L1476" s="6" t="n">
        <v>2</v>
      </c>
      <c r="M1476" s="2" t="n"/>
      <c r="N1476" s="7" t="n"/>
      <c r="O1476" s="4" t="n"/>
      <c r="P1476" s="2" t="inlineStr">
        <is>
          <t>45261420</t>
        </is>
      </c>
      <c r="Q1476" s="8" t="inlineStr">
        <is>
          <t>Ver</t>
        </is>
      </c>
      <c r="R1476" s="2" t="n"/>
      <c r="S1476" s="9" t="n">
        <v>46310</v>
      </c>
      <c r="T1476" s="3" t="n">
        <v>46304.48222222222</v>
      </c>
      <c r="U1476" s="2" t="n"/>
    </row>
    <row r="1477">
      <c r="A1477" s="2" t="inlineStr">
        <is>
          <t>Resuelta</t>
        </is>
      </c>
      <c r="B1477" s="3" t="n">
        <v>46262.99930555555</v>
      </c>
      <c r="C1477" s="5" t="n">
        <v>162688.4</v>
      </c>
      <c r="D1477" s="5" t="n">
        <v>162688.4</v>
      </c>
      <c r="E1477" s="2" t="inlineStr">
        <is>
          <t>Andalucía</t>
        </is>
      </c>
      <c r="F1477" s="2" t="inlineStr">
        <is>
          <t>Cádiz</t>
        </is>
      </c>
      <c r="G1477" s="2" t="inlineStr">
        <is>
          <t>Chipiona</t>
        </is>
      </c>
      <c r="H1477" s="2" t="inlineStr">
        <is>
          <t>Alcaldía del Ayuntamiento de Chipiona</t>
        </is>
      </c>
      <c r="I1477" s="2" t="inlineStr">
        <is>
          <t>jecución de las obras de mantenimiento, reparación y mejora del firme de los caminos rurales municipales de Las Manchuelas, Alcubilla y Meca, incluyendo el acondicionamiento de los viales, aporte de zahorra artificial, aglomerado asfáltico, adecuación del drenaje, resaltos, señalización y demás actuaciones necesarias.</t>
        </is>
      </c>
      <c r="J1477" s="2" t="inlineStr">
        <is>
          <t>9050 PAS Asfaltado camino Machuelas Alcubilla ...</t>
        </is>
      </c>
      <c r="K1477" s="2" t="inlineStr">
        <is>
          <t>Abierto simplificado</t>
        </is>
      </c>
      <c r="L1477" s="6" t="n">
        <v>1.5</v>
      </c>
      <c r="M1477" s="2" t="n"/>
      <c r="N1477" s="7" t="n">
        <v>0</v>
      </c>
      <c r="O1477" s="4" t="n"/>
      <c r="P1477" s="2" t="inlineStr">
        <is>
          <t>45233160; 45233141; 45233100</t>
        </is>
      </c>
      <c r="Q1477" s="8" t="inlineStr">
        <is>
          <t>Ver</t>
        </is>
      </c>
      <c r="R1477" s="8" t="inlineStr">
        <is>
          <t>PCAP</t>
        </is>
      </c>
      <c r="S1477" s="9" t="n">
        <v>46310</v>
      </c>
      <c r="T1477" s="3" t="n">
        <v>46304.47145833333</v>
      </c>
      <c r="U1477" s="2" t="n"/>
    </row>
    <row r="1478">
      <c r="A1478" s="2" t="inlineStr">
        <is>
          <t>Plazo vencido</t>
        </is>
      </c>
      <c r="B1478" s="3" t="n">
        <v>46315.99930555555</v>
      </c>
      <c r="C1478" s="5" t="n">
        <v>194214.88</v>
      </c>
      <c r="D1478" s="5" t="n">
        <v>194214.88</v>
      </c>
      <c r="E1478" s="2" t="inlineStr">
        <is>
          <t>Andalucía</t>
        </is>
      </c>
      <c r="F1478" s="2" t="inlineStr">
        <is>
          <t>Almería</t>
        </is>
      </c>
      <c r="G1478" s="2" t="n"/>
      <c r="H1478" s="2" t="inlineStr">
        <is>
          <t>Junta de Gobierno de la Diputación Provincial de Almería</t>
        </is>
      </c>
      <c r="I1478" s="2" t="inlineStr">
        <is>
          <t>Instalación De Puntos De Recarga De Vehículos Eléctricos E Instalación Solar Fotovoltaica En El Pabellón Moisés Ruiz, Almería. 8PGM2026</t>
        </is>
      </c>
      <c r="J1478" s="2" t="inlineStr">
        <is>
          <t>2026/D31000/006-013/00067</t>
        </is>
      </c>
      <c r="K1478" s="2" t="inlineStr">
        <is>
          <t>Abierto simplificado</t>
        </is>
      </c>
      <c r="L1478" s="6" t="n">
        <v>4</v>
      </c>
      <c r="M1478" s="2" t="n"/>
      <c r="N1478" s="7" t="n">
        <v>0.25</v>
      </c>
      <c r="O1478" s="4" t="n"/>
      <c r="P1478" s="2" t="inlineStr">
        <is>
          <t>45310000</t>
        </is>
      </c>
      <c r="Q1478" s="8" t="inlineStr">
        <is>
          <t>Ver</t>
        </is>
      </c>
      <c r="R1478" s="8" t="inlineStr">
        <is>
          <t>PCAP</t>
        </is>
      </c>
      <c r="S1478" s="9" t="n">
        <v>46310</v>
      </c>
      <c r="T1478" s="3" t="n">
        <v>46304.46920138889</v>
      </c>
      <c r="U1478" s="2" t="n"/>
    </row>
    <row r="1479">
      <c r="A1479" s="2" t="inlineStr">
        <is>
          <t>Resuelta</t>
        </is>
      </c>
      <c r="B1479" s="3" t="n">
        <v>46252.99930555555</v>
      </c>
      <c r="C1479" s="5" t="n">
        <v>78004.5</v>
      </c>
      <c r="D1479" s="5" t="n">
        <v>78004.5</v>
      </c>
      <c r="E1479" s="2" t="inlineStr">
        <is>
          <t>Andalucía</t>
        </is>
      </c>
      <c r="F1479" s="2" t="inlineStr">
        <is>
          <t>Málaga</t>
        </is>
      </c>
      <c r="G1479" s="2" t="n"/>
      <c r="H1479" s="2" t="inlineStr">
        <is>
          <t>Junta de Gobierno del Ayuntamiento de Fuengirola</t>
        </is>
      </c>
      <c r="I1479" s="2" t="inlineStr">
        <is>
          <t>Obras de acondicionamiento del Pump Track, caminos y carriles en el Parque de La Loma</t>
        </is>
      </c>
      <c r="J1479" s="2" t="inlineStr">
        <is>
          <t>CONTR-2026000065</t>
        </is>
      </c>
      <c r="K1479" s="2" t="inlineStr">
        <is>
          <t>Abierto simplificado</t>
        </is>
      </c>
      <c r="L1479" s="6" t="n">
        <v>1</v>
      </c>
      <c r="M1479" s="2" t="n"/>
      <c r="N1479" s="7" t="n">
        <v>0</v>
      </c>
      <c r="O1479" s="4" t="n"/>
      <c r="P1479" s="2" t="inlineStr">
        <is>
          <t>45432100; 45233161; 45421144; 45223110</t>
        </is>
      </c>
      <c r="Q1479" s="8" t="inlineStr">
        <is>
          <t>Ver</t>
        </is>
      </c>
      <c r="R1479" s="8" t="inlineStr">
        <is>
          <t>PCAP</t>
        </is>
      </c>
      <c r="S1479" s="9" t="n">
        <v>46310</v>
      </c>
      <c r="T1479" s="3" t="n">
        <v>46304.46082175926</v>
      </c>
      <c r="U1479" s="2" t="n"/>
    </row>
    <row r="1480">
      <c r="A1480" s="2" t="inlineStr">
        <is>
          <t>En plazo</t>
        </is>
      </c>
      <c r="B1480" s="3" t="n">
        <v>46321.79166666666</v>
      </c>
      <c r="C1480" s="5" t="n">
        <v>1650495.98</v>
      </c>
      <c r="D1480" s="5" t="n">
        <v>1650495.98</v>
      </c>
      <c r="E1480" s="2" t="inlineStr">
        <is>
          <t>Andalucía</t>
        </is>
      </c>
      <c r="F1480" s="2" t="inlineStr">
        <is>
          <t>Málaga</t>
        </is>
      </c>
      <c r="G1480" s="2" t="n"/>
      <c r="H1480" s="2" t="inlineStr">
        <is>
          <t>Instituto de Turismo de España (TURESPAÑA)</t>
        </is>
      </c>
      <c r="I1480" s="2" t="inlineStr">
        <is>
          <t>Contrato para la ejecución de obras de la Fase II de las obras para la protección y consolidación del frente de acantilado del parador de turismo de Nerja (Málaga)</t>
        </is>
      </c>
      <c r="J1480" s="2" t="inlineStr">
        <is>
          <t>020026C00098</t>
        </is>
      </c>
      <c r="K1480" s="2" t="inlineStr">
        <is>
          <t>Abierto simplificado</t>
        </is>
      </c>
      <c r="L1480" s="6" t="n">
        <v>10</v>
      </c>
      <c r="M1480" s="2" t="n"/>
      <c r="N1480" s="7" t="n">
        <v>0</v>
      </c>
      <c r="O1480" s="4" t="n"/>
      <c r="P1480" s="2" t="inlineStr">
        <is>
          <t>45200000</t>
        </is>
      </c>
      <c r="Q1480" s="8" t="inlineStr">
        <is>
          <t>Ver</t>
        </is>
      </c>
      <c r="R1480" s="8" t="inlineStr">
        <is>
          <t>PCAP</t>
        </is>
      </c>
      <c r="S1480" s="9" t="n">
        <v>46310</v>
      </c>
      <c r="T1480" s="3" t="n">
        <v>46304.45849537037</v>
      </c>
      <c r="U1480" s="2" t="n"/>
    </row>
    <row r="1481">
      <c r="A1481" s="2" t="inlineStr">
        <is>
          <t>En plazo</t>
        </is>
      </c>
      <c r="B1481" s="3" t="n">
        <v>46330.99930555555</v>
      </c>
      <c r="C1481" s="5" t="n">
        <v>65234.6</v>
      </c>
      <c r="D1481" s="5" t="n">
        <v>78933.87</v>
      </c>
      <c r="E1481" s="2" t="inlineStr">
        <is>
          <t>Andalucía</t>
        </is>
      </c>
      <c r="F1481" s="2" t="inlineStr">
        <is>
          <t>Granada</t>
        </is>
      </c>
      <c r="G1481" s="2" t="n"/>
      <c r="H1481" s="2" t="inlineStr">
        <is>
          <t>Alcaldia del Ayuntamiento de Motril</t>
        </is>
      </c>
      <c r="I1481" s="2" t="inlineStr">
        <is>
          <t>Preparación de parcela para circuito BMX en Ronda de Levante, Motril (1ª fase)</t>
        </is>
      </c>
      <c r="J1481" s="2" t="inlineStr">
        <is>
          <t>OBR/ABR/CONTRATACION2026000053</t>
        </is>
      </c>
      <c r="K1481" s="2" t="inlineStr">
        <is>
          <t>Abierto</t>
        </is>
      </c>
      <c r="L1481" s="6" t="n">
        <v>4</v>
      </c>
      <c r="M1481" s="2" t="inlineStr">
        <is>
          <t>A2-1</t>
        </is>
      </c>
      <c r="N1481" s="7" t="n">
        <v>0</v>
      </c>
      <c r="O1481" s="4" t="n"/>
      <c r="P1481" s="2" t="inlineStr">
        <is>
          <t>45233162</t>
        </is>
      </c>
      <c r="Q1481" s="8" t="inlineStr">
        <is>
          <t>Ver</t>
        </is>
      </c>
      <c r="R1481" s="8" t="inlineStr">
        <is>
          <t>PCAP</t>
        </is>
      </c>
      <c r="S1481" s="9" t="n">
        <v>46310</v>
      </c>
      <c r="T1481" s="3" t="n">
        <v>46304.45704861111</v>
      </c>
      <c r="U1481" s="2" t="n"/>
    </row>
    <row r="1482">
      <c r="A1482" s="2" t="inlineStr">
        <is>
          <t>En plazo</t>
        </is>
      </c>
      <c r="B1482" s="3" t="n">
        <v>46324.99930555555</v>
      </c>
      <c r="C1482" s="5" t="n">
        <v>148914.21</v>
      </c>
      <c r="D1482" s="5" t="n">
        <v>148914.21</v>
      </c>
      <c r="E1482" s="2" t="inlineStr">
        <is>
          <t>Andalucía</t>
        </is>
      </c>
      <c r="F1482" s="2" t="inlineStr">
        <is>
          <t>Huelva</t>
        </is>
      </c>
      <c r="G1482" s="2" t="n"/>
      <c r="H1482" s="2" t="inlineStr">
        <is>
          <t>Junta de Gobierno Local del Ayuntamiento de Bollullos Par del Condado</t>
        </is>
      </c>
      <c r="I1482" s="2" t="inlineStr">
        <is>
          <t>Actuación de rehabilitación de firmes pavimentados en Bollullos Par del Condado</t>
        </is>
      </c>
      <c r="J1482" s="2" t="inlineStr">
        <is>
          <t>CONAD0000035 2026</t>
        </is>
      </c>
      <c r="K1482" s="2" t="inlineStr">
        <is>
          <t>Abierto simplificado</t>
        </is>
      </c>
      <c r="L1482" s="6" t="n">
        <v>2</v>
      </c>
      <c r="M1482" s="2" t="inlineStr">
        <is>
          <t>G4-1</t>
        </is>
      </c>
      <c r="N1482" s="7" t="n">
        <v>0</v>
      </c>
      <c r="O1482" s="4" t="n"/>
      <c r="P1482" s="2" t="inlineStr">
        <is>
          <t>45233252</t>
        </is>
      </c>
      <c r="Q1482" s="8" t="inlineStr">
        <is>
          <t>Ver</t>
        </is>
      </c>
      <c r="R1482" s="8" t="inlineStr">
        <is>
          <t>PCAP</t>
        </is>
      </c>
      <c r="S1482" s="9" t="n">
        <v>46310</v>
      </c>
      <c r="T1482" s="3" t="n">
        <v>46304.44199074074</v>
      </c>
      <c r="U1482" s="2" t="n"/>
    </row>
    <row r="1483">
      <c r="A1483" s="2" t="inlineStr">
        <is>
          <t>Resuelta</t>
        </is>
      </c>
      <c r="B1483" s="3" t="n">
        <v>46294.375</v>
      </c>
      <c r="C1483" s="5" t="n">
        <v>39991.08</v>
      </c>
      <c r="D1483" s="5" t="n">
        <v>39991.08</v>
      </c>
      <c r="E1483" s="2" t="inlineStr">
        <is>
          <t>Andalucía</t>
        </is>
      </c>
      <c r="F1483" s="2" t="inlineStr">
        <is>
          <t>Cádiz</t>
        </is>
      </c>
      <c r="G1483" s="2" t="n"/>
      <c r="H1483" s="2" t="inlineStr">
        <is>
          <t>Intendente de San Fernando</t>
        </is>
      </c>
      <c r="I1483" s="2" t="inlineStr">
        <is>
          <t>INFRA26-050 CB Reparación de muro de piscina de CDSCA oficiales. Lote 7.</t>
        </is>
      </c>
      <c r="J1483" s="2" t="inlineStr">
        <is>
          <t>2026/AR43U/00002543E</t>
        </is>
      </c>
      <c r="K1483" s="2" t="inlineStr">
        <is>
          <t>Abierto</t>
        </is>
      </c>
      <c r="L1483" s="6" t="n">
        <v>2</v>
      </c>
      <c r="M1483" s="2" t="n"/>
      <c r="N1483" s="7" t="n">
        <v>0</v>
      </c>
      <c r="O1483" s="4" t="n"/>
      <c r="P1483" s="2" t="inlineStr">
        <is>
          <t>45000000</t>
        </is>
      </c>
      <c r="Q1483" s="8" t="inlineStr">
        <is>
          <t>Ver</t>
        </is>
      </c>
      <c r="R1483" s="8" t="inlineStr">
        <is>
          <t>PCAP</t>
        </is>
      </c>
      <c r="S1483" s="9" t="n">
        <v>46310</v>
      </c>
      <c r="T1483" s="3" t="n">
        <v>46304.43069444445</v>
      </c>
      <c r="U1483" s="2" t="n"/>
    </row>
    <row r="1484">
      <c r="A1484" s="2" t="inlineStr">
        <is>
          <t>Resuelta</t>
        </is>
      </c>
      <c r="B1484" s="3" t="n">
        <v>46297.375</v>
      </c>
      <c r="C1484" s="5" t="n">
        <v>49460.96</v>
      </c>
      <c r="D1484" s="5" t="n">
        <v>49460.96</v>
      </c>
      <c r="E1484" s="2" t="inlineStr">
        <is>
          <t>Andalucía</t>
        </is>
      </c>
      <c r="F1484" s="2" t="inlineStr">
        <is>
          <t>Cádiz</t>
        </is>
      </c>
      <c r="G1484" s="2" t="n"/>
      <c r="H1484" s="2" t="inlineStr">
        <is>
          <t>Intendente de San Fernando</t>
        </is>
      </c>
      <c r="I1484" s="2" t="inlineStr">
        <is>
          <t>INFRA26-061 CB Reparaciones en redes de baja tensión: ADU, red trenzada CT6-CGP y línea subterránea CT3-Esteros. Lote 1</t>
        </is>
      </c>
      <c r="J1484" s="2" t="inlineStr">
        <is>
          <t>2026/AR43U/00002525E</t>
        </is>
      </c>
      <c r="K1484" s="2" t="inlineStr">
        <is>
          <t>Abierto</t>
        </is>
      </c>
      <c r="L1484" s="6" t="n">
        <v>1.7</v>
      </c>
      <c r="M1484" s="2" t="n"/>
      <c r="N1484" s="7" t="n">
        <v>0</v>
      </c>
      <c r="O1484" s="4" t="n"/>
      <c r="P1484" s="2" t="inlineStr">
        <is>
          <t>45310000</t>
        </is>
      </c>
      <c r="Q1484" s="8" t="inlineStr">
        <is>
          <t>Ver</t>
        </is>
      </c>
      <c r="R1484" s="8" t="inlineStr">
        <is>
          <t>PCAP</t>
        </is>
      </c>
      <c r="S1484" s="9" t="n">
        <v>46310</v>
      </c>
      <c r="T1484" s="3" t="n">
        <v>46304.42888888889</v>
      </c>
      <c r="U1484" s="2" t="n"/>
    </row>
    <row r="1485">
      <c r="A1485" s="2" t="inlineStr">
        <is>
          <t>Plazo vencido</t>
        </is>
      </c>
      <c r="B1485" s="3" t="n">
        <v>46321</v>
      </c>
      <c r="C1485" s="5" t="n">
        <v>46868.12</v>
      </c>
      <c r="D1485" s="5" t="n">
        <v>46868.12</v>
      </c>
      <c r="E1485" s="2" t="inlineStr">
        <is>
          <t>Andalucía</t>
        </is>
      </c>
      <c r="F1485" s="2" t="inlineStr">
        <is>
          <t>Jaén</t>
        </is>
      </c>
      <c r="G1485" s="2" t="inlineStr">
        <is>
          <t>BEGÍJAR</t>
        </is>
      </c>
      <c r="H1485" s="2" t="inlineStr">
        <is>
          <t>Alcaldía del Ayuntamiento de Begíjar</t>
        </is>
      </c>
      <c r="I1485" s="2" t="inlineStr">
        <is>
          <t>Mejora de la eficiencia energética de iluminación y pavimentación en C/ Ejido</t>
        </is>
      </c>
      <c r="J1485" s="2" t="inlineStr">
        <is>
          <t>570/2026</t>
        </is>
      </c>
      <c r="K1485" s="2" t="inlineStr">
        <is>
          <t>Abierto simplificado</t>
        </is>
      </c>
      <c r="L1485" s="6" t="n">
        <v>3</v>
      </c>
      <c r="M1485" s="2" t="n"/>
      <c r="N1485" s="7" t="n">
        <v>0</v>
      </c>
      <c r="O1485" s="4" t="n"/>
      <c r="P1485" s="2" t="inlineStr">
        <is>
          <t>45233252</t>
        </is>
      </c>
      <c r="Q1485" s="8" t="inlineStr">
        <is>
          <t>Ver</t>
        </is>
      </c>
      <c r="R1485" s="8" t="inlineStr">
        <is>
          <t>PCAP</t>
        </is>
      </c>
      <c r="S1485" s="9" t="n">
        <v>46310</v>
      </c>
      <c r="T1485" s="3" t="n">
        <v>46304.42729166667</v>
      </c>
      <c r="U1485" s="2" t="n"/>
    </row>
    <row r="1486">
      <c r="A1486" s="2" t="inlineStr">
        <is>
          <t>En plazo</t>
        </is>
      </c>
      <c r="B1486" s="3" t="n">
        <v>46321.58333333334</v>
      </c>
      <c r="C1486" s="5" t="n">
        <v>69444.63</v>
      </c>
      <c r="D1486" s="5" t="n">
        <v>69444.63</v>
      </c>
      <c r="E1486" s="2" t="inlineStr">
        <is>
          <t>Andalucía</t>
        </is>
      </c>
      <c r="F1486" s="2" t="inlineStr">
        <is>
          <t>Sevilla</t>
        </is>
      </c>
      <c r="G1486" s="2" t="n"/>
      <c r="H1486" s="2" t="inlineStr">
        <is>
          <t>Alcaldía del Ayuntamiento de Pruna</t>
        </is>
      </c>
      <c r="I1486" s="2" t="inlineStr">
        <is>
          <t>Patcul</t>
        </is>
      </c>
      <c r="J1486" s="2" t="inlineStr">
        <is>
          <t>P4107600A-2026/000010-PAAB</t>
        </is>
      </c>
      <c r="K1486" s="2" t="inlineStr">
        <is>
          <t>Abierto simplificado</t>
        </is>
      </c>
      <c r="L1486" s="6" t="n">
        <v>4</v>
      </c>
      <c r="M1486" s="2" t="n"/>
      <c r="N1486" s="7" t="n">
        <v>0</v>
      </c>
      <c r="O1486" s="4" t="n">
        <v>2</v>
      </c>
      <c r="P1486" s="2" t="inlineStr">
        <is>
          <t>45233140</t>
        </is>
      </c>
      <c r="Q1486" s="8" t="inlineStr">
        <is>
          <t>Ver</t>
        </is>
      </c>
      <c r="R1486" s="8" t="inlineStr">
        <is>
          <t>PCAP</t>
        </is>
      </c>
      <c r="S1486" s="9" t="n">
        <v>46310</v>
      </c>
      <c r="T1486" s="3" t="n">
        <v>46304.42538194444</v>
      </c>
      <c r="U1486" s="2" t="n"/>
    </row>
    <row r="1487">
      <c r="A1487" s="2" t="inlineStr">
        <is>
          <t>Pendiente de adjudicación</t>
        </is>
      </c>
      <c r="B1487" s="3" t="n">
        <v>46232.99930555555</v>
      </c>
      <c r="C1487" s="5" t="n">
        <v>234308.78</v>
      </c>
      <c r="D1487" s="5" t="n">
        <v>234308.78</v>
      </c>
      <c r="E1487" s="2" t="inlineStr">
        <is>
          <t>Andalucía</t>
        </is>
      </c>
      <c r="F1487" s="2" t="inlineStr">
        <is>
          <t>Málaga</t>
        </is>
      </c>
      <c r="G1487" s="2" t="n"/>
      <c r="H1487" s="2" t="inlineStr">
        <is>
          <t>Junta de Gobierno del Ayuntamiento de Marbella</t>
        </is>
      </c>
      <c r="I1487" s="2" t="inlineStr">
        <is>
          <t>Contratación de la obra denominada: Reforma de Local de Participación Ciudadana en la Patera, T.M. Marbella (Málaga)</t>
        </is>
      </c>
      <c r="J1487" s="2" t="inlineStr">
        <is>
          <t>D OB 81/26</t>
        </is>
      </c>
      <c r="K1487" s="2" t="inlineStr">
        <is>
          <t>Abierto</t>
        </is>
      </c>
      <c r="L1487" s="6" t="n">
        <v>4</v>
      </c>
      <c r="M1487" s="2" t="n"/>
      <c r="N1487" s="7" t="n">
        <v>0.45</v>
      </c>
      <c r="O1487" s="4" t="n"/>
      <c r="P1487" s="2" t="inlineStr">
        <is>
          <t>45400000</t>
        </is>
      </c>
      <c r="Q1487" s="8" t="inlineStr">
        <is>
          <t>Ver</t>
        </is>
      </c>
      <c r="R1487" s="8" t="inlineStr">
        <is>
          <t>PCAP</t>
        </is>
      </c>
      <c r="S1487" s="9" t="n">
        <v>46310</v>
      </c>
      <c r="T1487" s="3" t="n">
        <v>46304.42149305555</v>
      </c>
      <c r="U1487" s="2" t="n"/>
    </row>
    <row r="1488">
      <c r="A1488" s="2" t="inlineStr">
        <is>
          <t>Pendiente de adjudicación</t>
        </is>
      </c>
      <c r="B1488" s="3" t="n">
        <v>46232.99930555555</v>
      </c>
      <c r="C1488" s="5" t="n">
        <v>249569.13</v>
      </c>
      <c r="D1488" s="5" t="n">
        <v>249569.13</v>
      </c>
      <c r="E1488" s="2" t="inlineStr">
        <is>
          <t>Andalucía</t>
        </is>
      </c>
      <c r="F1488" s="2" t="inlineStr">
        <is>
          <t>Málaga</t>
        </is>
      </c>
      <c r="G1488" s="2" t="n"/>
      <c r="H1488" s="2" t="inlineStr">
        <is>
          <t>Junta de Gobierno del Ayuntamiento de Marbella</t>
        </is>
      </c>
      <c r="I1488" s="2" t="inlineStr">
        <is>
          <t>Contratación de las Obras Acondicionamiento del Local Municipal ubicado en calle Juanar, La Patera. T.M. Marbella (Málaga)</t>
        </is>
      </c>
      <c r="J1488" s="2" t="inlineStr">
        <is>
          <t>D OB 80/26</t>
        </is>
      </c>
      <c r="K1488" s="2" t="inlineStr">
        <is>
          <t>Abierto</t>
        </is>
      </c>
      <c r="L1488" s="6" t="n">
        <v>4</v>
      </c>
      <c r="M1488" s="2" t="n"/>
      <c r="N1488" s="7" t="n">
        <v>0.45</v>
      </c>
      <c r="O1488" s="4" t="n"/>
      <c r="P1488" s="2" t="inlineStr">
        <is>
          <t>45000000; 45400000</t>
        </is>
      </c>
      <c r="Q1488" s="8" t="inlineStr">
        <is>
          <t>Ver</t>
        </is>
      </c>
      <c r="R1488" s="8" t="inlineStr">
        <is>
          <t>PCAP</t>
        </is>
      </c>
      <c r="S1488" s="9" t="n">
        <v>46310</v>
      </c>
      <c r="T1488" s="3" t="n">
        <v>46304.42046296296</v>
      </c>
      <c r="U1488" s="2" t="n"/>
    </row>
    <row r="1489">
      <c r="A1489" s="2" t="inlineStr">
        <is>
          <t>En plazo</t>
        </is>
      </c>
      <c r="B1489" s="3" t="n">
        <v>46330.99930555555</v>
      </c>
      <c r="C1489" s="5" t="n">
        <v>86607.78</v>
      </c>
      <c r="D1489" s="5" t="n">
        <v>346431.12</v>
      </c>
      <c r="E1489" s="2" t="inlineStr">
        <is>
          <t>Andalucía</t>
        </is>
      </c>
      <c r="F1489" s="2" t="inlineStr">
        <is>
          <t>Sevilla</t>
        </is>
      </c>
      <c r="G1489" s="2" t="n"/>
      <c r="H1489" s="2" t="inlineStr">
        <is>
          <t>Comisión Ejecutiva de la Limpieza Pública y Protección Ambiental Sociedad Anónima Municipal (LIPASAM)</t>
        </is>
      </c>
      <c r="I1489" s="2" t="inlineStr">
        <is>
          <t>Obras de montaje, desmontaje y alquiler de estructuras modulares, cubrición, distribución interna, entarimado y decoración de la caseta de LIPASAM, durante la Feria de abril de Sevilla</t>
        </is>
      </c>
      <c r="J1489" s="2" t="inlineStr">
        <is>
          <t>C.E. 32/2026</t>
        </is>
      </c>
      <c r="K1489" s="2" t="inlineStr">
        <is>
          <t>Abierto simplificado</t>
        </is>
      </c>
      <c r="L1489" s="6" t="n">
        <v>12</v>
      </c>
      <c r="M1489" s="2" t="n"/>
      <c r="N1489" s="7" t="n">
        <v>0.25</v>
      </c>
      <c r="O1489" s="4" t="n"/>
      <c r="P1489" s="2" t="inlineStr">
        <is>
          <t>45223100; 45262420; 45223800; 45420000</t>
        </is>
      </c>
      <c r="Q1489" s="8" t="inlineStr">
        <is>
          <t>Ver</t>
        </is>
      </c>
      <c r="R1489" s="8" t="inlineStr">
        <is>
          <t>PCAP</t>
        </is>
      </c>
      <c r="S1489" s="9" t="n">
        <v>46310</v>
      </c>
      <c r="T1489" s="3" t="n">
        <v>46304.39957175926</v>
      </c>
      <c r="U1489" s="2" t="n"/>
    </row>
    <row r="1490">
      <c r="A1490" s="2" t="inlineStr">
        <is>
          <t>En plazo</t>
        </is>
      </c>
      <c r="B1490" s="3" t="n">
        <v>46324.99930555555</v>
      </c>
      <c r="C1490" s="5" t="n">
        <v>95337.44</v>
      </c>
      <c r="D1490" s="5" t="n">
        <v>95337.44</v>
      </c>
      <c r="E1490" s="2" t="inlineStr">
        <is>
          <t>Andalucía</t>
        </is>
      </c>
      <c r="F1490" s="2" t="inlineStr">
        <is>
          <t>Huelva</t>
        </is>
      </c>
      <c r="G1490" s="2" t="n"/>
      <c r="H1490" s="2" t="inlineStr">
        <is>
          <t>Junta de Gobierno del Ayuntamiento de Almonte</t>
        </is>
      </c>
      <c r="I1490" s="2" t="inlineStr">
        <is>
          <t>Ejecución de obras de rehabilitación centro cultural de la villa de Almonte, Resolución de 10 de diciembre de 2025, de la Dirección general de promoción y fomento del turismo y la hostelería. Orden de 27 de julio de 2017, bases reguladoras para la concesión de subvenciones, en régimen de concurrencia no competitiva, a los municipios turísticos de Andalucía (MUNITUR)</t>
        </is>
      </c>
      <c r="J1490" s="2" t="inlineStr">
        <is>
          <t>14709/2026</t>
        </is>
      </c>
      <c r="K1490" s="2" t="inlineStr">
        <is>
          <t>Abierto simplificado</t>
        </is>
      </c>
      <c r="L1490" s="6" t="n">
        <v>6</v>
      </c>
      <c r="M1490" s="2" t="n"/>
      <c r="N1490" s="7" t="n">
        <v>0.25</v>
      </c>
      <c r="O1490" s="4" t="n"/>
      <c r="P1490" s="2" t="inlineStr">
        <is>
          <t>45212000</t>
        </is>
      </c>
      <c r="Q1490" s="8" t="inlineStr">
        <is>
          <t>Ver</t>
        </is>
      </c>
      <c r="R1490" s="8" t="inlineStr">
        <is>
          <t>PCAP</t>
        </is>
      </c>
      <c r="S1490" s="9" t="n">
        <v>46310</v>
      </c>
      <c r="T1490" s="3" t="n">
        <v>46304.39412037037</v>
      </c>
      <c r="U1490" s="2" t="n"/>
    </row>
    <row r="1491">
      <c r="A1491" s="2" t="inlineStr">
        <is>
          <t>En plazo</t>
        </is>
      </c>
      <c r="B1491" s="3" t="n">
        <v>46325.625</v>
      </c>
      <c r="C1491" s="5" t="n">
        <v>460056.37</v>
      </c>
      <c r="D1491" s="5" t="n">
        <v>460056.37</v>
      </c>
      <c r="E1491" s="2" t="inlineStr">
        <is>
          <t>Andalucía</t>
        </is>
      </c>
      <c r="F1491" s="2" t="inlineStr">
        <is>
          <t>Cádiz</t>
        </is>
      </c>
      <c r="G1491" s="2" t="n"/>
      <c r="H1491" s="2" t="inlineStr">
        <is>
          <t>Comité Ejecutivo del Consorcio de la Zona Franca de Cádiz</t>
        </is>
      </c>
      <c r="I1491" s="2" t="inlineStr">
        <is>
          <t>Obras necesarias para la ejecución del Proyecto técnico de red subterránea de Media Tensión desde la subestación Cádiz Térmica hasta el CT situado junto al Edificio CPN de la antigua fábrica de tábacos del Recinto Interior de la Zona Franca de Cadiz</t>
        </is>
      </c>
      <c r="J1491" s="2" t="inlineStr">
        <is>
          <t>CO-0190-2026-00-A</t>
        </is>
      </c>
      <c r="K1491" s="2" t="inlineStr">
        <is>
          <t>Abierto simplificado</t>
        </is>
      </c>
      <c r="L1491" s="6" t="n">
        <v>4</v>
      </c>
      <c r="M1491" s="2" t="n"/>
      <c r="N1491" s="7" t="n">
        <v>0.25</v>
      </c>
      <c r="O1491" s="4" t="n"/>
      <c r="P1491" s="2" t="inlineStr">
        <is>
          <t>45231400</t>
        </is>
      </c>
      <c r="Q1491" s="8" t="inlineStr">
        <is>
          <t>Ver</t>
        </is>
      </c>
      <c r="R1491" s="8" t="inlineStr">
        <is>
          <t>PCAP</t>
        </is>
      </c>
      <c r="S1491" s="9" t="n">
        <v>46310</v>
      </c>
      <c r="T1491" s="3" t="n">
        <v>46304.38386574074</v>
      </c>
      <c r="U1491" s="2" t="n"/>
    </row>
    <row r="1492">
      <c r="A1492" s="2" t="inlineStr">
        <is>
          <t>En plazo</t>
        </is>
      </c>
      <c r="B1492" s="3" t="n">
        <v>46321.99930555555</v>
      </c>
      <c r="C1492" s="5" t="n">
        <v>65049.6</v>
      </c>
      <c r="D1492" s="5" t="n">
        <v>65049.6</v>
      </c>
      <c r="E1492" s="2" t="inlineStr">
        <is>
          <t>Andalucía</t>
        </is>
      </c>
      <c r="F1492" s="2" t="inlineStr">
        <is>
          <t>Sevilla</t>
        </is>
      </c>
      <c r="G1492" s="2" t="inlineStr">
        <is>
          <t>Mairena del Aljarafe</t>
        </is>
      </c>
      <c r="H1492" s="2" t="inlineStr">
        <is>
          <t>Presidencia del Instituto Municipal de Dinamización Ciudadana del Ayuntamiento de Mairena del Aljarafe</t>
        </is>
      </c>
      <c r="I1492" s="2" t="inlineStr">
        <is>
          <t>Obra para la ejecución del proyecto de reducción de ruidos en las instalaciones del conjunto polideportivo Cavaleri, Tramo 1.</t>
        </is>
      </c>
      <c r="J1492" s="2" t="inlineStr">
        <is>
          <t>650/2026</t>
        </is>
      </c>
      <c r="K1492" s="2" t="inlineStr">
        <is>
          <t>Abierto simplificado</t>
        </is>
      </c>
      <c r="L1492" s="6" t="n">
        <v>1</v>
      </c>
      <c r="M1492" s="2" t="n"/>
      <c r="N1492" s="7" t="n">
        <v>0</v>
      </c>
      <c r="O1492" s="4" t="n"/>
      <c r="P1492" s="2" t="inlineStr">
        <is>
          <t>45323000; 45262400; 45000000</t>
        </is>
      </c>
      <c r="Q1492" s="8" t="inlineStr">
        <is>
          <t>Ver</t>
        </is>
      </c>
      <c r="R1492" s="8" t="inlineStr">
        <is>
          <t>PCAP</t>
        </is>
      </c>
      <c r="S1492" s="9" t="n">
        <v>46310</v>
      </c>
      <c r="T1492" s="3" t="n">
        <v>46304.36513888889</v>
      </c>
      <c r="U1492" s="2" t="n"/>
    </row>
    <row r="1493">
      <c r="A1493" s="2" t="inlineStr">
        <is>
          <t>En plazo</t>
        </is>
      </c>
      <c r="B1493" s="3" t="n">
        <v>46321.99930555555</v>
      </c>
      <c r="C1493" s="5" t="n">
        <v>636363.64</v>
      </c>
      <c r="D1493" s="5" t="n">
        <v>636363.64</v>
      </c>
      <c r="E1493" s="2" t="inlineStr">
        <is>
          <t>Andalucía</t>
        </is>
      </c>
      <c r="F1493" s="2" t="inlineStr">
        <is>
          <t>Huelva</t>
        </is>
      </c>
      <c r="G1493" s="2" t="n"/>
      <c r="H1493" s="2" t="inlineStr">
        <is>
          <t>Junta de Gobierno del Ayuntamiento de Almonte</t>
        </is>
      </c>
      <c r="I1493" s="2" t="inlineStr">
        <is>
          <t>ejecución de obras del proyecto de ejecución para la rehabilitación energética del edificio "hacienda santa maría" -proyectos Miteco- derivadas de proyecto subvencionado por el ministerio para la transición ecológica y el reto demográfico en aplicación del Real decreto 842/2024, de 27 de agosto,</t>
        </is>
      </c>
      <c r="J1493" s="2" t="inlineStr">
        <is>
          <t>12054/2026</t>
        </is>
      </c>
      <c r="K1493" s="2" t="inlineStr">
        <is>
          <t>Abierto simplificado</t>
        </is>
      </c>
      <c r="L1493" s="6" t="n">
        <v>10</v>
      </c>
      <c r="M1493" s="2" t="inlineStr">
        <is>
          <t>C*-3</t>
        </is>
      </c>
      <c r="N1493" s="7" t="n">
        <v>0.25</v>
      </c>
      <c r="O1493" s="4" t="n"/>
      <c r="P1493" s="2" t="inlineStr">
        <is>
          <t>45200000</t>
        </is>
      </c>
      <c r="Q1493" s="8" t="inlineStr">
        <is>
          <t>Ver</t>
        </is>
      </c>
      <c r="R1493" s="8" t="inlineStr">
        <is>
          <t>PCAP</t>
        </is>
      </c>
      <c r="S1493" s="9" t="n">
        <v>46310</v>
      </c>
      <c r="T1493" s="3" t="n">
        <v>46304.36408564815</v>
      </c>
      <c r="U1493" s="2" t="n"/>
    </row>
    <row r="1494">
      <c r="A1494" s="2" t="inlineStr">
        <is>
          <t>Pendiente de adjudicación</t>
        </is>
      </c>
      <c r="B1494" s="3" t="n">
        <v>46216.99930555555</v>
      </c>
      <c r="C1494" s="5" t="n">
        <v>330578.51</v>
      </c>
      <c r="D1494" s="5" t="n">
        <v>330578.51</v>
      </c>
      <c r="E1494" s="2" t="inlineStr">
        <is>
          <t>Andalucía</t>
        </is>
      </c>
      <c r="F1494" s="2" t="inlineStr">
        <is>
          <t>Córdoba</t>
        </is>
      </c>
      <c r="G1494" s="2" t="inlineStr">
        <is>
          <t>Cabra</t>
        </is>
      </c>
      <c r="H1494" s="2" t="inlineStr">
        <is>
          <t>Junta de Gobierno de la Diputación Provincial de Córdoba</t>
        </is>
      </c>
      <c r="I1494" s="2" t="inlineStr">
        <is>
          <t>Contratación de la obra Rehabilitación y equipamiento del edificio del Molino del Duque, Cabra (Córdoba), obra incluida en los Planes Provinciales de Obras y Servicios 2024-2027</t>
        </is>
      </c>
      <c r="J1494" s="2" t="inlineStr">
        <is>
          <t>409/26</t>
        </is>
      </c>
      <c r="K1494" s="2" t="inlineStr">
        <is>
          <t>Abierto</t>
        </is>
      </c>
      <c r="L1494" s="6" t="n">
        <v>8</v>
      </c>
      <c r="M1494" s="2" t="n"/>
      <c r="N1494" s="7" t="n">
        <v>0.25</v>
      </c>
      <c r="O1494" s="4" t="n"/>
      <c r="P1494" s="2" t="inlineStr">
        <is>
          <t>45212314; 45454100; 45262522</t>
        </is>
      </c>
      <c r="Q1494" s="8" t="inlineStr">
        <is>
          <t>Ver</t>
        </is>
      </c>
      <c r="R1494" s="8" t="inlineStr">
        <is>
          <t>PCAP</t>
        </is>
      </c>
      <c r="S1494" s="9" t="n">
        <v>46310</v>
      </c>
      <c r="T1494" s="3" t="n">
        <v>46304.36295138889</v>
      </c>
      <c r="U1494" s="2" t="n"/>
    </row>
    <row r="1495">
      <c r="A1495" s="2" t="inlineStr">
        <is>
          <t>Adjudicada</t>
        </is>
      </c>
      <c r="B1495" s="3" t="n">
        <v>46267.99930555555</v>
      </c>
      <c r="C1495" s="5" t="n">
        <v>106545.5</v>
      </c>
      <c r="D1495" s="5" t="n">
        <v>106545.5</v>
      </c>
      <c r="E1495" s="2" t="inlineStr">
        <is>
          <t>Andalucía</t>
        </is>
      </c>
      <c r="F1495" s="2" t="inlineStr">
        <is>
          <t>Huelva</t>
        </is>
      </c>
      <c r="G1495" s="2" t="n"/>
      <c r="H1495" s="2" t="inlineStr">
        <is>
          <t>Junta de Gobierno del Ayuntamiento de Almonte</t>
        </is>
      </c>
      <c r="I1495" s="2" t="inlineStr">
        <is>
          <t>Ejecución de ampliación de cementerio municipal de Almonte con la construcción de 216 nichos en tres módulos (B1a 24 unidades, C1a 96 unidades y D1a 96 unidades) (obra civil)</t>
        </is>
      </c>
      <c r="J1495" s="2" t="inlineStr">
        <is>
          <t>20022/2025</t>
        </is>
      </c>
      <c r="K1495" s="2" t="inlineStr">
        <is>
          <t>Abierto simplificado</t>
        </is>
      </c>
      <c r="L1495" s="6" t="n">
        <v>1.2</v>
      </c>
      <c r="M1495" s="2" t="n"/>
      <c r="N1495" s="7" t="n">
        <v>0</v>
      </c>
      <c r="O1495" s="4" t="n"/>
      <c r="P1495" s="2" t="inlineStr">
        <is>
          <t>45215400</t>
        </is>
      </c>
      <c r="Q1495" s="8" t="inlineStr">
        <is>
          <t>Ver</t>
        </is>
      </c>
      <c r="R1495" s="8" t="inlineStr">
        <is>
          <t>PCAP</t>
        </is>
      </c>
      <c r="S1495" s="9" t="n">
        <v>46310</v>
      </c>
      <c r="T1495" s="3" t="n">
        <v>46304.35980324074</v>
      </c>
      <c r="U1495" s="2" t="n"/>
    </row>
    <row r="1496">
      <c r="A1496" s="2" t="inlineStr">
        <is>
          <t>Pendiente de adjudicación</t>
        </is>
      </c>
      <c r="B1496" s="3" t="n">
        <v>46301.99930555555</v>
      </c>
      <c r="C1496" s="5" t="n">
        <v>305785.12</v>
      </c>
      <c r="D1496" s="5" t="n">
        <v>305785.12</v>
      </c>
      <c r="E1496" s="2" t="inlineStr">
        <is>
          <t>Andalucía</t>
        </is>
      </c>
      <c r="F1496" s="2" t="inlineStr">
        <is>
          <t>Sevilla</t>
        </is>
      </c>
      <c r="G1496" s="2" t="n"/>
      <c r="H1496" s="2" t="inlineStr">
        <is>
          <t>Alcaldía del Ayuntamiento de Alcalá del Río</t>
        </is>
      </c>
      <c r="I1496" s="2" t="inlineStr">
        <is>
          <t>Obras de adecuación y mejora de parques municipales y construcción de auditorio al aire libre en Parque Concordia.</t>
        </is>
      </c>
      <c r="J1496" s="2" t="inlineStr">
        <is>
          <t>P4100500J-2026/000012-PAAS</t>
        </is>
      </c>
      <c r="K1496" s="2" t="inlineStr">
        <is>
          <t>Abierto simplificado</t>
        </is>
      </c>
      <c r="L1496" s="6" t="n">
        <v>3</v>
      </c>
      <c r="M1496" s="2" t="n"/>
      <c r="N1496" s="7" t="n">
        <v>0</v>
      </c>
      <c r="O1496" s="4" t="n"/>
      <c r="P1496" s="2" t="inlineStr">
        <is>
          <t>45000000</t>
        </is>
      </c>
      <c r="Q1496" s="8" t="inlineStr">
        <is>
          <t>Ver</t>
        </is>
      </c>
      <c r="R1496" s="8" t="inlineStr">
        <is>
          <t>PCAP</t>
        </is>
      </c>
      <c r="S1496" s="9" t="n">
        <v>46310</v>
      </c>
      <c r="T1496" s="3" t="n">
        <v>46304.35877314815</v>
      </c>
      <c r="U1496" s="2" t="n"/>
    </row>
    <row r="1497">
      <c r="A1497" s="2" t="inlineStr">
        <is>
          <t>En plazo</t>
        </is>
      </c>
      <c r="B1497" s="3" t="n">
        <v>46350.45833333334</v>
      </c>
      <c r="C1497" s="5" t="n">
        <v>3246355.87</v>
      </c>
      <c r="D1497" s="5" t="n">
        <v>3246355.87</v>
      </c>
      <c r="E1497" s="2" t="inlineStr">
        <is>
          <t>Andalucía</t>
        </is>
      </c>
      <c r="F1497" s="2" t="inlineStr">
        <is>
          <t>Sevilla</t>
        </is>
      </c>
      <c r="G1497" s="2" t="n"/>
      <c r="H1497" s="2" t="inlineStr">
        <is>
          <t>Comisión Ejecutiva de la Gerencia de Urbanismo de Sevilla</t>
        </is>
      </c>
      <c r="I1497" s="2" t="inlineStr">
        <is>
          <t>Obras del Proyecto básico y de ejecución para rehabilitación, consolidación y puesta en valor de la sala de Profundis y las viviendas anexas del Real Monasterio de Santa Clara.</t>
        </is>
      </c>
      <c r="J1497" s="2" t="inlineStr">
        <is>
          <t>19/2026</t>
        </is>
      </c>
      <c r="K1497" s="2" t="inlineStr">
        <is>
          <t>Abierto</t>
        </is>
      </c>
      <c r="L1497" s="6" t="n">
        <v>18</v>
      </c>
      <c r="M1497" s="2" t="inlineStr">
        <is>
          <t>K7-4</t>
        </is>
      </c>
      <c r="N1497" s="7" t="n">
        <v>0</v>
      </c>
      <c r="O1497" s="4" t="n"/>
      <c r="P1497" s="2" t="inlineStr">
        <is>
          <t>45212300</t>
        </is>
      </c>
      <c r="Q1497" s="8" t="inlineStr">
        <is>
          <t>Ver</t>
        </is>
      </c>
      <c r="R1497" s="8" t="inlineStr">
        <is>
          <t>PCAP</t>
        </is>
      </c>
      <c r="S1497" s="9" t="n">
        <v>46310</v>
      </c>
      <c r="T1497" s="3" t="n">
        <v>46304.35609953704</v>
      </c>
      <c r="U1497" s="2" t="n"/>
    </row>
    <row r="1498">
      <c r="A1498" s="2" t="inlineStr">
        <is>
          <t>Resuelta</t>
        </is>
      </c>
      <c r="B1498" s="3" t="n">
        <v>46167.58333333334</v>
      </c>
      <c r="C1498" s="5" t="n">
        <v>15222111.13</v>
      </c>
      <c r="D1498" s="5" t="n">
        <v>15222111.13</v>
      </c>
      <c r="E1498" s="2" t="inlineStr">
        <is>
          <t>Comunitat Valenciana</t>
        </is>
      </c>
      <c r="F1498" s="2" t="inlineStr">
        <is>
          <t>Valencia</t>
        </is>
      </c>
      <c r="G1498" s="2" t="inlineStr">
        <is>
          <t>Gandía.</t>
        </is>
      </c>
      <c r="H1498" s="2" t="inlineStr">
        <is>
          <t>Secretaría General de la Agencia Estatal Consejo Superior de Investigaciones Científicas</t>
        </is>
      </c>
      <c r="I1498" s="2" t="inlineStr">
        <is>
          <t>Obras de construcción del Centro de Investigación en Tecnología para las Ciencias del Mar de la Agencia Estatal Consejo Superior de Investigaciones Científicas.</t>
        </is>
      </c>
      <c r="J1498" s="2" t="inlineStr">
        <is>
          <t>34846/26</t>
        </is>
      </c>
      <c r="K1498" s="2" t="inlineStr">
        <is>
          <t>Abierto</t>
        </is>
      </c>
      <c r="L1498" s="6" t="n">
        <v>18</v>
      </c>
      <c r="M1498" s="2" t="inlineStr">
        <is>
          <t>C4-6</t>
        </is>
      </c>
      <c r="N1498" s="7" t="n">
        <v>0.25</v>
      </c>
      <c r="O1498" s="4" t="n"/>
      <c r="P1498" s="2" t="inlineStr">
        <is>
          <t>45214600</t>
        </is>
      </c>
      <c r="Q1498" s="8" t="inlineStr">
        <is>
          <t>Ver</t>
        </is>
      </c>
      <c r="R1498" s="8" t="inlineStr">
        <is>
          <t>PCAP</t>
        </is>
      </c>
      <c r="S1498" s="9" t="n">
        <v>46310</v>
      </c>
      <c r="T1498" s="3" t="n">
        <v>46304.33702546296</v>
      </c>
      <c r="U1498" s="2" t="n"/>
    </row>
    <row r="1499">
      <c r="A1499" s="2" t="inlineStr">
        <is>
          <t>Resuelta</t>
        </is>
      </c>
      <c r="B1499" s="3" t="n">
        <v>46287.99930555555</v>
      </c>
      <c r="C1499" s="5" t="n">
        <v>606600.46</v>
      </c>
      <c r="D1499" s="5" t="n">
        <v>606600.46</v>
      </c>
      <c r="E1499" s="2" t="inlineStr">
        <is>
          <t>Andalucía</t>
        </is>
      </c>
      <c r="F1499" s="2" t="inlineStr">
        <is>
          <t>Cádiz</t>
        </is>
      </c>
      <c r="G1499" s="2" t="inlineStr">
        <is>
          <t>Algeciras</t>
        </is>
      </c>
      <c r="H1499" s="2" t="inlineStr">
        <is>
          <t>Rectorado de la Universidad de Cádiz</t>
        </is>
      </c>
      <c r="I1499" s="2" t="inlineStr">
        <is>
          <t>Obra de reparación de patologías en cubiertas, revestimientos de fachada y elementos complementarios de carpintería de los Edificios Principal, Salón de Actos, Administración y Talleres de la Escuela Técnica Superior de Ingeniería de Algeciras del Campus Universitario Bahía de Algeciras.</t>
        </is>
      </c>
      <c r="J1499" s="2" t="inlineStr">
        <is>
          <t>EXP041/2026/19</t>
        </is>
      </c>
      <c r="K1499" s="2" t="inlineStr">
        <is>
          <t>Abierto simplificado</t>
        </is>
      </c>
      <c r="L1499" s="6" t="n">
        <v>5</v>
      </c>
      <c r="M1499" s="2" t="inlineStr">
        <is>
          <t>C*-3</t>
        </is>
      </c>
      <c r="N1499" s="7" t="n">
        <v>0.25</v>
      </c>
      <c r="O1499" s="4" t="n"/>
      <c r="P1499" s="2" t="inlineStr">
        <is>
          <t>45261420; 45261300; 45421100; 45421112; 45432100; 45262520; 45432000; 45261400</t>
        </is>
      </c>
      <c r="Q1499" s="8" t="inlineStr">
        <is>
          <t>Ver</t>
        </is>
      </c>
      <c r="R1499" s="8" t="inlineStr">
        <is>
          <t>PCAP</t>
        </is>
      </c>
      <c r="S1499" s="9" t="n">
        <v>46310</v>
      </c>
      <c r="T1499" s="3" t="n">
        <v>46304.33071759259</v>
      </c>
      <c r="U1499" s="2" t="n"/>
    </row>
    <row r="1500">
      <c r="A1500" s="2" t="inlineStr">
        <is>
          <t>Pendiente de adjudicación</t>
        </is>
      </c>
      <c r="B1500" s="3" t="n">
        <v>46287.99930555555</v>
      </c>
      <c r="C1500" s="5" t="n">
        <v>319993.82</v>
      </c>
      <c r="D1500" s="5" t="n">
        <v>319993.82</v>
      </c>
      <c r="E1500" s="2" t="inlineStr">
        <is>
          <t>Andalucía</t>
        </is>
      </c>
      <c r="F1500" s="2" t="inlineStr">
        <is>
          <t>Cádiz</t>
        </is>
      </c>
      <c r="G1500" s="2" t="inlineStr">
        <is>
          <t>Jerez de la Frontera</t>
        </is>
      </c>
      <c r="H1500" s="2" t="inlineStr">
        <is>
          <t>Rectorado de la Universidad de Cádiz</t>
        </is>
      </c>
      <c r="I1500" s="2" t="inlineStr">
        <is>
          <t>Obra de ejecución del Proyecto de sustitución de equipos y mejoras de la instalación de climatización y ventilación en el Edificio Despachos y Seminarios del Campus de Jerez de la Universidad de Cádiz</t>
        </is>
      </c>
      <c r="J1500" s="2" t="inlineStr">
        <is>
          <t>EXP034/2026/19</t>
        </is>
      </c>
      <c r="K1500" s="2" t="inlineStr">
        <is>
          <t>Abierto</t>
        </is>
      </c>
      <c r="L1500" s="6" t="n">
        <v>4</v>
      </c>
      <c r="M1500" s="2" t="n"/>
      <c r="N1500" s="7" t="n">
        <v>0.5</v>
      </c>
      <c r="O1500" s="4" t="n"/>
      <c r="P1500" s="2" t="inlineStr">
        <is>
          <t>45331200; 42512000</t>
        </is>
      </c>
      <c r="Q1500" s="8" t="inlineStr">
        <is>
          <t>Ver</t>
        </is>
      </c>
      <c r="R1500" s="8" t="inlineStr">
        <is>
          <t>PCAP</t>
        </is>
      </c>
      <c r="S1500" s="9" t="n">
        <v>46310</v>
      </c>
      <c r="T1500" s="3" t="n">
        <v>46304.32961805556</v>
      </c>
      <c r="U1500" s="2" t="n"/>
    </row>
    <row r="1501">
      <c r="A1501" s="2" t="inlineStr">
        <is>
          <t>En plazo</t>
        </is>
      </c>
      <c r="B1501" s="3" t="n">
        <v>46323.99930555555</v>
      </c>
      <c r="C1501" s="5" t="n">
        <v>110631.48</v>
      </c>
      <c r="D1501" s="5" t="n">
        <v>110631.48</v>
      </c>
      <c r="E1501" s="2" t="inlineStr">
        <is>
          <t>Andalucía</t>
        </is>
      </c>
      <c r="F1501" s="2" t="inlineStr">
        <is>
          <t>Málaga</t>
        </is>
      </c>
      <c r="G1501" s="2" t="inlineStr">
        <is>
          <t>Cómpeta</t>
        </is>
      </c>
      <c r="H1501" s="2" t="inlineStr">
        <is>
          <t>Alcaldía del Ayuntamiento de Cómpeta</t>
        </is>
      </c>
      <c r="I1501" s="2" t="inlineStr">
        <is>
          <t>Mejora Integral de Calle San Antonio Fase I, en Cómpeta</t>
        </is>
      </c>
      <c r="J1501" s="2" t="inlineStr">
        <is>
          <t>1325/2026</t>
        </is>
      </c>
      <c r="K1501" s="2" t="inlineStr">
        <is>
          <t>Abierto simplificado</t>
        </is>
      </c>
      <c r="L1501" s="6" t="n">
        <v>4</v>
      </c>
      <c r="M1501" s="2" t="n"/>
      <c r="N1501" s="7" t="n">
        <v>0</v>
      </c>
      <c r="O1501" s="4" t="n"/>
      <c r="P1501" s="2" t="inlineStr">
        <is>
          <t>45233252; 45233293</t>
        </is>
      </c>
      <c r="Q1501" s="8" t="inlineStr">
        <is>
          <t>Ver</t>
        </is>
      </c>
      <c r="R1501" s="8" t="inlineStr">
        <is>
          <t>PCAP</t>
        </is>
      </c>
      <c r="S1501" s="9" t="n">
        <v>46310</v>
      </c>
      <c r="T1501" s="3" t="n">
        <v>46304.29489583334</v>
      </c>
      <c r="U1501" s="2" t="n"/>
    </row>
    <row r="1502">
      <c r="A1502" s="2" t="inlineStr">
        <is>
          <t>Resuelta</t>
        </is>
      </c>
      <c r="B1502" s="3" t="n">
        <v>46265.99930555555</v>
      </c>
      <c r="C1502" s="5" t="n">
        <v>80349.59</v>
      </c>
      <c r="D1502" s="5" t="n">
        <v>80349.59</v>
      </c>
      <c r="E1502" s="2" t="inlineStr">
        <is>
          <t>Andalucía</t>
        </is>
      </c>
      <c r="F1502" s="2" t="inlineStr">
        <is>
          <t>Granada</t>
        </is>
      </c>
      <c r="G1502" s="2" t="inlineStr">
        <is>
          <t>Alquife</t>
        </is>
      </c>
      <c r="H1502" s="2" t="inlineStr">
        <is>
          <t>Pleno del Ayuntamiento de Alquífe</t>
        </is>
      </c>
      <c r="I1502" s="2" t="inlineStr">
        <is>
          <t>Contrato de obra de la rehabilitación de la envolvente térmica del edificio municipal Nave de Usos Múltiples: Rehabilitación energética de cubiertas, Alquife (Granada),</t>
        </is>
      </c>
      <c r="J1502" s="2" t="inlineStr">
        <is>
          <t>87/2026</t>
        </is>
      </c>
      <c r="K1502" s="2" t="inlineStr">
        <is>
          <t>Abierto simplificado</t>
        </is>
      </c>
      <c r="L1502" s="6" t="n">
        <v>4</v>
      </c>
      <c r="M1502" s="2" t="n"/>
      <c r="N1502" s="7" t="n">
        <v>0</v>
      </c>
      <c r="O1502" s="4" t="n"/>
      <c r="P1502" s="2" t="inlineStr">
        <is>
          <t>45261410; 45320000; 45260000</t>
        </is>
      </c>
      <c r="Q1502" s="8" t="inlineStr">
        <is>
          <t>Ver</t>
        </is>
      </c>
      <c r="R1502" s="8" t="inlineStr">
        <is>
          <t>PCAP</t>
        </is>
      </c>
      <c r="S1502" s="9" t="n">
        <v>46310</v>
      </c>
      <c r="T1502" s="3" t="n">
        <v>46303.83800925926</v>
      </c>
      <c r="U1502" s="2" t="n"/>
    </row>
    <row r="1503">
      <c r="A1503" s="2" t="inlineStr">
        <is>
          <t>Resuelta</t>
        </is>
      </c>
      <c r="B1503" s="3" t="n">
        <v>46258.99930555555</v>
      </c>
      <c r="C1503" s="5" t="n">
        <v>61575.99</v>
      </c>
      <c r="D1503" s="5" t="n">
        <v>61575.99</v>
      </c>
      <c r="E1503" s="2" t="inlineStr">
        <is>
          <t>Comunitat Valenciana</t>
        </is>
      </c>
      <c r="F1503" s="2" t="inlineStr">
        <is>
          <t>Valencia</t>
        </is>
      </c>
      <c r="G1503" s="2" t="n"/>
      <c r="H1503" s="2" t="inlineStr">
        <is>
          <t>Pleno del Ayuntamiento de Benavites</t>
        </is>
      </c>
      <c r="I1503" s="2" t="inlineStr">
        <is>
          <t>Contrato de Obras Adoquinado Calle Les Parres. Entre Benicalaf y Calle Forn y Entre Calle Jose Berenguer y Calle Valencia</t>
        </is>
      </c>
      <c r="J1503" s="2" t="inlineStr">
        <is>
          <t>2771197K Bis</t>
        </is>
      </c>
      <c r="K1503" s="2" t="inlineStr">
        <is>
          <t>Negociado sin publicidad</t>
        </is>
      </c>
      <c r="L1503" s="6" t="n">
        <v>3</v>
      </c>
      <c r="M1503" s="2" t="n"/>
      <c r="N1503" s="7" t="n">
        <v>0</v>
      </c>
      <c r="O1503" s="4" t="n"/>
      <c r="P1503" s="2" t="inlineStr">
        <is>
          <t>45233251; 45233252</t>
        </is>
      </c>
      <c r="Q1503" s="8" t="inlineStr">
        <is>
          <t>Ver</t>
        </is>
      </c>
      <c r="R1503" s="8" t="inlineStr">
        <is>
          <t>PCAP</t>
        </is>
      </c>
      <c r="S1503" s="9" t="n">
        <v>46310</v>
      </c>
      <c r="T1503" s="3" t="n">
        <v>46303.81520833333</v>
      </c>
      <c r="U1503" s="2" t="n"/>
    </row>
    <row r="1504">
      <c r="A1504" s="2" t="inlineStr">
        <is>
          <t>Resuelta</t>
        </is>
      </c>
      <c r="B1504" s="3" t="n">
        <v>46230.79166666666</v>
      </c>
      <c r="C1504" s="5" t="n">
        <v>2409750</v>
      </c>
      <c r="D1504" s="5" t="n">
        <v>2409750</v>
      </c>
      <c r="E1504" s="2" t="inlineStr">
        <is>
          <t>Andalucía</t>
        </is>
      </c>
      <c r="F1504" s="2" t="inlineStr">
        <is>
          <t>Granada</t>
        </is>
      </c>
      <c r="G1504" s="2" t="n"/>
      <c r="H1504" s="2" t="inlineStr">
        <is>
          <t>Pleno del Ayuntamiento de Ogíjares</t>
        </is>
      </c>
      <c r="I1504" s="2" t="inlineStr">
        <is>
          <t>Contrato para la ejecución de las obras del teatro municipal - espacio escénico en C/ Cruces de Ogíjares (Granada).</t>
        </is>
      </c>
      <c r="J1504" s="2" t="inlineStr">
        <is>
          <t>2297/2026</t>
        </is>
      </c>
      <c r="K1504" s="2" t="inlineStr">
        <is>
          <t>Abierto</t>
        </is>
      </c>
      <c r="L1504" s="6" t="n">
        <v>18</v>
      </c>
      <c r="M1504" s="2" t="inlineStr">
        <is>
          <t>C4-4</t>
        </is>
      </c>
      <c r="N1504" s="7" t="n">
        <v>0.49</v>
      </c>
      <c r="O1504" s="4" t="n"/>
      <c r="P1504" s="2" t="inlineStr">
        <is>
          <t>45212322; 45212300</t>
        </is>
      </c>
      <c r="Q1504" s="8" t="inlineStr">
        <is>
          <t>Ver</t>
        </is>
      </c>
      <c r="R1504" s="8" t="inlineStr">
        <is>
          <t>PCAP</t>
        </is>
      </c>
      <c r="S1504" s="9" t="n">
        <v>46310</v>
      </c>
      <c r="T1504" s="3" t="n">
        <v>46303.79818287037</v>
      </c>
      <c r="U1504" s="2" t="n"/>
    </row>
    <row r="1505">
      <c r="A1505" s="2" t="inlineStr">
        <is>
          <t>Adjudicada</t>
        </is>
      </c>
      <c r="B1505" s="3" t="n">
        <v>46231.99930555555</v>
      </c>
      <c r="C1505" s="5" t="n">
        <v>495866.94</v>
      </c>
      <c r="D1505" s="5" t="n">
        <v>495866.94</v>
      </c>
      <c r="E1505" s="2" t="inlineStr">
        <is>
          <t>Andalucía</t>
        </is>
      </c>
      <c r="F1505" s="2" t="inlineStr">
        <is>
          <t>Sevilla</t>
        </is>
      </c>
      <c r="G1505" s="2" t="inlineStr">
        <is>
          <t>SANLÚCAR LA MAYOR</t>
        </is>
      </c>
      <c r="H1505" s="2" t="inlineStr">
        <is>
          <t>Alcaldía del Ayuntamiento de Sanlúcar la Mayor</t>
        </is>
      </c>
      <c r="I1505" s="2" t="inlineStr">
        <is>
          <t>Obras definidas en el Reformado Proyecto Mejora de Conjunto de Espacios Libres. Enero 2026.</t>
        </is>
      </c>
      <c r="J1505" s="2" t="inlineStr">
        <is>
          <t>2026/CTT_01/000023 - 25/26.-CTOS</t>
        </is>
      </c>
      <c r="K1505" s="2" t="inlineStr">
        <is>
          <t>Abierto simplificado</t>
        </is>
      </c>
      <c r="L1505" s="6" t="n">
        <v>2</v>
      </c>
      <c r="M1505" s="2" t="n"/>
      <c r="N1505" s="7" t="n">
        <v>0</v>
      </c>
      <c r="O1505" s="4" t="n"/>
      <c r="P1505" s="2" t="inlineStr">
        <is>
          <t>45112723; 45233200</t>
        </is>
      </c>
      <c r="Q1505" s="8" t="inlineStr">
        <is>
          <t>Ver</t>
        </is>
      </c>
      <c r="R1505" s="8" t="inlineStr">
        <is>
          <t>PCAP</t>
        </is>
      </c>
      <c r="S1505" s="9" t="n">
        <v>46310</v>
      </c>
      <c r="T1505" s="3" t="n">
        <v>46303.79420138889</v>
      </c>
      <c r="U1505" s="2" t="n"/>
    </row>
    <row r="1506">
      <c r="A1506" s="2" t="inlineStr">
        <is>
          <t>Adjudicada</t>
        </is>
      </c>
      <c r="B1506" s="3" t="n">
        <v>46287.99930555555</v>
      </c>
      <c r="C1506" s="5" t="n">
        <v>39865</v>
      </c>
      <c r="D1506" s="5" t="n">
        <v>39865</v>
      </c>
      <c r="E1506" s="2" t="inlineStr">
        <is>
          <t>Comunitat Valenciana</t>
        </is>
      </c>
      <c r="F1506" s="2" t="inlineStr">
        <is>
          <t>Valencia</t>
        </is>
      </c>
      <c r="G1506" s="2" t="n"/>
      <c r="H1506" s="2" t="inlineStr">
        <is>
          <t>Alcaldía del Ayuntamiento de Benavites</t>
        </is>
      </c>
      <c r="I1506" s="2" t="inlineStr">
        <is>
          <t>Contrato de Obras Conservación del interior de la Iglesia de Santiago de Benicalaf. Segundo Tramo de la nave y capillas laterales</t>
        </is>
      </c>
      <c r="J1506" s="2" t="inlineStr">
        <is>
          <t>2988643T Bis</t>
        </is>
      </c>
      <c r="K1506" s="2" t="inlineStr">
        <is>
          <t>Abierto</t>
        </is>
      </c>
      <c r="L1506" s="6" t="n">
        <v>2</v>
      </c>
      <c r="M1506" s="2" t="n"/>
      <c r="N1506" s="7" t="n">
        <v>0</v>
      </c>
      <c r="O1506" s="4" t="n"/>
      <c r="P1506" s="2" t="inlineStr">
        <is>
          <t>45212350</t>
        </is>
      </c>
      <c r="Q1506" s="8" t="inlineStr">
        <is>
          <t>Ver</t>
        </is>
      </c>
      <c r="R1506" s="8" t="inlineStr">
        <is>
          <t>PCAP</t>
        </is>
      </c>
      <c r="S1506" s="9" t="n">
        <v>46310</v>
      </c>
      <c r="T1506" s="3" t="n">
        <v>46303.79395833334</v>
      </c>
      <c r="U1506" s="2" t="n"/>
    </row>
    <row r="1507">
      <c r="A1507" s="2" t="inlineStr">
        <is>
          <t>Resuelta</t>
        </is>
      </c>
      <c r="B1507" s="3" t="n">
        <v>46259.99930555555</v>
      </c>
      <c r="C1507" s="5" t="n">
        <v>39865</v>
      </c>
      <c r="D1507" s="5" t="n">
        <v>39865</v>
      </c>
      <c r="E1507" s="2" t="inlineStr">
        <is>
          <t>Comunitat Valenciana</t>
        </is>
      </c>
      <c r="F1507" s="2" t="inlineStr">
        <is>
          <t>Valencia</t>
        </is>
      </c>
      <c r="G1507" s="2" t="n"/>
      <c r="H1507" s="2" t="inlineStr">
        <is>
          <t>Alcaldía del Ayuntamiento de Benavites</t>
        </is>
      </c>
      <c r="I1507" s="2" t="inlineStr">
        <is>
          <t>Contrato de obras conservación del interior de la Iglesia de Santiago de Benicalaf. Segundo tramo de la nave y capillas interiores</t>
        </is>
      </c>
      <c r="J1507" s="2" t="inlineStr">
        <is>
          <t>2988643T</t>
        </is>
      </c>
      <c r="K1507" s="2" t="inlineStr">
        <is>
          <t>Abierto</t>
        </is>
      </c>
      <c r="L1507" s="6" t="n">
        <v>2</v>
      </c>
      <c r="M1507" s="2" t="n"/>
      <c r="N1507" s="7" t="n">
        <v>0</v>
      </c>
      <c r="O1507" s="4" t="n"/>
      <c r="P1507" s="2" t="inlineStr">
        <is>
          <t>45212350</t>
        </is>
      </c>
      <c r="Q1507" s="8" t="inlineStr">
        <is>
          <t>Ver</t>
        </is>
      </c>
      <c r="R1507" s="8" t="inlineStr">
        <is>
          <t>PCAP</t>
        </is>
      </c>
      <c r="S1507" s="9" t="n">
        <v>46310</v>
      </c>
      <c r="T1507" s="3" t="n">
        <v>46303.78686342593</v>
      </c>
      <c r="U1507" s="2" t="n"/>
    </row>
    <row r="1508">
      <c r="A1508" s="2" t="inlineStr">
        <is>
          <t>Adjudicada</t>
        </is>
      </c>
      <c r="B1508" s="3" t="n">
        <v>46252.99930555555</v>
      </c>
      <c r="C1508" s="5" t="n">
        <v>44476.5</v>
      </c>
      <c r="D1508" s="5" t="n">
        <v>44476.5</v>
      </c>
      <c r="E1508" s="2" t="inlineStr">
        <is>
          <t>Comunitat Valenciana</t>
        </is>
      </c>
      <c r="F1508" s="2" t="inlineStr">
        <is>
          <t>Valencia</t>
        </is>
      </c>
      <c r="G1508" s="2" t="n"/>
      <c r="H1508" s="2" t="inlineStr">
        <is>
          <t>Alcaldía del Ayuntamiento de Benavites</t>
        </is>
      </c>
      <c r="I1508" s="2" t="inlineStr">
        <is>
          <t>Vallado Pista Multideporte</t>
        </is>
      </c>
      <c r="J1508" s="2" t="inlineStr">
        <is>
          <t>2786345Z</t>
        </is>
      </c>
      <c r="K1508" s="2" t="inlineStr">
        <is>
          <t>Abierto</t>
        </is>
      </c>
      <c r="L1508" s="6" t="n">
        <v>1</v>
      </c>
      <c r="M1508" s="2" t="n"/>
      <c r="N1508" s="7" t="n">
        <v>0</v>
      </c>
      <c r="O1508" s="4" t="n"/>
      <c r="P1508" s="2" t="inlineStr">
        <is>
          <t>45233293; 43325000</t>
        </is>
      </c>
      <c r="Q1508" s="8" t="inlineStr">
        <is>
          <t>Ver</t>
        </is>
      </c>
      <c r="R1508" s="8" t="inlineStr">
        <is>
          <t>PCAP</t>
        </is>
      </c>
      <c r="S1508" s="9" t="n">
        <v>46310</v>
      </c>
      <c r="T1508" s="3" t="n">
        <v>46303.77940972222</v>
      </c>
      <c r="U1508" s="2" t="n"/>
    </row>
    <row r="1509">
      <c r="A1509" s="2" t="inlineStr">
        <is>
          <t>En plazo</t>
        </is>
      </c>
      <c r="B1509" s="3" t="n">
        <v>46323.99930555555</v>
      </c>
      <c r="C1509" s="5" t="n">
        <v>275535.19</v>
      </c>
      <c r="D1509" s="5" t="n">
        <v>303088.7</v>
      </c>
      <c r="E1509" s="2" t="inlineStr">
        <is>
          <t>Comunitat Valenciana</t>
        </is>
      </c>
      <c r="F1509" s="2" t="inlineStr">
        <is>
          <t>Valencia</t>
        </is>
      </c>
      <c r="G1509" s="2" t="n"/>
      <c r="H1509" s="2" t="inlineStr">
        <is>
          <t>Alcaldía del Ayuntamiento de Picassent</t>
        </is>
      </c>
      <c r="I1509" s="2" t="inlineStr">
        <is>
          <t>Reasfaltado de vías públicas en suelo urbano: Avda. Henry Ford (P.I. Juan Carlos I), Carrer Principal (Polígono Industrial), Carrer 7 (P.I. Canyada del Codonyers), Carrer 6 (Barrio Omet), Carrer Llibertad, Carrer Major y Glorieta Carles Albors/Cristòfol Aguado.</t>
        </is>
      </c>
      <c r="J1509" s="2" t="inlineStr">
        <is>
          <t>3031094D</t>
        </is>
      </c>
      <c r="K1509" s="2" t="inlineStr">
        <is>
          <t>Abierto simplificado</t>
        </is>
      </c>
      <c r="L1509" s="6" t="n">
        <v>3</v>
      </c>
      <c r="M1509" s="2" t="n"/>
      <c r="N1509" s="7" t="n">
        <v>0</v>
      </c>
      <c r="O1509" s="4" t="n"/>
      <c r="P1509" s="2" t="inlineStr">
        <is>
          <t>45233252</t>
        </is>
      </c>
      <c r="Q1509" s="8" t="inlineStr">
        <is>
          <t>Ver</t>
        </is>
      </c>
      <c r="R1509" s="8" t="inlineStr">
        <is>
          <t>PCAP</t>
        </is>
      </c>
      <c r="S1509" s="9" t="n">
        <v>46310</v>
      </c>
      <c r="T1509" s="3" t="n">
        <v>46303.77586805556</v>
      </c>
      <c r="U1509" s="2" t="n"/>
    </row>
    <row r="1510">
      <c r="A1510" s="2" t="inlineStr">
        <is>
          <t>Resuelta</t>
        </is>
      </c>
      <c r="B1510" s="3" t="n">
        <v>46184.99930555555</v>
      </c>
      <c r="C1510" s="5" t="n">
        <v>114418.5</v>
      </c>
      <c r="D1510" s="5" t="n">
        <v>114418.5</v>
      </c>
      <c r="E1510" s="2" t="inlineStr">
        <is>
          <t>Comunitat Valenciana</t>
        </is>
      </c>
      <c r="F1510" s="2" t="inlineStr">
        <is>
          <t>Valencia</t>
        </is>
      </c>
      <c r="G1510" s="2" t="n"/>
      <c r="H1510" s="2" t="inlineStr">
        <is>
          <t>Pleno del Ayuntamiento de Benavites</t>
        </is>
      </c>
      <c r="I1510" s="2" t="inlineStr">
        <is>
          <t>Contrato de Obras Accesibilidad, Ventanas y Restauración de Portón. Iglesia de Santiago de Benicalaf</t>
        </is>
      </c>
      <c r="J1510" s="2" t="inlineStr">
        <is>
          <t>2871802P</t>
        </is>
      </c>
      <c r="K1510" s="2" t="inlineStr">
        <is>
          <t>Abierto</t>
        </is>
      </c>
      <c r="L1510" s="6" t="n">
        <v>3</v>
      </c>
      <c r="M1510" s="2" t="n"/>
      <c r="N1510" s="7" t="n">
        <v>0</v>
      </c>
      <c r="O1510" s="4" t="n"/>
      <c r="P1510" s="2" t="inlineStr">
        <is>
          <t>45212350</t>
        </is>
      </c>
      <c r="Q1510" s="8" t="inlineStr">
        <is>
          <t>Ver</t>
        </is>
      </c>
      <c r="R1510" s="8" t="inlineStr">
        <is>
          <t>PCAP</t>
        </is>
      </c>
      <c r="S1510" s="9" t="n">
        <v>46310</v>
      </c>
      <c r="T1510" s="3" t="n">
        <v>46303.7619675926</v>
      </c>
      <c r="U1510" s="2" t="n"/>
    </row>
    <row r="1511">
      <c r="A1511" s="2" t="inlineStr">
        <is>
          <t>Resuelta</t>
        </is>
      </c>
      <c r="B1511" s="3" t="n">
        <v>46174.99930555555</v>
      </c>
      <c r="C1511" s="5" t="n">
        <v>51463.47</v>
      </c>
      <c r="D1511" s="5" t="n">
        <v>51463.47</v>
      </c>
      <c r="E1511" s="2" t="inlineStr">
        <is>
          <t>Comunitat Valenciana</t>
        </is>
      </c>
      <c r="F1511" s="2" t="inlineStr">
        <is>
          <t>Valencia</t>
        </is>
      </c>
      <c r="G1511" s="2" t="inlineStr">
        <is>
          <t>Benavites</t>
        </is>
      </c>
      <c r="H1511" s="2" t="inlineStr">
        <is>
          <t>Alcaldía del Ayuntamiento de Benavites</t>
        </is>
      </c>
      <c r="I1511" s="2" t="inlineStr">
        <is>
          <t>Contrato de obras adecuación camino Marchaletes y del Pantano</t>
        </is>
      </c>
      <c r="J1511" s="2" t="inlineStr">
        <is>
          <t>2854753K</t>
        </is>
      </c>
      <c r="K1511" s="2" t="inlineStr">
        <is>
          <t>Abierto</t>
        </is>
      </c>
      <c r="L1511" s="6" t="n">
        <v>2</v>
      </c>
      <c r="M1511" s="2" t="n"/>
      <c r="N1511" s="7" t="n">
        <v>0</v>
      </c>
      <c r="O1511" s="4" t="n"/>
      <c r="P1511" s="2" t="inlineStr">
        <is>
          <t>45233251; 45233252</t>
        </is>
      </c>
      <c r="Q1511" s="8" t="inlineStr">
        <is>
          <t>Ver</t>
        </is>
      </c>
      <c r="R1511" s="8" t="inlineStr">
        <is>
          <t>PCAP</t>
        </is>
      </c>
      <c r="S1511" s="9" t="n">
        <v>46310</v>
      </c>
      <c r="T1511" s="3" t="n">
        <v>46303.74743055556</v>
      </c>
      <c r="U1511" s="2" t="n"/>
    </row>
    <row r="1512">
      <c r="A1512" s="2" t="inlineStr">
        <is>
          <t>Pendiente de adjudicación</t>
        </is>
      </c>
      <c r="B1512" s="3" t="n">
        <v>46167.54166666666</v>
      </c>
      <c r="C1512" s="5" t="n">
        <v>107865.37</v>
      </c>
      <c r="D1512" s="5" t="n">
        <v>107865.37</v>
      </c>
      <c r="E1512" s="2" t="inlineStr">
        <is>
          <t>Andalucía</t>
        </is>
      </c>
      <c r="F1512" s="2" t="inlineStr">
        <is>
          <t>Granada</t>
        </is>
      </c>
      <c r="G1512" s="2" t="inlineStr">
        <is>
          <t>Atarfe (Granada)</t>
        </is>
      </c>
      <c r="H1512" s="2" t="inlineStr">
        <is>
          <t>Dirección Gerente de Aguas Vega Sierra Elvira, S.A.</t>
        </is>
      </c>
      <c r="I1512" s="2" t="inlineStr">
        <is>
          <t>Renovación red de abastecimiento en calles Parras y La Paz de Fuente Vaqueros</t>
        </is>
      </c>
      <c r="J1512" s="2" t="inlineStr">
        <is>
          <t>Obras 09/2026</t>
        </is>
      </c>
      <c r="K1512" s="2" t="inlineStr">
        <is>
          <t>Abierto</t>
        </is>
      </c>
      <c r="L1512" s="6" t="n">
        <v>3</v>
      </c>
      <c r="M1512" s="2" t="n"/>
      <c r="N1512" s="7" t="n">
        <v>0.4</v>
      </c>
      <c r="O1512" s="4" t="n"/>
      <c r="P1512" s="2" t="inlineStr">
        <is>
          <t>45200000; 45220000; 45231100; 44160000; 45232100</t>
        </is>
      </c>
      <c r="Q1512" s="8" t="inlineStr">
        <is>
          <t>Ver</t>
        </is>
      </c>
      <c r="R1512" s="8" t="inlineStr">
        <is>
          <t>PCAP</t>
        </is>
      </c>
      <c r="S1512" s="9" t="n">
        <v>46310</v>
      </c>
      <c r="T1512" s="3" t="n">
        <v>46303.73850694444</v>
      </c>
      <c r="U1512" s="2" t="n"/>
    </row>
    <row r="1513">
      <c r="A1513" s="2" t="inlineStr">
        <is>
          <t>En plazo</t>
        </is>
      </c>
      <c r="B1513" s="3" t="n">
        <v>46323.99930555555</v>
      </c>
      <c r="C1513" s="5" t="n">
        <v>95819.52</v>
      </c>
      <c r="D1513" s="5" t="n">
        <v>95819.52</v>
      </c>
      <c r="E1513" s="2" t="inlineStr">
        <is>
          <t>Andalucía</t>
        </is>
      </c>
      <c r="F1513" s="2" t="inlineStr">
        <is>
          <t>Málaga</t>
        </is>
      </c>
      <c r="G1513" s="2" t="n"/>
      <c r="H1513" s="2" t="inlineStr">
        <is>
          <t>Alcaldía del Ayuntamiento de Alcaucín</t>
        </is>
      </c>
      <c r="I1513" s="2" t="inlineStr">
        <is>
          <t>Intervención en edificio municipal. Adecuación de espacios para cocina y comedor, y módulo anexo exterior de servicio, en Calle Carrión nº 2, Alcaucín</t>
        </is>
      </c>
      <c r="J1513" s="2" t="inlineStr">
        <is>
          <t>1495/2026_COMEDOR</t>
        </is>
      </c>
      <c r="K1513" s="2" t="inlineStr">
        <is>
          <t>Abierto simplificado</t>
        </is>
      </c>
      <c r="L1513" s="6" t="n">
        <v>3</v>
      </c>
      <c r="M1513" s="2" t="n"/>
      <c r="N1513" s="7" t="n">
        <v>0</v>
      </c>
      <c r="O1513" s="4" t="n"/>
      <c r="P1513" s="2" t="inlineStr">
        <is>
          <t>45212500; 45000000; 45331210; 45211350</t>
        </is>
      </c>
      <c r="Q1513" s="8" t="inlineStr">
        <is>
          <t>Ver</t>
        </is>
      </c>
      <c r="R1513" s="8" t="inlineStr">
        <is>
          <t>PCAP</t>
        </is>
      </c>
      <c r="S1513" s="9" t="n">
        <v>46310</v>
      </c>
      <c r="T1513" s="3" t="n">
        <v>46303.67493055556</v>
      </c>
      <c r="U1513" s="2" t="n"/>
    </row>
    <row r="1514">
      <c r="A1514" s="2" t="inlineStr">
        <is>
          <t>En plazo</t>
        </is>
      </c>
      <c r="B1514" s="3" t="n">
        <v>46323.99930555555</v>
      </c>
      <c r="C1514" s="5" t="n">
        <v>132304.2</v>
      </c>
      <c r="D1514" s="5" t="n">
        <v>132304.2</v>
      </c>
      <c r="E1514" s="2" t="inlineStr">
        <is>
          <t>Comunitat Valenciana</t>
        </is>
      </c>
      <c r="F1514" s="2" t="inlineStr">
        <is>
          <t>Valencia</t>
        </is>
      </c>
      <c r="G1514" s="2" t="n"/>
      <c r="H1514" s="2" t="inlineStr">
        <is>
          <t>Alcaldía del Ayuntamiento de Moixent</t>
        </is>
      </c>
      <c r="I1514" s="2" t="inlineStr">
        <is>
          <t>Desvío línea subterránea trifásica a 20 kv, desde el paso a 853154 poli Moinsa existente aportado por la distribuidora, hasta empalmes a realizar en línea 3534 l-07, situado en poli Moinsa, en término municipal de Moixent</t>
        </is>
      </c>
      <c r="J1514" s="2" t="inlineStr">
        <is>
          <t>1497/2026</t>
        </is>
      </c>
      <c r="K1514" s="2" t="inlineStr">
        <is>
          <t>Abierto simplificado</t>
        </is>
      </c>
      <c r="L1514" s="6" t="n">
        <v>2</v>
      </c>
      <c r="M1514" s="2" t="inlineStr">
        <is>
          <t>I5-1</t>
        </is>
      </c>
      <c r="N1514" s="7" t="n">
        <v>0</v>
      </c>
      <c r="O1514" s="4" t="n"/>
      <c r="P1514" s="2" t="inlineStr">
        <is>
          <t>45231400; 45232200; 45311100; 45315300; 45310000; 45311000; 45315500</t>
        </is>
      </c>
      <c r="Q1514" s="8" t="inlineStr">
        <is>
          <t>Ver</t>
        </is>
      </c>
      <c r="R1514" s="8" t="inlineStr">
        <is>
          <t>PCAP</t>
        </is>
      </c>
      <c r="S1514" s="9" t="n">
        <v>46310</v>
      </c>
      <c r="T1514" s="3" t="n">
        <v>46303.67165509259</v>
      </c>
      <c r="U1514" s="2" t="n"/>
    </row>
    <row r="1515">
      <c r="A1515" s="2" t="inlineStr">
        <is>
          <t>En plazo</t>
        </is>
      </c>
      <c r="B1515" s="3" t="n">
        <v>46323.99930555555</v>
      </c>
      <c r="C1515" s="5" t="n">
        <v>183966.94</v>
      </c>
      <c r="D1515" s="5" t="n">
        <v>183966.94</v>
      </c>
      <c r="E1515" s="2" t="inlineStr">
        <is>
          <t>Comunitat Valenciana</t>
        </is>
      </c>
      <c r="F1515" s="2" t="inlineStr">
        <is>
          <t>Alicante</t>
        </is>
      </c>
      <c r="G1515" s="2" t="inlineStr">
        <is>
          <t>Muro de Alcoy</t>
        </is>
      </c>
      <c r="H1515" s="2" t="inlineStr">
        <is>
          <t>Alcaldia del Ayuntamiento de Muro de Alcoy</t>
        </is>
      </c>
      <c r="I1515" s="2" t="inlineStr">
        <is>
          <t>Contrato administrativo de obras de ejecución del proyecto "Acondicionamiento de la vía verde del Serpis a su paso por el término de Muro de Alcoy. Tramo CAM rural desde límite tm Cocentaina hasta casco urbano de Muro"</t>
        </is>
      </c>
      <c r="J1515" s="2" t="inlineStr">
        <is>
          <t>1529/2026</t>
        </is>
      </c>
      <c r="K1515" s="2" t="inlineStr">
        <is>
          <t>Abierto simplificado</t>
        </is>
      </c>
      <c r="L1515" s="6" t="n">
        <v>2</v>
      </c>
      <c r="M1515" s="2" t="inlineStr">
        <is>
          <t>G*-2</t>
        </is>
      </c>
      <c r="N1515" s="7" t="n">
        <v>0</v>
      </c>
      <c r="O1515" s="4" t="n"/>
      <c r="P1515" s="2" t="inlineStr">
        <is>
          <t>45233140; 45233290; 45233251; 45233252</t>
        </is>
      </c>
      <c r="Q1515" s="8" t="inlineStr">
        <is>
          <t>Ver</t>
        </is>
      </c>
      <c r="R1515" s="8" t="inlineStr">
        <is>
          <t>PCAP</t>
        </is>
      </c>
      <c r="S1515" s="9" t="n">
        <v>46310</v>
      </c>
      <c r="T1515" s="3" t="n">
        <v>46303.66119212963</v>
      </c>
      <c r="U1515" s="2" t="n"/>
    </row>
    <row r="1516">
      <c r="A1516" s="2" t="inlineStr">
        <is>
          <t>En plazo</t>
        </is>
      </c>
      <c r="B1516" s="3" t="n">
        <v>46323.99930555555</v>
      </c>
      <c r="C1516" s="5" t="n">
        <v>812294</v>
      </c>
      <c r="D1516" s="5" t="n">
        <v>812294</v>
      </c>
      <c r="E1516" s="2" t="inlineStr">
        <is>
          <t>Comunitat Valenciana</t>
        </is>
      </c>
      <c r="F1516" s="2" t="inlineStr">
        <is>
          <t>Valencia</t>
        </is>
      </c>
      <c r="G1516" s="2" t="inlineStr">
        <is>
          <t>el Genovés</t>
        </is>
      </c>
      <c r="H1516" s="2" t="inlineStr">
        <is>
          <t>Pleno del Ayuntamiento de Genovés</t>
        </is>
      </c>
      <c r="I1516" s="2" t="inlineStr">
        <is>
          <t>Construcción de un edificio de nueva planta, destinado a la población joven de la localidad, emplazado en calle Maestro Serrano nº 4 de El Genovés.</t>
        </is>
      </c>
      <c r="J1516" s="2" t="inlineStr">
        <is>
          <t>2222/2026</t>
        </is>
      </c>
      <c r="K1516" s="2" t="inlineStr">
        <is>
          <t>Abierto simplificado</t>
        </is>
      </c>
      <c r="L1516" s="6" t="n">
        <v>10</v>
      </c>
      <c r="M1516" s="2" t="inlineStr">
        <is>
          <t>C*-3</t>
        </is>
      </c>
      <c r="N1516" s="7" t="n">
        <v>0</v>
      </c>
      <c r="O1516" s="4" t="n"/>
      <c r="P1516" s="2" t="inlineStr">
        <is>
          <t>45000000; 45220000; 45200000</t>
        </is>
      </c>
      <c r="Q1516" s="8" t="inlineStr">
        <is>
          <t>Ver</t>
        </is>
      </c>
      <c r="R1516" s="8" t="inlineStr">
        <is>
          <t>PCAP</t>
        </is>
      </c>
      <c r="S1516" s="9" t="n">
        <v>46310</v>
      </c>
      <c r="T1516" s="3" t="n">
        <v>46303.63530092593</v>
      </c>
      <c r="U1516" s="2" t="n"/>
    </row>
    <row r="1517">
      <c r="A1517" s="2" t="inlineStr">
        <is>
          <t>Pendiente de adjudicación</t>
        </is>
      </c>
      <c r="B1517" s="3" t="n">
        <v>46288.58333333334</v>
      </c>
      <c r="C1517" s="5" t="n">
        <v>255222.46</v>
      </c>
      <c r="D1517" s="5" t="n">
        <v>255222.46</v>
      </c>
      <c r="E1517" s="2" t="inlineStr">
        <is>
          <t>Andalucía</t>
        </is>
      </c>
      <c r="F1517" s="2" t="inlineStr">
        <is>
          <t>Huelva</t>
        </is>
      </c>
      <c r="G1517" s="2" t="inlineStr">
        <is>
          <t>Palos de la Frontera.</t>
        </is>
      </c>
      <c r="H1517" s="2" t="inlineStr">
        <is>
          <t>Alcaldia del Ayuntamiento de Palos de la Frontera</t>
        </is>
      </c>
      <c r="I1517" s="2" t="inlineStr">
        <is>
          <t>Contrato de obras del vallado perimetral de la parcela dotacional "VILLA ARGENTINA",T.M. de Palos de la Frontera.</t>
        </is>
      </c>
      <c r="J1517" s="2" t="inlineStr">
        <is>
          <t>Contrato de Obras 9/2026</t>
        </is>
      </c>
      <c r="K1517" s="2" t="inlineStr">
        <is>
          <t>Abierto</t>
        </is>
      </c>
      <c r="L1517" s="6" t="n">
        <v>4</v>
      </c>
      <c r="M1517" s="2" t="n"/>
      <c r="N1517" s="7" t="n">
        <v>0.3</v>
      </c>
      <c r="O1517" s="4" t="n"/>
      <c r="P1517" s="2" t="inlineStr">
        <is>
          <t>45223000</t>
        </is>
      </c>
      <c r="Q1517" s="8" t="inlineStr">
        <is>
          <t>Ver</t>
        </is>
      </c>
      <c r="R1517" s="8" t="inlineStr">
        <is>
          <t>PCAP</t>
        </is>
      </c>
      <c r="S1517" s="9" t="n">
        <v>46310</v>
      </c>
      <c r="T1517" s="3" t="n">
        <v>46303.62399305555</v>
      </c>
      <c r="U1517" s="2" t="n"/>
    </row>
    <row r="1518">
      <c r="A1518" s="2" t="inlineStr">
        <is>
          <t>Pendiente de adjudicación</t>
        </is>
      </c>
      <c r="B1518" s="3" t="n">
        <v>46287.58333333334</v>
      </c>
      <c r="C1518" s="5" t="n">
        <v>220556.88</v>
      </c>
      <c r="D1518" s="5" t="n">
        <v>220556.88</v>
      </c>
      <c r="E1518" s="2" t="inlineStr">
        <is>
          <t>Andalucía</t>
        </is>
      </c>
      <c r="F1518" s="2" t="inlineStr">
        <is>
          <t>Huelva</t>
        </is>
      </c>
      <c r="G1518" s="2" t="inlineStr">
        <is>
          <t>Palos de la Frontera.</t>
        </is>
      </c>
      <c r="H1518" s="2" t="inlineStr">
        <is>
          <t>Alcaldia del Ayuntamiento de Palos de la Frontera</t>
        </is>
      </c>
      <c r="I1518" s="2" t="inlineStr">
        <is>
          <t>Contrato de obras de reforma de la envolvente de los Edificios Municipales de Personal, Partidos Políticos, Casa de la Cultura y Centro de Adultos para la mejora de la Eficiencia Energética dentro del Marco de las actuaciones para el desarrollo territorial sostenible del área de influencia del Espacio Natural Doñana.</t>
        </is>
      </c>
      <c r="J1518" s="2" t="inlineStr">
        <is>
          <t>Contrato de Obras 6/2026</t>
        </is>
      </c>
      <c r="K1518" s="2" t="inlineStr">
        <is>
          <t>Abierto</t>
        </is>
      </c>
      <c r="L1518" s="6" t="n">
        <v>3</v>
      </c>
      <c r="M1518" s="2" t="n"/>
      <c r="N1518" s="7" t="n">
        <v>0.45</v>
      </c>
      <c r="O1518" s="4" t="n">
        <v>4</v>
      </c>
      <c r="P1518" s="2" t="inlineStr">
        <is>
          <t>45421160; 44221120</t>
        </is>
      </c>
      <c r="Q1518" s="8" t="inlineStr">
        <is>
          <t>Ver</t>
        </is>
      </c>
      <c r="R1518" s="8" t="inlineStr">
        <is>
          <t>PCAP</t>
        </is>
      </c>
      <c r="S1518" s="9" t="n">
        <v>46310</v>
      </c>
      <c r="T1518" s="3" t="n">
        <v>46303.61884259259</v>
      </c>
      <c r="U1518" s="2" t="n"/>
    </row>
    <row r="1519">
      <c r="A1519" s="2" t="inlineStr">
        <is>
          <t>Pendiente de adjudicación</t>
        </is>
      </c>
      <c r="B1519" s="3" t="n">
        <v>46280.99930555555</v>
      </c>
      <c r="C1519" s="5" t="n">
        <v>79765.75</v>
      </c>
      <c r="D1519" s="5" t="n">
        <v>79765.75</v>
      </c>
      <c r="E1519" s="2" t="inlineStr">
        <is>
          <t>Andalucía</t>
        </is>
      </c>
      <c r="F1519" s="2" t="inlineStr">
        <is>
          <t>Almería</t>
        </is>
      </c>
      <c r="G1519" s="2" t="n"/>
      <c r="H1519" s="2" t="inlineStr">
        <is>
          <t>Presidencia del Patronato Municipal de Deportes del Ayuntamiento de Almería</t>
        </is>
      </c>
      <c r="I1519" s="2" t="inlineStr">
        <is>
          <t>Reparación de iluminación deportiva en varios Complejos Deportivos Municipales en Almería.</t>
        </is>
      </c>
      <c r="J1519" s="2" t="inlineStr">
        <is>
          <t>AYAL-2026000193</t>
        </is>
      </c>
      <c r="K1519" s="2" t="inlineStr">
        <is>
          <t>Abierto simplificado</t>
        </is>
      </c>
      <c r="L1519" s="6" t="n">
        <v>3</v>
      </c>
      <c r="M1519" s="2" t="n"/>
      <c r="N1519" s="7" t="n">
        <v>0</v>
      </c>
      <c r="O1519" s="4" t="n"/>
      <c r="P1519" s="2" t="inlineStr">
        <is>
          <t>45310000</t>
        </is>
      </c>
      <c r="Q1519" s="8" t="inlineStr">
        <is>
          <t>Ver</t>
        </is>
      </c>
      <c r="R1519" s="8" t="inlineStr">
        <is>
          <t>PCAP</t>
        </is>
      </c>
      <c r="S1519" s="9" t="n">
        <v>46310</v>
      </c>
      <c r="T1519" s="3" t="n">
        <v>46303.61783564815</v>
      </c>
      <c r="U1519" s="2" t="n"/>
    </row>
    <row r="1520">
      <c r="A1520" s="2" t="inlineStr">
        <is>
          <t>Pendiente de adjudicación</t>
        </is>
      </c>
      <c r="B1520" s="3" t="n">
        <v>46233.99930555555</v>
      </c>
      <c r="C1520" s="5" t="n">
        <v>64369.68</v>
      </c>
      <c r="D1520" s="5" t="n">
        <v>64369.68</v>
      </c>
      <c r="E1520" s="2" t="inlineStr">
        <is>
          <t>Comunitat Valenciana</t>
        </is>
      </c>
      <c r="F1520" s="2" t="inlineStr">
        <is>
          <t>Valencia</t>
        </is>
      </c>
      <c r="G1520" s="2" t="n"/>
      <c r="H1520" s="2" t="inlineStr">
        <is>
          <t>Alcaldía del Ayuntamiento de Vilamarxant</t>
        </is>
      </c>
      <c r="I1520" s="2" t="inlineStr">
        <is>
          <t>Es objeto del presente contrato las obras de ejecución de colector de saneamiento en Avenida Dos de Mayo de Vilamarxant.</t>
        </is>
      </c>
      <c r="J1520" s="2" t="inlineStr">
        <is>
          <t>2519452P</t>
        </is>
      </c>
      <c r="K1520" s="2" t="inlineStr">
        <is>
          <t>Abierto simplificado</t>
        </is>
      </c>
      <c r="L1520" s="6" t="n">
        <v>1</v>
      </c>
      <c r="M1520" s="2" t="inlineStr">
        <is>
          <t>E1-1</t>
        </is>
      </c>
      <c r="N1520" s="7" t="n">
        <v>0</v>
      </c>
      <c r="O1520" s="4" t="n"/>
      <c r="P1520" s="2" t="inlineStr">
        <is>
          <t>45232400; 45232410; 45232411; 45232440</t>
        </is>
      </c>
      <c r="Q1520" s="8" t="inlineStr">
        <is>
          <t>Ver</t>
        </is>
      </c>
      <c r="R1520" s="8" t="inlineStr">
        <is>
          <t>PCAP</t>
        </is>
      </c>
      <c r="S1520" s="9" t="n">
        <v>46310</v>
      </c>
      <c r="T1520" s="3" t="n">
        <v>46303.61688657408</v>
      </c>
      <c r="U1520" s="2" t="n"/>
    </row>
    <row r="1521">
      <c r="A1521" s="2" t="inlineStr">
        <is>
          <t>Pendiente de adjudicación</t>
        </is>
      </c>
      <c r="B1521" s="3" t="n">
        <v>46296.99930555555</v>
      </c>
      <c r="C1521" s="5" t="n">
        <v>373665.15</v>
      </c>
      <c r="D1521" s="5" t="n">
        <v>373665.15</v>
      </c>
      <c r="E1521" s="2" t="inlineStr">
        <is>
          <t>Comunitat Valenciana</t>
        </is>
      </c>
      <c r="F1521" s="2" t="inlineStr">
        <is>
          <t>Valencia</t>
        </is>
      </c>
      <c r="G1521" s="2" t="n"/>
      <c r="H1521" s="2" t="inlineStr">
        <is>
          <t>Alcaldía del Ayuntamiento de Camporrobles</t>
        </is>
      </c>
      <c r="I1521" s="2" t="inlineStr">
        <is>
          <t>Rehabilitacion de la fachada y la cubierta de la Fábrica de Harinas del municipio de Camporrobles como consecuencia de la DANA 2024</t>
        </is>
      </c>
      <c r="J1521" s="2" t="inlineStr">
        <is>
          <t>G226/2026F.HarinasDANA</t>
        </is>
      </c>
      <c r="K1521" s="2" t="inlineStr">
        <is>
          <t>Abierto simplificado</t>
        </is>
      </c>
      <c r="L1521" s="6" t="n">
        <v>9</v>
      </c>
      <c r="M1521" s="2" t="n"/>
      <c r="N1521" s="7" t="n">
        <v>0</v>
      </c>
      <c r="O1521" s="4" t="n"/>
      <c r="P1521" s="2" t="inlineStr">
        <is>
          <t>45454100; 45261900; 45443000</t>
        </is>
      </c>
      <c r="Q1521" s="8" t="inlineStr">
        <is>
          <t>Ver</t>
        </is>
      </c>
      <c r="R1521" s="8" t="inlineStr">
        <is>
          <t>PCAP</t>
        </is>
      </c>
      <c r="S1521" s="9" t="n">
        <v>46310</v>
      </c>
      <c r="T1521" s="3" t="n">
        <v>46303.61517361111</v>
      </c>
      <c r="U1521" s="2" t="n"/>
    </row>
    <row r="1522">
      <c r="A1522" s="2" t="inlineStr">
        <is>
          <t>Pendiente de adjudicación</t>
        </is>
      </c>
      <c r="B1522" s="3" t="n">
        <v>46253.99930555555</v>
      </c>
      <c r="C1522" s="5" t="n">
        <v>315131.15</v>
      </c>
      <c r="D1522" s="5" t="n">
        <v>315131.15</v>
      </c>
      <c r="E1522" s="2" t="inlineStr">
        <is>
          <t>Andalucía</t>
        </is>
      </c>
      <c r="F1522" s="2" t="inlineStr">
        <is>
          <t>Almería</t>
        </is>
      </c>
      <c r="G1522" s="2" t="n"/>
      <c r="H1522" s="2" t="inlineStr">
        <is>
          <t>Presidencia del Patronato Municipal de Deportes del Ayuntamiento de Almería</t>
        </is>
      </c>
      <c r="I1522" s="2" t="inlineStr">
        <is>
          <t>Obras de reforma de los vestuarios del Complejo Deportivo Municipal de Los Ángeles.</t>
        </is>
      </c>
      <c r="J1522" s="2" t="inlineStr">
        <is>
          <t>2026/36434V</t>
        </is>
      </c>
      <c r="K1522" s="2" t="inlineStr">
        <is>
          <t>Abierto simplificado</t>
        </is>
      </c>
      <c r="L1522" s="6" t="n">
        <v>7</v>
      </c>
      <c r="M1522" s="2" t="n"/>
      <c r="N1522" s="7" t="n">
        <v>0</v>
      </c>
      <c r="O1522" s="4" t="n"/>
      <c r="P1522" s="2" t="inlineStr">
        <is>
          <t>45212200</t>
        </is>
      </c>
      <c r="Q1522" s="8" t="inlineStr">
        <is>
          <t>Ver</t>
        </is>
      </c>
      <c r="R1522" s="8" t="inlineStr">
        <is>
          <t>PCAP</t>
        </is>
      </c>
      <c r="S1522" s="9" t="n">
        <v>46310</v>
      </c>
      <c r="T1522" s="3" t="n">
        <v>46303.6128587963</v>
      </c>
      <c r="U1522" s="2" t="n"/>
    </row>
    <row r="1523">
      <c r="A1523" s="2" t="inlineStr">
        <is>
          <t>Plazo vencido</t>
        </is>
      </c>
      <c r="B1523" s="3" t="n">
        <v>46311.54166666666</v>
      </c>
      <c r="C1523" s="5" t="n">
        <v>8797967.949999999</v>
      </c>
      <c r="D1523" s="5" t="n">
        <v>9239222.58</v>
      </c>
      <c r="E1523" s="2" t="inlineStr">
        <is>
          <t>Andalucía</t>
        </is>
      </c>
      <c r="F1523" s="2" t="n"/>
      <c r="G1523" s="2" t="n"/>
      <c r="H1523" s="2" t="inlineStr">
        <is>
          <t>ADIF -Consejo de Administración</t>
        </is>
      </c>
      <c r="I1523" s="2" t="inlineStr">
        <is>
          <t>Ejecución de las obras y realización del mantenimiento del proyecto constructivo de telemando de energía del tramo Ronda-Algeciras de la línea Bobadilla-Algeciras</t>
        </is>
      </c>
      <c r="J1523" s="2" t="inlineStr">
        <is>
          <t>4.25/06110.0362</t>
        </is>
      </c>
      <c r="K1523" s="2" t="inlineStr">
        <is>
          <t>Abierto</t>
        </is>
      </c>
      <c r="L1523" s="6" t="n">
        <v>48</v>
      </c>
      <c r="M1523" s="2" t="inlineStr">
        <is>
          <t>I7-4</t>
        </is>
      </c>
      <c r="N1523" s="7" t="n">
        <v>0.49</v>
      </c>
      <c r="O1523" s="4" t="n"/>
      <c r="P1523" s="2" t="inlineStr">
        <is>
          <t>45234000</t>
        </is>
      </c>
      <c r="Q1523" s="8" t="inlineStr">
        <is>
          <t>Ver</t>
        </is>
      </c>
      <c r="R1523" s="8" t="inlineStr">
        <is>
          <t>PCAP</t>
        </is>
      </c>
      <c r="S1523" s="9" t="n">
        <v>46310</v>
      </c>
      <c r="T1523" s="3" t="n">
        <v>46303.60840277778</v>
      </c>
      <c r="U1523" s="2" t="n"/>
    </row>
    <row r="1524">
      <c r="A1524" s="2" t="inlineStr">
        <is>
          <t>En plazo</t>
        </is>
      </c>
      <c r="B1524" s="3" t="n">
        <v>46323.99930555555</v>
      </c>
      <c r="C1524" s="5" t="n">
        <v>194290.27</v>
      </c>
      <c r="D1524" s="5" t="n">
        <v>194290.27</v>
      </c>
      <c r="E1524" s="2" t="inlineStr">
        <is>
          <t>Comunitat Valenciana</t>
        </is>
      </c>
      <c r="F1524" s="2" t="inlineStr">
        <is>
          <t>Valencia</t>
        </is>
      </c>
      <c r="G1524" s="2" t="n"/>
      <c r="H1524" s="2" t="inlineStr">
        <is>
          <t>Pleno del Ayuntamiento de Jarafuel</t>
        </is>
      </c>
      <c r="I1524" s="2" t="inlineStr">
        <is>
          <t>El objeto del presente contrato la ejecución de las obras incluidas en el Proyecto Básico y de Ejecución de Rehabilitación de Edificio Municipal en Jarafuel (Valencia), situado en la calle Juan XXIII, n.º 16, destinado a uso social y asociativo municipal.</t>
        </is>
      </c>
      <c r="J1524" s="2" t="inlineStr">
        <is>
          <t>332/2026</t>
        </is>
      </c>
      <c r="K1524" s="2" t="inlineStr">
        <is>
          <t>Abierto simplificado</t>
        </is>
      </c>
      <c r="L1524" s="6" t="n">
        <v>5</v>
      </c>
      <c r="M1524" s="2" t="n"/>
      <c r="N1524" s="7" t="n">
        <v>0.25</v>
      </c>
      <c r="O1524" s="4" t="n"/>
      <c r="P1524" s="2" t="inlineStr">
        <is>
          <t>45262700; 45261211; 45453000; 45262660; 39314000; 45210000; 45331220; 45311200; 63000000</t>
        </is>
      </c>
      <c r="Q1524" s="8" t="inlineStr">
        <is>
          <t>Ver</t>
        </is>
      </c>
      <c r="R1524" s="8" t="inlineStr">
        <is>
          <t>PCAP</t>
        </is>
      </c>
      <c r="S1524" s="9" t="n">
        <v>46310</v>
      </c>
      <c r="T1524" s="3" t="n">
        <v>46303.60657407407</v>
      </c>
      <c r="U1524" s="2" t="n"/>
    </row>
    <row r="1525">
      <c r="A1525" s="2" t="inlineStr">
        <is>
          <t>Plazo vencido</t>
        </is>
      </c>
      <c r="B1525" s="3" t="n">
        <v>46316.625</v>
      </c>
      <c r="C1525" s="5" t="n">
        <v>219645.44</v>
      </c>
      <c r="D1525" s="5" t="n">
        <v>219645.44</v>
      </c>
      <c r="E1525" s="2" t="inlineStr">
        <is>
          <t>Andalucía</t>
        </is>
      </c>
      <c r="F1525" s="2" t="inlineStr">
        <is>
          <t>Málaga</t>
        </is>
      </c>
      <c r="G1525" s="2" t="n"/>
      <c r="H1525" s="2" t="inlineStr">
        <is>
          <t>Pleno del Ayuntamiento de Benarrabá</t>
        </is>
      </c>
      <c r="I1525" s="2" t="inlineStr">
        <is>
          <t>Ejecución de las obras definidas en el proyecto técnico redactado por D. Antonio José Torres Mena, Ingeniero Técnico Industrial de la Diputación Provincial de Málaga, con referencia SUB-BMJ-BNB/015_SUB-BMJ-BNB. El proyecto conforma el Pliego de Prescripciones Técnicas (PPT) de la obra a ejecutar.</t>
        </is>
      </c>
      <c r="J1525" s="2" t="inlineStr">
        <is>
          <t>2026/204</t>
        </is>
      </c>
      <c r="K1525" s="2" t="inlineStr">
        <is>
          <t>Abierto simplificado</t>
        </is>
      </c>
      <c r="L1525" s="6" t="n"/>
      <c r="M1525" s="2" t="n"/>
      <c r="N1525" s="7" t="n">
        <v>0.25</v>
      </c>
      <c r="O1525" s="4" t="n"/>
      <c r="P1525" s="2" t="inlineStr">
        <is>
          <t>45232150; 09330000; 45300000</t>
        </is>
      </c>
      <c r="Q1525" s="8" t="inlineStr">
        <is>
          <t>Ver</t>
        </is>
      </c>
      <c r="R1525" s="8" t="inlineStr">
        <is>
          <t>PCAP</t>
        </is>
      </c>
      <c r="S1525" s="9" t="n">
        <v>46310</v>
      </c>
      <c r="T1525" s="3" t="n">
        <v>46303.60653935185</v>
      </c>
      <c r="U1525" s="2" t="n"/>
    </row>
    <row r="1526">
      <c r="A1526" s="2" t="inlineStr">
        <is>
          <t>Resuelta</t>
        </is>
      </c>
      <c r="B1526" s="3" t="n">
        <v>46299.99930555555</v>
      </c>
      <c r="C1526" s="5" t="n">
        <v>236729.02</v>
      </c>
      <c r="D1526" s="5" t="n">
        <v>236729.02</v>
      </c>
      <c r="E1526" s="2" t="inlineStr">
        <is>
          <t>Andalucía</t>
        </is>
      </c>
      <c r="F1526" s="2" t="inlineStr">
        <is>
          <t>Sevilla</t>
        </is>
      </c>
      <c r="G1526" s="2" t="n"/>
      <c r="H1526" s="2" t="inlineStr">
        <is>
          <t>Alcaldía del Ayuntamiento de Los Molares</t>
        </is>
      </c>
      <c r="I1526" s="2" t="inlineStr">
        <is>
          <t>Obra Ejecución Gimnasio Multifuncional aledaño al CEIP San Juan de Ribera de Los Molares</t>
        </is>
      </c>
      <c r="J1526" s="2" t="inlineStr">
        <is>
          <t>P4106300I-2026/000030-PAAS</t>
        </is>
      </c>
      <c r="K1526" s="2" t="inlineStr">
        <is>
          <t>Abierto simplificado</t>
        </is>
      </c>
      <c r="L1526" s="6" t="n">
        <v>7</v>
      </c>
      <c r="M1526" s="2" t="n"/>
      <c r="N1526" s="7" t="n">
        <v>0</v>
      </c>
      <c r="O1526" s="4" t="n"/>
      <c r="P1526" s="2" t="inlineStr">
        <is>
          <t>45000000</t>
        </is>
      </c>
      <c r="Q1526" s="8" t="inlineStr">
        <is>
          <t>Ver</t>
        </is>
      </c>
      <c r="R1526" s="8" t="inlineStr">
        <is>
          <t>PCAP</t>
        </is>
      </c>
      <c r="S1526" s="9" t="n">
        <v>46310</v>
      </c>
      <c r="T1526" s="3" t="n">
        <v>46303.60574074074</v>
      </c>
      <c r="U1526" s="2" t="n"/>
    </row>
    <row r="1527">
      <c r="A1527" s="2" t="inlineStr">
        <is>
          <t>Pendiente de adjudicación</t>
        </is>
      </c>
      <c r="B1527" s="3" t="n">
        <v>46255.5</v>
      </c>
      <c r="C1527" s="5" t="n">
        <v>332232.64</v>
      </c>
      <c r="D1527" s="5" t="n">
        <v>332232.64</v>
      </c>
      <c r="E1527" s="2" t="inlineStr">
        <is>
          <t>Andalucía</t>
        </is>
      </c>
      <c r="F1527" s="2" t="inlineStr">
        <is>
          <t>Jaén</t>
        </is>
      </c>
      <c r="G1527" s="2" t="inlineStr">
        <is>
          <t>Jaén</t>
        </is>
      </c>
      <c r="H1527" s="2" t="inlineStr">
        <is>
          <t>Junta de Gobierno del Ayuntamiento de Torredonjimeno</t>
        </is>
      </c>
      <c r="I1527" s="2" t="inlineStr">
        <is>
          <t>Obra de pavimentación del paseo central del parque municipal</t>
        </is>
      </c>
      <c r="J1527" s="2" t="inlineStr">
        <is>
          <t>2877/2026</t>
        </is>
      </c>
      <c r="K1527" s="2" t="inlineStr">
        <is>
          <t>Abierto simplificado</t>
        </is>
      </c>
      <c r="L1527" s="6" t="n">
        <v>4</v>
      </c>
      <c r="M1527" s="2" t="n"/>
      <c r="N1527" s="7" t="n"/>
      <c r="O1527" s="4" t="n"/>
      <c r="P1527" s="2" t="inlineStr">
        <is>
          <t>45233251</t>
        </is>
      </c>
      <c r="Q1527" s="8" t="inlineStr">
        <is>
          <t>Ver</t>
        </is>
      </c>
      <c r="R1527" s="8" t="inlineStr">
        <is>
          <t>PCAP</t>
        </is>
      </c>
      <c r="S1527" s="9" t="n">
        <v>46310</v>
      </c>
      <c r="T1527" s="3" t="n">
        <v>46303.60503472222</v>
      </c>
      <c r="U1527" s="2" t="n"/>
    </row>
    <row r="1528">
      <c r="A1528" s="2" t="inlineStr">
        <is>
          <t>Pendiente de adjudicación</t>
        </is>
      </c>
      <c r="B1528" s="3" t="n">
        <v>46293.99930555555</v>
      </c>
      <c r="C1528" s="5" t="n">
        <v>2354345.62</v>
      </c>
      <c r="D1528" s="5" t="n">
        <v>2354345.62</v>
      </c>
      <c r="E1528" s="2" t="inlineStr">
        <is>
          <t>Comunitat Valenciana</t>
        </is>
      </c>
      <c r="F1528" s="2" t="inlineStr">
        <is>
          <t>Valencia</t>
        </is>
      </c>
      <c r="G1528" s="2" t="n"/>
      <c r="H1528" s="2" t="inlineStr">
        <is>
          <t>Alcaldía del Ayuntamiento de Manises</t>
        </is>
      </c>
      <c r="I1528" s="2" t="inlineStr">
        <is>
          <t>El presente contrato tiene por objeto la ejecucion de las obras de reposicion del vial, muro de contención y servicios afectados en la calle Sequia de Mislata, en el Poligono Industrial El Barranquet de Manises, conforme a las determinaciones establecidas en el Proyecto Modificado para la Reposición de Vial, Muro de Contencion y Servicios Afectados en CL. Sequia Mislata. P.I. El Barranquet</t>
        </is>
      </c>
      <c r="J1528" s="2" t="inlineStr">
        <is>
          <t>2859424Y</t>
        </is>
      </c>
      <c r="K1528" s="2" t="inlineStr">
        <is>
          <t>Abierto</t>
        </is>
      </c>
      <c r="L1528" s="6" t="n">
        <v>8</v>
      </c>
      <c r="M1528" s="2" t="inlineStr">
        <is>
          <t>B2-5</t>
        </is>
      </c>
      <c r="N1528" s="7" t="n">
        <v>0.2</v>
      </c>
      <c r="O1528" s="4" t="n"/>
      <c r="P1528" s="2" t="inlineStr">
        <is>
          <t>45262620; 45200000; 45111214; 45110000; 45233140</t>
        </is>
      </c>
      <c r="Q1528" s="8" t="inlineStr">
        <is>
          <t>Ver</t>
        </is>
      </c>
      <c r="R1528" s="8" t="inlineStr">
        <is>
          <t>PCAP</t>
        </is>
      </c>
      <c r="S1528" s="9" t="n">
        <v>46310</v>
      </c>
      <c r="T1528" s="3" t="n">
        <v>46303.60239583333</v>
      </c>
      <c r="U1528" s="2" t="n"/>
    </row>
    <row r="1529">
      <c r="A1529" s="2" t="inlineStr">
        <is>
          <t>Pendiente de adjudicación</t>
        </is>
      </c>
      <c r="B1529" s="3" t="n">
        <v>46276.45833333334</v>
      </c>
      <c r="C1529" s="5" t="n">
        <v>445180.47</v>
      </c>
      <c r="D1529" s="5" t="n">
        <v>445180.47</v>
      </c>
      <c r="E1529" s="2" t="inlineStr">
        <is>
          <t>Andalucía</t>
        </is>
      </c>
      <c r="F1529" s="2" t="inlineStr">
        <is>
          <t>Sevilla</t>
        </is>
      </c>
      <c r="G1529" s="2" t="n"/>
      <c r="H1529" s="2" t="inlineStr">
        <is>
          <t>Comisión Ejecutiva de la Gerencia de Urbanismo de Sevilla</t>
        </is>
      </c>
      <c r="I1529" s="2" t="inlineStr">
        <is>
          <t>Obras del proyecto de mejora de la pavimentación con aglomerado asfáltico del tramo de la Avda. de Andalucía entre la Glorieta Sergio Rodríguez Prat y la calle Parque Amate.</t>
        </is>
      </c>
      <c r="J1529" s="2" t="inlineStr">
        <is>
          <t>24/2026</t>
        </is>
      </c>
      <c r="K1529" s="2" t="inlineStr">
        <is>
          <t>Abierto simplificado</t>
        </is>
      </c>
      <c r="L1529" s="6" t="n">
        <v>2</v>
      </c>
      <c r="M1529" s="2" t="n"/>
      <c r="N1529" s="7" t="n">
        <v>0</v>
      </c>
      <c r="O1529" s="4" t="n"/>
      <c r="P1529" s="2" t="inlineStr">
        <is>
          <t>45233200; 45233222; 45233223; 45233252</t>
        </is>
      </c>
      <c r="Q1529" s="8" t="inlineStr">
        <is>
          <t>Ver</t>
        </is>
      </c>
      <c r="R1529" s="8" t="inlineStr">
        <is>
          <t>PCAP</t>
        </is>
      </c>
      <c r="S1529" s="9" t="n">
        <v>46310</v>
      </c>
      <c r="T1529" s="3" t="n">
        <v>46303.60178240741</v>
      </c>
      <c r="U1529" s="2" t="n"/>
    </row>
    <row r="1530">
      <c r="A1530" s="2" t="inlineStr">
        <is>
          <t>En plazo</t>
        </is>
      </c>
      <c r="B1530" s="3" t="n">
        <v>46323.625</v>
      </c>
      <c r="C1530" s="5" t="n">
        <v>125823.73</v>
      </c>
      <c r="D1530" s="5" t="n">
        <v>125823.73</v>
      </c>
      <c r="E1530" s="2" t="inlineStr">
        <is>
          <t>Andalucía</t>
        </is>
      </c>
      <c r="F1530" s="2" t="inlineStr">
        <is>
          <t>Huelva</t>
        </is>
      </c>
      <c r="G1530" s="2" t="n"/>
      <c r="H1530" s="2" t="inlineStr">
        <is>
          <t>Alcaldía del Ayuntamiento de Puebla de Guzmán</t>
        </is>
      </c>
      <c r="I1530" s="2" t="inlineStr">
        <is>
          <t>Reurbanización de escalera y acceso norte al Castillo (Iglesia de la Santa Cruz)</t>
        </is>
      </c>
      <c r="J1530" s="2" t="inlineStr">
        <is>
          <t>007/2026</t>
        </is>
      </c>
      <c r="K1530" s="2" t="inlineStr">
        <is>
          <t>Abierto simplificado</t>
        </is>
      </c>
      <c r="L1530" s="6" t="n">
        <v>6</v>
      </c>
      <c r="M1530" s="2" t="n"/>
      <c r="N1530" s="7" t="n">
        <v>0</v>
      </c>
      <c r="O1530" s="4" t="n"/>
      <c r="P1530" s="2" t="inlineStr">
        <is>
          <t>45000000; 45111000</t>
        </is>
      </c>
      <c r="Q1530" s="8" t="inlineStr">
        <is>
          <t>Ver</t>
        </is>
      </c>
      <c r="R1530" s="8" t="inlineStr">
        <is>
          <t>PCAP</t>
        </is>
      </c>
      <c r="S1530" s="9" t="n">
        <v>46310</v>
      </c>
      <c r="T1530" s="3" t="n">
        <v>46303.60054398148</v>
      </c>
      <c r="U1530" s="2" t="n"/>
    </row>
    <row r="1531">
      <c r="A1531" s="2" t="inlineStr">
        <is>
          <t>En plazo</t>
        </is>
      </c>
      <c r="B1531" s="3" t="n">
        <v>46321.375</v>
      </c>
      <c r="C1531" s="5" t="n">
        <v>889866.1</v>
      </c>
      <c r="D1531" s="5" t="n">
        <v>1067839.32</v>
      </c>
      <c r="E1531" s="2" t="inlineStr">
        <is>
          <t>Comunitat Valenciana</t>
        </is>
      </c>
      <c r="F1531" s="2" t="inlineStr">
        <is>
          <t>Alicante</t>
        </is>
      </c>
      <c r="G1531" s="2" t="inlineStr">
        <is>
          <t>Alicante</t>
        </is>
      </c>
      <c r="H1531" s="2" t="inlineStr">
        <is>
          <t>Mercados Centrales De Abastecimiento de Alicante S.A.</t>
        </is>
      </c>
      <c r="I1531" s="2" t="inlineStr">
        <is>
          <t>Sustitución de las cubiertas de fibrocemento de la nave III de Mercalicante</t>
        </is>
      </c>
      <c r="J1531" s="2" t="inlineStr">
        <is>
          <t>21/2026EXPL</t>
        </is>
      </c>
      <c r="K1531" s="2" t="inlineStr">
        <is>
          <t>Abierto simplificado</t>
        </is>
      </c>
      <c r="L1531" s="6" t="n">
        <v>10</v>
      </c>
      <c r="M1531" s="2" t="n"/>
      <c r="N1531" s="7" t="n">
        <v>0.25</v>
      </c>
      <c r="O1531" s="4" t="n"/>
      <c r="P1531" s="2" t="inlineStr">
        <is>
          <t>45000000; 45421160; 45261220; 45262660; 45261420</t>
        </is>
      </c>
      <c r="Q1531" s="8" t="inlineStr">
        <is>
          <t>Ver</t>
        </is>
      </c>
      <c r="R1531" s="8" t="inlineStr">
        <is>
          <t>PCAP</t>
        </is>
      </c>
      <c r="S1531" s="9" t="n">
        <v>46310</v>
      </c>
      <c r="T1531" s="3" t="n">
        <v>46303.59924768518</v>
      </c>
      <c r="U1531" s="2" t="n"/>
    </row>
    <row r="1532">
      <c r="A1532" s="2" t="inlineStr">
        <is>
          <t>Pendiente de adjudicación</t>
        </is>
      </c>
      <c r="B1532" s="3" t="n">
        <v>46234.99930555555</v>
      </c>
      <c r="C1532" s="5" t="n">
        <v>74670.05</v>
      </c>
      <c r="D1532" s="5" t="n">
        <v>74670.05</v>
      </c>
      <c r="E1532" s="2" t="inlineStr">
        <is>
          <t>Comunitat Valenciana</t>
        </is>
      </c>
      <c r="F1532" s="2" t="inlineStr">
        <is>
          <t>Alicante</t>
        </is>
      </c>
      <c r="G1532" s="2" t="n"/>
      <c r="H1532" s="2" t="inlineStr">
        <is>
          <t>Presidencia de la Diputación Provincial de Alicante</t>
        </is>
      </c>
      <c r="I1532" s="2" t="inlineStr">
        <is>
          <t>Obras de automatización del control de abastecimiento por telelectura del sector 2 (zonas de San Cristóbal, San Jaime, Jovades y La Alcudia) en Cocentaina.</t>
        </is>
      </c>
      <c r="J1532" s="2" t="inlineStr">
        <is>
          <t>O4S-092/2026</t>
        </is>
      </c>
      <c r="K1532" s="2" t="inlineStr">
        <is>
          <t>Abierto simplificado</t>
        </is>
      </c>
      <c r="L1532" s="6" t="n">
        <v>3</v>
      </c>
      <c r="M1532" s="2" t="n"/>
      <c r="N1532" s="7" t="n">
        <v>0.25</v>
      </c>
      <c r="O1532" s="4" t="n"/>
      <c r="P1532" s="2" t="inlineStr">
        <is>
          <t>45314000</t>
        </is>
      </c>
      <c r="Q1532" s="8" t="inlineStr">
        <is>
          <t>Ver</t>
        </is>
      </c>
      <c r="R1532" s="8" t="inlineStr">
        <is>
          <t>PCAP</t>
        </is>
      </c>
      <c r="S1532" s="9" t="n">
        <v>46310</v>
      </c>
      <c r="T1532" s="3" t="n">
        <v>46303.59365740741</v>
      </c>
      <c r="U1532" s="2" t="n"/>
    </row>
    <row r="1533">
      <c r="A1533" s="2" t="inlineStr">
        <is>
          <t>Plazo vencido</t>
        </is>
      </c>
      <c r="B1533" s="3" t="n">
        <v>46318.99930555555</v>
      </c>
      <c r="C1533" s="5" t="n">
        <v>69800</v>
      </c>
      <c r="D1533" s="5" t="n">
        <v>69800</v>
      </c>
      <c r="E1533" s="2" t="inlineStr">
        <is>
          <t>Andalucía</t>
        </is>
      </c>
      <c r="F1533" s="2" t="inlineStr">
        <is>
          <t>Granada</t>
        </is>
      </c>
      <c r="G1533" s="2" t="inlineStr">
        <is>
          <t>FONELAS</t>
        </is>
      </c>
      <c r="H1533" s="2" t="inlineStr">
        <is>
          <t>Alcaldía del Ayuntamiento de Fonelas</t>
        </is>
      </c>
      <c r="I1533" s="2" t="inlineStr">
        <is>
          <t>obras de reparación a llevar a cabo en tramos parciales de ambos viales públicos, debido a la erosión y precario estado en el que se encuentran ambos viales a causa de los daños provocados por el temporal acaecido en el mes de febrero-2.026 pasado.</t>
        </is>
      </c>
      <c r="J1533" s="2" t="inlineStr">
        <is>
          <t>380/2026</t>
        </is>
      </c>
      <c r="K1533" s="2" t="inlineStr">
        <is>
          <t>Abierto simplificado</t>
        </is>
      </c>
      <c r="L1533" s="6" t="n">
        <v>2</v>
      </c>
      <c r="M1533" s="2" t="n"/>
      <c r="N1533" s="7" t="n">
        <v>0</v>
      </c>
      <c r="O1533" s="4" t="n"/>
      <c r="P1533" s="2" t="inlineStr">
        <is>
          <t>45233222</t>
        </is>
      </c>
      <c r="Q1533" s="8" t="inlineStr">
        <is>
          <t>Ver</t>
        </is>
      </c>
      <c r="R1533" s="8" t="inlineStr">
        <is>
          <t>PCAP</t>
        </is>
      </c>
      <c r="S1533" s="9" t="n">
        <v>46310</v>
      </c>
      <c r="T1533" s="3" t="n">
        <v>46303.58402777778</v>
      </c>
      <c r="U1533" s="2" t="n"/>
    </row>
    <row r="1534">
      <c r="A1534" s="2" t="inlineStr">
        <is>
          <t>En plazo</t>
        </is>
      </c>
      <c r="B1534" s="3" t="n">
        <v>46321.99930555555</v>
      </c>
      <c r="C1534" s="5" t="n">
        <v>68644.88</v>
      </c>
      <c r="D1534" s="5" t="n">
        <v>68644.88</v>
      </c>
      <c r="E1534" s="2" t="inlineStr">
        <is>
          <t>Comunitat Valenciana</t>
        </is>
      </c>
      <c r="F1534" s="2" t="inlineStr">
        <is>
          <t>Valencia</t>
        </is>
      </c>
      <c r="G1534" s="2" t="n"/>
      <c r="H1534" s="2" t="inlineStr">
        <is>
          <t>Concejalía Delegada de Hacienda del Ayuntamiento de la Pobla de Vallbona</t>
        </is>
      </c>
      <c r="I1534" s="2" t="inlineStr">
        <is>
          <t>Contratación de las obras consistentes en el derribo de los frontones de la Ciudad Deportiva de La Pobla de Vallbona.</t>
        </is>
      </c>
      <c r="J1534" s="2" t="inlineStr">
        <is>
          <t>2026000025</t>
        </is>
      </c>
      <c r="K1534" s="2" t="inlineStr">
        <is>
          <t>Abierto simplificado</t>
        </is>
      </c>
      <c r="L1534" s="6" t="n">
        <v>1</v>
      </c>
      <c r="M1534" s="2" t="n"/>
      <c r="N1534" s="7" t="n">
        <v>0</v>
      </c>
      <c r="O1534" s="4" t="n"/>
      <c r="P1534" s="2" t="inlineStr">
        <is>
          <t>45111000</t>
        </is>
      </c>
      <c r="Q1534" s="8" t="inlineStr">
        <is>
          <t>Ver</t>
        </is>
      </c>
      <c r="R1534" s="8" t="inlineStr">
        <is>
          <t>PCAP</t>
        </is>
      </c>
      <c r="S1534" s="9" t="n">
        <v>46310</v>
      </c>
      <c r="T1534" s="3" t="n">
        <v>46303.58331018518</v>
      </c>
      <c r="U1534" s="2" t="n"/>
    </row>
    <row r="1535">
      <c r="A1535" s="2" t="inlineStr">
        <is>
          <t>Plazo vencido</t>
        </is>
      </c>
      <c r="B1535" s="3" t="n">
        <v>46314.99930555555</v>
      </c>
      <c r="C1535" s="5" t="n">
        <v>54111.89</v>
      </c>
      <c r="D1535" s="5" t="n">
        <v>54111.89</v>
      </c>
      <c r="E1535" s="2" t="inlineStr">
        <is>
          <t>Andalucía</t>
        </is>
      </c>
      <c r="F1535" s="2" t="inlineStr">
        <is>
          <t>Granada</t>
        </is>
      </c>
      <c r="G1535" s="2" t="inlineStr">
        <is>
          <t>Ácula, Ventas de Huelma</t>
        </is>
      </c>
      <c r="H1535" s="2" t="inlineStr">
        <is>
          <t>Alcaldía del Ayuntamiento de Ventas de Huelma</t>
        </is>
      </c>
      <c r="I1535" s="2" t="inlineStr">
        <is>
          <t>Contrato de mejora de climatización y mejora de protección contra incendios y ventilación en la nave de usos múltiples de Ácula.</t>
        </is>
      </c>
      <c r="J1535" s="2" t="inlineStr">
        <is>
          <t>117/2025</t>
        </is>
      </c>
      <c r="K1535" s="2" t="inlineStr">
        <is>
          <t>Abierto simplificado</t>
        </is>
      </c>
      <c r="L1535" s="6" t="n">
        <v>3</v>
      </c>
      <c r="M1535" s="2" t="n"/>
      <c r="N1535" s="7" t="n">
        <v>0</v>
      </c>
      <c r="O1535" s="4" t="n">
        <v>3</v>
      </c>
      <c r="P1535" s="2" t="inlineStr">
        <is>
          <t>45331000; 31321000; 42512300; 31321200; 50411300; 51700000</t>
        </is>
      </c>
      <c r="Q1535" s="8" t="inlineStr">
        <is>
          <t>Ver</t>
        </is>
      </c>
      <c r="R1535" s="8" t="inlineStr">
        <is>
          <t>PCAP</t>
        </is>
      </c>
      <c r="S1535" s="9" t="n">
        <v>46310</v>
      </c>
      <c r="T1535" s="3" t="n">
        <v>46303.57976851852</v>
      </c>
      <c r="U1535" s="2" t="n"/>
    </row>
    <row r="1536">
      <c r="A1536" s="2" t="inlineStr">
        <is>
          <t>Plazo vencido</t>
        </is>
      </c>
      <c r="B1536" s="3" t="n">
        <v>46318.99930555555</v>
      </c>
      <c r="C1536" s="5" t="n">
        <v>42982.34</v>
      </c>
      <c r="D1536" s="5" t="n">
        <v>42982.34</v>
      </c>
      <c r="E1536" s="2" t="inlineStr">
        <is>
          <t>Andalucía</t>
        </is>
      </c>
      <c r="F1536" s="2" t="inlineStr">
        <is>
          <t>Córdoba</t>
        </is>
      </c>
      <c r="G1536" s="2" t="n"/>
      <c r="H1536" s="2" t="inlineStr">
        <is>
          <t>Alcaldia del Ayuntamiento de Pozoblanco</t>
        </is>
      </c>
      <c r="I1536" s="2" t="inlineStr">
        <is>
          <t>Ejecución de las obras, por lotes, de ampliación de circuitos eléctricos para la climatización en Centros Educativos de Pozoblanco.</t>
        </is>
      </c>
      <c r="J1536" s="2" t="inlineStr">
        <is>
          <t>2026/025</t>
        </is>
      </c>
      <c r="K1536" s="2" t="inlineStr">
        <is>
          <t>Abierto simplificado</t>
        </is>
      </c>
      <c r="L1536" s="6" t="n">
        <v>1</v>
      </c>
      <c r="M1536" s="2" t="n"/>
      <c r="N1536" s="7" t="n">
        <v>0</v>
      </c>
      <c r="O1536" s="4" t="n">
        <v>3</v>
      </c>
      <c r="P1536" s="2" t="inlineStr">
        <is>
          <t>45310000; 45311000; 45315600</t>
        </is>
      </c>
      <c r="Q1536" s="8" t="inlineStr">
        <is>
          <t>Ver</t>
        </is>
      </c>
      <c r="R1536" s="8" t="inlineStr">
        <is>
          <t>PCAP</t>
        </is>
      </c>
      <c r="S1536" s="9" t="n">
        <v>46310</v>
      </c>
      <c r="T1536" s="3" t="n">
        <v>46303.57704861111</v>
      </c>
      <c r="U1536" s="2" t="n"/>
    </row>
    <row r="1537">
      <c r="A1537" s="2" t="inlineStr">
        <is>
          <t>Pendiente de adjudicación</t>
        </is>
      </c>
      <c r="B1537" s="3" t="n">
        <v>46210.58333333334</v>
      </c>
      <c r="C1537" s="5" t="n">
        <v>467674.62</v>
      </c>
      <c r="D1537" s="5" t="n">
        <v>467674.62</v>
      </c>
      <c r="E1537" s="2" t="inlineStr">
        <is>
          <t>Andalucía</t>
        </is>
      </c>
      <c r="F1537" s="2" t="inlineStr">
        <is>
          <t>Sevilla</t>
        </is>
      </c>
      <c r="G1537" s="2" t="n"/>
      <c r="H1537" s="2" t="inlineStr">
        <is>
          <t>Alcaldía del Ayuntamiento de Bollullos de la Mitación</t>
        </is>
      </c>
      <c r="I1537" s="2" t="inlineStr">
        <is>
          <t>Contrato de obra actuación de reforma en el polideportivo municipal. Plan sevilla 107</t>
        </is>
      </c>
      <c r="J1537" s="2" t="inlineStr">
        <is>
          <t>P4101600G-2026/000046-PAAS</t>
        </is>
      </c>
      <c r="K1537" s="2" t="inlineStr">
        <is>
          <t>Abierto simplificado</t>
        </is>
      </c>
      <c r="L1537" s="6" t="n">
        <v>6</v>
      </c>
      <c r="M1537" s="2" t="n"/>
      <c r="N1537" s="7" t="n">
        <v>0</v>
      </c>
      <c r="O1537" s="4" t="n"/>
      <c r="P1537" s="2" t="inlineStr">
        <is>
          <t>45212212; 45342000</t>
        </is>
      </c>
      <c r="Q1537" s="8" t="inlineStr">
        <is>
          <t>Ver</t>
        </is>
      </c>
      <c r="R1537" s="8" t="inlineStr">
        <is>
          <t>PCAP</t>
        </is>
      </c>
      <c r="S1537" s="9" t="n">
        <v>46310</v>
      </c>
      <c r="T1537" s="3" t="n">
        <v>46303.57653935185</v>
      </c>
      <c r="U1537" s="2" t="n"/>
    </row>
    <row r="1538">
      <c r="A1538" s="2" t="inlineStr">
        <is>
          <t>En plazo</t>
        </is>
      </c>
      <c r="B1538" s="3" t="n">
        <v>46323.99930555555</v>
      </c>
      <c r="C1538" s="5" t="n">
        <v>169747.73</v>
      </c>
      <c r="D1538" s="5" t="n">
        <v>169747.73</v>
      </c>
      <c r="E1538" s="2" t="inlineStr">
        <is>
          <t>Andalucía</t>
        </is>
      </c>
      <c r="F1538" s="2" t="inlineStr">
        <is>
          <t>Jaén</t>
        </is>
      </c>
      <c r="G1538" s="2" t="inlineStr">
        <is>
          <t>ESCAÑUELA</t>
        </is>
      </c>
      <c r="H1538" s="2" t="inlineStr">
        <is>
          <t>Pleno del Ayuntamiento de Escañuela</t>
        </is>
      </c>
      <c r="I1538" s="2" t="inlineStr">
        <is>
          <t>Obras necesarias para la reparación, restitución y mejora funcional de las piscinas municipales de Escañuela y de los espacios directamente vinculados a su utilización, promovido por el Ayuntamiento de Escañuela (Jaén).</t>
        </is>
      </c>
      <c r="J1538" s="2" t="inlineStr">
        <is>
          <t>429/2026</t>
        </is>
      </c>
      <c r="K1538" s="2" t="inlineStr">
        <is>
          <t>Abierto simplificado</t>
        </is>
      </c>
      <c r="L1538" s="6" t="n">
        <v>5</v>
      </c>
      <c r="M1538" s="2" t="n"/>
      <c r="N1538" s="7" t="n">
        <v>0</v>
      </c>
      <c r="O1538" s="4" t="n"/>
      <c r="P1538" s="2" t="inlineStr">
        <is>
          <t>45212212</t>
        </is>
      </c>
      <c r="Q1538" s="8" t="inlineStr">
        <is>
          <t>Ver</t>
        </is>
      </c>
      <c r="R1538" s="8" t="inlineStr">
        <is>
          <t>PCAP</t>
        </is>
      </c>
      <c r="S1538" s="9" t="n">
        <v>46310</v>
      </c>
      <c r="T1538" s="3" t="n">
        <v>46303.57612268518</v>
      </c>
      <c r="U1538" s="2" t="n"/>
    </row>
    <row r="1539">
      <c r="A1539" s="2" t="inlineStr">
        <is>
          <t>En plazo</t>
        </is>
      </c>
      <c r="B1539" s="3" t="n">
        <v>46337.375</v>
      </c>
      <c r="C1539" s="5" t="n">
        <v>204492.06</v>
      </c>
      <c r="D1539" s="5" t="n">
        <v>204492.06</v>
      </c>
      <c r="E1539" s="2" t="inlineStr">
        <is>
          <t>Comunitat Valenciana</t>
        </is>
      </c>
      <c r="F1539" s="2" t="inlineStr">
        <is>
          <t>Valencia</t>
        </is>
      </c>
      <c r="G1539" s="2" t="inlineStr">
        <is>
          <t>Vinalesa (Valencia)</t>
        </is>
      </c>
      <c r="H1539" s="2" t="inlineStr">
        <is>
          <t>Alcaldía del Ayuntamiento de Vinalesa</t>
        </is>
      </c>
      <c r="I1539" s="2" t="inlineStr">
        <is>
          <t>Actuación urbana de peatonalización Calles Esperanza, Maravillas y Consuelo.</t>
        </is>
      </c>
      <c r="J1539" s="2" t="inlineStr">
        <is>
          <t>2849618D</t>
        </is>
      </c>
      <c r="K1539" s="2" t="inlineStr">
        <is>
          <t>Abierto simplificado</t>
        </is>
      </c>
      <c r="L1539" s="6" t="n">
        <v>3</v>
      </c>
      <c r="M1539" s="2" t="n"/>
      <c r="N1539" s="7" t="n">
        <v>0</v>
      </c>
      <c r="O1539" s="4" t="n"/>
      <c r="P1539" s="2" t="inlineStr">
        <is>
          <t>45233262</t>
        </is>
      </c>
      <c r="Q1539" s="8" t="inlineStr">
        <is>
          <t>Ver</t>
        </is>
      </c>
      <c r="R1539" s="8" t="inlineStr">
        <is>
          <t>PCAP</t>
        </is>
      </c>
      <c r="S1539" s="9" t="n">
        <v>46310</v>
      </c>
      <c r="T1539" s="3" t="n">
        <v>46303.57305555556</v>
      </c>
      <c r="U1539" s="2" t="n"/>
    </row>
    <row r="1540">
      <c r="A1540" s="2" t="inlineStr">
        <is>
          <t>Resuelta</t>
        </is>
      </c>
      <c r="B1540" s="3" t="n"/>
      <c r="C1540" s="5" t="n">
        <v>4729184.45</v>
      </c>
      <c r="D1540" s="5" t="n">
        <v>4729184.45</v>
      </c>
      <c r="E1540" s="2" t="inlineStr">
        <is>
          <t>Comunitat Valenciana</t>
        </is>
      </c>
      <c r="F1540" s="2" t="inlineStr">
        <is>
          <t>Valencia</t>
        </is>
      </c>
      <c r="G1540" s="2" t="n"/>
      <c r="H1540" s="2" t="inlineStr">
        <is>
          <t>Vicepresidente Segundo y Conseller para la Recuperación Económica y Social de la Comunitat Valenciana y de Medio Ambiente, Infraestructuras y Territorio</t>
        </is>
      </c>
      <c r="I1540" s="2" t="inlineStr">
        <is>
          <t>Obras de emergencia DANA-2024 reparación instalaciones portuarias afectadas y restitución de calados en el puerto de Cullera de gestión directa de la Generalitat</t>
        </is>
      </c>
      <c r="J1540" s="2" t="inlineStr">
        <is>
          <t>CMAYOR/2024/24Y04/0056</t>
        </is>
      </c>
      <c r="K1540" s="2" t="inlineStr">
        <is>
          <t>Negociado sin publicidad</t>
        </is>
      </c>
      <c r="L1540" s="6" t="n">
        <v>6</v>
      </c>
      <c r="M1540" s="2" t="n"/>
      <c r="N1540" s="7" t="n">
        <v>0</v>
      </c>
      <c r="O1540" s="4" t="n"/>
      <c r="P1540" s="2" t="inlineStr">
        <is>
          <t>45244000; 45241000</t>
        </is>
      </c>
      <c r="Q1540" s="8" t="inlineStr">
        <is>
          <t>Ver</t>
        </is>
      </c>
      <c r="R1540" s="2" t="n"/>
      <c r="S1540" s="9" t="n">
        <v>46310</v>
      </c>
      <c r="T1540" s="3" t="n">
        <v>46303.57261574074</v>
      </c>
      <c r="U1540" s="2" t="n"/>
    </row>
    <row r="1541">
      <c r="A1541" s="2" t="inlineStr">
        <is>
          <t>Adjudicada</t>
        </is>
      </c>
      <c r="B1541" s="3" t="n">
        <v>46244.79166666666</v>
      </c>
      <c r="C1541" s="5" t="n">
        <v>805138.89</v>
      </c>
      <c r="D1541" s="5" t="n">
        <v>805138.89</v>
      </c>
      <c r="E1541" s="2" t="inlineStr">
        <is>
          <t>Comunitat Valenciana</t>
        </is>
      </c>
      <c r="F1541" s="2" t="inlineStr">
        <is>
          <t>Valencia</t>
        </is>
      </c>
      <c r="G1541" s="2" t="inlineStr">
        <is>
          <t>Alfara del Patriarca</t>
        </is>
      </c>
      <c r="H1541" s="2" t="inlineStr">
        <is>
          <t>Pleno del Ayuntamiento de Alfara del Patriarca</t>
        </is>
      </c>
      <c r="I1541" s="2" t="inlineStr">
        <is>
          <t>Cubierta para pista deportiva y graderío lateral en polideportivo municipal "El Paretó" de Alfara del Patriarca</t>
        </is>
      </c>
      <c r="J1541" s="2" t="inlineStr">
        <is>
          <t>481/2026</t>
        </is>
      </c>
      <c r="K1541" s="2" t="inlineStr">
        <is>
          <t>Abierto simplificado</t>
        </is>
      </c>
      <c r="L1541" s="6" t="n">
        <v>4</v>
      </c>
      <c r="M1541" s="2" t="inlineStr">
        <is>
          <t>C3-3</t>
        </is>
      </c>
      <c r="N1541" s="7" t="n">
        <v>0</v>
      </c>
      <c r="O1541" s="4" t="n"/>
      <c r="P1541" s="2" t="inlineStr">
        <is>
          <t>45200000; 45212000; 45210000; 45211350; 45212200</t>
        </is>
      </c>
      <c r="Q1541" s="8" t="inlineStr">
        <is>
          <t>Ver</t>
        </is>
      </c>
      <c r="R1541" s="8" t="inlineStr">
        <is>
          <t>PCAP</t>
        </is>
      </c>
      <c r="S1541" s="9" t="n">
        <v>46310</v>
      </c>
      <c r="T1541" s="3" t="n">
        <v>46303.57125</v>
      </c>
      <c r="U1541" s="2" t="n"/>
    </row>
    <row r="1542">
      <c r="A1542" s="2" t="inlineStr">
        <is>
          <t>Plazo vencido</t>
        </is>
      </c>
      <c r="B1542" s="3" t="n">
        <v>46318.99930555555</v>
      </c>
      <c r="C1542" s="5" t="n">
        <v>41614.94</v>
      </c>
      <c r="D1542" s="5" t="n">
        <v>41614.94</v>
      </c>
      <c r="E1542" s="2" t="inlineStr">
        <is>
          <t>Andalucía</t>
        </is>
      </c>
      <c r="F1542" s="2" t="inlineStr">
        <is>
          <t>Huelva</t>
        </is>
      </c>
      <c r="G1542" s="2" t="inlineStr">
        <is>
          <t>La Palma del Condado</t>
        </is>
      </c>
      <c r="H1542" s="2" t="inlineStr">
        <is>
          <t>Alcaldía del Ayuntamiento de La Palma del Condado</t>
        </is>
      </c>
      <c r="I1542" s="2" t="inlineStr">
        <is>
          <t>Obras de rehabilitación de 4 edificios municipales: Casa de los Tirado, Teatro España, Casa de la Música y Casa del Diezmo, subvencionadas por la Consejería de Administración Local de la Junta de Andalucía</t>
        </is>
      </c>
      <c r="J1542" s="2" t="inlineStr">
        <is>
          <t>2112/2026</t>
        </is>
      </c>
      <c r="K1542" s="2" t="inlineStr">
        <is>
          <t>Abierto simplificado</t>
        </is>
      </c>
      <c r="L1542" s="6" t="n">
        <v>4</v>
      </c>
      <c r="M1542" s="2" t="n"/>
      <c r="N1542" s="7" t="n">
        <v>0</v>
      </c>
      <c r="O1542" s="4" t="n"/>
      <c r="P1542" s="2" t="inlineStr">
        <is>
          <t>45000000</t>
        </is>
      </c>
      <c r="Q1542" s="8" t="inlineStr">
        <is>
          <t>Ver</t>
        </is>
      </c>
      <c r="R1542" s="8" t="inlineStr">
        <is>
          <t>PCAP</t>
        </is>
      </c>
      <c r="S1542" s="9" t="n">
        <v>46310</v>
      </c>
      <c r="T1542" s="3" t="n">
        <v>46303.57122685185</v>
      </c>
      <c r="U1542" s="2" t="n"/>
    </row>
    <row r="1543">
      <c r="A1543" s="2" t="inlineStr">
        <is>
          <t>Resuelta</t>
        </is>
      </c>
      <c r="B1543" s="3" t="n">
        <v>46223.99930555555</v>
      </c>
      <c r="C1543" s="5" t="n">
        <v>214876.03</v>
      </c>
      <c r="D1543" s="5" t="n">
        <v>257851.24</v>
      </c>
      <c r="E1543" s="2" t="inlineStr">
        <is>
          <t>Andalucía</t>
        </is>
      </c>
      <c r="F1543" s="2" t="inlineStr">
        <is>
          <t>Almería</t>
        </is>
      </c>
      <c r="G1543" s="2" t="n"/>
      <c r="H1543" s="2" t="inlineStr">
        <is>
          <t>Junta de Gobierno Local del Ayuntamiento de El Ejido</t>
        </is>
      </c>
      <c r="I1543" s="2" t="inlineStr">
        <is>
          <t>Ejecución del proyecto de obras denominado: Vallado de conjunto Megalítico Derramaderos de Ugijar, incluido en el Plan de Actuación Integrado (PAI) El Ejido 2029: +SOSTENIBLE +COHESIONADO, cofinanciado en un 85% por el Fondo Europeo de Desarrollo Regional (FEDER), en el marco del Programa Plurirregional 2021 - 2027.</t>
        </is>
      </c>
      <c r="J1543" s="2" t="inlineStr">
        <is>
          <t>2026 776</t>
        </is>
      </c>
      <c r="K1543" s="2" t="inlineStr">
        <is>
          <t>Abierto simplificado</t>
        </is>
      </c>
      <c r="L1543" s="6" t="n">
        <v>3</v>
      </c>
      <c r="M1543" s="2" t="n"/>
      <c r="N1543" s="7" t="n">
        <v>0.25</v>
      </c>
      <c r="O1543" s="4" t="n"/>
      <c r="P1543" s="2" t="inlineStr">
        <is>
          <t>45100000; 45421160; 45233300</t>
        </is>
      </c>
      <c r="Q1543" s="8" t="inlineStr">
        <is>
          <t>Ver</t>
        </is>
      </c>
      <c r="R1543" s="8" t="inlineStr">
        <is>
          <t>PCAP</t>
        </is>
      </c>
      <c r="S1543" s="9" t="n">
        <v>46310</v>
      </c>
      <c r="T1543" s="3" t="n">
        <v>46303.56965277778</v>
      </c>
      <c r="U1543" s="2" t="n"/>
    </row>
    <row r="1544">
      <c r="A1544" s="2" t="inlineStr">
        <is>
          <t>Resuelta</t>
        </is>
      </c>
      <c r="B1544" s="3" t="n">
        <v>46265.5</v>
      </c>
      <c r="C1544" s="5" t="n">
        <v>380339.23</v>
      </c>
      <c r="D1544" s="5" t="n">
        <v>380339.23</v>
      </c>
      <c r="E1544" s="2" t="inlineStr">
        <is>
          <t>Comunitat Valenciana</t>
        </is>
      </c>
      <c r="F1544" s="2" t="inlineStr">
        <is>
          <t>Valencia</t>
        </is>
      </c>
      <c r="G1544" s="2" t="n"/>
      <c r="H1544" s="2" t="inlineStr">
        <is>
          <t>Dirección General del Circuito del Motor y Promoción Deportiva S.A.</t>
        </is>
      </c>
      <c r="I1544" s="2" t="inlineStr">
        <is>
          <t>Contrato de obras de adecuación del edificio médico del Circuit De La Comunitat Valenciana Ricardo Tormo</t>
        </is>
      </c>
      <c r="J1544" s="2" t="inlineStr">
        <is>
          <t>CMAYOR/2026/CMPD0/0025</t>
        </is>
      </c>
      <c r="K1544" s="2" t="inlineStr">
        <is>
          <t>Abierto simplificado</t>
        </is>
      </c>
      <c r="L1544" s="6" t="n">
        <v>4</v>
      </c>
      <c r="M1544" s="2" t="n"/>
      <c r="N1544" s="7" t="n">
        <v>0</v>
      </c>
      <c r="O1544" s="4" t="n"/>
      <c r="P1544" s="2" t="inlineStr">
        <is>
          <t>45215100; 45262700; 45300000</t>
        </is>
      </c>
      <c r="Q1544" s="8" t="inlineStr">
        <is>
          <t>Ver</t>
        </is>
      </c>
      <c r="R1544" s="8" t="inlineStr">
        <is>
          <t>PCAP</t>
        </is>
      </c>
      <c r="S1544" s="9" t="n">
        <v>46310</v>
      </c>
      <c r="T1544" s="3" t="n">
        <v>46303.56881944444</v>
      </c>
      <c r="U1544" s="2" t="n"/>
    </row>
    <row r="1545">
      <c r="A1545" s="2" t="inlineStr">
        <is>
          <t>Pendiente de adjudicación</t>
        </is>
      </c>
      <c r="B1545" s="3" t="n">
        <v>46288.99930555555</v>
      </c>
      <c r="C1545" s="5" t="n">
        <v>67768.60000000001</v>
      </c>
      <c r="D1545" s="5" t="n">
        <v>67768.60000000001</v>
      </c>
      <c r="E1545" s="2" t="inlineStr">
        <is>
          <t>Andalucía</t>
        </is>
      </c>
      <c r="F1545" s="2" t="inlineStr">
        <is>
          <t>Granada</t>
        </is>
      </c>
      <c r="G1545" s="2" t="inlineStr">
        <is>
          <t>BACOR-OLIVAR</t>
        </is>
      </c>
      <c r="H1545" s="2" t="inlineStr">
        <is>
          <t>Presidencia de la Diputación Provincial de Granada</t>
        </is>
      </c>
      <c r="I1545" s="2" t="inlineStr">
        <is>
          <t>2026/4/PPOYS-21/1 "Bácor Olivar, acondicionamiento de redes y pavimentación en C/Paraíso"</t>
        </is>
      </c>
      <c r="J1545" s="2" t="inlineStr">
        <is>
          <t>OB-042/26</t>
        </is>
      </c>
      <c r="K1545" s="2" t="inlineStr">
        <is>
          <t>Abierto simplificado</t>
        </is>
      </c>
      <c r="L1545" s="6" t="n">
        <v>4</v>
      </c>
      <c r="M1545" s="2" t="inlineStr">
        <is>
          <t>G6-1; E7-1</t>
        </is>
      </c>
      <c r="N1545" s="7" t="n">
        <v>0</v>
      </c>
      <c r="O1545" s="4" t="n"/>
      <c r="P1545" s="2" t="inlineStr">
        <is>
          <t>45231100; 45233252</t>
        </is>
      </c>
      <c r="Q1545" s="8" t="inlineStr">
        <is>
          <t>Ver</t>
        </is>
      </c>
      <c r="R1545" s="8" t="inlineStr">
        <is>
          <t>PCAP</t>
        </is>
      </c>
      <c r="S1545" s="9" t="n">
        <v>46310</v>
      </c>
      <c r="T1545" s="3" t="n">
        <v>46303.56633101852</v>
      </c>
      <c r="U1545" s="2" t="n"/>
    </row>
    <row r="1546">
      <c r="A1546" s="2" t="inlineStr">
        <is>
          <t>En plazo</t>
        </is>
      </c>
      <c r="B1546" s="3" t="n">
        <v>46323.99930555555</v>
      </c>
      <c r="C1546" s="5" t="n">
        <v>675994.61</v>
      </c>
      <c r="D1546" s="5" t="n">
        <v>743594.0699999999</v>
      </c>
      <c r="E1546" s="2" t="inlineStr">
        <is>
          <t>Comunitat Valenciana</t>
        </is>
      </c>
      <c r="F1546" s="2" t="inlineStr">
        <is>
          <t>Valencia</t>
        </is>
      </c>
      <c r="G1546" s="2" t="n"/>
      <c r="H1546" s="2" t="inlineStr">
        <is>
          <t>Junta de Gobierno del Ajuntament de València</t>
        </is>
      </c>
      <c r="I1546" s="2" t="inlineStr">
        <is>
          <t>Ejecución de las Obras denominadas Limpieza y mantenimiento de las fachadas del Mercado Central de València.-</t>
        </is>
      </c>
      <c r="J1546" s="2" t="inlineStr">
        <is>
          <t>04101/2026/236-O</t>
        </is>
      </c>
      <c r="K1546" s="2" t="inlineStr">
        <is>
          <t>Abierto simplificado</t>
        </is>
      </c>
      <c r="L1546" s="6" t="n">
        <v>5</v>
      </c>
      <c r="M1546" s="2" t="inlineStr">
        <is>
          <t>K7-3</t>
        </is>
      </c>
      <c r="N1546" s="7" t="n">
        <v>0</v>
      </c>
      <c r="O1546" s="4" t="n"/>
      <c r="P1546" s="2" t="inlineStr">
        <is>
          <t>45213141</t>
        </is>
      </c>
      <c r="Q1546" s="8" t="inlineStr">
        <is>
          <t>Ver</t>
        </is>
      </c>
      <c r="R1546" s="8" t="inlineStr">
        <is>
          <t>PCAP</t>
        </is>
      </c>
      <c r="S1546" s="9" t="n">
        <v>46310</v>
      </c>
      <c r="T1546" s="3" t="n">
        <v>46303.56224537037</v>
      </c>
      <c r="U1546" s="2" t="n"/>
    </row>
    <row r="1547">
      <c r="A1547" s="2" t="inlineStr">
        <is>
          <t>Resuelta</t>
        </is>
      </c>
      <c r="B1547" s="3" t="n">
        <v>46289.99930555555</v>
      </c>
      <c r="C1547" s="5" t="n">
        <v>44522.11</v>
      </c>
      <c r="D1547" s="5" t="n">
        <v>44522.11</v>
      </c>
      <c r="E1547" s="2" t="inlineStr">
        <is>
          <t>Comunitat Valenciana</t>
        </is>
      </c>
      <c r="F1547" s="2" t="inlineStr">
        <is>
          <t>Alicante</t>
        </is>
      </c>
      <c r="G1547" s="2" t="n"/>
      <c r="H1547" s="2" t="inlineStr">
        <is>
          <t>Alcaldía del Ayuntamiento de Dolores</t>
        </is>
      </c>
      <c r="I1547" s="2" t="inlineStr">
        <is>
          <t>Obras de pavimentación de caminos Cuadra Nueva.</t>
        </is>
      </c>
      <c r="J1547" s="2" t="inlineStr">
        <is>
          <t>3507/2026</t>
        </is>
      </c>
      <c r="K1547" s="2" t="inlineStr">
        <is>
          <t>Abierto simplificado</t>
        </is>
      </c>
      <c r="L1547" s="6" t="n">
        <v>0.5</v>
      </c>
      <c r="M1547" s="2" t="n"/>
      <c r="N1547" s="7" t="n">
        <v>0</v>
      </c>
      <c r="O1547" s="4" t="n"/>
      <c r="P1547" s="2" t="inlineStr">
        <is>
          <t>45233140; 45233222</t>
        </is>
      </c>
      <c r="Q1547" s="8" t="inlineStr">
        <is>
          <t>Ver</t>
        </is>
      </c>
      <c r="R1547" s="8" t="inlineStr">
        <is>
          <t>PCAP</t>
        </is>
      </c>
      <c r="S1547" s="9" t="n">
        <v>46310</v>
      </c>
      <c r="T1547" s="3" t="n">
        <v>46303.56158564815</v>
      </c>
      <c r="U1547" s="2" t="n"/>
    </row>
    <row r="1548">
      <c r="A1548" s="2" t="inlineStr">
        <is>
          <t>Plazo vencido</t>
        </is>
      </c>
      <c r="B1548" s="3" t="n">
        <v>46314.99930555555</v>
      </c>
      <c r="C1548" s="5" t="n">
        <v>2207320.13</v>
      </c>
      <c r="D1548" s="5" t="n">
        <v>2207320.13</v>
      </c>
      <c r="E1548" s="2" t="inlineStr">
        <is>
          <t>Comunitat Valenciana</t>
        </is>
      </c>
      <c r="F1548" s="2" t="inlineStr">
        <is>
          <t>Valencia</t>
        </is>
      </c>
      <c r="G1548" s="2" t="inlineStr">
        <is>
          <t>Valencia</t>
        </is>
      </c>
      <c r="H1548" s="2" t="inlineStr">
        <is>
          <t>Departamento de Salud Valencia - Arnau de Vilanova - Llíria. Dirección Económica-Gerencia</t>
        </is>
      </c>
      <c r="I1548" s="2" t="inlineStr">
        <is>
          <t>Obras de Reforma de Climatización Fase II del Hospital Arnau de Vilanova del Departamento de Salud De Valencia-Arnau de Vilanova-Llíria</t>
        </is>
      </c>
      <c r="J1548" s="2" t="inlineStr">
        <is>
          <t>1564/2026</t>
        </is>
      </c>
      <c r="K1548" s="2" t="inlineStr">
        <is>
          <t>Abierto</t>
        </is>
      </c>
      <c r="L1548" s="6" t="n">
        <v>28</v>
      </c>
      <c r="M1548" s="2" t="n"/>
      <c r="N1548" s="7" t="n">
        <v>0.36</v>
      </c>
      <c r="O1548" s="4" t="n"/>
      <c r="P1548" s="2" t="inlineStr">
        <is>
          <t>45215140; 45331000; 45262900; 45310000</t>
        </is>
      </c>
      <c r="Q1548" s="8" t="inlineStr">
        <is>
          <t>Ver</t>
        </is>
      </c>
      <c r="R1548" s="8" t="inlineStr">
        <is>
          <t>PCAP</t>
        </is>
      </c>
      <c r="S1548" s="9" t="n">
        <v>46310</v>
      </c>
      <c r="T1548" s="3" t="n">
        <v>46303.56114583334</v>
      </c>
      <c r="U1548" s="2" t="n"/>
    </row>
    <row r="1549">
      <c r="A1549" s="2" t="inlineStr">
        <is>
          <t>Resuelta</t>
        </is>
      </c>
      <c r="B1549" s="3" t="n">
        <v>46281.5</v>
      </c>
      <c r="C1549" s="5" t="n">
        <v>133261.47</v>
      </c>
      <c r="D1549" s="5" t="n">
        <v>133261.47</v>
      </c>
      <c r="E1549" s="2" t="inlineStr">
        <is>
          <t>Andalucía</t>
        </is>
      </c>
      <c r="F1549" s="2" t="inlineStr">
        <is>
          <t>Córdoba</t>
        </is>
      </c>
      <c r="G1549" s="2" t="n"/>
      <c r="H1549" s="2" t="inlineStr">
        <is>
          <t>Jefatura de Intendencia de Asuntos Económicos Sur</t>
        </is>
      </c>
      <c r="I1549" s="2" t="inlineStr">
        <is>
          <t>OBRA TC 204-52/24 de sustitución de cubierta y reparación de elementos estructurales en hangar nº 08, USBA Cerro Muriano Córdoba</t>
        </is>
      </c>
      <c r="J1549" s="2" t="inlineStr">
        <is>
          <t>2026/ETSAE0226/00005610E</t>
        </is>
      </c>
      <c r="K1549" s="2" t="inlineStr">
        <is>
          <t>Abierto</t>
        </is>
      </c>
      <c r="L1549" s="6" t="n">
        <v>3</v>
      </c>
      <c r="M1549" s="2" t="n"/>
      <c r="N1549" s="7" t="n">
        <v>0</v>
      </c>
      <c r="O1549" s="4" t="n"/>
      <c r="P1549" s="2" t="inlineStr">
        <is>
          <t>45261213</t>
        </is>
      </c>
      <c r="Q1549" s="8" t="inlineStr">
        <is>
          <t>Ver</t>
        </is>
      </c>
      <c r="R1549" s="8" t="inlineStr">
        <is>
          <t>PCAP</t>
        </is>
      </c>
      <c r="S1549" s="9" t="n">
        <v>46310</v>
      </c>
      <c r="T1549" s="3" t="n">
        <v>46303.55696759259</v>
      </c>
      <c r="U1549" s="2" t="n"/>
    </row>
    <row r="1550">
      <c r="A1550" s="2" t="inlineStr">
        <is>
          <t>Resuelta</t>
        </is>
      </c>
      <c r="B1550" s="3" t="n">
        <v>46216.99930555555</v>
      </c>
      <c r="C1550" s="5" t="n">
        <v>126324.03</v>
      </c>
      <c r="D1550" s="5" t="n">
        <v>151588.84</v>
      </c>
      <c r="E1550" s="2" t="inlineStr">
        <is>
          <t>Comunitat Valenciana</t>
        </is>
      </c>
      <c r="F1550" s="2" t="inlineStr">
        <is>
          <t>Valencia</t>
        </is>
      </c>
      <c r="G1550" s="2" t="inlineStr">
        <is>
          <t>Canals</t>
        </is>
      </c>
      <c r="H1550" s="2" t="inlineStr">
        <is>
          <t>Dirección Territorial de Educación, Investigación, Cultura y Deporte - Valencia</t>
        </is>
      </c>
      <c r="I1550" s="2" t="inlineStr">
        <is>
          <t>Mejoras y acondicionamiento de sombra, pista deportiva y juegos infantiles en el CEIP José Mollá de Canals</t>
        </is>
      </c>
      <c r="J1550" s="2" t="inlineStr">
        <is>
          <t>CMAYOR/2026/19Y16/0030</t>
        </is>
      </c>
      <c r="K1550" s="2" t="inlineStr">
        <is>
          <t>Abierto simplificado</t>
        </is>
      </c>
      <c r="L1550" s="6" t="n">
        <v>2</v>
      </c>
      <c r="M1550" s="2" t="n"/>
      <c r="N1550" s="7" t="n">
        <v>0</v>
      </c>
      <c r="O1550" s="4" t="n"/>
      <c r="P1550" s="2" t="inlineStr">
        <is>
          <t>45214210</t>
        </is>
      </c>
      <c r="Q1550" s="8" t="inlineStr">
        <is>
          <t>Ver</t>
        </is>
      </c>
      <c r="R1550" s="8" t="inlineStr">
        <is>
          <t>PCAP</t>
        </is>
      </c>
      <c r="S1550" s="9" t="n">
        <v>46310</v>
      </c>
      <c r="T1550" s="3" t="n">
        <v>46303.55517361111</v>
      </c>
      <c r="U1550" s="2" t="n"/>
    </row>
    <row r="1551">
      <c r="A1551" s="2" t="inlineStr">
        <is>
          <t>Resuelta</t>
        </is>
      </c>
      <c r="B1551" s="3" t="n">
        <v>46233.99930555555</v>
      </c>
      <c r="C1551" s="5" t="n">
        <v>97316.09</v>
      </c>
      <c r="D1551" s="5" t="n">
        <v>116779.31</v>
      </c>
      <c r="E1551" s="2" t="inlineStr">
        <is>
          <t>Andalucía</t>
        </is>
      </c>
      <c r="F1551" s="2" t="inlineStr">
        <is>
          <t>Almería</t>
        </is>
      </c>
      <c r="G1551" s="2" t="n"/>
      <c r="H1551" s="2" t="inlineStr">
        <is>
          <t>Junta de Gobierno Local del Ayuntamiento de El Ejido</t>
        </is>
      </c>
      <c r="I1551" s="2" t="inlineStr">
        <is>
          <t>Es objeto de la presente licitación por el procedimiento abierto simplificado, la contratación de la ejecución del proyecto de obras denominado: "ADECUACIÓN DE SOLARES COMO APARCAMIENTOS EN ZONA DE EJIDO NORTE", conforme a las especificaciones y características expuestas en el presente pliego y en el proyecto técnico.</t>
        </is>
      </c>
      <c r="J1551" s="2" t="inlineStr">
        <is>
          <t>2026 1161</t>
        </is>
      </c>
      <c r="K1551" s="2" t="inlineStr">
        <is>
          <t>Abierto simplificado</t>
        </is>
      </c>
      <c r="L1551" s="6" t="n">
        <v>2</v>
      </c>
      <c r="M1551" s="2" t="n"/>
      <c r="N1551" s="7" t="n">
        <v>0.25</v>
      </c>
      <c r="O1551" s="4" t="n"/>
      <c r="P1551" s="2" t="inlineStr">
        <is>
          <t>45233200</t>
        </is>
      </c>
      <c r="Q1551" s="8" t="inlineStr">
        <is>
          <t>Ver</t>
        </is>
      </c>
      <c r="R1551" s="8" t="inlineStr">
        <is>
          <t>PCAP</t>
        </is>
      </c>
      <c r="S1551" s="9" t="n">
        <v>46310</v>
      </c>
      <c r="T1551" s="3" t="n">
        <v>46303.55221064815</v>
      </c>
      <c r="U1551" s="2" t="n"/>
    </row>
    <row r="1552">
      <c r="A1552" s="2" t="inlineStr">
        <is>
          <t>Resuelta</t>
        </is>
      </c>
      <c r="B1552" s="3" t="n">
        <v>46211.99930555555</v>
      </c>
      <c r="C1552" s="5" t="n">
        <v>17250</v>
      </c>
      <c r="D1552" s="5" t="n">
        <v>17250</v>
      </c>
      <c r="E1552" s="2" t="inlineStr">
        <is>
          <t>Andalucía</t>
        </is>
      </c>
      <c r="F1552" s="2" t="inlineStr">
        <is>
          <t>Sevilla</t>
        </is>
      </c>
      <c r="G1552" s="2" t="n"/>
      <c r="H1552" s="2" t="inlineStr">
        <is>
          <t>Teniente Alcalde, Delegado de Contratación del Ayuntamiento de Lebrija</t>
        </is>
      </c>
      <c r="I1552" s="2" t="inlineStr">
        <is>
          <t>Contratación de equipos de obras (vehículos y maquinaria dotados de conductor) y arrendamiento de maquinarias de obras sin conductor, para la ejecución de las obras "Actuaciones de reposición y mejoras en el arbolado público" (PFEA 2025).</t>
        </is>
      </c>
      <c r="J1552" s="2" t="inlineStr">
        <is>
          <t>PCA/93/2026</t>
        </is>
      </c>
      <c r="K1552" s="2" t="inlineStr">
        <is>
          <t>Abierto simplificado</t>
        </is>
      </c>
      <c r="L1552" s="6" t="n">
        <v>6</v>
      </c>
      <c r="M1552" s="2" t="n"/>
      <c r="N1552" s="7" t="n">
        <v>0</v>
      </c>
      <c r="O1552" s="4" t="n">
        <v>3</v>
      </c>
      <c r="P1552" s="2" t="inlineStr">
        <is>
          <t>45500000; 43300000; 60180000</t>
        </is>
      </c>
      <c r="Q1552" s="8" t="inlineStr">
        <is>
          <t>Ver</t>
        </is>
      </c>
      <c r="R1552" s="8" t="inlineStr">
        <is>
          <t>PCAP</t>
        </is>
      </c>
      <c r="S1552" s="9" t="n">
        <v>46310</v>
      </c>
      <c r="T1552" s="3" t="n">
        <v>46303.55056712963</v>
      </c>
      <c r="U1552" s="2" t="n"/>
    </row>
    <row r="1553">
      <c r="A1553" s="2" t="inlineStr">
        <is>
          <t>Pendiente de adjudicación</t>
        </is>
      </c>
      <c r="B1553" s="3" t="n">
        <v>46279.99930555555</v>
      </c>
      <c r="C1553" s="5" t="n">
        <v>868208.66</v>
      </c>
      <c r="D1553" s="5" t="n">
        <v>868208.66</v>
      </c>
      <c r="E1553" s="2" t="inlineStr">
        <is>
          <t>Comunitat Valenciana</t>
        </is>
      </c>
      <c r="F1553" s="2" t="inlineStr">
        <is>
          <t>Castellón</t>
        </is>
      </c>
      <c r="G1553" s="2" t="n"/>
      <c r="H1553" s="2" t="inlineStr">
        <is>
          <t>Junta de Gobierno del Ayuntamiento de Castellón de la Plana</t>
        </is>
      </c>
      <c r="I1553" s="2" t="inlineStr">
        <is>
          <t>Construcción de medidas correctoras del impacto acústico del Recinto de Ferias y Mercados de Castellón de la Plana</t>
        </is>
      </c>
      <c r="J1553" s="2" t="inlineStr">
        <is>
          <t>146569/2025</t>
        </is>
      </c>
      <c r="K1553" s="2" t="inlineStr">
        <is>
          <t>Abierto</t>
        </is>
      </c>
      <c r="L1553" s="6" t="n">
        <v>5</v>
      </c>
      <c r="M1553" s="2" t="n"/>
      <c r="N1553" s="7" t="n">
        <v>0.48</v>
      </c>
      <c r="O1553" s="4" t="n"/>
      <c r="P1553" s="2" t="inlineStr">
        <is>
          <t>45220000</t>
        </is>
      </c>
      <c r="Q1553" s="8" t="inlineStr">
        <is>
          <t>Ver</t>
        </is>
      </c>
      <c r="R1553" s="8" t="inlineStr">
        <is>
          <t>PCAP</t>
        </is>
      </c>
      <c r="S1553" s="9" t="n">
        <v>46310</v>
      </c>
      <c r="T1553" s="3" t="n">
        <v>46303.54873842592</v>
      </c>
      <c r="U1553" s="2" t="n"/>
    </row>
    <row r="1554">
      <c r="A1554" s="2" t="inlineStr">
        <is>
          <t>Resuelta</t>
        </is>
      </c>
      <c r="B1554" s="3" t="n">
        <v>46276.41666666666</v>
      </c>
      <c r="C1554" s="5" t="n">
        <v>207278.74</v>
      </c>
      <c r="D1554" s="5" t="n">
        <v>207278.74</v>
      </c>
      <c r="E1554" s="2" t="inlineStr">
        <is>
          <t>Andalucía</t>
        </is>
      </c>
      <c r="F1554" s="2" t="inlineStr">
        <is>
          <t>Córdoba</t>
        </is>
      </c>
      <c r="G1554" s="2" t="n"/>
      <c r="H1554" s="2" t="inlineStr">
        <is>
          <t>Jefatura de Intendencia de Asuntos Económicos Sur</t>
        </is>
      </c>
      <c r="I1554" s="2" t="inlineStr">
        <is>
          <t>OBRA TC 204-67/24 de sustitución de la cubierta y elementos de saneamiento vinculados del edificio 55, Base Cerro Muriano, Córdoba</t>
        </is>
      </c>
      <c r="J1554" s="2" t="inlineStr">
        <is>
          <t>2026/ETSAE0226/00005368E</t>
        </is>
      </c>
      <c r="K1554" s="2" t="inlineStr">
        <is>
          <t>Abierto</t>
        </is>
      </c>
      <c r="L1554" s="6" t="n">
        <v>2</v>
      </c>
      <c r="M1554" s="2" t="n"/>
      <c r="N1554" s="7" t="n">
        <v>0</v>
      </c>
      <c r="O1554" s="4" t="n"/>
      <c r="P1554" s="2" t="inlineStr">
        <is>
          <t>45261213</t>
        </is>
      </c>
      <c r="Q1554" s="8" t="inlineStr">
        <is>
          <t>Ver</t>
        </is>
      </c>
      <c r="R1554" s="8" t="inlineStr">
        <is>
          <t>PCAP</t>
        </is>
      </c>
      <c r="S1554" s="9" t="n">
        <v>46310</v>
      </c>
      <c r="T1554" s="3" t="n">
        <v>46303.54756944445</v>
      </c>
      <c r="U1554" s="2" t="n"/>
    </row>
    <row r="1555">
      <c r="A1555" s="2" t="inlineStr">
        <is>
          <t>Pendiente de adjudicación</t>
        </is>
      </c>
      <c r="B1555" s="3" t="n">
        <v>46258.99930555555</v>
      </c>
      <c r="C1555" s="5" t="n">
        <v>81827.05</v>
      </c>
      <c r="D1555" s="5" t="n">
        <v>81827.05</v>
      </c>
      <c r="E1555" s="2" t="inlineStr">
        <is>
          <t>Andalucía</t>
        </is>
      </c>
      <c r="F1555" s="2" t="inlineStr">
        <is>
          <t>Sevilla</t>
        </is>
      </c>
      <c r="G1555" s="2" t="n"/>
      <c r="H1555" s="2" t="inlineStr">
        <is>
          <t>Alcaldía del Ayuntamiento de Cañada Rosal</t>
        </is>
      </c>
      <c r="I1555" s="2" t="inlineStr">
        <is>
          <t>Contratación para la ejecución del proyecto de mejora de la eficiencia energética de la Casa Consistorial del Ayuntamiento de Cañada Rosal.</t>
        </is>
      </c>
      <c r="J1555" s="2" t="inlineStr">
        <is>
          <t>2026/CTT_01/000053</t>
        </is>
      </c>
      <c r="K1555" s="2" t="inlineStr">
        <is>
          <t>Abierto simplificado</t>
        </is>
      </c>
      <c r="L1555" s="6" t="n">
        <v>3</v>
      </c>
      <c r="M1555" s="2" t="n"/>
      <c r="N1555" s="7" t="n">
        <v>0</v>
      </c>
      <c r="O1555" s="4" t="n"/>
      <c r="P1555" s="2" t="inlineStr">
        <is>
          <t>45400000; 44221110; 44221230; 44221111; 44221000</t>
        </is>
      </c>
      <c r="Q1555" s="8" t="inlineStr">
        <is>
          <t>Ver</t>
        </is>
      </c>
      <c r="R1555" s="8" t="inlineStr">
        <is>
          <t>PCAP</t>
        </is>
      </c>
      <c r="S1555" s="9" t="n">
        <v>46310</v>
      </c>
      <c r="T1555" s="3" t="n">
        <v>46303.54560185185</v>
      </c>
      <c r="U1555" s="2" t="n"/>
    </row>
    <row r="1556">
      <c r="A1556" s="2" t="inlineStr">
        <is>
          <t>Resuelta</t>
        </is>
      </c>
      <c r="B1556" s="3" t="n">
        <v>46174.99930555555</v>
      </c>
      <c r="C1556" s="5" t="n">
        <v>2223232.34</v>
      </c>
      <c r="D1556" s="5" t="n">
        <v>2890202.04</v>
      </c>
      <c r="E1556" s="2" t="inlineStr">
        <is>
          <t>Comunitat Valenciana</t>
        </is>
      </c>
      <c r="F1556" s="2" t="inlineStr">
        <is>
          <t>Alicante</t>
        </is>
      </c>
      <c r="G1556" s="2" t="inlineStr">
        <is>
          <t>ELCHE</t>
        </is>
      </c>
      <c r="H1556" s="2" t="inlineStr">
        <is>
          <t>Departamento de Salud de Elche. Dirección Económica-Gerencia</t>
        </is>
      </c>
      <c r="I1556" s="2" t="inlineStr">
        <is>
          <t>Obra de reforma integral de paritorios del Hospital General Universitario de Elche..</t>
        </is>
      </c>
      <c r="J1556" s="2" t="inlineStr">
        <is>
          <t>PA 217/2026</t>
        </is>
      </c>
      <c r="K1556" s="2" t="inlineStr">
        <is>
          <t>Abierto</t>
        </is>
      </c>
      <c r="L1556" s="6" t="n">
        <v>6</v>
      </c>
      <c r="M1556" s="2" t="inlineStr">
        <is>
          <t>J2-4</t>
        </is>
      </c>
      <c r="N1556" s="7" t="n">
        <v>0.35</v>
      </c>
      <c r="O1556" s="4" t="n"/>
      <c r="P1556" s="2" t="inlineStr">
        <is>
          <t>45215140</t>
        </is>
      </c>
      <c r="Q1556" s="8" t="inlineStr">
        <is>
          <t>Ver</t>
        </is>
      </c>
      <c r="R1556" s="8" t="inlineStr">
        <is>
          <t>PCAP</t>
        </is>
      </c>
      <c r="S1556" s="9" t="n">
        <v>46310</v>
      </c>
      <c r="T1556" s="3" t="n">
        <v>46303.54170138889</v>
      </c>
      <c r="U1556" s="2" t="n"/>
    </row>
    <row r="1557">
      <c r="A1557" s="2" t="inlineStr">
        <is>
          <t>Plazo vencido</t>
        </is>
      </c>
      <c r="B1557" s="3" t="n">
        <v>46315.99930555555</v>
      </c>
      <c r="C1557" s="5" t="n">
        <v>49579.52</v>
      </c>
      <c r="D1557" s="5" t="n">
        <v>49579.52</v>
      </c>
      <c r="E1557" s="2" t="inlineStr">
        <is>
          <t>Comunitat Valenciana</t>
        </is>
      </c>
      <c r="F1557" s="2" t="inlineStr">
        <is>
          <t>Valencia</t>
        </is>
      </c>
      <c r="G1557" s="2" t="n"/>
      <c r="H1557" s="2" t="inlineStr">
        <is>
          <t>Pleno del Ayuntamiento de Jarafuel</t>
        </is>
      </c>
      <c r="I1557" s="2" t="inlineStr">
        <is>
          <t>El objeto del contrato consiste en la ejecución de las obras definidas en el «Proyecto de ejecución de reparación de viales PENVA 2.04 del Campillo y de la Muela de Cortes», promovido por el Ayuntamiento de Jarafuel y redactado por D. Salvador Maciá Sánchez, Ingeniero Técnico Industrial, en agosto de 2026.</t>
        </is>
      </c>
      <c r="J1557" s="2" t="inlineStr">
        <is>
          <t>523/2026</t>
        </is>
      </c>
      <c r="K1557" s="2" t="inlineStr">
        <is>
          <t>Abierto simplificado</t>
        </is>
      </c>
      <c r="L1557" s="6" t="n">
        <v>0.5</v>
      </c>
      <c r="M1557" s="2" t="n"/>
      <c r="N1557" s="7" t="n">
        <v>0.25</v>
      </c>
      <c r="O1557" s="4" t="n"/>
      <c r="P1557" s="2" t="inlineStr">
        <is>
          <t>45233222; 45233142</t>
        </is>
      </c>
      <c r="Q1557" s="8" t="inlineStr">
        <is>
          <t>Ver</t>
        </is>
      </c>
      <c r="R1557" s="8" t="inlineStr">
        <is>
          <t>PCAP</t>
        </is>
      </c>
      <c r="S1557" s="9" t="n">
        <v>46310</v>
      </c>
      <c r="T1557" s="3" t="n">
        <v>46303.54077546296</v>
      </c>
      <c r="U1557" s="2" t="n"/>
    </row>
    <row r="1558">
      <c r="A1558" s="2" t="inlineStr">
        <is>
          <t>Adjudicada</t>
        </is>
      </c>
      <c r="B1558" s="3" t="n">
        <v>46239.99930555555</v>
      </c>
      <c r="C1558" s="5" t="n">
        <v>386269.78</v>
      </c>
      <c r="D1558" s="5" t="n">
        <v>386269.78</v>
      </c>
      <c r="E1558" s="2" t="inlineStr">
        <is>
          <t>Comunitat Valenciana</t>
        </is>
      </c>
      <c r="F1558" s="2" t="inlineStr">
        <is>
          <t>Castellón</t>
        </is>
      </c>
      <c r="G1558" s="2" t="n"/>
      <c r="H1558" s="2" t="inlineStr">
        <is>
          <t>Junta de Gobierno del Ayuntamiento de Castellón de la Plana</t>
        </is>
      </c>
      <c r="I1558" s="2" t="inlineStr">
        <is>
          <t>Obras de instalación de sistema de detección, cuantificación y tamizado de alivios en colector centro a la entrada de la EDAR y su cubrimiento hasta el camino Donación.</t>
        </is>
      </c>
      <c r="J1558" s="2" t="inlineStr">
        <is>
          <t>42856/2026</t>
        </is>
      </c>
      <c r="K1558" s="2" t="inlineStr">
        <is>
          <t>Abierto</t>
        </is>
      </c>
      <c r="L1558" s="6" t="n">
        <v>4</v>
      </c>
      <c r="M1558" s="2" t="n"/>
      <c r="N1558" s="7" t="n">
        <v>0.494</v>
      </c>
      <c r="O1558" s="4" t="n"/>
      <c r="P1558" s="2" t="inlineStr">
        <is>
          <t>45240000</t>
        </is>
      </c>
      <c r="Q1558" s="8" t="inlineStr">
        <is>
          <t>Ver</t>
        </is>
      </c>
      <c r="R1558" s="8" t="inlineStr">
        <is>
          <t>PCAP</t>
        </is>
      </c>
      <c r="S1558" s="9" t="n">
        <v>46310</v>
      </c>
      <c r="T1558" s="3" t="n">
        <v>46303.53625</v>
      </c>
      <c r="U1558" s="2" t="n"/>
    </row>
    <row r="1559">
      <c r="A1559" s="2" t="inlineStr">
        <is>
          <t>Pendiente de adjudicación</t>
        </is>
      </c>
      <c r="B1559" s="3" t="n">
        <v>46300.99930555555</v>
      </c>
      <c r="C1559" s="5" t="n">
        <v>1085596.85</v>
      </c>
      <c r="D1559" s="5" t="n">
        <v>1085596.85</v>
      </c>
      <c r="E1559" s="2" t="inlineStr">
        <is>
          <t>Andalucía</t>
        </is>
      </c>
      <c r="F1559" s="2" t="inlineStr">
        <is>
          <t>Cádiz</t>
        </is>
      </c>
      <c r="G1559" s="2" t="n"/>
      <c r="H1559" s="2" t="inlineStr">
        <is>
          <t>Junta de Gobierno Local del Ayuntamiento de Jerez</t>
        </is>
      </c>
      <c r="I1559" s="2" t="inlineStr">
        <is>
          <t>Rehabilitación, restauración y conservación de la Casa Palacio de Riquelme. Fases I y II. Espacio Cultural Riquelme. del Ayto. de Jerez de la Frontera.</t>
        </is>
      </c>
      <c r="J1559" s="2" t="inlineStr">
        <is>
          <t>54/2026</t>
        </is>
      </c>
      <c r="K1559" s="2" t="inlineStr">
        <is>
          <t>Abierto simplificado</t>
        </is>
      </c>
      <c r="L1559" s="6" t="n">
        <v>12</v>
      </c>
      <c r="M1559" s="2" t="n"/>
      <c r="N1559" s="7" t="n">
        <v>0</v>
      </c>
      <c r="O1559" s="4" t="n"/>
      <c r="P1559" s="2" t="inlineStr">
        <is>
          <t>45000000</t>
        </is>
      </c>
      <c r="Q1559" s="8" t="inlineStr">
        <is>
          <t>Ver</t>
        </is>
      </c>
      <c r="R1559" s="8" t="inlineStr">
        <is>
          <t>PCAP</t>
        </is>
      </c>
      <c r="S1559" s="9" t="n">
        <v>46310</v>
      </c>
      <c r="T1559" s="3" t="n">
        <v>46303.53518518519</v>
      </c>
      <c r="U1559" s="2" t="n"/>
    </row>
    <row r="1560">
      <c r="A1560" s="2" t="inlineStr">
        <is>
          <t>Pendiente de adjudicación</t>
        </is>
      </c>
      <c r="B1560" s="3" t="n">
        <v>46258.99930555555</v>
      </c>
      <c r="C1560" s="5" t="n">
        <v>274680.92</v>
      </c>
      <c r="D1560" s="5" t="n">
        <v>274680.92</v>
      </c>
      <c r="E1560" s="2" t="inlineStr">
        <is>
          <t>Andalucía</t>
        </is>
      </c>
      <c r="F1560" s="2" t="inlineStr">
        <is>
          <t>Sevilla</t>
        </is>
      </c>
      <c r="G1560" s="2" t="n"/>
      <c r="H1560" s="2" t="inlineStr">
        <is>
          <t>Junta de Gobierno del Ayuntamiento de Dos Hermanas</t>
        </is>
      </c>
      <c r="I1560" s="2" t="inlineStr">
        <is>
          <t>Reforma de la Instalación de Alumbrado Público en Urbanización Las Palmeras de Condequinto Dos Hermanas (Sevilla)</t>
        </is>
      </c>
      <c r="J1560" s="2" t="inlineStr">
        <is>
          <t>2026000021</t>
        </is>
      </c>
      <c r="K1560" s="2" t="inlineStr">
        <is>
          <t>Abierto simplificado</t>
        </is>
      </c>
      <c r="L1560" s="6" t="n">
        <v>4</v>
      </c>
      <c r="M1560" s="2" t="n"/>
      <c r="N1560" s="7" t="n">
        <v>0</v>
      </c>
      <c r="O1560" s="4" t="n"/>
      <c r="P1560" s="2" t="inlineStr">
        <is>
          <t>45316000</t>
        </is>
      </c>
      <c r="Q1560" s="8" t="inlineStr">
        <is>
          <t>Ver</t>
        </is>
      </c>
      <c r="R1560" s="8" t="inlineStr">
        <is>
          <t>PCAP</t>
        </is>
      </c>
      <c r="S1560" s="9" t="n">
        <v>46310</v>
      </c>
      <c r="T1560" s="3" t="n">
        <v>46303.53105324074</v>
      </c>
      <c r="U1560" s="2" t="n"/>
    </row>
    <row r="1561">
      <c r="A1561" s="2" t="inlineStr">
        <is>
          <t>Resuelta</t>
        </is>
      </c>
      <c r="B1561" s="3" t="n">
        <v>46252.75</v>
      </c>
      <c r="C1561" s="5" t="n">
        <v>97157.52</v>
      </c>
      <c r="D1561" s="5" t="n">
        <v>97157.52</v>
      </c>
      <c r="E1561" s="2" t="inlineStr">
        <is>
          <t>Comunitat Valenciana</t>
        </is>
      </c>
      <c r="F1561" s="2" t="inlineStr">
        <is>
          <t>Valencia</t>
        </is>
      </c>
      <c r="G1561" s="2" t="inlineStr">
        <is>
          <t>SUECA</t>
        </is>
      </c>
      <c r="H1561" s="2" t="inlineStr">
        <is>
          <t>Alcaldía del Ayuntamiento de Sueca</t>
        </is>
      </c>
      <c r="I1561" s="2" t="inlineStr">
        <is>
          <t>Reparacion de daños en antiguo matadero municipal</t>
        </is>
      </c>
      <c r="J1561" s="2" t="inlineStr">
        <is>
          <t>SRC/2026/134</t>
        </is>
      </c>
      <c r="K1561" s="2" t="inlineStr">
        <is>
          <t>Abierto simplificado</t>
        </is>
      </c>
      <c r="L1561" s="6" t="n">
        <v>3</v>
      </c>
      <c r="M1561" s="2" t="n"/>
      <c r="N1561" s="7" t="n">
        <v>0</v>
      </c>
      <c r="O1561" s="4" t="n"/>
      <c r="P1561" s="2" t="inlineStr">
        <is>
          <t>45442110; 90470000; 45421131</t>
        </is>
      </c>
      <c r="Q1561" s="8" t="inlineStr">
        <is>
          <t>Ver</t>
        </is>
      </c>
      <c r="R1561" s="8" t="inlineStr">
        <is>
          <t>PCAP</t>
        </is>
      </c>
      <c r="S1561" s="9" t="n">
        <v>46310</v>
      </c>
      <c r="T1561" s="3" t="n">
        <v>46303.52989583334</v>
      </c>
      <c r="U1561" s="2" t="n"/>
    </row>
    <row r="1562">
      <c r="A1562" s="2" t="inlineStr">
        <is>
          <t>Pendiente de adjudicación</t>
        </is>
      </c>
      <c r="B1562" s="3" t="n">
        <v>46300.99930555555</v>
      </c>
      <c r="C1562" s="5" t="n">
        <v>360923.43</v>
      </c>
      <c r="D1562" s="5" t="n">
        <v>360923.43</v>
      </c>
      <c r="E1562" s="2" t="inlineStr">
        <is>
          <t>Andalucía</t>
        </is>
      </c>
      <c r="F1562" s="2" t="inlineStr">
        <is>
          <t>Jaén</t>
        </is>
      </c>
      <c r="G1562" s="2" t="inlineStr">
        <is>
          <t>JAÉN</t>
        </is>
      </c>
      <c r="H1562" s="2" t="inlineStr">
        <is>
          <t>Presidencia de la Diputación Provincial de Jaén</t>
        </is>
      </c>
      <c r="I1562" s="2" t="inlineStr">
        <is>
          <t>Contrato de obras de construcción de pasarela y miradores entorno del P.N. Sierra Mágina, Fase II, en Torres</t>
        </is>
      </c>
      <c r="J1562" s="2" t="inlineStr">
        <is>
          <t>CO-2025/002317</t>
        </is>
      </c>
      <c r="K1562" s="2" t="inlineStr">
        <is>
          <t>Abierto simplificado</t>
        </is>
      </c>
      <c r="L1562" s="6" t="n">
        <v>4</v>
      </c>
      <c r="M1562" s="2" t="n"/>
      <c r="N1562" s="7" t="n">
        <v>0.25</v>
      </c>
      <c r="O1562" s="4" t="n"/>
      <c r="P1562" s="2" t="inlineStr">
        <is>
          <t>45213316</t>
        </is>
      </c>
      <c r="Q1562" s="8" t="inlineStr">
        <is>
          <t>Ver</t>
        </is>
      </c>
      <c r="R1562" s="8" t="inlineStr">
        <is>
          <t>PCAP</t>
        </is>
      </c>
      <c r="S1562" s="9" t="n">
        <v>46310</v>
      </c>
      <c r="T1562" s="3" t="n">
        <v>46303.52792824074</v>
      </c>
      <c r="U1562" s="2" t="n"/>
    </row>
    <row r="1563">
      <c r="A1563" s="2" t="inlineStr">
        <is>
          <t>En plazo</t>
        </is>
      </c>
      <c r="B1563" s="3" t="n">
        <v>46323.99930555555</v>
      </c>
      <c r="C1563" s="5" t="n">
        <v>299360.33</v>
      </c>
      <c r="D1563" s="5" t="n">
        <v>329296.36</v>
      </c>
      <c r="E1563" s="2" t="inlineStr">
        <is>
          <t>Comunitat Valenciana</t>
        </is>
      </c>
      <c r="F1563" s="2" t="inlineStr">
        <is>
          <t>Valencia</t>
        </is>
      </c>
      <c r="G1563" s="2" t="n"/>
      <c r="H1563" s="2" t="inlineStr">
        <is>
          <t>Junta de Gobierno del Ajuntament de València</t>
        </is>
      </c>
      <c r="I1563" s="2" t="inlineStr">
        <is>
          <t>Obras de remodelación del jardín situado entre la avenida Giorgeta y la calle Uruguay (FEVE).-</t>
        </is>
      </c>
      <c r="J1563" s="2" t="inlineStr">
        <is>
          <t>04101/2026/171-O</t>
        </is>
      </c>
      <c r="K1563" s="2" t="inlineStr">
        <is>
          <t>Abierto simplificado</t>
        </is>
      </c>
      <c r="L1563" s="6" t="n">
        <v>4</v>
      </c>
      <c r="M1563" s="2" t="n"/>
      <c r="N1563" s="7" t="n">
        <v>0</v>
      </c>
      <c r="O1563" s="4" t="n"/>
      <c r="P1563" s="2" t="inlineStr">
        <is>
          <t>45112712</t>
        </is>
      </c>
      <c r="Q1563" s="8" t="inlineStr">
        <is>
          <t>Ver</t>
        </is>
      </c>
      <c r="R1563" s="8" t="inlineStr">
        <is>
          <t>PCAP</t>
        </is>
      </c>
      <c r="S1563" s="9" t="n">
        <v>46310</v>
      </c>
      <c r="T1563" s="3" t="n">
        <v>46303.52400462963</v>
      </c>
      <c r="U1563" s="2" t="n"/>
    </row>
    <row r="1564">
      <c r="A1564" s="2" t="inlineStr">
        <is>
          <t>Resuelta</t>
        </is>
      </c>
      <c r="B1564" s="3" t="n">
        <v>46133.99930555555</v>
      </c>
      <c r="C1564" s="5" t="n">
        <v>450247.93</v>
      </c>
      <c r="D1564" s="5" t="n">
        <v>450247.93</v>
      </c>
      <c r="E1564" s="2" t="inlineStr">
        <is>
          <t>Andalucía</t>
        </is>
      </c>
      <c r="F1564" s="2" t="inlineStr">
        <is>
          <t>Almería</t>
        </is>
      </c>
      <c r="G1564" s="2" t="n"/>
      <c r="H1564" s="2" t="inlineStr">
        <is>
          <t>Junta de Gobierno de la Diputación Provincial de Almería</t>
        </is>
      </c>
      <c r="I1564" s="2" t="inlineStr">
        <is>
          <t>Pavimentaciones Y Urbanizaciones En Purchena 50PPOS24-27BI</t>
        </is>
      </c>
      <c r="J1564" s="2" t="inlineStr">
        <is>
          <t>2025/D31000/006-013/00111</t>
        </is>
      </c>
      <c r="K1564" s="2" t="inlineStr">
        <is>
          <t>Abierto simplificado</t>
        </is>
      </c>
      <c r="L1564" s="6" t="n">
        <v>6.1</v>
      </c>
      <c r="M1564" s="2" t="n"/>
      <c r="N1564" s="7" t="n">
        <v>0.25</v>
      </c>
      <c r="O1564" s="4" t="n"/>
      <c r="P1564" s="2" t="inlineStr">
        <is>
          <t>45233252</t>
        </is>
      </c>
      <c r="Q1564" s="8" t="inlineStr">
        <is>
          <t>Ver</t>
        </is>
      </c>
      <c r="R1564" s="8" t="inlineStr">
        <is>
          <t>PCAP</t>
        </is>
      </c>
      <c r="S1564" s="9" t="n">
        <v>46310</v>
      </c>
      <c r="T1564" s="3" t="n">
        <v>46303.52347222222</v>
      </c>
      <c r="U1564" s="2" t="n"/>
    </row>
    <row r="1565">
      <c r="A1565" s="2" t="inlineStr">
        <is>
          <t>Resuelta</t>
        </is>
      </c>
      <c r="B1565" s="3" t="n">
        <v>46043.99930555555</v>
      </c>
      <c r="C1565" s="5" t="n">
        <v>63636.36</v>
      </c>
      <c r="D1565" s="5" t="n">
        <v>76363.63</v>
      </c>
      <c r="E1565" s="2" t="inlineStr">
        <is>
          <t>Andalucía</t>
        </is>
      </c>
      <c r="F1565" s="2" t="inlineStr">
        <is>
          <t>Huelva</t>
        </is>
      </c>
      <c r="G1565" s="2" t="inlineStr">
        <is>
          <t>Moguer (Huelva)</t>
        </is>
      </c>
      <c r="H1565" s="2" t="inlineStr">
        <is>
          <t>Alcaldía del Ayuntamiento de Moguer</t>
        </is>
      </c>
      <c r="I1565" s="2" t="inlineStr">
        <is>
          <t>Obras de instalación de un sistema de iluminación solar y la reposición de arbolado y mobiliario urbano en el Parque Municipal de Mazagón sito en la Avda. Santa Clara, todo ello conforme al Proyecto redactado por el Arquitecto D. Antonio Olaya Camacho.</t>
        </is>
      </c>
      <c r="J1565" s="2" t="inlineStr">
        <is>
          <t>4_2.4.1.1/2025 ZONAS VERDES MAZAGON</t>
        </is>
      </c>
      <c r="K1565" s="2" t="inlineStr">
        <is>
          <t>Abierto</t>
        </is>
      </c>
      <c r="L1565" s="6" t="n">
        <v>3</v>
      </c>
      <c r="M1565" s="2" t="inlineStr">
        <is>
          <t>K6-1</t>
        </is>
      </c>
      <c r="N1565" s="7" t="n">
        <v>0</v>
      </c>
      <c r="O1565" s="4" t="n"/>
      <c r="P1565" s="2" t="inlineStr">
        <is>
          <t>45112711; 45316100; 34928400</t>
        </is>
      </c>
      <c r="Q1565" s="8" t="inlineStr">
        <is>
          <t>Ver</t>
        </is>
      </c>
      <c r="R1565" s="8" t="inlineStr">
        <is>
          <t>PCAP</t>
        </is>
      </c>
      <c r="S1565" s="9" t="n">
        <v>46310</v>
      </c>
      <c r="T1565" s="3" t="n">
        <v>46303.52300925926</v>
      </c>
      <c r="U1565" s="2" t="n"/>
    </row>
    <row r="1566">
      <c r="A1566" s="2" t="inlineStr">
        <is>
          <t>Resuelta</t>
        </is>
      </c>
      <c r="B1566" s="3" t="n">
        <v>46188.99930555555</v>
      </c>
      <c r="C1566" s="5" t="n">
        <v>2057819.57</v>
      </c>
      <c r="D1566" s="5" t="n">
        <v>2263601.53</v>
      </c>
      <c r="E1566" s="2" t="inlineStr">
        <is>
          <t>Andalucía</t>
        </is>
      </c>
      <c r="F1566" s="2" t="inlineStr">
        <is>
          <t>Almería</t>
        </is>
      </c>
      <c r="G1566" s="2" t="n"/>
      <c r="H1566" s="2" t="inlineStr">
        <is>
          <t>Junta de Gobierno del Ayuntamiento de Roquetas de Mar</t>
        </is>
      </c>
      <c r="I1566" s="2" t="inlineStr">
        <is>
          <t>Construcción de nuevo puente de conexión de la Avda. Pedro Muñoz Seca con Calle Virginia sobre la Rambla de San Antonio en Aguadulce, t.m. de Roquetas de Mar (Almería).</t>
        </is>
      </c>
      <c r="J1566" s="2" t="inlineStr">
        <is>
          <t>04/26.-Obra</t>
        </is>
      </c>
      <c r="K1566" s="2" t="inlineStr">
        <is>
          <t>Abierto</t>
        </is>
      </c>
      <c r="L1566" s="6" t="n">
        <v>12</v>
      </c>
      <c r="M1566" s="2" t="inlineStr">
        <is>
          <t>B2-4</t>
        </is>
      </c>
      <c r="N1566" s="7" t="n">
        <v>0.45</v>
      </c>
      <c r="O1566" s="4" t="n"/>
      <c r="P1566" s="2" t="inlineStr">
        <is>
          <t>45220000; 44212120; 45221110; 45233200; 45223500</t>
        </is>
      </c>
      <c r="Q1566" s="8" t="inlineStr">
        <is>
          <t>Ver</t>
        </is>
      </c>
      <c r="R1566" s="8" t="inlineStr">
        <is>
          <t>PCAP</t>
        </is>
      </c>
      <c r="S1566" s="9" t="n">
        <v>46310</v>
      </c>
      <c r="T1566" s="3" t="n">
        <v>46303.52061342593</v>
      </c>
      <c r="U1566" s="2" t="n"/>
    </row>
    <row r="1567">
      <c r="A1567" s="2" t="inlineStr">
        <is>
          <t>Pendiente de adjudicación</t>
        </is>
      </c>
      <c r="B1567" s="3" t="n">
        <v>46223.99930555555</v>
      </c>
      <c r="C1567" s="5" t="n">
        <v>3239048.2</v>
      </c>
      <c r="D1567" s="5" t="n">
        <v>3239048.2</v>
      </c>
      <c r="E1567" s="2" t="inlineStr">
        <is>
          <t>Andalucía</t>
        </is>
      </c>
      <c r="F1567" s="2" t="inlineStr">
        <is>
          <t>Sevilla</t>
        </is>
      </c>
      <c r="G1567" s="2" t="n"/>
      <c r="H1567" s="2" t="inlineStr">
        <is>
          <t>Junta de Gobierno del Ayuntamiento de Lebrija</t>
        </is>
      </c>
      <c r="I1567" s="2" t="inlineStr">
        <is>
          <t>Ejecución de las obras de mejora y adecuación de pabellón deportivo "Caseta Municipal" y adecuación para actividades complementarias.</t>
        </is>
      </c>
      <c r="J1567" s="2" t="inlineStr">
        <is>
          <t>PEA/121/2026</t>
        </is>
      </c>
      <c r="K1567" s="2" t="inlineStr">
        <is>
          <t>Abierto</t>
        </is>
      </c>
      <c r="L1567" s="6" t="n">
        <v>9</v>
      </c>
      <c r="M1567" s="2" t="inlineStr">
        <is>
          <t>C4-5; C2-5; C6-5</t>
        </is>
      </c>
      <c r="N1567" s="7" t="n">
        <v>0.25</v>
      </c>
      <c r="O1567" s="4" t="n"/>
      <c r="P1567" s="2" t="inlineStr">
        <is>
          <t>45000000; 45212200</t>
        </is>
      </c>
      <c r="Q1567" s="8" t="inlineStr">
        <is>
          <t>Ver</t>
        </is>
      </c>
      <c r="R1567" s="8" t="inlineStr">
        <is>
          <t>PCAP</t>
        </is>
      </c>
      <c r="S1567" s="9" t="n">
        <v>46310</v>
      </c>
      <c r="T1567" s="3" t="n">
        <v>46303.52010416667</v>
      </c>
      <c r="U1567" s="2" t="n"/>
    </row>
    <row r="1568">
      <c r="A1568" s="2" t="inlineStr">
        <is>
          <t>Pendiente de adjudicación</t>
        </is>
      </c>
      <c r="B1568" s="3" t="n">
        <v>46296.99930555555</v>
      </c>
      <c r="C1568" s="5" t="n">
        <v>69638.27</v>
      </c>
      <c r="D1568" s="5" t="n">
        <v>76602.10000000001</v>
      </c>
      <c r="E1568" s="2" t="inlineStr">
        <is>
          <t>Comunitat Valenciana</t>
        </is>
      </c>
      <c r="F1568" s="2" t="inlineStr">
        <is>
          <t>Valencia</t>
        </is>
      </c>
      <c r="G1568" s="2" t="n"/>
      <c r="H1568" s="2" t="inlineStr">
        <is>
          <t>Concejalía Delegada de Contratación del Ajuntament de València</t>
        </is>
      </c>
      <c r="I1568" s="2" t="inlineStr">
        <is>
          <t>Obras de adecuación puestos 62 a 66 del Mercado Jerusalén.-</t>
        </is>
      </c>
      <c r="J1568" s="2" t="inlineStr">
        <is>
          <t>04101/2026/197-O</t>
        </is>
      </c>
      <c r="K1568" s="2" t="inlineStr">
        <is>
          <t>Abierto simplificado</t>
        </is>
      </c>
      <c r="L1568" s="6" t="n">
        <v>2</v>
      </c>
      <c r="M1568" s="2" t="n"/>
      <c r="N1568" s="7" t="n">
        <v>0</v>
      </c>
      <c r="O1568" s="4" t="n"/>
      <c r="P1568" s="2" t="inlineStr">
        <is>
          <t>45213141</t>
        </is>
      </c>
      <c r="Q1568" s="8" t="inlineStr">
        <is>
          <t>Ver</t>
        </is>
      </c>
      <c r="R1568" s="8" t="inlineStr">
        <is>
          <t>PCAP</t>
        </is>
      </c>
      <c r="S1568" s="9" t="n">
        <v>46310</v>
      </c>
      <c r="T1568" s="3" t="n">
        <v>46303.51913194444</v>
      </c>
      <c r="U1568" s="2" t="n"/>
    </row>
    <row r="1569">
      <c r="A1569" s="2" t="inlineStr">
        <is>
          <t>Pendiente de adjudicación</t>
        </is>
      </c>
      <c r="B1569" s="3" t="n">
        <v>46220.54166666666</v>
      </c>
      <c r="C1569" s="5" t="n">
        <v>488576.28</v>
      </c>
      <c r="D1569" s="5" t="n">
        <v>488576.28</v>
      </c>
      <c r="E1569" s="2" t="inlineStr">
        <is>
          <t>Andalucía</t>
        </is>
      </c>
      <c r="F1569" s="2" t="inlineStr">
        <is>
          <t>Sevilla</t>
        </is>
      </c>
      <c r="G1569" s="2" t="n"/>
      <c r="H1569" s="2" t="inlineStr">
        <is>
          <t>ADIF - Presidencia</t>
        </is>
      </c>
      <c r="I1569" s="2" t="inlineStr">
        <is>
          <t>Ejecución de las obras del proyecto constructivo de pendolado equipotencial entre las estaciones de Lora del Río y Majarabique.</t>
        </is>
      </c>
      <c r="J1569" s="2" t="inlineStr">
        <is>
          <t>3.26/27507.0094</t>
        </is>
      </c>
      <c r="K1569" s="2" t="inlineStr">
        <is>
          <t>Abierto</t>
        </is>
      </c>
      <c r="L1569" s="6" t="n">
        <v>9</v>
      </c>
      <c r="M1569" s="2" t="inlineStr">
        <is>
          <t>D4-3</t>
        </is>
      </c>
      <c r="N1569" s="7" t="n">
        <v>0.49</v>
      </c>
      <c r="O1569" s="4" t="n"/>
      <c r="P1569" s="2" t="inlineStr">
        <is>
          <t>45234160</t>
        </is>
      </c>
      <c r="Q1569" s="8" t="inlineStr">
        <is>
          <t>Ver</t>
        </is>
      </c>
      <c r="R1569" s="8" t="inlineStr">
        <is>
          <t>PCAP</t>
        </is>
      </c>
      <c r="S1569" s="9" t="n">
        <v>46310</v>
      </c>
      <c r="T1569" s="3" t="n">
        <v>46303.5150462963</v>
      </c>
      <c r="U1569" s="2" t="n"/>
    </row>
    <row r="1570">
      <c r="A1570" s="2" t="inlineStr">
        <is>
          <t>Resuelta</t>
        </is>
      </c>
      <c r="B1570" s="3" t="n">
        <v>46017.99930555555</v>
      </c>
      <c r="C1570" s="5" t="n">
        <v>147607.22</v>
      </c>
      <c r="D1570" s="5" t="n">
        <v>147607.22</v>
      </c>
      <c r="E1570" s="2" t="inlineStr">
        <is>
          <t>Andalucía</t>
        </is>
      </c>
      <c r="F1570" s="2" t="inlineStr">
        <is>
          <t>Málaga</t>
        </is>
      </c>
      <c r="G1570" s="2" t="n"/>
      <c r="H1570" s="2" t="inlineStr">
        <is>
          <t>Presidencia de la Diputación Provincial de Málaga</t>
        </is>
      </c>
      <c r="I1570" s="2" t="inlineStr">
        <is>
          <t>Reforma de aseos en planta primera y segunda en Centro Virgen de la Esperanza</t>
        </is>
      </c>
      <c r="J1570" s="2" t="inlineStr">
        <is>
          <t>OP-PA.-2024/004</t>
        </is>
      </c>
      <c r="K1570" s="2" t="inlineStr">
        <is>
          <t>Abierto simplificado</t>
        </is>
      </c>
      <c r="L1570" s="6" t="n">
        <v>3</v>
      </c>
      <c r="M1570" s="2" t="n"/>
      <c r="N1570" s="7" t="n">
        <v>0</v>
      </c>
      <c r="O1570" s="4" t="n"/>
      <c r="P1570" s="2" t="inlineStr">
        <is>
          <t>45211310</t>
        </is>
      </c>
      <c r="Q1570" s="8" t="inlineStr">
        <is>
          <t>Ver</t>
        </is>
      </c>
      <c r="R1570" s="8" t="inlineStr">
        <is>
          <t>PCAP</t>
        </is>
      </c>
      <c r="S1570" s="9" t="n">
        <v>46310</v>
      </c>
      <c r="T1570" s="3" t="n">
        <v>46303.51401620371</v>
      </c>
      <c r="U1570" s="2" t="n"/>
    </row>
    <row r="1571">
      <c r="A1571" s="2" t="inlineStr">
        <is>
          <t>Resuelta</t>
        </is>
      </c>
      <c r="B1571" s="3" t="n">
        <v>46252.41666666666</v>
      </c>
      <c r="C1571" s="5" t="n">
        <v>28600</v>
      </c>
      <c r="D1571" s="5" t="n">
        <v>28600</v>
      </c>
      <c r="E1571" s="2" t="inlineStr">
        <is>
          <t>Andalucía</t>
        </is>
      </c>
      <c r="F1571" s="2" t="inlineStr">
        <is>
          <t>Huelva</t>
        </is>
      </c>
      <c r="G1571" s="2" t="n"/>
      <c r="H1571" s="2" t="inlineStr">
        <is>
          <t>Empresa de Transformación Agraria S.A.,S.M.E., M.P., (TRAGSA)</t>
        </is>
      </c>
      <c r="I1571"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MEJ. HABITATS ESPECI PRESAS HU</t>
        </is>
      </c>
      <c r="J1571" s="2" t="inlineStr">
        <is>
          <t>TSA0080057-224</t>
        </is>
      </c>
      <c r="K1571" s="2" t="inlineStr">
        <is>
          <t>Abierto</t>
        </is>
      </c>
      <c r="L1571" s="6" t="n">
        <v>4</v>
      </c>
      <c r="M1571" s="2" t="n"/>
      <c r="N1571" s="7" t="n">
        <v>0</v>
      </c>
      <c r="O1571" s="4" t="n"/>
      <c r="P1571" s="2" t="inlineStr">
        <is>
          <t>45500000</t>
        </is>
      </c>
      <c r="Q1571" s="8" t="inlineStr">
        <is>
          <t>Ver</t>
        </is>
      </c>
      <c r="R1571" s="8" t="inlineStr">
        <is>
          <t>PCAP</t>
        </is>
      </c>
      <c r="S1571" s="9" t="n">
        <v>46310</v>
      </c>
      <c r="T1571" s="3" t="n">
        <v>46303.50233796296</v>
      </c>
      <c r="U1571" s="2" t="n"/>
    </row>
    <row r="1572">
      <c r="A1572" s="2" t="inlineStr">
        <is>
          <t>Resuelta</t>
        </is>
      </c>
      <c r="B1572" s="3" t="n">
        <v>46252.41666666666</v>
      </c>
      <c r="C1572" s="5" t="n">
        <v>28600</v>
      </c>
      <c r="D1572" s="5" t="n">
        <v>28600</v>
      </c>
      <c r="E1572" s="2" t="inlineStr">
        <is>
          <t>Andalucía</t>
        </is>
      </c>
      <c r="F1572" s="2" t="inlineStr">
        <is>
          <t>Huelva</t>
        </is>
      </c>
      <c r="G1572" s="2" t="n"/>
      <c r="H1572" s="2" t="inlineStr">
        <is>
          <t>Empresa de Transformación Agraria S.A.,S.M.E., M.P., (TRAGSA)</t>
        </is>
      </c>
      <c r="I1572"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MEJ. HABITATS ESPECI PRESAS HU</t>
        </is>
      </c>
      <c r="J1572" s="2" t="inlineStr">
        <is>
          <t>TSA0080057-223</t>
        </is>
      </c>
      <c r="K1572" s="2" t="inlineStr">
        <is>
          <t>Abierto</t>
        </is>
      </c>
      <c r="L1572" s="6" t="n">
        <v>4</v>
      </c>
      <c r="M1572" s="2" t="n"/>
      <c r="N1572" s="7" t="n">
        <v>0</v>
      </c>
      <c r="O1572" s="4" t="n"/>
      <c r="P1572" s="2" t="inlineStr">
        <is>
          <t>45500000</t>
        </is>
      </c>
      <c r="Q1572" s="8" t="inlineStr">
        <is>
          <t>Ver</t>
        </is>
      </c>
      <c r="R1572" s="8" t="inlineStr">
        <is>
          <t>PCAP</t>
        </is>
      </c>
      <c r="S1572" s="9" t="n">
        <v>46310</v>
      </c>
      <c r="T1572" s="3" t="n">
        <v>46303.50091435185</v>
      </c>
      <c r="U1572" s="2" t="n"/>
    </row>
    <row r="1573">
      <c r="A1573" s="2" t="inlineStr">
        <is>
          <t>Resuelta</t>
        </is>
      </c>
      <c r="B1573" s="3" t="n">
        <v>46150.99930555555</v>
      </c>
      <c r="C1573" s="5" t="n">
        <v>13372778.41</v>
      </c>
      <c r="D1573" s="5" t="n">
        <v>14710056.25</v>
      </c>
      <c r="E1573" s="2" t="inlineStr">
        <is>
          <t>Andalucía</t>
        </is>
      </c>
      <c r="F1573" s="2" t="inlineStr">
        <is>
          <t>Almería</t>
        </is>
      </c>
      <c r="G1573" s="2" t="n"/>
      <c r="H1573" s="2" t="inlineStr">
        <is>
          <t>Junta de Gobierno del Ayuntamiento de Roquetas de Mar</t>
        </is>
      </c>
      <c r="I1573" s="2" t="inlineStr">
        <is>
          <t>Obra para la construcción de nuevo depósito de agua potable con capacidad de 70.000 m3 en Aguadulce, t.m. de Roquetas de Mar (Almería), actuación cofinanciada por la Consejería de Agricultura, Pesca, Agua y Desarrollo Rural de la Junta de Andalucía.</t>
        </is>
      </c>
      <c r="J1573" s="2" t="inlineStr">
        <is>
          <t>02/26.-Obra</t>
        </is>
      </c>
      <c r="K1573" s="2" t="inlineStr">
        <is>
          <t>Abierto</t>
        </is>
      </c>
      <c r="L1573" s="6" t="n">
        <v>18</v>
      </c>
      <c r="M1573" s="2" t="inlineStr">
        <is>
          <t>E1-6</t>
        </is>
      </c>
      <c r="N1573" s="7" t="n">
        <v>0.45</v>
      </c>
      <c r="O1573" s="4" t="n"/>
      <c r="P1573" s="2" t="inlineStr">
        <is>
          <t>45222000; 44162500; 45213260; 45220000</t>
        </is>
      </c>
      <c r="Q1573" s="8" t="inlineStr">
        <is>
          <t>Ver</t>
        </is>
      </c>
      <c r="R1573" s="8" t="inlineStr">
        <is>
          <t>PCAP</t>
        </is>
      </c>
      <c r="S1573" s="9" t="n">
        <v>46310</v>
      </c>
      <c r="T1573" s="3" t="n">
        <v>46303.50012731482</v>
      </c>
      <c r="U1573" s="2" t="n"/>
    </row>
    <row r="1574">
      <c r="A1574" s="2" t="inlineStr">
        <is>
          <t>Resuelta</t>
        </is>
      </c>
      <c r="B1574" s="3" t="n">
        <v>46252.41666666666</v>
      </c>
      <c r="C1574" s="5" t="n">
        <v>40000</v>
      </c>
      <c r="D1574" s="5" t="n">
        <v>40000</v>
      </c>
      <c r="E1574" s="2" t="inlineStr">
        <is>
          <t>Andalucía</t>
        </is>
      </c>
      <c r="F1574" s="2" t="inlineStr">
        <is>
          <t>Huelva</t>
        </is>
      </c>
      <c r="G1574" s="2" t="n"/>
      <c r="H1574" s="2" t="inlineStr">
        <is>
          <t>Empresa de Transformación Agraria S.A.,S.M.E., M.P., (TRAGSA)</t>
        </is>
      </c>
      <c r="I1574"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SERVICIO CAUCES HUELVA 25-27</t>
        </is>
      </c>
      <c r="J1574" s="2" t="inlineStr">
        <is>
          <t>TSA0080057-216</t>
        </is>
      </c>
      <c r="K1574" s="2" t="inlineStr">
        <is>
          <t>Abierto</t>
        </is>
      </c>
      <c r="L1574" s="6" t="n">
        <v>7</v>
      </c>
      <c r="M1574" s="2" t="n"/>
      <c r="N1574" s="7" t="n">
        <v>0</v>
      </c>
      <c r="O1574" s="4" t="n"/>
      <c r="P1574" s="2" t="inlineStr">
        <is>
          <t>45500000</t>
        </is>
      </c>
      <c r="Q1574" s="8" t="inlineStr">
        <is>
          <t>Ver</t>
        </is>
      </c>
      <c r="R1574" s="8" t="inlineStr">
        <is>
          <t>PCAP</t>
        </is>
      </c>
      <c r="S1574" s="9" t="n">
        <v>46310</v>
      </c>
      <c r="T1574" s="3" t="n">
        <v>46303.499375</v>
      </c>
      <c r="U1574" s="2" t="n"/>
    </row>
    <row r="1575">
      <c r="A1575" s="2" t="inlineStr">
        <is>
          <t>Adjudicada</t>
        </is>
      </c>
      <c r="B1575" s="3" t="n">
        <v>46246.99930555555</v>
      </c>
      <c r="C1575" s="5" t="n">
        <v>181000.83</v>
      </c>
      <c r="D1575" s="5" t="n">
        <v>181000.83</v>
      </c>
      <c r="E1575" s="2" t="inlineStr">
        <is>
          <t>Andalucía</t>
        </is>
      </c>
      <c r="F1575" s="2" t="inlineStr">
        <is>
          <t>Málaga</t>
        </is>
      </c>
      <c r="G1575" s="2" t="inlineStr">
        <is>
          <t>Benamargosa</t>
        </is>
      </c>
      <c r="H1575" s="2" t="inlineStr">
        <is>
          <t>Pleno del Ayuntamiento de Benamargosa</t>
        </is>
      </c>
      <c r="I1575" s="2" t="inlineStr">
        <is>
          <t>El objeto del contrato es la ejecución de las obras correspondientes al proyecto denominado "«Mejora de instalaciones deportivas ampliación del gimnasio municipal»</t>
        </is>
      </c>
      <c r="J1575" s="2" t="inlineStr">
        <is>
          <t>597/2026</t>
        </is>
      </c>
      <c r="K1575" s="2" t="inlineStr">
        <is>
          <t>Abierto simplificado</t>
        </is>
      </c>
      <c r="L1575" s="6" t="n">
        <v>5</v>
      </c>
      <c r="M1575" s="2" t="n"/>
      <c r="N1575" s="7" t="n">
        <v>0</v>
      </c>
      <c r="O1575" s="4" t="n"/>
      <c r="P1575" s="2" t="inlineStr">
        <is>
          <t>45212200</t>
        </is>
      </c>
      <c r="Q1575" s="8" t="inlineStr">
        <is>
          <t>Ver</t>
        </is>
      </c>
      <c r="R1575" s="8" t="inlineStr">
        <is>
          <t>PCAP</t>
        </is>
      </c>
      <c r="S1575" s="9" t="n">
        <v>46310</v>
      </c>
      <c r="T1575" s="3" t="n">
        <v>46303.49862268518</v>
      </c>
      <c r="U1575" s="2" t="n"/>
    </row>
    <row r="1576">
      <c r="A1576" s="2" t="inlineStr">
        <is>
          <t>Resuelta</t>
        </is>
      </c>
      <c r="B1576" s="3" t="n">
        <v>46245.41666666666</v>
      </c>
      <c r="C1576" s="5" t="n">
        <v>45500</v>
      </c>
      <c r="D1576" s="5" t="n">
        <v>45500</v>
      </c>
      <c r="E1576" s="2" t="inlineStr">
        <is>
          <t>Andalucía</t>
        </is>
      </c>
      <c r="F1576" s="2" t="inlineStr">
        <is>
          <t>Almería</t>
        </is>
      </c>
      <c r="G1576" s="2" t="n"/>
      <c r="H1576" s="2" t="inlineStr">
        <is>
          <t>Empresa de Transformación Agraria S.A.,S.M.E., M.P., (TRAGSA)</t>
        </is>
      </c>
      <c r="I1576" s="2" t="inlineStr">
        <is>
          <t>Contrato derivado del "AM para el alquiler de maquinaria de obra civil, agrícola y forestal, y camiones para obras de construcción y demolición, dotada de operario, para las actuaciones del ámbito territorial de la gerencia provincial de Tragsa en Almería, incluidas las obras con fondos en el marco del PRTR, a adjudicar por procedimiento abierto, sujeto a regulación armonizada. TSA0078977"</t>
        </is>
      </c>
      <c r="J1576" s="2" t="inlineStr">
        <is>
          <t>TSA0078977-346</t>
        </is>
      </c>
      <c r="K1576" s="2" t="inlineStr">
        <is>
          <t>Abierto</t>
        </is>
      </c>
      <c r="L1576" s="6" t="n">
        <v>6</v>
      </c>
      <c r="M1576" s="2" t="n"/>
      <c r="N1576" s="7" t="n">
        <v>0</v>
      </c>
      <c r="O1576" s="4" t="n"/>
      <c r="P1576" s="2" t="inlineStr">
        <is>
          <t>45500000</t>
        </is>
      </c>
      <c r="Q1576" s="8" t="inlineStr">
        <is>
          <t>Ver</t>
        </is>
      </c>
      <c r="R1576" s="8" t="inlineStr">
        <is>
          <t>PCAP</t>
        </is>
      </c>
      <c r="S1576" s="9" t="n">
        <v>46310</v>
      </c>
      <c r="T1576" s="3" t="n">
        <v>46303.49803240741</v>
      </c>
      <c r="U1576" s="2" t="n"/>
    </row>
    <row r="1577">
      <c r="A1577" s="2" t="inlineStr">
        <is>
          <t>Pendiente de adjudicación</t>
        </is>
      </c>
      <c r="B1577" s="3" t="n">
        <v>45908.99930555555</v>
      </c>
      <c r="C1577" s="5" t="n">
        <v>279428.42</v>
      </c>
      <c r="D1577" s="5" t="n">
        <v>279428.42</v>
      </c>
      <c r="E1577" s="2" t="inlineStr">
        <is>
          <t>Comunitat Valenciana</t>
        </is>
      </c>
      <c r="F1577" s="2" t="inlineStr">
        <is>
          <t>Alicante</t>
        </is>
      </c>
      <c r="G1577" s="2" t="n"/>
      <c r="H1577" s="2" t="inlineStr">
        <is>
          <t>Presidencia de la Diputación Provincial de Alicante</t>
        </is>
      </c>
      <c r="I1577" s="2" t="inlineStr">
        <is>
          <t>“Obras de aumento de la capacidad de abastecimiento en Balones mediante la construcción de un nuevo depósito regulador y su conexión con la red actual, en el municipio de Balones. (2020.PLA.038)”</t>
        </is>
      </c>
      <c r="J1577" s="2" t="inlineStr">
        <is>
          <t>O6S-144/2025</t>
        </is>
      </c>
      <c r="K1577" s="2" t="inlineStr">
        <is>
          <t>Abierto simplificado</t>
        </is>
      </c>
      <c r="L1577" s="6" t="n">
        <v>8</v>
      </c>
      <c r="M1577" s="2" t="n"/>
      <c r="N1577" s="7" t="n">
        <v>0</v>
      </c>
      <c r="O1577" s="4" t="n"/>
      <c r="P1577" s="2" t="inlineStr">
        <is>
          <t>45200000</t>
        </is>
      </c>
      <c r="Q1577" s="8" t="inlineStr">
        <is>
          <t>Ver</t>
        </is>
      </c>
      <c r="R1577" s="8" t="inlineStr">
        <is>
          <t>PCAP</t>
        </is>
      </c>
      <c r="S1577" s="9" t="n">
        <v>46310</v>
      </c>
      <c r="T1577" s="3" t="n">
        <v>46303.49756944444</v>
      </c>
      <c r="U1577" s="2" t="n"/>
    </row>
    <row r="1578">
      <c r="A1578" s="2" t="inlineStr">
        <is>
          <t>Resuelta</t>
        </is>
      </c>
      <c r="B1578" s="3" t="n">
        <v>46245.41666666666</v>
      </c>
      <c r="C1578" s="5" t="n">
        <v>31500</v>
      </c>
      <c r="D1578" s="5" t="n">
        <v>31500</v>
      </c>
      <c r="E1578" s="2" t="inlineStr">
        <is>
          <t>Andalucía</t>
        </is>
      </c>
      <c r="F1578" s="2" t="inlineStr">
        <is>
          <t>Almería</t>
        </is>
      </c>
      <c r="G1578" s="2" t="n"/>
      <c r="H1578" s="2" t="inlineStr">
        <is>
          <t>Empresa de Transformación Agraria S.A.,S.M.E., M.P., (TRAGSA)</t>
        </is>
      </c>
      <c r="I1578" s="2" t="inlineStr">
        <is>
          <t>Contrato derivado del "AM para el alquiler de maquinaria de obra civil, agrícola y forestal, y camiones para obras de construcción y demolición, dotada de operario, para las actuaciones del ámbito territorial de la gerencia provincial de Tragsa en Almería, incluidas las obras con fondos en el marco del PRTR, a adjudicar por procedimiento abierto, sujeto a regulación armonizada. TSA0078977"</t>
        </is>
      </c>
      <c r="J1578" s="2" t="inlineStr">
        <is>
          <t>TSA0078977-344</t>
        </is>
      </c>
      <c r="K1578" s="2" t="inlineStr">
        <is>
          <t>Abierto</t>
        </is>
      </c>
      <c r="L1578" s="6" t="n">
        <v>6</v>
      </c>
      <c r="M1578" s="2" t="n"/>
      <c r="N1578" s="7" t="n">
        <v>0</v>
      </c>
      <c r="O1578" s="4" t="n"/>
      <c r="P1578" s="2" t="inlineStr">
        <is>
          <t>45500000</t>
        </is>
      </c>
      <c r="Q1578" s="8" t="inlineStr">
        <is>
          <t>Ver</t>
        </is>
      </c>
      <c r="R1578" s="8" t="inlineStr">
        <is>
          <t>PCAP</t>
        </is>
      </c>
      <c r="S1578" s="9" t="n">
        <v>46310</v>
      </c>
      <c r="T1578" s="3" t="n">
        <v>46303.49667824074</v>
      </c>
      <c r="U1578" s="2" t="n"/>
    </row>
    <row r="1579">
      <c r="A1579" s="2" t="inlineStr">
        <is>
          <t>Adjudicada</t>
        </is>
      </c>
      <c r="B1579" s="3" t="n">
        <v>46220.99930555555</v>
      </c>
      <c r="C1579" s="5" t="n">
        <v>495201.59</v>
      </c>
      <c r="D1579" s="5" t="n">
        <v>495201.59</v>
      </c>
      <c r="E1579" s="2" t="inlineStr">
        <is>
          <t>Andalucía</t>
        </is>
      </c>
      <c r="F1579" s="2" t="inlineStr">
        <is>
          <t>Málaga</t>
        </is>
      </c>
      <c r="G1579" s="2" t="inlineStr">
        <is>
          <t>Málaga</t>
        </is>
      </c>
      <c r="H1579" s="2" t="inlineStr">
        <is>
          <t>Autoridad Portuaria de Málaga</t>
        </is>
      </c>
      <c r="I1579" s="2" t="inlineStr">
        <is>
          <t>Nuevo Centro de Control en Estación Marítima Muelle 3. Puerto de Málaga</t>
        </is>
      </c>
      <c r="J1579" s="2" t="inlineStr">
        <is>
          <t>26exma-009</t>
        </is>
      </c>
      <c r="K1579" s="2" t="inlineStr">
        <is>
          <t>Abierto simplificado</t>
        </is>
      </c>
      <c r="L1579" s="6" t="n">
        <v>5</v>
      </c>
      <c r="M1579" s="2" t="n"/>
      <c r="N1579" s="7" t="n">
        <v>0.19</v>
      </c>
      <c r="O1579" s="4" t="n"/>
      <c r="P1579" s="2" t="inlineStr">
        <is>
          <t>45233292; 45200000</t>
        </is>
      </c>
      <c r="Q1579" s="8" t="inlineStr">
        <is>
          <t>Ver</t>
        </is>
      </c>
      <c r="R1579" s="8" t="inlineStr">
        <is>
          <t>PCAP</t>
        </is>
      </c>
      <c r="S1579" s="9" t="n">
        <v>46310</v>
      </c>
      <c r="T1579" s="3" t="n">
        <v>46303.49599537037</v>
      </c>
      <c r="U1579" s="2" t="n"/>
    </row>
    <row r="1580">
      <c r="A1580" s="2" t="inlineStr">
        <is>
          <t>Resuelta</t>
        </is>
      </c>
      <c r="B1580" s="3" t="n">
        <v>46245.41666666666</v>
      </c>
      <c r="C1580" s="5" t="n">
        <v>31500</v>
      </c>
      <c r="D1580" s="5" t="n">
        <v>31500</v>
      </c>
      <c r="E1580" s="2" t="inlineStr">
        <is>
          <t>Andalucía</t>
        </is>
      </c>
      <c r="F1580" s="2" t="inlineStr">
        <is>
          <t>Almería</t>
        </is>
      </c>
      <c r="G1580" s="2" t="n"/>
      <c r="H1580" s="2" t="inlineStr">
        <is>
          <t>Empresa de Transformación Agraria S.A.,S.M.E., M.P., (TRAGSA)</t>
        </is>
      </c>
      <c r="I1580" s="2" t="inlineStr">
        <is>
          <t>Contrato derivado del "AM para el alquiler de maquinaria de obra civil, agrícola y forestal, y camiones para obras de construcción y demolición, dotada de operario, para las actuaciones del ámbito territorial de la gerencia provincial de Tragsa en Almería, incluidas las obras con fondos en el marco del PRTR, a adjudicar por procedimiento abierto, sujeto a regulación armonizada. TSA0078977"</t>
        </is>
      </c>
      <c r="J1580" s="2" t="inlineStr">
        <is>
          <t>TSA0078977-343</t>
        </is>
      </c>
      <c r="K1580" s="2" t="inlineStr">
        <is>
          <t>Abierto</t>
        </is>
      </c>
      <c r="L1580" s="6" t="n">
        <v>6</v>
      </c>
      <c r="M1580" s="2" t="n"/>
      <c r="N1580" s="7" t="n">
        <v>0</v>
      </c>
      <c r="O1580" s="4" t="n"/>
      <c r="P1580" s="2" t="inlineStr">
        <is>
          <t>45500000</t>
        </is>
      </c>
      <c r="Q1580" s="8" t="inlineStr">
        <is>
          <t>Ver</t>
        </is>
      </c>
      <c r="R1580" s="8" t="inlineStr">
        <is>
          <t>PCAP</t>
        </is>
      </c>
      <c r="S1580" s="9" t="n">
        <v>46310</v>
      </c>
      <c r="T1580" s="3" t="n">
        <v>46303.49542824074</v>
      </c>
      <c r="U1580" s="2" t="n"/>
    </row>
    <row r="1581">
      <c r="A1581" s="2" t="inlineStr">
        <is>
          <t>Resuelta</t>
        </is>
      </c>
      <c r="B1581" s="3" t="n">
        <v>46245.41666666666</v>
      </c>
      <c r="C1581" s="5" t="n">
        <v>31500</v>
      </c>
      <c r="D1581" s="5" t="n">
        <v>31500</v>
      </c>
      <c r="E1581" s="2" t="inlineStr">
        <is>
          <t>Andalucía</t>
        </is>
      </c>
      <c r="F1581" s="2" t="inlineStr">
        <is>
          <t>Almería</t>
        </is>
      </c>
      <c r="G1581" s="2" t="n"/>
      <c r="H1581" s="2" t="inlineStr">
        <is>
          <t>Empresa de Transformación Agraria S.A.,S.M.E., M.P., (TRAGSA)</t>
        </is>
      </c>
      <c r="I1581" s="2" t="inlineStr">
        <is>
          <t>Contrato derivado del "AM para el alquiler de maquinaria de obra civil, agrícola y forestal, y camiones para obras de construcción y demolición, dotada de operario, para las actuaciones del ámbito territorial de la gerencia provincial de Tragsa en Almería, incluidas las obras con fondos en el marco del PRTR, a adjudicar por procedimiento abierto, sujeto a regulación armonizada. TSA0078977"</t>
        </is>
      </c>
      <c r="J1581" s="2" t="inlineStr">
        <is>
          <t>TSA0078977-342</t>
        </is>
      </c>
      <c r="K1581" s="2" t="inlineStr">
        <is>
          <t>Abierto</t>
        </is>
      </c>
      <c r="L1581" s="6" t="n">
        <v>6</v>
      </c>
      <c r="M1581" s="2" t="n"/>
      <c r="N1581" s="7" t="n">
        <v>0</v>
      </c>
      <c r="O1581" s="4" t="n"/>
      <c r="P1581" s="2" t="inlineStr">
        <is>
          <t>45500000</t>
        </is>
      </c>
      <c r="Q1581" s="8" t="inlineStr">
        <is>
          <t>Ver</t>
        </is>
      </c>
      <c r="R1581" s="8" t="inlineStr">
        <is>
          <t>PCAP</t>
        </is>
      </c>
      <c r="S1581" s="9" t="n">
        <v>46310</v>
      </c>
      <c r="T1581" s="3" t="n">
        <v>46303.49363425926</v>
      </c>
      <c r="U1581" s="2" t="n"/>
    </row>
    <row r="1582">
      <c r="A1582" s="2" t="inlineStr">
        <is>
          <t>Resuelta</t>
        </is>
      </c>
      <c r="B1582" s="3" t="n">
        <v>46245.41666666666</v>
      </c>
      <c r="C1582" s="5" t="n">
        <v>49750</v>
      </c>
      <c r="D1582" s="5" t="n">
        <v>49750</v>
      </c>
      <c r="E1582" s="2" t="inlineStr">
        <is>
          <t>Andalucía</t>
        </is>
      </c>
      <c r="F1582" s="2" t="inlineStr">
        <is>
          <t>Almería</t>
        </is>
      </c>
      <c r="G1582" s="2" t="n"/>
      <c r="H1582" s="2" t="inlineStr">
        <is>
          <t>Empresa de Transformación Agraria S.A.,S.M.E., M.P., (TRAGSA)</t>
        </is>
      </c>
      <c r="I1582" s="2" t="inlineStr">
        <is>
          <t>Contrato derivado del "AM para el alquiler de maquinaria de obra civil, agrícola y forestal, y camiones para obras de construcción y demolición, dotada de operario, para las actuaciones del ámbito territorial de la gerencia provincial de Tragsa en Almería, incluidas las obras con fondos en el marco del PRTR, a adjudicar por procedimiento abierto, sujeto a regulación armonizada. TSA0078977"</t>
        </is>
      </c>
      <c r="J1582" s="2" t="inlineStr">
        <is>
          <t>TSA0078977-331</t>
        </is>
      </c>
      <c r="K1582" s="2" t="inlineStr">
        <is>
          <t>Abierto</t>
        </is>
      </c>
      <c r="L1582" s="6" t="n">
        <v>6</v>
      </c>
      <c r="M1582" s="2" t="n"/>
      <c r="N1582" s="7" t="n">
        <v>0</v>
      </c>
      <c r="O1582" s="4" t="n"/>
      <c r="P1582" s="2" t="inlineStr">
        <is>
          <t>45500000</t>
        </is>
      </c>
      <c r="Q1582" s="8" t="inlineStr">
        <is>
          <t>Ver</t>
        </is>
      </c>
      <c r="R1582" s="8" t="inlineStr">
        <is>
          <t>PCAP</t>
        </is>
      </c>
      <c r="S1582" s="9" t="n">
        <v>46310</v>
      </c>
      <c r="T1582" s="3" t="n">
        <v>46303.49206018518</v>
      </c>
      <c r="U1582" s="2" t="n"/>
    </row>
    <row r="1583">
      <c r="A1583" s="2" t="inlineStr">
        <is>
          <t>Resuelta</t>
        </is>
      </c>
      <c r="B1583" s="3" t="n">
        <v>46259.41666666666</v>
      </c>
      <c r="C1583" s="5" t="n">
        <v>10750</v>
      </c>
      <c r="D1583" s="5" t="n">
        <v>10750</v>
      </c>
      <c r="E1583" s="2" t="inlineStr">
        <is>
          <t>Andalucía</t>
        </is>
      </c>
      <c r="F1583" s="2" t="inlineStr">
        <is>
          <t>Granada</t>
        </is>
      </c>
      <c r="G1583" s="2" t="n"/>
      <c r="H1583" s="2" t="inlineStr">
        <is>
          <t>Empresa de Transformación Agraria S.A.,S.M.E., M.P., (TRAGSA)</t>
        </is>
      </c>
      <c r="I1583" s="2" t="inlineStr">
        <is>
          <t>Contrato derivado del "Acuerdo Marco para el Alquiler de Maquinaria de Obra Civil, Agrícola y Forestal, y Camiones para obras de construcción y demolición, dotada de operario, para las actuaciones de la Gerencia Provincial de Tragsa en Granada, incluidas las obras con Fondos en el Marco del Plan de Recuperación, Transformación y Resiliencia financiado por Unión Europea Next-Generation EU"</t>
        </is>
      </c>
      <c r="J1583" s="2" t="inlineStr">
        <is>
          <t>TSA0077561-325</t>
        </is>
      </c>
      <c r="K1583" s="2" t="inlineStr">
        <is>
          <t>Abierto</t>
        </is>
      </c>
      <c r="L1583" s="6" t="n">
        <v>2</v>
      </c>
      <c r="M1583" s="2" t="n"/>
      <c r="N1583" s="7" t="n">
        <v>0</v>
      </c>
      <c r="O1583" s="4" t="n"/>
      <c r="P1583" s="2" t="inlineStr">
        <is>
          <t>45500000</t>
        </is>
      </c>
      <c r="Q1583" s="8" t="inlineStr">
        <is>
          <t>Ver</t>
        </is>
      </c>
      <c r="R1583" s="8" t="inlineStr">
        <is>
          <t>PCAP</t>
        </is>
      </c>
      <c r="S1583" s="9" t="n">
        <v>46310</v>
      </c>
      <c r="T1583" s="3" t="n">
        <v>46303.49047453704</v>
      </c>
      <c r="U1583" s="2" t="n"/>
    </row>
    <row r="1584">
      <c r="A1584" s="2" t="inlineStr">
        <is>
          <t>Adjudicada</t>
        </is>
      </c>
      <c r="B1584" s="3" t="n">
        <v>46203.99930555555</v>
      </c>
      <c r="C1584" s="5" t="n">
        <v>109973.28</v>
      </c>
      <c r="D1584" s="5" t="n">
        <v>109973.28</v>
      </c>
      <c r="E1584" s="2" t="inlineStr">
        <is>
          <t>Comunitat Valenciana</t>
        </is>
      </c>
      <c r="F1584" s="2" t="inlineStr">
        <is>
          <t>Castellón</t>
        </is>
      </c>
      <c r="G1584" s="2" t="n"/>
      <c r="H1584" s="2" t="inlineStr">
        <is>
          <t>Alcaldía del Ayuntamiento de Cabanes</t>
        </is>
      </c>
      <c r="I1584" s="2" t="inlineStr">
        <is>
          <t>Obras de instalación de oficina de información turística en Torre la Sal.</t>
        </is>
      </c>
      <c r="J1584" s="2" t="inlineStr">
        <is>
          <t>1519/2026</t>
        </is>
      </c>
      <c r="K1584" s="2" t="inlineStr">
        <is>
          <t>Abierto simplificado</t>
        </is>
      </c>
      <c r="L1584" s="6" t="n">
        <v>3</v>
      </c>
      <c r="M1584" s="2" t="n"/>
      <c r="N1584" s="7" t="n">
        <v>0</v>
      </c>
      <c r="O1584" s="4" t="n"/>
      <c r="P1584" s="2" t="inlineStr">
        <is>
          <t>45223800; 44211100</t>
        </is>
      </c>
      <c r="Q1584" s="8" t="inlineStr">
        <is>
          <t>Ver</t>
        </is>
      </c>
      <c r="R1584" s="8" t="inlineStr">
        <is>
          <t>PCAP</t>
        </is>
      </c>
      <c r="S1584" s="9" t="n">
        <v>46310</v>
      </c>
      <c r="T1584" s="3" t="n">
        <v>46303.48814814815</v>
      </c>
      <c r="U1584" s="2" t="n"/>
    </row>
    <row r="1585">
      <c r="A1585" s="2" t="inlineStr">
        <is>
          <t>Resuelta</t>
        </is>
      </c>
      <c r="B1585" s="3" t="n">
        <v>45984.99930555555</v>
      </c>
      <c r="C1585" s="5" t="n">
        <v>1739825.21</v>
      </c>
      <c r="D1585" s="5" t="n">
        <v>1739825.21</v>
      </c>
      <c r="E1585" s="2" t="inlineStr">
        <is>
          <t>Andalucía</t>
        </is>
      </c>
      <c r="F1585" s="2" t="inlineStr">
        <is>
          <t>Sevilla</t>
        </is>
      </c>
      <c r="G1585" s="2" t="inlineStr">
        <is>
          <t>Sevilla</t>
        </is>
      </c>
      <c r="H1585" s="2" t="inlineStr">
        <is>
          <t>Comisión Ejecutiva del Patronato del Real Alcázar y Casa Consistorial de Sevilla</t>
        </is>
      </c>
      <c r="I1585" s="2" t="inlineStr">
        <is>
          <t>Obras de restauración del Cenador de Carlos V</t>
        </is>
      </c>
      <c r="J1585" s="2" t="inlineStr">
        <is>
          <t>2025/001113</t>
        </is>
      </c>
      <c r="K1585" s="2" t="inlineStr">
        <is>
          <t>Abierto simplificado</t>
        </is>
      </c>
      <c r="L1585" s="6" t="n">
        <v>12</v>
      </c>
      <c r="M1585" s="2" t="inlineStr">
        <is>
          <t>K7-4</t>
        </is>
      </c>
      <c r="N1585" s="7" t="n">
        <v>0</v>
      </c>
      <c r="O1585" s="4" t="n"/>
      <c r="P1585" s="2" t="inlineStr">
        <is>
          <t>45212350</t>
        </is>
      </c>
      <c r="Q1585" s="8" t="inlineStr">
        <is>
          <t>Ver</t>
        </is>
      </c>
      <c r="R1585" s="8" t="inlineStr">
        <is>
          <t>PCAP</t>
        </is>
      </c>
      <c r="S1585" s="9" t="n">
        <v>46310</v>
      </c>
      <c r="T1585" s="3" t="n">
        <v>46303.48706018519</v>
      </c>
      <c r="U1585" s="2" t="n"/>
    </row>
    <row r="1586">
      <c r="A1586" s="2" t="inlineStr">
        <is>
          <t>En plazo</t>
        </is>
      </c>
      <c r="B1586" s="3" t="n">
        <v>46329.99930555555</v>
      </c>
      <c r="C1586" s="5" t="n">
        <v>82644.63</v>
      </c>
      <c r="D1586" s="5" t="n">
        <v>82644.63</v>
      </c>
      <c r="E1586" s="2" t="inlineStr">
        <is>
          <t>Andalucía</t>
        </is>
      </c>
      <c r="F1586" s="2" t="inlineStr">
        <is>
          <t>Córdoba</t>
        </is>
      </c>
      <c r="G1586" s="2" t="n"/>
      <c r="H1586" s="2" t="inlineStr">
        <is>
          <t>Diputado delegado de Infraestructuras, Sostenibilidad y Agricultura</t>
        </is>
      </c>
      <c r="I1586" s="2" t="inlineStr">
        <is>
          <t>Contrato de obra de mejora de accesibilidad de instalaciones deportivas de la piscina municipal en Adamuz (Córdoba). Obra incluida en el Plan de Humanización de Entornos Urbanos y Agenda Rural 2024-2027</t>
        </is>
      </c>
      <c r="J1586" s="2" t="inlineStr">
        <is>
          <t>376/26 BIS</t>
        </is>
      </c>
      <c r="K1586" s="2" t="inlineStr">
        <is>
          <t>Abierto</t>
        </is>
      </c>
      <c r="L1586" s="6" t="n">
        <v>3</v>
      </c>
      <c r="M1586" s="2" t="n"/>
      <c r="N1586" s="7" t="n">
        <v>0</v>
      </c>
      <c r="O1586" s="4" t="n"/>
      <c r="P1586" s="2" t="inlineStr">
        <is>
          <t>45200000</t>
        </is>
      </c>
      <c r="Q1586" s="8" t="inlineStr">
        <is>
          <t>Ver</t>
        </is>
      </c>
      <c r="R1586" s="8" t="inlineStr">
        <is>
          <t>PCAP</t>
        </is>
      </c>
      <c r="S1586" s="9" t="n">
        <v>46310</v>
      </c>
      <c r="T1586" s="3" t="n">
        <v>46303.48563657407</v>
      </c>
      <c r="U1586" s="2" t="n"/>
    </row>
    <row r="1587">
      <c r="A1587" s="2" t="inlineStr">
        <is>
          <t>Adjudicada</t>
        </is>
      </c>
      <c r="B1587" s="3" t="n">
        <v>46287.99930555555</v>
      </c>
      <c r="C1587" s="5" t="n">
        <v>1537023.77</v>
      </c>
      <c r="D1587" s="5" t="n">
        <v>1537023.77</v>
      </c>
      <c r="E1587" s="2" t="inlineStr">
        <is>
          <t>Andalucía</t>
        </is>
      </c>
      <c r="F1587" s="2" t="inlineStr">
        <is>
          <t>Córdoba</t>
        </is>
      </c>
      <c r="G1587" s="2" t="n"/>
      <c r="H1587" s="2" t="inlineStr">
        <is>
          <t>Junta de Gobierno del Ayuntamiento de Córdoba</t>
        </is>
      </c>
      <c r="I1587" s="2" t="inlineStr">
        <is>
          <t>Obras de conservación y adecuación al cambio climático de 13 colegios de Córdoba.</t>
        </is>
      </c>
      <c r="J1587" s="2" t="inlineStr">
        <is>
          <t>2026/086</t>
        </is>
      </c>
      <c r="K1587" s="2" t="inlineStr">
        <is>
          <t>Abierto</t>
        </is>
      </c>
      <c r="L1587" s="6" t="n">
        <v>4</v>
      </c>
      <c r="M1587" s="2" t="n"/>
      <c r="N1587" s="7" t="n">
        <v>0</v>
      </c>
      <c r="O1587" s="4" t="n">
        <v>6</v>
      </c>
      <c r="P1587" s="2" t="inlineStr">
        <is>
          <t>45000000; 45330000; 45420000; 45261420; 44410000; 45223800; 45261400; 45262520; 44110000; 45310000; 44810000; 45343220</t>
        </is>
      </c>
      <c r="Q1587" s="8" t="inlineStr">
        <is>
          <t>Ver</t>
        </is>
      </c>
      <c r="R1587" s="8" t="inlineStr">
        <is>
          <t>PCAP</t>
        </is>
      </c>
      <c r="S1587" s="9" t="n">
        <v>46310</v>
      </c>
      <c r="T1587" s="3" t="n">
        <v>46303.48137731481</v>
      </c>
      <c r="U1587" s="2" t="n"/>
    </row>
    <row r="1588">
      <c r="A1588" s="2" t="inlineStr">
        <is>
          <t>Resuelta</t>
        </is>
      </c>
      <c r="B1588" s="3" t="n">
        <v>46296.99930555555</v>
      </c>
      <c r="C1588" s="5" t="n">
        <v>55182.15</v>
      </c>
      <c r="D1588" s="5" t="n">
        <v>55182.15</v>
      </c>
      <c r="E1588" s="2" t="inlineStr">
        <is>
          <t>Comunitat Valenciana</t>
        </is>
      </c>
      <c r="F1588" s="2" t="inlineStr">
        <is>
          <t>Alicante</t>
        </is>
      </c>
      <c r="G1588" s="2" t="n"/>
      <c r="H1588" s="2" t="inlineStr">
        <is>
          <t>Junta de Gobierno del Ayuntamiento Dénia</t>
        </is>
      </c>
      <c r="I1588" s="2" t="inlineStr">
        <is>
          <t>Nueva licitación Reforma de aseos en el Centro de Formación de Personas Adultas, Avda. Ramón Ortega, 3 bajo</t>
        </is>
      </c>
      <c r="J1588" s="2" t="inlineStr">
        <is>
          <t>OBR/2026000053</t>
        </is>
      </c>
      <c r="K1588" s="2" t="inlineStr">
        <is>
          <t>Abierto simplificado</t>
        </is>
      </c>
      <c r="L1588" s="6" t="n">
        <v>2</v>
      </c>
      <c r="M1588" s="2" t="n"/>
      <c r="N1588" s="7" t="n">
        <v>0</v>
      </c>
      <c r="O1588" s="4" t="n"/>
      <c r="P1588" s="2" t="inlineStr">
        <is>
          <t>45211310</t>
        </is>
      </c>
      <c r="Q1588" s="8" t="inlineStr">
        <is>
          <t>Ver</t>
        </is>
      </c>
      <c r="R1588" s="8" t="inlineStr">
        <is>
          <t>PCAP</t>
        </is>
      </c>
      <c r="S1588" s="9" t="n">
        <v>46310</v>
      </c>
      <c r="T1588" s="3" t="n">
        <v>46303.48109953704</v>
      </c>
      <c r="U1588" s="2" t="n"/>
    </row>
    <row r="1589">
      <c r="A1589" s="2" t="inlineStr">
        <is>
          <t>Pendiente de adjudicación</t>
        </is>
      </c>
      <c r="B1589" s="3" t="n">
        <v>46238.99930555555</v>
      </c>
      <c r="C1589" s="5" t="n">
        <v>82858.50999999999</v>
      </c>
      <c r="D1589" s="5" t="n">
        <v>82858.50999999999</v>
      </c>
      <c r="E1589" s="2" t="inlineStr">
        <is>
          <t>Comunitat Valenciana</t>
        </is>
      </c>
      <c r="F1589" s="2" t="inlineStr">
        <is>
          <t>Castellón</t>
        </is>
      </c>
      <c r="G1589" s="2" t="inlineStr">
        <is>
          <t>Benicarló</t>
        </is>
      </c>
      <c r="H1589" s="2" t="inlineStr">
        <is>
          <t>Concejal delegado de Contratación, Patrimonio, Secretaria General, Servicios Lingüísticos, Servicios Informáticos, Administración Electrónica, Transparencia, Participación Ciudadana y Atención a la Ciudadanía del Ayuntamiento de Benicarló</t>
        </is>
      </c>
      <c r="I1589" s="2" t="inlineStr">
        <is>
          <t>obras derribo edificio antiguo parque de bomberos</t>
        </is>
      </c>
      <c r="J1589" s="2" t="inlineStr">
        <is>
          <t>15/2026 (1841728F)</t>
        </is>
      </c>
      <c r="K1589" s="2" t="inlineStr">
        <is>
          <t>Abierto simplificado</t>
        </is>
      </c>
      <c r="L1589" s="6" t="n">
        <v>3</v>
      </c>
      <c r="M1589" s="2" t="n"/>
      <c r="N1589" s="7" t="n">
        <v>0</v>
      </c>
      <c r="O1589" s="4" t="n"/>
      <c r="P1589" s="2" t="inlineStr">
        <is>
          <t>45110000</t>
        </is>
      </c>
      <c r="Q1589" s="8" t="inlineStr">
        <is>
          <t>Ver</t>
        </is>
      </c>
      <c r="R1589" s="8" t="inlineStr">
        <is>
          <t>PCAP</t>
        </is>
      </c>
      <c r="S1589" s="9" t="n">
        <v>46310</v>
      </c>
      <c r="T1589" s="3" t="n">
        <v>46303.48056712963</v>
      </c>
      <c r="U1589" s="2" t="n"/>
    </row>
    <row r="1590">
      <c r="A1590" s="2" t="inlineStr">
        <is>
          <t>Resuelta</t>
        </is>
      </c>
      <c r="B1590" s="3" t="n">
        <v>46260.99930555555</v>
      </c>
      <c r="C1590" s="5" t="n">
        <v>73712.92999999999</v>
      </c>
      <c r="D1590" s="5" t="n">
        <v>73712.92999999999</v>
      </c>
      <c r="E1590" s="2" t="inlineStr">
        <is>
          <t>Andalucía</t>
        </is>
      </c>
      <c r="F1590" s="2" t="inlineStr">
        <is>
          <t>Huelva</t>
        </is>
      </c>
      <c r="G1590" s="2" t="n"/>
      <c r="H1590" s="2" t="inlineStr">
        <is>
          <t>Junta de Gobierno del Ayuntamiento de Almonte</t>
        </is>
      </c>
      <c r="I1590" s="2" t="inlineStr">
        <is>
          <t>Contrato de Ejecución de obras de sustitución césped artificial pista fútbol 7 polideportivo Almonte</t>
        </is>
      </c>
      <c r="J1590" s="2" t="inlineStr">
        <is>
          <t>11252/2026</t>
        </is>
      </c>
      <c r="K1590" s="2" t="inlineStr">
        <is>
          <t>Abierto</t>
        </is>
      </c>
      <c r="L1590" s="6" t="n">
        <v>2</v>
      </c>
      <c r="M1590" s="2" t="n"/>
      <c r="N1590" s="7" t="n">
        <v>0.25</v>
      </c>
      <c r="O1590" s="4" t="n"/>
      <c r="P1590" s="2" t="inlineStr">
        <is>
          <t>45212200</t>
        </is>
      </c>
      <c r="Q1590" s="8" t="inlineStr">
        <is>
          <t>Ver</t>
        </is>
      </c>
      <c r="R1590" s="8" t="inlineStr">
        <is>
          <t>PCAP</t>
        </is>
      </c>
      <c r="S1590" s="9" t="n">
        <v>46310</v>
      </c>
      <c r="T1590" s="3" t="n">
        <v>46303.4794212963</v>
      </c>
      <c r="U1590" s="2" t="n"/>
    </row>
    <row r="1591">
      <c r="A1591" s="2" t="inlineStr">
        <is>
          <t>Pendiente de adjudicación</t>
        </is>
      </c>
      <c r="B1591" s="3" t="n">
        <v>46296.99930555555</v>
      </c>
      <c r="C1591" s="5" t="n">
        <v>924088.09</v>
      </c>
      <c r="D1591" s="5" t="n">
        <v>924088.09</v>
      </c>
      <c r="E1591" s="2" t="inlineStr">
        <is>
          <t>Comunitat Valenciana</t>
        </is>
      </c>
      <c r="F1591" s="2" t="inlineStr">
        <is>
          <t>Valencia</t>
        </is>
      </c>
      <c r="G1591" s="2" t="n"/>
      <c r="H1591" s="2" t="inlineStr">
        <is>
          <t>Junta de Gobierno del Ajuntament de València</t>
        </is>
      </c>
      <c r="I1591" s="2" t="inlineStr">
        <is>
          <t>Obras para la construcción de 8 arquetas subterráneas para el soterramiento de contenedores (dividido en 2 lotes).-</t>
        </is>
      </c>
      <c r="J1591" s="2" t="inlineStr">
        <is>
          <t>04101/2026/99-O</t>
        </is>
      </c>
      <c r="K1591" s="2" t="inlineStr">
        <is>
          <t>Abierto simplificado</t>
        </is>
      </c>
      <c r="L1591" s="6" t="n">
        <v>6.5</v>
      </c>
      <c r="M1591" s="2" t="n"/>
      <c r="N1591" s="7" t="n">
        <v>0</v>
      </c>
      <c r="O1591" s="4" t="n">
        <v>2</v>
      </c>
      <c r="P1591" s="2" t="inlineStr">
        <is>
          <t>45350000; 45112500; 45112400; 45112000</t>
        </is>
      </c>
      <c r="Q1591" s="8" t="inlineStr">
        <is>
          <t>Ver</t>
        </is>
      </c>
      <c r="R1591" s="8" t="inlineStr">
        <is>
          <t>PCAP</t>
        </is>
      </c>
      <c r="S1591" s="9" t="n">
        <v>46310</v>
      </c>
      <c r="T1591" s="3" t="n">
        <v>46303.47802083333</v>
      </c>
      <c r="U1591" s="2" t="n"/>
    </row>
    <row r="1592">
      <c r="A1592" s="2" t="inlineStr">
        <is>
          <t>Resuelta</t>
        </is>
      </c>
      <c r="B1592" s="3" t="n">
        <v>46253.99930555555</v>
      </c>
      <c r="C1592" s="5" t="n">
        <v>52174.48</v>
      </c>
      <c r="D1592" s="5" t="n">
        <v>52174.48</v>
      </c>
      <c r="E1592" s="2" t="inlineStr">
        <is>
          <t>Andalucía</t>
        </is>
      </c>
      <c r="F1592" s="2" t="inlineStr">
        <is>
          <t>Sevilla</t>
        </is>
      </c>
      <c r="G1592" s="2" t="n"/>
      <c r="H1592" s="2" t="inlineStr">
        <is>
          <t>Alcaldía del Ayuntamiento de Castilleja de la Cuesta</t>
        </is>
      </c>
      <c r="I1592" s="2" t="inlineStr">
        <is>
          <t>Contrato mixto de obras, suministro y servicios para la instalación de sistemas de filtración, cloración, desinfección y control automático en fuentes ornamentales municipales</t>
        </is>
      </c>
      <c r="J1592" s="2" t="inlineStr">
        <is>
          <t>P4102900J-2026/000077-PAAS</t>
        </is>
      </c>
      <c r="K1592" s="2" t="inlineStr">
        <is>
          <t>Abierto simplificado</t>
        </is>
      </c>
      <c r="L1592" s="6" t="n">
        <v>3</v>
      </c>
      <c r="M1592" s="2" t="n"/>
      <c r="N1592" s="7" t="n">
        <v>0.25</v>
      </c>
      <c r="O1592" s="4" t="n"/>
      <c r="P1592" s="2" t="inlineStr">
        <is>
          <t>45232430</t>
        </is>
      </c>
      <c r="Q1592" s="8" t="inlineStr">
        <is>
          <t>Ver</t>
        </is>
      </c>
      <c r="R1592" s="8" t="inlineStr">
        <is>
          <t>PCAP</t>
        </is>
      </c>
      <c r="S1592" s="9" t="n">
        <v>46310</v>
      </c>
      <c r="T1592" s="3" t="n">
        <v>46303.46555555556</v>
      </c>
      <c r="U1592" s="2" t="n"/>
    </row>
    <row r="1593">
      <c r="A1593" s="2" t="inlineStr">
        <is>
          <t>Pendiente de adjudicación</t>
        </is>
      </c>
      <c r="B1593" s="3" t="n">
        <v>46295.99930555555</v>
      </c>
      <c r="C1593" s="5" t="n">
        <v>356695.33</v>
      </c>
      <c r="D1593" s="5" t="n">
        <v>356695.33</v>
      </c>
      <c r="E1593" s="2" t="inlineStr">
        <is>
          <t>Comunitat Valenciana</t>
        </is>
      </c>
      <c r="F1593" s="2" t="inlineStr">
        <is>
          <t>Castellón</t>
        </is>
      </c>
      <c r="G1593" s="2" t="inlineStr">
        <is>
          <t>Caudiel</t>
        </is>
      </c>
      <c r="H1593" s="2" t="inlineStr">
        <is>
          <t>Pleno del Ayuntamiento de Caudiel</t>
        </is>
      </c>
      <c r="I1593" s="2" t="inlineStr">
        <is>
          <t>Obras de instalación de césped artificial y sistema de riego en el campo de fútbol "el Olivar" de Caudiel</t>
        </is>
      </c>
      <c r="J1593" s="2" t="inlineStr">
        <is>
          <t>344/2026</t>
        </is>
      </c>
      <c r="K1593" s="2" t="inlineStr">
        <is>
          <t>Abierto simplificado</t>
        </is>
      </c>
      <c r="L1593" s="6" t="n">
        <v>3</v>
      </c>
      <c r="M1593" s="2" t="n"/>
      <c r="N1593" s="7" t="n">
        <v>0.25</v>
      </c>
      <c r="O1593" s="4" t="n"/>
      <c r="P1593" s="2" t="inlineStr">
        <is>
          <t>45212221; 45236119; 39293400</t>
        </is>
      </c>
      <c r="Q1593" s="8" t="inlineStr">
        <is>
          <t>Ver</t>
        </is>
      </c>
      <c r="R1593" s="8" t="inlineStr">
        <is>
          <t>PCAP</t>
        </is>
      </c>
      <c r="S1593" s="9" t="n">
        <v>46310</v>
      </c>
      <c r="T1593" s="3" t="n">
        <v>46303.46362268519</v>
      </c>
      <c r="U1593" s="2" t="n"/>
    </row>
    <row r="1594">
      <c r="A1594" s="2" t="inlineStr">
        <is>
          <t>Adjudicada</t>
        </is>
      </c>
      <c r="B1594" s="3" t="n">
        <v>46275.99930555555</v>
      </c>
      <c r="C1594" s="5" t="n">
        <v>1825743.79</v>
      </c>
      <c r="D1594" s="5" t="n">
        <v>1825743.79</v>
      </c>
      <c r="E1594" s="2" t="inlineStr">
        <is>
          <t>Comunitat Valenciana</t>
        </is>
      </c>
      <c r="F1594" s="2" t="inlineStr">
        <is>
          <t>Valencia</t>
        </is>
      </c>
      <c r="G1594" s="2" t="n"/>
      <c r="H1594" s="2" t="inlineStr">
        <is>
          <t>Alcaldía del Ayuntamiento de Cullera</t>
        </is>
      </c>
      <c r="I1594" s="2" t="inlineStr">
        <is>
          <t>Contrato de obras de rehabilitación del Pont de la Bega de Cullera</t>
        </is>
      </c>
      <c r="J1594" s="2" t="inlineStr">
        <is>
          <t>2989472W</t>
        </is>
      </c>
      <c r="K1594" s="2" t="inlineStr">
        <is>
          <t>Abierto simplificado</t>
        </is>
      </c>
      <c r="L1594" s="6" t="n">
        <v>12</v>
      </c>
      <c r="M1594" s="2" t="inlineStr">
        <is>
          <t>K6-2; G4-2; B4-2</t>
        </is>
      </c>
      <c r="N1594" s="7" t="n">
        <v>0</v>
      </c>
      <c r="O1594" s="4" t="n"/>
      <c r="P1594" s="2" t="inlineStr">
        <is>
          <t>45221100; 45311000; 45233222; 45000000; 45233140</t>
        </is>
      </c>
      <c r="Q1594" s="8" t="inlineStr">
        <is>
          <t>Ver</t>
        </is>
      </c>
      <c r="R1594" s="8" t="inlineStr">
        <is>
          <t>PCAP</t>
        </is>
      </c>
      <c r="S1594" s="9" t="n">
        <v>46310</v>
      </c>
      <c r="T1594" s="3" t="n">
        <v>46303.46284722222</v>
      </c>
      <c r="U1594" s="2" t="n"/>
    </row>
    <row r="1595">
      <c r="A1595" s="2" t="inlineStr">
        <is>
          <t>Pendiente de adjudicación</t>
        </is>
      </c>
      <c r="B1595" s="3" t="n">
        <v>46063.58333333334</v>
      </c>
      <c r="C1595" s="5" t="n">
        <v>8096026.51</v>
      </c>
      <c r="D1595" s="5" t="n">
        <v>8096026.51</v>
      </c>
      <c r="E1595" s="2" t="inlineStr">
        <is>
          <t>Comunitat Valenciana</t>
        </is>
      </c>
      <c r="F1595" s="2" t="inlineStr">
        <is>
          <t>Valencia</t>
        </is>
      </c>
      <c r="G1595" s="2" t="n"/>
      <c r="H1595" s="2" t="inlineStr">
        <is>
          <t>Dirección General del Agua</t>
        </is>
      </c>
      <c r="I1595" s="2" t="inlineStr">
        <is>
          <t>Contratación de obras para adaptación al riesgo de inundación del Bco. Barxeta. Fase II.</t>
        </is>
      </c>
      <c r="J1595" s="2" t="inlineStr">
        <is>
          <t>08.499-0077/2111</t>
        </is>
      </c>
      <c r="K1595" s="2" t="inlineStr">
        <is>
          <t>Abierto</t>
        </is>
      </c>
      <c r="L1595" s="6" t="n">
        <v>12</v>
      </c>
      <c r="M1595" s="2" t="inlineStr">
        <is>
          <t>E5-6</t>
        </is>
      </c>
      <c r="N1595" s="7" t="n">
        <v>0.48</v>
      </c>
      <c r="O1595" s="4" t="n"/>
      <c r="P1595" s="2" t="inlineStr">
        <is>
          <t>45246400</t>
        </is>
      </c>
      <c r="Q1595" s="8" t="inlineStr">
        <is>
          <t>Ver</t>
        </is>
      </c>
      <c r="R1595" s="8" t="inlineStr">
        <is>
          <t>PCAP</t>
        </is>
      </c>
      <c r="S1595" s="9" t="n">
        <v>46310</v>
      </c>
      <c r="T1595" s="3" t="n">
        <v>46303.46016203704</v>
      </c>
      <c r="U1595" s="2" t="n"/>
    </row>
    <row r="1596">
      <c r="A1596" s="2" t="inlineStr">
        <is>
          <t>Adjudicada</t>
        </is>
      </c>
      <c r="B1596" s="3" t="n">
        <v>46294.99930555555</v>
      </c>
      <c r="C1596" s="5" t="n">
        <v>79065.85000000001</v>
      </c>
      <c r="D1596" s="5" t="n">
        <v>79065.85000000001</v>
      </c>
      <c r="E1596" s="2" t="inlineStr">
        <is>
          <t>Comunitat Valenciana</t>
        </is>
      </c>
      <c r="F1596" s="2" t="inlineStr">
        <is>
          <t>Valencia</t>
        </is>
      </c>
      <c r="G1596" s="2" t="n"/>
      <c r="H1596" s="2" t="inlineStr">
        <is>
          <t>Alcaldía del Ayuntamiento de La Yesa</t>
        </is>
      </c>
      <c r="I1596" s="2" t="inlineStr">
        <is>
          <t>Rehabilitación de Piscina Pública Municipal</t>
        </is>
      </c>
      <c r="J1596" s="2" t="inlineStr">
        <is>
          <t>2958778P</t>
        </is>
      </c>
      <c r="K1596" s="2" t="inlineStr">
        <is>
          <t>Abierto simplificado</t>
        </is>
      </c>
      <c r="L1596" s="6" t="n">
        <v>2</v>
      </c>
      <c r="M1596" s="2" t="n"/>
      <c r="N1596" s="7" t="n">
        <v>0</v>
      </c>
      <c r="O1596" s="4" t="n"/>
      <c r="P1596" s="2" t="inlineStr">
        <is>
          <t>45212212</t>
        </is>
      </c>
      <c r="Q1596" s="8" t="inlineStr">
        <is>
          <t>Ver</t>
        </is>
      </c>
      <c r="R1596" s="8" t="inlineStr">
        <is>
          <t>PCAP</t>
        </is>
      </c>
      <c r="S1596" s="9" t="n">
        <v>46310</v>
      </c>
      <c r="T1596" s="3" t="n">
        <v>46303.46006944445</v>
      </c>
      <c r="U1596" s="2" t="n"/>
    </row>
    <row r="1597">
      <c r="A1597" s="2" t="inlineStr">
        <is>
          <t>Pendiente de adjudicación</t>
        </is>
      </c>
      <c r="B1597" s="3" t="n">
        <v>46056.58333333334</v>
      </c>
      <c r="C1597" s="5" t="n">
        <v>4133341.04</v>
      </c>
      <c r="D1597" s="5" t="n">
        <v>4133341.04</v>
      </c>
      <c r="E1597" s="2" t="inlineStr">
        <is>
          <t>Comunitat Valenciana</t>
        </is>
      </c>
      <c r="F1597" s="2" t="inlineStr">
        <is>
          <t>Valencia</t>
        </is>
      </c>
      <c r="G1597" s="2" t="n"/>
      <c r="H1597" s="2" t="inlineStr">
        <is>
          <t>Dirección General del Agua</t>
        </is>
      </c>
      <c r="I1597" s="2" t="inlineStr">
        <is>
          <t>Contratación de obras para adaptación al riesgo de inundación del Bco. Barxeta. Fase I.</t>
        </is>
      </c>
      <c r="J1597" s="2" t="inlineStr">
        <is>
          <t>08.499-0076/2111</t>
        </is>
      </c>
      <c r="K1597" s="2" t="inlineStr">
        <is>
          <t>Abierto</t>
        </is>
      </c>
      <c r="L1597" s="6" t="n">
        <v>12</v>
      </c>
      <c r="M1597" s="2" t="inlineStr">
        <is>
          <t>E5-5</t>
        </is>
      </c>
      <c r="N1597" s="7" t="n">
        <v>0.48</v>
      </c>
      <c r="O1597" s="4" t="n"/>
      <c r="P1597" s="2" t="inlineStr">
        <is>
          <t>45246400</t>
        </is>
      </c>
      <c r="Q1597" s="8" t="inlineStr">
        <is>
          <t>Ver</t>
        </is>
      </c>
      <c r="R1597" s="8" t="inlineStr">
        <is>
          <t>PCAP</t>
        </is>
      </c>
      <c r="S1597" s="9" t="n">
        <v>46310</v>
      </c>
      <c r="T1597" s="3" t="n">
        <v>46303.45916666667</v>
      </c>
      <c r="U1597" s="2" t="n"/>
    </row>
    <row r="1598">
      <c r="A1598" s="2" t="inlineStr">
        <is>
          <t>Resuelta</t>
        </is>
      </c>
      <c r="B1598" s="3" t="n">
        <v>46170.75</v>
      </c>
      <c r="C1598" s="5" t="n">
        <v>849346.39</v>
      </c>
      <c r="D1598" s="5" t="n">
        <v>1019215.67</v>
      </c>
      <c r="E1598" s="2" t="inlineStr">
        <is>
          <t>Andalucía</t>
        </is>
      </c>
      <c r="F1598" s="2" t="inlineStr">
        <is>
          <t>Málaga</t>
        </is>
      </c>
      <c r="G1598" s="2" t="n"/>
      <c r="H1598" s="2" t="inlineStr">
        <is>
          <t>Consejero Delegado de la Empresa Municipal de Aguas de Málaga S.A.</t>
        </is>
      </c>
      <c r="I1598" s="2" t="inlineStr">
        <is>
          <t>Obras de Renovación de las redes de abastecimiento y saneamiento de la barriada de las Flores. Málaga. (Expdte Ingeniería:135/2024). En el marco de la Estrategia de Desarrollo Integrado Local (PLAN EDIL) “Conecta_Málaga”.</t>
        </is>
      </c>
      <c r="J1598" s="2" t="inlineStr">
        <is>
          <t>25-522-15</t>
        </is>
      </c>
      <c r="K1598" s="2" t="inlineStr">
        <is>
          <t>Abierto</t>
        </is>
      </c>
      <c r="L1598" s="6" t="n">
        <v>6</v>
      </c>
      <c r="M1598" s="2" t="n"/>
      <c r="N1598" s="7" t="n">
        <v>0</v>
      </c>
      <c r="O1598" s="4" t="n"/>
      <c r="P1598" s="2" t="inlineStr">
        <is>
          <t>45000000</t>
        </is>
      </c>
      <c r="Q1598" s="8" t="inlineStr">
        <is>
          <t>Ver</t>
        </is>
      </c>
      <c r="R1598" s="8" t="inlineStr">
        <is>
          <t>PCAP</t>
        </is>
      </c>
      <c r="S1598" s="9" t="n">
        <v>46310</v>
      </c>
      <c r="T1598" s="3" t="n">
        <v>46303.45396990741</v>
      </c>
      <c r="U1598" s="2" t="n"/>
    </row>
    <row r="1599">
      <c r="A1599" s="2" t="inlineStr">
        <is>
          <t>Resuelta</t>
        </is>
      </c>
      <c r="B1599" s="3" t="n">
        <v>45714.99930555555</v>
      </c>
      <c r="C1599" s="5" t="n">
        <v>5193674.75</v>
      </c>
      <c r="D1599" s="5" t="n">
        <v>5193674.75</v>
      </c>
      <c r="E1599" s="2" t="inlineStr">
        <is>
          <t>Andalucía</t>
        </is>
      </c>
      <c r="F1599" s="2" t="inlineStr">
        <is>
          <t>Málaga</t>
        </is>
      </c>
      <c r="G1599" s="2" t="n"/>
      <c r="H1599" s="2" t="inlineStr">
        <is>
          <t>Gerente de la Gerencia Municipal de Urbanismo del Ayuntamiento de Málaga</t>
        </is>
      </c>
      <c r="I1599" s="2" t="inlineStr">
        <is>
          <t>Proyecto de obras de urbanización del Paseo Marítimo de Pedregalejo, desde Baños del Carmen hasta el Arroyo de Jaboneros</t>
        </is>
      </c>
      <c r="J1599" s="2" t="inlineStr">
        <is>
          <t>OB-051/24</t>
        </is>
      </c>
      <c r="K1599" s="2" t="inlineStr">
        <is>
          <t>Abierto</t>
        </is>
      </c>
      <c r="L1599" s="6" t="n">
        <v>10</v>
      </c>
      <c r="M1599" s="2" t="inlineStr">
        <is>
          <t>G6-5</t>
        </is>
      </c>
      <c r="N1599" s="7" t="n">
        <v>0.4</v>
      </c>
      <c r="O1599" s="4" t="n"/>
      <c r="P1599" s="2" t="inlineStr">
        <is>
          <t>45233251; 45233252; 45246500</t>
        </is>
      </c>
      <c r="Q1599" s="8" t="inlineStr">
        <is>
          <t>Ver</t>
        </is>
      </c>
      <c r="R1599" s="8" t="inlineStr">
        <is>
          <t>PCAP</t>
        </is>
      </c>
      <c r="S1599" s="9" t="n">
        <v>46310</v>
      </c>
      <c r="T1599" s="3" t="n">
        <v>46303.44456018518</v>
      </c>
      <c r="U1599" s="2" t="n"/>
    </row>
    <row r="1600">
      <c r="A1600" s="2" t="inlineStr">
        <is>
          <t>Pendiente de adjudicación</t>
        </is>
      </c>
      <c r="B1600" s="3" t="n">
        <v>46293.58333333334</v>
      </c>
      <c r="C1600" s="5" t="n">
        <v>471382.88</v>
      </c>
      <c r="D1600" s="5" t="n">
        <v>471382.88</v>
      </c>
      <c r="E1600" s="2" t="inlineStr">
        <is>
          <t>Andalucía</t>
        </is>
      </c>
      <c r="F1600" s="2" t="inlineStr">
        <is>
          <t>Málaga</t>
        </is>
      </c>
      <c r="G1600" s="2" t="n"/>
      <c r="H1600" s="2" t="inlineStr">
        <is>
          <t>Dirección General de Tráfico</t>
        </is>
      </c>
      <c r="I1600" s="2" t="inlineStr">
        <is>
          <t>Obra de instalación de equipamiento ITS en la A-7 tramo desde enlace A-7/A-45/MA-20 -Virreina- hasta enlace A-7/AP-46 (Málaga).</t>
        </is>
      </c>
      <c r="J1600" s="2" t="inlineStr">
        <is>
          <t>3DGT6A000232</t>
        </is>
      </c>
      <c r="K1600" s="2" t="inlineStr">
        <is>
          <t>Abierto simplificado</t>
        </is>
      </c>
      <c r="L1600" s="6" t="n">
        <v>9</v>
      </c>
      <c r="M1600" s="2" t="n"/>
      <c r="N1600" s="7" t="n">
        <v>0.25</v>
      </c>
      <c r="O1600" s="4" t="n"/>
      <c r="P1600" s="2" t="inlineStr">
        <is>
          <t>45222300</t>
        </is>
      </c>
      <c r="Q1600" s="8" t="inlineStr">
        <is>
          <t>Ver</t>
        </is>
      </c>
      <c r="R1600" s="8" t="inlineStr">
        <is>
          <t>PCAP</t>
        </is>
      </c>
      <c r="S1600" s="9" t="n">
        <v>46310</v>
      </c>
      <c r="T1600" s="3" t="n">
        <v>46303.44116898148</v>
      </c>
      <c r="U1600" s="2" t="n"/>
    </row>
    <row r="1601">
      <c r="A1601" s="2" t="inlineStr">
        <is>
          <t>Resuelta</t>
        </is>
      </c>
      <c r="B1601" s="3" t="n">
        <v>46287.41666666666</v>
      </c>
      <c r="C1601" s="5" t="n">
        <v>2650904.53</v>
      </c>
      <c r="D1601" s="5" t="n">
        <v>2650904.53</v>
      </c>
      <c r="E1601" s="2" t="inlineStr">
        <is>
          <t>Comunitat Valenciana</t>
        </is>
      </c>
      <c r="F1601" s="2" t="inlineStr">
        <is>
          <t>Valencia</t>
        </is>
      </c>
      <c r="G1601" s="2" t="inlineStr">
        <is>
          <t>Término municipal de Sedaví</t>
        </is>
      </c>
      <c r="H1601" s="2" t="inlineStr">
        <is>
          <t>Empresa de Transformación Agraria S.A.,S.M.E., M.P., (TRAGSA)</t>
        </is>
      </c>
      <c r="I1601" s="2" t="inlineStr">
        <is>
          <t>Contrato derivado de acuerdo marco para la contratación de los trabajos de reparación de daños en infraestructuras, instalaciones y servicios de los municipios afectados por la DANA, entre el 28 de octubre y el 4 de noviembre de 2024, Nº 00786463 DANA24M POLIDEPORTIVO SEDAVI</t>
        </is>
      </c>
      <c r="J1601" s="2" t="inlineStr">
        <is>
          <t>TSA0080551-034</t>
        </is>
      </c>
      <c r="K1601" s="2" t="inlineStr">
        <is>
          <t>Abierto</t>
        </is>
      </c>
      <c r="L1601" s="6" t="n">
        <v>10</v>
      </c>
      <c r="M1601" s="2" t="n"/>
      <c r="N1601" s="7" t="n">
        <v>0</v>
      </c>
      <c r="O1601" s="4" t="n"/>
      <c r="P1601" s="2" t="inlineStr">
        <is>
          <t>45212290</t>
        </is>
      </c>
      <c r="Q1601" s="8" t="inlineStr">
        <is>
          <t>Ver</t>
        </is>
      </c>
      <c r="R1601" s="8" t="inlineStr">
        <is>
          <t>PCAP</t>
        </is>
      </c>
      <c r="S1601" s="9" t="n">
        <v>46310</v>
      </c>
      <c r="T1601" s="3" t="n">
        <v>46303.44032407407</v>
      </c>
      <c r="U1601" s="2" t="n"/>
    </row>
    <row r="1602">
      <c r="A1602" s="2" t="inlineStr">
        <is>
          <t>En plazo</t>
        </is>
      </c>
      <c r="B1602" s="3" t="n">
        <v>46323.99930555555</v>
      </c>
      <c r="C1602" s="5" t="n">
        <v>86115.46000000001</v>
      </c>
      <c r="D1602" s="5" t="n">
        <v>86115.46000000001</v>
      </c>
      <c r="E1602" s="2" t="inlineStr">
        <is>
          <t>Comunitat Valenciana</t>
        </is>
      </c>
      <c r="F1602" s="2" t="inlineStr">
        <is>
          <t>Alicante</t>
        </is>
      </c>
      <c r="G1602" s="2" t="n"/>
      <c r="H1602" s="2" t="inlineStr">
        <is>
          <t>Junta de Gobierno del Ayuntamiento Dénia</t>
        </is>
      </c>
      <c r="I1602" s="2" t="inlineStr">
        <is>
          <t>Obras de renovación de aceras en calles Mallorca, Ibiza y Mahón.</t>
        </is>
      </c>
      <c r="J1602" s="2" t="inlineStr">
        <is>
          <t>OBR/2026000062</t>
        </is>
      </c>
      <c r="K1602" s="2" t="inlineStr">
        <is>
          <t>Abierto simplificado</t>
        </is>
      </c>
      <c r="L1602" s="6" t="n">
        <v>2</v>
      </c>
      <c r="M1602" s="2" t="inlineStr">
        <is>
          <t>G6-1</t>
        </is>
      </c>
      <c r="N1602" s="7" t="n">
        <v>0</v>
      </c>
      <c r="O1602" s="4" t="n"/>
      <c r="P1602" s="2" t="inlineStr">
        <is>
          <t>45233251</t>
        </is>
      </c>
      <c r="Q1602" s="8" t="inlineStr">
        <is>
          <t>Ver</t>
        </is>
      </c>
      <c r="R1602" s="8" t="inlineStr">
        <is>
          <t>PCAP</t>
        </is>
      </c>
      <c r="S1602" s="9" t="n">
        <v>46310</v>
      </c>
      <c r="T1602" s="3" t="n">
        <v>46303.43943287037</v>
      </c>
      <c r="U1602" s="2" t="n"/>
    </row>
    <row r="1603">
      <c r="A1603" s="2" t="inlineStr">
        <is>
          <t>Pendiente de adjudicación</t>
        </is>
      </c>
      <c r="B1603" s="3" t="n">
        <v>46266.58333333334</v>
      </c>
      <c r="C1603" s="5" t="n">
        <v>3722671.41</v>
      </c>
      <c r="D1603" s="5" t="n">
        <v>4094938.55</v>
      </c>
      <c r="E1603" s="2" t="inlineStr">
        <is>
          <t>Comunitat Valenciana</t>
        </is>
      </c>
      <c r="F1603" s="2" t="inlineStr">
        <is>
          <t>Valencia</t>
        </is>
      </c>
      <c r="G1603" s="2" t="inlineStr">
        <is>
          <t>Buñol</t>
        </is>
      </c>
      <c r="H1603" s="2" t="inlineStr">
        <is>
          <t>Dirección General de Gestión Económica, Contratación e Infraestructuras de la Conselleria de Sanidad</t>
        </is>
      </c>
      <c r="I1603" s="2" t="inlineStr">
        <is>
          <t>Obras de reforma y ampliación del Centro Sanitario Integrado de Buñol</t>
        </is>
      </c>
      <c r="J1603" s="2" t="inlineStr">
        <is>
          <t>203/2026</t>
        </is>
      </c>
      <c r="K1603" s="2" t="inlineStr">
        <is>
          <t>Abierto</t>
        </is>
      </c>
      <c r="L1603" s="6" t="n">
        <v>20</v>
      </c>
      <c r="M1603" s="2" t="inlineStr">
        <is>
          <t>C*-5</t>
        </is>
      </c>
      <c r="N1603" s="7" t="n">
        <v>0.1</v>
      </c>
      <c r="O1603" s="4" t="n"/>
      <c r="P1603" s="2" t="inlineStr">
        <is>
          <t>45215100</t>
        </is>
      </c>
      <c r="Q1603" s="8" t="inlineStr">
        <is>
          <t>Ver</t>
        </is>
      </c>
      <c r="R1603" s="8" t="inlineStr">
        <is>
          <t>PCAP</t>
        </is>
      </c>
      <c r="S1603" s="9" t="n">
        <v>46310</v>
      </c>
      <c r="T1603" s="3" t="n">
        <v>46303.43540509259</v>
      </c>
      <c r="U1603" s="2" t="n"/>
    </row>
    <row r="1604">
      <c r="A1604" s="2" t="inlineStr">
        <is>
          <t>Pendiente de adjudicación</t>
        </is>
      </c>
      <c r="B1604" s="3" t="n">
        <v>46254.41666666666</v>
      </c>
      <c r="C1604" s="5" t="n">
        <v>538406.48</v>
      </c>
      <c r="D1604" s="5" t="n">
        <v>538406.48</v>
      </c>
      <c r="E1604" s="2" t="inlineStr">
        <is>
          <t>Comunitat Valenciana</t>
        </is>
      </c>
      <c r="F1604" s="2" t="inlineStr">
        <is>
          <t>Valencia</t>
        </is>
      </c>
      <c r="G1604" s="2" t="n"/>
      <c r="H1604" s="2" t="inlineStr">
        <is>
          <t>Pleno del Ayuntamiento de Vinalesa</t>
        </is>
      </c>
      <c r="I1604" s="2" t="inlineStr">
        <is>
          <t>Intervención de redistribución, mejora de vasos, instalaciones y playas de baño de las piscinas del polideportivo municipal de Vinalesa.</t>
        </is>
      </c>
      <c r="J1604" s="2" t="inlineStr">
        <is>
          <t>2888448J</t>
        </is>
      </c>
      <c r="K1604" s="2" t="inlineStr">
        <is>
          <t>Abierto simplificado</t>
        </is>
      </c>
      <c r="L1604" s="6" t="n">
        <v>3</v>
      </c>
      <c r="M1604" s="2" t="inlineStr">
        <is>
          <t>C2-3</t>
        </is>
      </c>
      <c r="N1604" s="7" t="n">
        <v>0</v>
      </c>
      <c r="O1604" s="4" t="n"/>
      <c r="P1604" s="2" t="inlineStr">
        <is>
          <t>45212212</t>
        </is>
      </c>
      <c r="Q1604" s="8" t="inlineStr">
        <is>
          <t>Ver</t>
        </is>
      </c>
      <c r="R1604" s="8" t="inlineStr">
        <is>
          <t>PCAP</t>
        </is>
      </c>
      <c r="S1604" s="9" t="n">
        <v>46310</v>
      </c>
      <c r="T1604" s="3" t="n">
        <v>46303.43373842593</v>
      </c>
      <c r="U1604" s="2" t="n"/>
    </row>
    <row r="1605">
      <c r="A1605" s="2" t="inlineStr">
        <is>
          <t>Plazo vencido</t>
        </is>
      </c>
      <c r="B1605" s="3" t="n">
        <v>46318.5</v>
      </c>
      <c r="C1605" s="5" t="n">
        <v>67920.10000000001</v>
      </c>
      <c r="D1605" s="5" t="n">
        <v>78108.12</v>
      </c>
      <c r="E1605" s="2" t="inlineStr">
        <is>
          <t>Comunitat Valenciana</t>
        </is>
      </c>
      <c r="F1605" s="2" t="inlineStr">
        <is>
          <t>Valencia</t>
        </is>
      </c>
      <c r="G1605" s="2" t="inlineStr">
        <is>
          <t>Valencia</t>
        </is>
      </c>
      <c r="H1605" s="2" t="inlineStr">
        <is>
          <t>Rectorado de la Universitat de València</t>
        </is>
      </c>
      <c r="I1605" s="2" t="inlineStr">
        <is>
          <t>Adecuación aparcamiento del Aulario Oeste a la normativas en materia de protección contra incendios y accesibilidad universal</t>
        </is>
      </c>
      <c r="J1605" s="2" t="inlineStr">
        <is>
          <t>2026OB00012</t>
        </is>
      </c>
      <c r="K1605" s="2" t="inlineStr">
        <is>
          <t>Abierto simplificado</t>
        </is>
      </c>
      <c r="L1605" s="6" t="n">
        <v>1</v>
      </c>
      <c r="M1605" s="2" t="n"/>
      <c r="N1605" s="7" t="n">
        <v>0</v>
      </c>
      <c r="O1605" s="4" t="n"/>
      <c r="P1605" s="2" t="inlineStr">
        <is>
          <t>45312100</t>
        </is>
      </c>
      <c r="Q1605" s="8" t="inlineStr">
        <is>
          <t>Ver</t>
        </is>
      </c>
      <c r="R1605" s="8" t="inlineStr">
        <is>
          <t>PCAP</t>
        </is>
      </c>
      <c r="S1605" s="9" t="n">
        <v>46310</v>
      </c>
      <c r="T1605" s="3" t="n">
        <v>46303.42893518518</v>
      </c>
      <c r="U1605" s="2" t="n"/>
    </row>
    <row r="1606">
      <c r="A1606" s="2" t="inlineStr">
        <is>
          <t>Resuelta</t>
        </is>
      </c>
      <c r="B1606" s="3" t="n">
        <v>46245.41666666666</v>
      </c>
      <c r="C1606" s="5" t="n">
        <v>49750</v>
      </c>
      <c r="D1606" s="5" t="n">
        <v>49750</v>
      </c>
      <c r="E1606" s="2" t="inlineStr">
        <is>
          <t>Andalucía</t>
        </is>
      </c>
      <c r="F1606" s="2" t="inlineStr">
        <is>
          <t>Almería</t>
        </is>
      </c>
      <c r="G1606" s="2" t="n"/>
      <c r="H1606" s="2" t="inlineStr">
        <is>
          <t>Empresa de Transformación Agraria S.A.,S.M.E., M.P., (TRAGSA)</t>
        </is>
      </c>
      <c r="I1606" s="2" t="inlineStr">
        <is>
          <t>Contrato derivado del "AM para el alquiler de maquinaria de obra civil, agrícola y forestal, y camiones para obras de construcción y demolición, dotada de operario, para las actuaciones del ámbito territorial de la gerencia provincial de Tragsa en Almería, incluidas las obras con fondos en el marco del PRTR, a adjudicar por procedimiento abierto, sujeto a regulación armonizada. TSA0078977"</t>
        </is>
      </c>
      <c r="J1606" s="2" t="inlineStr">
        <is>
          <t>TSA0078977-332</t>
        </is>
      </c>
      <c r="K1606" s="2" t="inlineStr">
        <is>
          <t>Abierto</t>
        </is>
      </c>
      <c r="L1606" s="6" t="n">
        <v>6</v>
      </c>
      <c r="M1606" s="2" t="n"/>
      <c r="N1606" s="7" t="n">
        <v>0</v>
      </c>
      <c r="O1606" s="4" t="n"/>
      <c r="P1606" s="2" t="inlineStr">
        <is>
          <t>45500000</t>
        </is>
      </c>
      <c r="Q1606" s="8" t="inlineStr">
        <is>
          <t>Ver</t>
        </is>
      </c>
      <c r="R1606" s="8" t="inlineStr">
        <is>
          <t>PCAP</t>
        </is>
      </c>
      <c r="S1606" s="9" t="n">
        <v>46310</v>
      </c>
      <c r="T1606" s="3" t="n">
        <v>46303.42657407407</v>
      </c>
      <c r="U1606" s="2" t="n"/>
    </row>
    <row r="1607">
      <c r="A1607" s="2" t="inlineStr">
        <is>
          <t>Plazo vencido</t>
        </is>
      </c>
      <c r="B1607" s="3" t="n">
        <v>46314.99930555555</v>
      </c>
      <c r="C1607" s="5" t="n">
        <v>364328.46</v>
      </c>
      <c r="D1607" s="5" t="n">
        <v>364328.46</v>
      </c>
      <c r="E1607" s="2" t="inlineStr">
        <is>
          <t>Comunitat Valenciana</t>
        </is>
      </c>
      <c r="F1607" s="2" t="inlineStr">
        <is>
          <t>Valencia</t>
        </is>
      </c>
      <c r="G1607" s="2" t="n"/>
      <c r="H1607" s="2" t="inlineStr">
        <is>
          <t>Pleno del Ayuntamiento de Jarafuel</t>
        </is>
      </c>
      <c r="I1607" s="2" t="inlineStr">
        <is>
          <t>Constituye el objeto del presente contrato la ejecución de las obras incluidas en el Proyecto Básico y de Ejecución de Reforma del Centro de Servicios Municipal (Antiguo Mercado Municipal) de Jarafuel (Valencia), destinadas a la reforma integral del antiguo mercado municipal para su adecuación como Centro de Servicios Municipal.</t>
        </is>
      </c>
      <c r="J1607" s="2" t="inlineStr">
        <is>
          <t>331/2026</t>
        </is>
      </c>
      <c r="K1607" s="2" t="inlineStr">
        <is>
          <t>Abierto simplificado</t>
        </is>
      </c>
      <c r="L1607" s="6" t="n">
        <v>4</v>
      </c>
      <c r="M1607" s="2" t="n"/>
      <c r="N1607" s="7" t="n">
        <v>0.25</v>
      </c>
      <c r="O1607" s="4" t="n"/>
      <c r="P1607" s="2" t="inlineStr">
        <is>
          <t>45262700; 45210000; 45313100; 45453000; 45421160; 45310000; 45331220; 45330000</t>
        </is>
      </c>
      <c r="Q1607" s="8" t="inlineStr">
        <is>
          <t>Ver</t>
        </is>
      </c>
      <c r="R1607" s="8" t="inlineStr">
        <is>
          <t>PCAP</t>
        </is>
      </c>
      <c r="S1607" s="9" t="n">
        <v>46310</v>
      </c>
      <c r="T1607" s="3" t="n">
        <v>46303.42354166666</v>
      </c>
      <c r="U1607" s="2" t="n"/>
    </row>
    <row r="1608">
      <c r="A1608" s="2" t="inlineStr">
        <is>
          <t>Pendiente de adjudicación</t>
        </is>
      </c>
      <c r="B1608" s="3" t="n">
        <v>46286.99930555555</v>
      </c>
      <c r="C1608" s="5" t="n">
        <v>1558461.68</v>
      </c>
      <c r="D1608" s="5" t="n">
        <v>1558461.68</v>
      </c>
      <c r="E1608" s="2" t="inlineStr">
        <is>
          <t>Comunitat Valenciana</t>
        </is>
      </c>
      <c r="F1608" s="2" t="inlineStr">
        <is>
          <t>Castellón</t>
        </is>
      </c>
      <c r="G1608" s="2" t="inlineStr">
        <is>
          <t>Benicarló</t>
        </is>
      </c>
      <c r="H1608" s="2" t="inlineStr">
        <is>
          <t>Concejal delegado de Contratación, Patrimonio, Secretaria General, Servicios Lingüísticos, Servicios Informáticos, Administración Electrónica, Transparencia, Participación Ciudadana y Atención a la Ciudadanía del Ayuntamiento de Benicarló</t>
        </is>
      </c>
      <c r="I1608" s="2" t="inlineStr">
        <is>
          <t>El contrato tendrá por objeto la ejecución de las obras DE CONSTRUCCIÓN DE LA ESTACIÓN INTERMODAL DE AUTOBUSES DE BENICARLÓ , de conformidad con lo dispuesto en el presente pliego y en el proyecto aprobado por la Junta de Gobierno local de fecha 17 de agosto de 2026, redactado por los Servicios Técnicos Municipales, documentos todos ellos que revisten carácter contractual.</t>
        </is>
      </c>
      <c r="J1608" s="2" t="inlineStr">
        <is>
          <t>27/2026</t>
        </is>
      </c>
      <c r="K1608" s="2" t="inlineStr">
        <is>
          <t>Abierto simplificado</t>
        </is>
      </c>
      <c r="L1608" s="6" t="n">
        <v>10</v>
      </c>
      <c r="M1608" s="2" t="inlineStr">
        <is>
          <t>C3-3; G6-4</t>
        </is>
      </c>
      <c r="N1608" s="7" t="n">
        <v>0.215</v>
      </c>
      <c r="O1608" s="4" t="n"/>
      <c r="P1608" s="2" t="inlineStr">
        <is>
          <t>45000000; 45213311</t>
        </is>
      </c>
      <c r="Q1608" s="8" t="inlineStr">
        <is>
          <t>Ver</t>
        </is>
      </c>
      <c r="R1608" s="8" t="inlineStr">
        <is>
          <t>PCAP</t>
        </is>
      </c>
      <c r="S1608" s="9" t="n">
        <v>46310</v>
      </c>
      <c r="T1608" s="3" t="n">
        <v>46303.42295138889</v>
      </c>
      <c r="U1608" s="2" t="n"/>
    </row>
    <row r="1609">
      <c r="A1609" s="2" t="inlineStr">
        <is>
          <t>Pendiente de adjudicación</t>
        </is>
      </c>
      <c r="B1609" s="3" t="n">
        <v>46295.75</v>
      </c>
      <c r="C1609" s="5" t="n">
        <v>1132060.85</v>
      </c>
      <c r="D1609" s="5" t="n">
        <v>1132060.85</v>
      </c>
      <c r="E1609" s="2" t="inlineStr">
        <is>
          <t>Comunitat Valenciana</t>
        </is>
      </c>
      <c r="F1609" s="2" t="inlineStr">
        <is>
          <t>Valencia</t>
        </is>
      </c>
      <c r="G1609" s="2" t="inlineStr">
        <is>
          <t>Algemesí</t>
        </is>
      </c>
      <c r="H1609" s="2" t="inlineStr">
        <is>
          <t>Alcaldía del Ayuntamiento de Algemesí</t>
        </is>
      </c>
      <c r="I1609" s="2" t="inlineStr">
        <is>
          <t>Obras de «Reconstrucción del Museu Valenciá de la Festa» y «Intervención patrimonial higrotérmica para la recuperación de las plantas altas del antiguo Convento de San Vicente»</t>
        </is>
      </c>
      <c r="J1609" s="2" t="inlineStr">
        <is>
          <t>10810/2026</t>
        </is>
      </c>
      <c r="K1609" s="2" t="inlineStr">
        <is>
          <t>Abierto simplificado</t>
        </is>
      </c>
      <c r="L1609" s="6" t="n">
        <v>8</v>
      </c>
      <c r="M1609" s="2" t="inlineStr">
        <is>
          <t>C4-4</t>
        </is>
      </c>
      <c r="N1609" s="7" t="n">
        <v>0</v>
      </c>
      <c r="O1609" s="4" t="n"/>
      <c r="P1609" s="2" t="inlineStr">
        <is>
          <t>45000000</t>
        </is>
      </c>
      <c r="Q1609" s="8" t="inlineStr">
        <is>
          <t>Ver</t>
        </is>
      </c>
      <c r="R1609" s="8" t="inlineStr">
        <is>
          <t>PCAP</t>
        </is>
      </c>
      <c r="S1609" s="9" t="n">
        <v>46310</v>
      </c>
      <c r="T1609" s="3" t="n">
        <v>46303.42149305555</v>
      </c>
      <c r="U1609" s="2" t="n"/>
    </row>
    <row r="1610">
      <c r="A1610" s="2" t="inlineStr">
        <is>
          <t>Resuelta</t>
        </is>
      </c>
      <c r="B1610" s="3" t="n">
        <v>46258.99930555555</v>
      </c>
      <c r="C1610" s="5" t="n">
        <v>272223.69</v>
      </c>
      <c r="D1610" s="5" t="n">
        <v>272223.69</v>
      </c>
      <c r="E1610" s="2" t="inlineStr">
        <is>
          <t>Andalucía</t>
        </is>
      </c>
      <c r="F1610" s="2" t="inlineStr">
        <is>
          <t>Cádiz</t>
        </is>
      </c>
      <c r="G1610" s="2" t="n"/>
      <c r="H1610" s="2" t="inlineStr">
        <is>
          <t>Consejería Delegada de Agua y Residuos del Campo de Gibraltar, S.A. (ARCGISA)</t>
        </is>
      </c>
      <c r="I1610" s="2" t="inlineStr">
        <is>
          <t>Ejecución de la obra de sustitución y mejoras en redes generales de saneamiento y abastecimiento en Calles Jaén, Almería, Córdoba, Málaga y Alféreces Provisionales del núcleo poblacional de Palmones, Los Barrios, promovida por la empresa Agua y Residuos del Campo de Gibraltar S.A. (ARCGISA).</t>
        </is>
      </c>
      <c r="J1610" s="2" t="inlineStr">
        <is>
          <t>10-6-2026</t>
        </is>
      </c>
      <c r="K1610" s="2" t="inlineStr">
        <is>
          <t>Abierto simplificado</t>
        </is>
      </c>
      <c r="L1610" s="6" t="n">
        <v>3</v>
      </c>
      <c r="M1610" s="2" t="n"/>
      <c r="N1610" s="7" t="n">
        <v>0</v>
      </c>
      <c r="O1610" s="4" t="n"/>
      <c r="P1610" s="2" t="inlineStr">
        <is>
          <t>45231100</t>
        </is>
      </c>
      <c r="Q1610" s="8" t="inlineStr">
        <is>
          <t>Ver</t>
        </is>
      </c>
      <c r="R1610" s="8" t="inlineStr">
        <is>
          <t>PCAP</t>
        </is>
      </c>
      <c r="S1610" s="9" t="n">
        <v>46310</v>
      </c>
      <c r="T1610" s="3" t="n">
        <v>46303.42068287037</v>
      </c>
      <c r="U1610" s="2" t="n"/>
    </row>
    <row r="1611">
      <c r="A1611" s="2" t="inlineStr">
        <is>
          <t>Resuelta</t>
        </is>
      </c>
      <c r="B1611" s="3" t="n">
        <v>46140.99930555555</v>
      </c>
      <c r="C1611" s="5" t="n">
        <v>11169715</v>
      </c>
      <c r="D1611" s="5" t="n">
        <v>11169715</v>
      </c>
      <c r="E1611" s="2" t="inlineStr">
        <is>
          <t>Comunitat Valenciana</t>
        </is>
      </c>
      <c r="F1611" s="2" t="inlineStr">
        <is>
          <t>Valencia</t>
        </is>
      </c>
      <c r="G1611" s="2" t="n"/>
      <c r="H1611" s="2" t="inlineStr">
        <is>
          <t>Rectorado de la Universitat Politècnica de València</t>
        </is>
      </c>
      <c r="I1611" s="2" t="inlineStr">
        <is>
          <t>Redacción de proyecto y construcción de planta piloto de chips fotónicos.</t>
        </is>
      </c>
      <c r="J1611" s="2" t="inlineStr">
        <is>
          <t>MY26/ITEAM/O/16</t>
        </is>
      </c>
      <c r="K1611" s="2" t="inlineStr">
        <is>
          <t>Abierto</t>
        </is>
      </c>
      <c r="L1611" s="6" t="n">
        <v>18</v>
      </c>
      <c r="M1611" s="2" t="inlineStr">
        <is>
          <t>C2-6</t>
        </is>
      </c>
      <c r="N1611" s="7" t="n">
        <v>0.49</v>
      </c>
      <c r="O1611" s="4" t="n"/>
      <c r="P1611" s="2" t="inlineStr">
        <is>
          <t>45214620; 71300000; 45214631; 71240000</t>
        </is>
      </c>
      <c r="Q1611" s="8" t="inlineStr">
        <is>
          <t>Ver</t>
        </is>
      </c>
      <c r="R1611" s="2" t="n"/>
      <c r="S1611" s="9" t="n">
        <v>46310</v>
      </c>
      <c r="T1611" s="3" t="n">
        <v>46303.4187962963</v>
      </c>
      <c r="U1611" s="2" t="n"/>
    </row>
    <row r="1612">
      <c r="A1612" s="2" t="inlineStr">
        <is>
          <t>En plazo</t>
        </is>
      </c>
      <c r="B1612" s="3" t="n">
        <v>46328.5</v>
      </c>
      <c r="C1612" s="5" t="n">
        <v>80000</v>
      </c>
      <c r="D1612" s="5" t="n">
        <v>80000</v>
      </c>
      <c r="E1612" s="2" t="inlineStr">
        <is>
          <t>Andalucía</t>
        </is>
      </c>
      <c r="F1612" s="2" t="inlineStr">
        <is>
          <t>Cádiz</t>
        </is>
      </c>
      <c r="G1612" s="2" t="inlineStr">
        <is>
          <t>Cádiz</t>
        </is>
      </c>
      <c r="H1612" s="2" t="inlineStr">
        <is>
          <t>Aena. Dirección del Aeropuerto de Jerez</t>
        </is>
      </c>
      <c r="I1612" s="2" t="inlineStr">
        <is>
          <t>Nuevo Sistema De Cloración Del Suministro Del Agua Potable Del Edificio Sei</t>
        </is>
      </c>
      <c r="J1612" s="2" t="inlineStr">
        <is>
          <t>XRY-80/2026</t>
        </is>
      </c>
      <c r="K1612" s="2" t="inlineStr">
        <is>
          <t>Normas internas</t>
        </is>
      </c>
      <c r="L1612" s="6" t="n">
        <v>2</v>
      </c>
      <c r="M1612" s="2" t="n"/>
      <c r="N1612" s="7" t="n">
        <v>0</v>
      </c>
      <c r="O1612" s="4" t="n"/>
      <c r="P1612" s="2" t="inlineStr">
        <is>
          <t>45332000</t>
        </is>
      </c>
      <c r="Q1612" s="8" t="inlineStr">
        <is>
          <t>Ver</t>
        </is>
      </c>
      <c r="R1612" s="8" t="inlineStr">
        <is>
          <t>PCAP</t>
        </is>
      </c>
      <c r="S1612" s="9" t="n">
        <v>46310</v>
      </c>
      <c r="T1612" s="3" t="n">
        <v>46303.41553240741</v>
      </c>
      <c r="U1612" s="2" t="n"/>
    </row>
    <row r="1613">
      <c r="A1613" s="2" t="inlineStr">
        <is>
          <t>Resuelta</t>
        </is>
      </c>
      <c r="B1613" s="3" t="n">
        <v>46287.99930555555</v>
      </c>
      <c r="C1613" s="5" t="n">
        <v>166994.64</v>
      </c>
      <c r="D1613" s="5" t="n">
        <v>217093.03</v>
      </c>
      <c r="E1613" s="2" t="inlineStr">
        <is>
          <t>Comunitat Valenciana</t>
        </is>
      </c>
      <c r="F1613" s="2" t="inlineStr">
        <is>
          <t>Valencia</t>
        </is>
      </c>
      <c r="G1613" s="2" t="n"/>
      <c r="H1613" s="2" t="inlineStr">
        <is>
          <t>Consorcio Hospital General Universitario de Valencia</t>
        </is>
      </c>
      <c r="I1613" s="2" t="inlineStr">
        <is>
          <t>Contrato de obras, responsable con el medioambiente, para la reforma y mejora de la eficiencia energética del centro de atención de urgencias (CAU) 24 horas en el CS Torrent I.</t>
        </is>
      </c>
      <c r="J1613" s="2" t="inlineStr">
        <is>
          <t>CMAYOR/2026/HGUV0/1841</t>
        </is>
      </c>
      <c r="K1613" s="2" t="inlineStr">
        <is>
          <t>Abierto simplificado</t>
        </is>
      </c>
      <c r="L1613" s="6" t="n">
        <v>4</v>
      </c>
      <c r="M1613" s="2" t="n"/>
      <c r="N1613" s="7" t="n">
        <v>0.3</v>
      </c>
      <c r="O1613" s="4" t="n"/>
      <c r="P1613" s="2" t="inlineStr">
        <is>
          <t>45215100</t>
        </is>
      </c>
      <c r="Q1613" s="8" t="inlineStr">
        <is>
          <t>Ver</t>
        </is>
      </c>
      <c r="R1613" s="8" t="inlineStr">
        <is>
          <t>PCAP</t>
        </is>
      </c>
      <c r="S1613" s="9" t="n">
        <v>46310</v>
      </c>
      <c r="T1613" s="3" t="n">
        <v>46303.40636574074</v>
      </c>
      <c r="U1613" s="2" t="n"/>
    </row>
    <row r="1614">
      <c r="A1614" s="2" t="inlineStr">
        <is>
          <t>Pendiente de adjudicación</t>
        </is>
      </c>
      <c r="B1614" s="3" t="n">
        <v>46301.5</v>
      </c>
      <c r="C1614" s="5" t="n">
        <v>307986.02</v>
      </c>
      <c r="D1614" s="5" t="n">
        <v>320305.46</v>
      </c>
      <c r="E1614" s="2" t="inlineStr">
        <is>
          <t>Andalucía</t>
        </is>
      </c>
      <c r="F1614" s="2" t="inlineStr">
        <is>
          <t>Granada</t>
        </is>
      </c>
      <c r="G1614" s="2" t="inlineStr">
        <is>
          <t>Granada</t>
        </is>
      </c>
      <c r="H1614" s="2" t="inlineStr">
        <is>
          <t>Aena. Dirección del Aeropuerto de Granada-Jaén F.G.L.</t>
        </is>
      </c>
      <c r="I1614" s="2" t="inlineStr">
        <is>
          <t>Vallado Perimetral Terminal-Oficinas, Marquesina Inspección De Vehículos Y Ampliación Parking Empleados</t>
        </is>
      </c>
      <c r="J1614" s="2" t="inlineStr">
        <is>
          <t>GRX-90/2026</t>
        </is>
      </c>
      <c r="K1614" s="2" t="inlineStr">
        <is>
          <t>Normas internas</t>
        </is>
      </c>
      <c r="L1614" s="6" t="n">
        <v>4</v>
      </c>
      <c r="M1614" s="2" t="n"/>
      <c r="N1614" s="7" t="n">
        <v>0</v>
      </c>
      <c r="O1614" s="4" t="n"/>
      <c r="P1614" s="2" t="inlineStr">
        <is>
          <t>45000000</t>
        </is>
      </c>
      <c r="Q1614" s="8" t="inlineStr">
        <is>
          <t>Ver</t>
        </is>
      </c>
      <c r="R1614" s="8" t="inlineStr">
        <is>
          <t>PCAP</t>
        </is>
      </c>
      <c r="S1614" s="9" t="n">
        <v>46310</v>
      </c>
      <c r="T1614" s="3" t="n">
        <v>46303.40515046296</v>
      </c>
      <c r="U1614" s="2" t="n"/>
    </row>
    <row r="1615">
      <c r="A1615" s="2" t="inlineStr">
        <is>
          <t>Resuelta</t>
        </is>
      </c>
      <c r="B1615" s="3" t="n">
        <v>46185.5</v>
      </c>
      <c r="C1615" s="5" t="n">
        <v>139120.73</v>
      </c>
      <c r="D1615" s="5" t="n">
        <v>139120.73</v>
      </c>
      <c r="E1615" s="2" t="inlineStr">
        <is>
          <t>Comunitat Valenciana</t>
        </is>
      </c>
      <c r="F1615" s="2" t="inlineStr">
        <is>
          <t>Alicante</t>
        </is>
      </c>
      <c r="G1615" s="2" t="inlineStr">
        <is>
          <t>Alicante / Alacant</t>
        </is>
      </c>
      <c r="H1615" s="2" t="inlineStr">
        <is>
          <t>Aena. Dirección del Aeropuerto de Alicante-Elche</t>
        </is>
      </c>
      <c r="I1615" s="2" t="inlineStr">
        <is>
          <t>Mejora Del Cerramiento Exterior Del Edificio Cela</t>
        </is>
      </c>
      <c r="J1615" s="2" t="inlineStr">
        <is>
          <t>ALC-41/2026</t>
        </is>
      </c>
      <c r="K1615" s="2" t="inlineStr">
        <is>
          <t>Normas internas</t>
        </is>
      </c>
      <c r="L1615" s="6" t="n"/>
      <c r="M1615" s="2" t="n"/>
      <c r="N1615" s="7" t="n">
        <v>0</v>
      </c>
      <c r="O1615" s="4" t="n"/>
      <c r="P1615" s="2" t="inlineStr">
        <is>
          <t>45443000</t>
        </is>
      </c>
      <c r="Q1615" s="8" t="inlineStr">
        <is>
          <t>Ver</t>
        </is>
      </c>
      <c r="R1615" s="8" t="inlineStr">
        <is>
          <t>PCAP</t>
        </is>
      </c>
      <c r="S1615" s="9" t="n">
        <v>46310</v>
      </c>
      <c r="T1615" s="3" t="n">
        <v>46303.40078703704</v>
      </c>
      <c r="U1615" s="2" t="n"/>
    </row>
    <row r="1616">
      <c r="A1616" s="2" t="inlineStr">
        <is>
          <t>Resuelta</t>
        </is>
      </c>
      <c r="B1616" s="3" t="n">
        <v>44784.99930555555</v>
      </c>
      <c r="C1616" s="5" t="n">
        <v>52931.89</v>
      </c>
      <c r="D1616" s="5" t="n">
        <v>52931.89</v>
      </c>
      <c r="E1616" s="2" t="inlineStr">
        <is>
          <t>Comunitat Valenciana</t>
        </is>
      </c>
      <c r="F1616" s="2" t="inlineStr">
        <is>
          <t>Castellón</t>
        </is>
      </c>
      <c r="G1616" s="2" t="n"/>
      <c r="H1616" s="2" t="inlineStr">
        <is>
          <t>Alcaldía del Ayuntamiento de Peñíscola</t>
        </is>
      </c>
      <c r="I1616" s="2" t="inlineStr">
        <is>
          <t>Construcción de 36 nuevas unidades de enterramiento en el Cementerio Municipal</t>
        </is>
      </c>
      <c r="J1616" s="2" t="inlineStr">
        <is>
          <t>2022/00002567R</t>
        </is>
      </c>
      <c r="K1616" s="2" t="inlineStr">
        <is>
          <t>Abierto simplificado</t>
        </is>
      </c>
      <c r="L1616" s="6" t="n">
        <v>1.4</v>
      </c>
      <c r="M1616" s="2" t="n"/>
      <c r="N1616" s="7" t="n">
        <v>0</v>
      </c>
      <c r="O1616" s="4" t="n"/>
      <c r="P1616" s="2" t="inlineStr">
        <is>
          <t>45215400</t>
        </is>
      </c>
      <c r="Q1616" s="8" t="inlineStr">
        <is>
          <t>Ver</t>
        </is>
      </c>
      <c r="R1616" s="8" t="inlineStr">
        <is>
          <t>PCAP</t>
        </is>
      </c>
      <c r="S1616" s="9" t="n">
        <v>46310</v>
      </c>
      <c r="T1616" s="3" t="n">
        <v>46303.39650462963</v>
      </c>
      <c r="U1616" s="2" t="n"/>
    </row>
    <row r="1617">
      <c r="A1617" s="2" t="inlineStr">
        <is>
          <t>Resuelta</t>
        </is>
      </c>
      <c r="B1617" s="3" t="n">
        <v>46197.5625</v>
      </c>
      <c r="C1617" s="5" t="n">
        <v>152601.06</v>
      </c>
      <c r="D1617" s="5" t="n">
        <v>152601.06</v>
      </c>
      <c r="E1617" s="2" t="inlineStr">
        <is>
          <t>Andalucía</t>
        </is>
      </c>
      <c r="F1617" s="2" t="inlineStr">
        <is>
          <t>Cádiz</t>
        </is>
      </c>
      <c r="G1617" s="2" t="n"/>
      <c r="H1617" s="2" t="inlineStr">
        <is>
          <t>Junta de Gobierno del Ayuntamiento de Chiclana de la Frontera</t>
        </is>
      </c>
      <c r="I1617" s="2" t="inlineStr">
        <is>
          <t>Obras de dotación de alumbrado público en varias calles del Pago Coto de la Campa en Chiclana de la Frontera.</t>
        </is>
      </c>
      <c r="J1617" s="2" t="inlineStr">
        <is>
          <t>15/2026</t>
        </is>
      </c>
      <c r="K1617" s="2" t="inlineStr">
        <is>
          <t>Abierto simplificado</t>
        </is>
      </c>
      <c r="L1617" s="6" t="n">
        <v>2</v>
      </c>
      <c r="M1617" s="2" t="n"/>
      <c r="N1617" s="7" t="n">
        <v>0</v>
      </c>
      <c r="O1617" s="4" t="n"/>
      <c r="P1617" s="2" t="inlineStr">
        <is>
          <t>45316000</t>
        </is>
      </c>
      <c r="Q1617" s="8" t="inlineStr">
        <is>
          <t>Ver</t>
        </is>
      </c>
      <c r="R1617" s="8" t="inlineStr">
        <is>
          <t>PCAP</t>
        </is>
      </c>
      <c r="S1617" s="9" t="n">
        <v>46310</v>
      </c>
      <c r="T1617" s="3" t="n">
        <v>46303.39591435185</v>
      </c>
      <c r="U1617" s="2" t="n"/>
    </row>
    <row r="1618">
      <c r="A1618" s="2" t="inlineStr">
        <is>
          <t>Resuelta</t>
        </is>
      </c>
      <c r="B1618" s="3" t="n">
        <v>46050.45833333334</v>
      </c>
      <c r="C1618" s="5" t="n">
        <v>5243442.19</v>
      </c>
      <c r="D1618" s="5" t="n">
        <v>5243442.19</v>
      </c>
      <c r="E1618" s="2" t="inlineStr">
        <is>
          <t>Andalucía</t>
        </is>
      </c>
      <c r="F1618" s="2" t="inlineStr">
        <is>
          <t>Sevilla</t>
        </is>
      </c>
      <c r="G1618" s="2" t="n"/>
      <c r="H1618" s="2" t="inlineStr">
        <is>
          <t>Comisión Ejecutiva de la Gerencia de Urbanismo de Sevilla</t>
        </is>
      </c>
      <c r="I1618" s="2" t="inlineStr">
        <is>
          <t>Proyecto de reordenación del entorno del Teatro Lope de Vega, Casino de la Exposición, Pabellones de Chile, Perú, Uruguay y Estados Unidos, Biblioteca Infanta Elena y Costurero de La Reina.</t>
        </is>
      </c>
      <c r="J1618" s="2" t="inlineStr">
        <is>
          <t>114/2025</t>
        </is>
      </c>
      <c r="K1618" s="2" t="inlineStr">
        <is>
          <t>Abierto</t>
        </is>
      </c>
      <c r="L1618" s="6" t="n">
        <v>13</v>
      </c>
      <c r="M1618" s="2" t="inlineStr">
        <is>
          <t>E1-3; K7-3; K6-2; G6-5</t>
        </is>
      </c>
      <c r="N1618" s="7" t="n">
        <v>0.4</v>
      </c>
      <c r="O1618" s="4" t="n"/>
      <c r="P1618" s="2" t="inlineStr">
        <is>
          <t>45000000</t>
        </is>
      </c>
      <c r="Q1618" s="8" t="inlineStr">
        <is>
          <t>Ver</t>
        </is>
      </c>
      <c r="R1618" s="8" t="inlineStr">
        <is>
          <t>PCAP</t>
        </is>
      </c>
      <c r="S1618" s="9" t="n">
        <v>46310</v>
      </c>
      <c r="T1618" s="3" t="n">
        <v>46303.39465277778</v>
      </c>
      <c r="U1618" s="2" t="n"/>
    </row>
    <row r="1619">
      <c r="A1619" s="2" t="inlineStr">
        <is>
          <t>Adjudicada</t>
        </is>
      </c>
      <c r="B1619" s="3" t="n">
        <v>46286.58333333334</v>
      </c>
      <c r="C1619" s="5" t="n">
        <v>127373.83</v>
      </c>
      <c r="D1619" s="5" t="n">
        <v>127373.83</v>
      </c>
      <c r="E1619" s="2" t="inlineStr">
        <is>
          <t>Andalucía</t>
        </is>
      </c>
      <c r="F1619" s="2" t="inlineStr">
        <is>
          <t>Sevilla</t>
        </is>
      </c>
      <c r="G1619" s="2" t="inlineStr">
        <is>
          <t>Sevilla</t>
        </is>
      </c>
      <c r="H1619" s="2" t="inlineStr">
        <is>
          <t>Secretaría General de la Agencia Estatal Consejo Superior de Investigaciones Científicas</t>
        </is>
      </c>
      <c r="I1619" s="2" t="inlineStr">
        <is>
          <t>Obras de sustitución del sistema de enfriamiento del CPD en el Edificio II con destino a la Estación Biológica de Doñana (EBD)</t>
        </is>
      </c>
      <c r="J1619" s="2" t="inlineStr">
        <is>
          <t>34503/26</t>
        </is>
      </c>
      <c r="K1619" s="2" t="inlineStr">
        <is>
          <t>Abierto simplificado</t>
        </is>
      </c>
      <c r="L1619" s="6" t="n">
        <v>2</v>
      </c>
      <c r="M1619" s="2" t="n"/>
      <c r="N1619" s="7" t="n">
        <v>0</v>
      </c>
      <c r="O1619" s="4" t="n"/>
      <c r="P1619" s="2" t="inlineStr">
        <is>
          <t>45331230</t>
        </is>
      </c>
      <c r="Q1619" s="8" t="inlineStr">
        <is>
          <t>Ver</t>
        </is>
      </c>
      <c r="R1619" s="8" t="inlineStr">
        <is>
          <t>PCAP</t>
        </is>
      </c>
      <c r="S1619" s="9" t="n">
        <v>46310</v>
      </c>
      <c r="T1619" s="3" t="n">
        <v>46303.39202546296</v>
      </c>
      <c r="U1619" s="2" t="n"/>
    </row>
    <row r="1620">
      <c r="A1620" s="2" t="inlineStr">
        <is>
          <t>Pendiente de adjudicación</t>
        </is>
      </c>
      <c r="B1620" s="3" t="n">
        <v>46245.99930555555</v>
      </c>
      <c r="C1620" s="5" t="n">
        <v>961573.97</v>
      </c>
      <c r="D1620" s="5" t="n">
        <v>961573.97</v>
      </c>
      <c r="E1620" s="2" t="inlineStr">
        <is>
          <t>Andalucía</t>
        </is>
      </c>
      <c r="F1620" s="2" t="inlineStr">
        <is>
          <t>Jaén</t>
        </is>
      </c>
      <c r="G1620" s="2" t="inlineStr">
        <is>
          <t>JAEN</t>
        </is>
      </c>
      <c r="H1620" s="2" t="inlineStr">
        <is>
          <t>Presidencia de la Diputación Provincial de Jaén</t>
        </is>
      </c>
      <c r="I1620" s="2" t="inlineStr">
        <is>
          <t>Contrato de obra JA-5400 Lopera a Arjona, mejora de firme.</t>
        </is>
      </c>
      <c r="J1620" s="2" t="inlineStr">
        <is>
          <t>CO-2025/002668</t>
        </is>
      </c>
      <c r="K1620" s="2" t="inlineStr">
        <is>
          <t>Abierto</t>
        </is>
      </c>
      <c r="L1620" s="6" t="n">
        <v>6</v>
      </c>
      <c r="M1620" s="2" t="inlineStr">
        <is>
          <t>G4-4</t>
        </is>
      </c>
      <c r="N1620" s="7" t="n">
        <v>0.4</v>
      </c>
      <c r="O1620" s="4" t="n"/>
      <c r="P1620" s="2" t="inlineStr">
        <is>
          <t>45233223</t>
        </is>
      </c>
      <c r="Q1620" s="8" t="inlineStr">
        <is>
          <t>Ver</t>
        </is>
      </c>
      <c r="R1620" s="8" t="inlineStr">
        <is>
          <t>PCAP</t>
        </is>
      </c>
      <c r="S1620" s="9" t="n">
        <v>46310</v>
      </c>
      <c r="T1620" s="3" t="n">
        <v>46303.38511574074</v>
      </c>
      <c r="U1620" s="2" t="n"/>
    </row>
    <row r="1621">
      <c r="A1621" s="2" t="inlineStr">
        <is>
          <t>Plazo vencido</t>
        </is>
      </c>
      <c r="B1621" s="3" t="n">
        <v>46318.99930555555</v>
      </c>
      <c r="C1621" s="5" t="n">
        <v>57756.65</v>
      </c>
      <c r="D1621" s="5" t="n">
        <v>57756.65</v>
      </c>
      <c r="E1621" s="2" t="inlineStr">
        <is>
          <t>Andalucía</t>
        </is>
      </c>
      <c r="F1621" s="2" t="inlineStr">
        <is>
          <t>Córdoba</t>
        </is>
      </c>
      <c r="G1621" s="2" t="inlineStr">
        <is>
          <t>Almedinilla</t>
        </is>
      </c>
      <c r="H1621" s="2" t="inlineStr">
        <is>
          <t>Alcaldía del Ayuntamiento de Almedinilla</t>
        </is>
      </c>
      <c r="I1621" s="2" t="inlineStr">
        <is>
          <t>Obras de reposición del pavimento en parte de la Ronda de Andalucía de Almedinilla, incluyendo fresado, asfaltado, paso peatonal elevado y señalización horizontal.</t>
        </is>
      </c>
      <c r="J1621" s="2" t="inlineStr">
        <is>
          <t>COPASS01/2026</t>
        </is>
      </c>
      <c r="K1621" s="2" t="inlineStr">
        <is>
          <t>Abierto simplificado</t>
        </is>
      </c>
      <c r="L1621" s="6" t="n">
        <v>1</v>
      </c>
      <c r="M1621" s="2" t="n"/>
      <c r="N1621" s="7" t="n">
        <v>0</v>
      </c>
      <c r="O1621" s="4" t="n"/>
      <c r="P1621" s="2" t="inlineStr">
        <is>
          <t>45233223</t>
        </is>
      </c>
      <c r="Q1621" s="8" t="inlineStr">
        <is>
          <t>Ver</t>
        </is>
      </c>
      <c r="R1621" s="8" t="inlineStr">
        <is>
          <t>PCAP</t>
        </is>
      </c>
      <c r="S1621" s="9" t="n">
        <v>46310</v>
      </c>
      <c r="T1621" s="3" t="n">
        <v>46303.38407407407</v>
      </c>
      <c r="U1621" s="2" t="n"/>
    </row>
    <row r="1622">
      <c r="A1622" s="2" t="inlineStr">
        <is>
          <t>Pendiente de adjudicación</t>
        </is>
      </c>
      <c r="B1622" s="3" t="n">
        <v>46294.99930555555</v>
      </c>
      <c r="C1622" s="5" t="n">
        <v>349480.16</v>
      </c>
      <c r="D1622" s="5" t="n">
        <v>349480.16</v>
      </c>
      <c r="E1622" s="2" t="inlineStr">
        <is>
          <t>Andalucía</t>
        </is>
      </c>
      <c r="F1622" s="2" t="inlineStr">
        <is>
          <t>Córdoba</t>
        </is>
      </c>
      <c r="G1622" s="2" t="inlineStr">
        <is>
          <t>Peñarroya-Pueblonuevo</t>
        </is>
      </c>
      <c r="H1622" s="2" t="inlineStr">
        <is>
          <t>Junta de Gobierno de la Diputación Provincial de Córdoba</t>
        </is>
      </c>
      <c r="I1622" s="2" t="inlineStr">
        <is>
          <t>Reurbanización de la calle José Simón de Lillo, 1ª fase Peñarroya-Pueblonuevo (Córdoba) obra incluida en el Plan Provincial de Obras y Servicios 2024-2027</t>
        </is>
      </c>
      <c r="J1622" s="2" t="inlineStr">
        <is>
          <t>506/26</t>
        </is>
      </c>
      <c r="K1622" s="2" t="inlineStr">
        <is>
          <t>Abierto</t>
        </is>
      </c>
      <c r="L1622" s="6" t="n">
        <v>7</v>
      </c>
      <c r="M1622" s="2" t="n"/>
      <c r="N1622" s="7" t="n">
        <v>0.4</v>
      </c>
      <c r="O1622" s="4" t="n"/>
      <c r="P1622" s="2" t="inlineStr">
        <is>
          <t>45232410; 45233250; 45231300</t>
        </is>
      </c>
      <c r="Q1622" s="8" t="inlineStr">
        <is>
          <t>Ver</t>
        </is>
      </c>
      <c r="R1622" s="8" t="inlineStr">
        <is>
          <t>PCAP</t>
        </is>
      </c>
      <c r="S1622" s="9" t="n">
        <v>46310</v>
      </c>
      <c r="T1622" s="3" t="n">
        <v>46303.38371527778</v>
      </c>
      <c r="U1622" s="2" t="n"/>
    </row>
    <row r="1623">
      <c r="A1623" s="2" t="inlineStr">
        <is>
          <t>Adjudicada</t>
        </is>
      </c>
      <c r="B1623" s="3" t="n">
        <v>46244.99930555555</v>
      </c>
      <c r="C1623" s="5" t="n">
        <v>371900.83</v>
      </c>
      <c r="D1623" s="5" t="n">
        <v>371900.83</v>
      </c>
      <c r="E1623" s="2" t="inlineStr">
        <is>
          <t>Andalucía</t>
        </is>
      </c>
      <c r="F1623" s="2" t="inlineStr">
        <is>
          <t>Huelva</t>
        </is>
      </c>
      <c r="G1623" s="2" t="n"/>
      <c r="H1623" s="2" t="inlineStr">
        <is>
          <t>Junta de Gobierno del Ayuntamiento de Almonte</t>
        </is>
      </c>
      <c r="I1623" s="2" t="inlineStr">
        <is>
          <t>Ejecución de obras reformado de proyecto básico y de ejecución instalaciones Municipales en Huerta de la Cañada,- Proyectos MITECO-derivadas de Proyecto Subvencionado por el Ministerio para la Transición Ecológica y el Reto Demográfico en aplicación del Real Decreto 842/2024, DE 27 de agosto.</t>
        </is>
      </c>
      <c r="J1623" s="2" t="inlineStr">
        <is>
          <t>16905/2025</t>
        </is>
      </c>
      <c r="K1623" s="2" t="inlineStr">
        <is>
          <t>Abierto simplificado</t>
        </is>
      </c>
      <c r="L1623" s="6" t="n">
        <v>9</v>
      </c>
      <c r="M1623" s="2" t="n"/>
      <c r="N1623" s="7" t="n">
        <v>0.25</v>
      </c>
      <c r="O1623" s="4" t="n"/>
      <c r="P1623" s="2" t="inlineStr">
        <is>
          <t>45212100</t>
        </is>
      </c>
      <c r="Q1623" s="8" t="inlineStr">
        <is>
          <t>Ver</t>
        </is>
      </c>
      <c r="R1623" s="8" t="inlineStr">
        <is>
          <t>PCAP</t>
        </is>
      </c>
      <c r="S1623" s="9" t="n">
        <v>46310</v>
      </c>
      <c r="T1623" s="3" t="n">
        <v>46303.38328703704</v>
      </c>
      <c r="U1623" s="2" t="n"/>
    </row>
    <row r="1624">
      <c r="A1624" s="2" t="inlineStr">
        <is>
          <t>Resuelta</t>
        </is>
      </c>
      <c r="B1624" s="3" t="n">
        <v>46300.58333333334</v>
      </c>
      <c r="C1624" s="5" t="n">
        <v>206656.44</v>
      </c>
      <c r="D1624" s="5" t="n">
        <v>206656.44</v>
      </c>
      <c r="E1624" s="2" t="inlineStr">
        <is>
          <t>Andalucía</t>
        </is>
      </c>
      <c r="F1624" s="2" t="inlineStr">
        <is>
          <t>Jaén</t>
        </is>
      </c>
      <c r="G1624" s="2" t="n"/>
      <c r="H1624" s="2" t="inlineStr">
        <is>
          <t>Alcaldía del Ayuntamiento de Baños de la Encina</t>
        </is>
      </c>
      <c r="I1624" s="2" t="inlineStr">
        <is>
          <t>Ejecución de las obras de reconstrucción del Torreón Poblaciones Dávalos y de la edificación anexa, situados en la Plaza del Rosario nº 4, conforme al PBE aprobado, incluyendo todas las actuaciones necesarias para su completa ejecución, de acuerdo con las prescripciones técnicas, el proyecto y las autorizaciones sectoriales en materia de patrimonio histórico.</t>
        </is>
      </c>
      <c r="J1624" s="2" t="inlineStr">
        <is>
          <t>1290/2025</t>
        </is>
      </c>
      <c r="K1624" s="2" t="inlineStr">
        <is>
          <t>Abierto simplificado</t>
        </is>
      </c>
      <c r="L1624" s="6" t="n">
        <v>12</v>
      </c>
      <c r="M1624" s="2" t="n"/>
      <c r="N1624" s="7" t="n"/>
      <c r="O1624" s="4" t="n"/>
      <c r="P1624" s="2" t="inlineStr">
        <is>
          <t>45212300</t>
        </is>
      </c>
      <c r="Q1624" s="8" t="inlineStr">
        <is>
          <t>Ver</t>
        </is>
      </c>
      <c r="R1624" s="8" t="inlineStr">
        <is>
          <t>PCAP</t>
        </is>
      </c>
      <c r="S1624" s="9" t="n">
        <v>46310</v>
      </c>
      <c r="T1624" s="3" t="n">
        <v>46303.37831018519</v>
      </c>
      <c r="U1624" s="2" t="n"/>
    </row>
    <row r="1625">
      <c r="A1625" s="2" t="inlineStr">
        <is>
          <t>Pendiente de adjudicación</t>
        </is>
      </c>
      <c r="B1625" s="3" t="n">
        <v>46300.99930555555</v>
      </c>
      <c r="C1625" s="5" t="n">
        <v>330578.51</v>
      </c>
      <c r="D1625" s="5" t="n">
        <v>330578.51</v>
      </c>
      <c r="E1625" s="2" t="inlineStr">
        <is>
          <t>Comunitat Valenciana</t>
        </is>
      </c>
      <c r="F1625" s="2" t="inlineStr">
        <is>
          <t>Valencia</t>
        </is>
      </c>
      <c r="G1625" s="2" t="n"/>
      <c r="H1625" s="2" t="inlineStr">
        <is>
          <t>Junta de Gobierno del Ayuntamiento de Alzira</t>
        </is>
      </c>
      <c r="I1625" s="2" t="inlineStr">
        <is>
          <t>Restauración lienzo de la Muralla Almohade en Alzira</t>
        </is>
      </c>
      <c r="J1625" s="2" t="inlineStr">
        <is>
          <t>OC-7112/26</t>
        </is>
      </c>
      <c r="K1625" s="2" t="inlineStr">
        <is>
          <t>Abierto simplificado</t>
        </is>
      </c>
      <c r="L1625" s="6" t="n">
        <v>10</v>
      </c>
      <c r="M1625" s="2" t="n"/>
      <c r="N1625" s="7" t="n">
        <v>0</v>
      </c>
      <c r="O1625" s="4" t="n"/>
      <c r="P1625" s="2" t="inlineStr">
        <is>
          <t>45212350; 45454100; 45112450</t>
        </is>
      </c>
      <c r="Q1625" s="8" t="inlineStr">
        <is>
          <t>Ver</t>
        </is>
      </c>
      <c r="R1625" s="8" t="inlineStr">
        <is>
          <t>PCAP</t>
        </is>
      </c>
      <c r="S1625" s="9" t="n">
        <v>46310</v>
      </c>
      <c r="T1625" s="3" t="n">
        <v>46303.37460648148</v>
      </c>
      <c r="U1625" s="2" t="n"/>
    </row>
    <row r="1626">
      <c r="A1626" s="2" t="inlineStr">
        <is>
          <t>En plazo</t>
        </is>
      </c>
      <c r="B1626" s="3" t="n">
        <v>46329.99930555555</v>
      </c>
      <c r="C1626" s="5" t="n">
        <v>2370624.52</v>
      </c>
      <c r="D1626" s="5" t="n">
        <v>2844749.42</v>
      </c>
      <c r="E1626" s="2" t="inlineStr">
        <is>
          <t>Andalucía</t>
        </is>
      </c>
      <c r="F1626" s="2" t="inlineStr">
        <is>
          <t>Almería</t>
        </is>
      </c>
      <c r="G1626" s="2" t="n"/>
      <c r="H1626" s="2" t="inlineStr">
        <is>
          <t>Junta de Gobierno Local del Ayuntamiento de El Ejido</t>
        </is>
      </c>
      <c r="I1626" s="2" t="inlineStr">
        <is>
          <t>Es objeto de la presente licitación es la contratación de la ejecución del proyecto de obras denominado: Proyecto de construcción de adecuación del complejo deportivo en el núcleo de Almerimar. Fase II, conforme a las especificaciones y características expuestas en el presente pliego y en el proyecto técnico.</t>
        </is>
      </c>
      <c r="J1626" s="2" t="inlineStr">
        <is>
          <t>2026 1137</t>
        </is>
      </c>
      <c r="K1626" s="2" t="inlineStr">
        <is>
          <t>Abierto</t>
        </is>
      </c>
      <c r="L1626" s="6" t="n">
        <v>6</v>
      </c>
      <c r="M1626" s="2" t="n"/>
      <c r="N1626" s="7" t="n">
        <v>0.25</v>
      </c>
      <c r="O1626" s="4" t="n"/>
      <c r="P1626" s="2" t="inlineStr">
        <is>
          <t>45200000</t>
        </is>
      </c>
      <c r="Q1626" s="8" t="inlineStr">
        <is>
          <t>Ver</t>
        </is>
      </c>
      <c r="R1626" s="8" t="inlineStr">
        <is>
          <t>PCAP</t>
        </is>
      </c>
      <c r="S1626" s="9" t="n">
        <v>46310</v>
      </c>
      <c r="T1626" s="3" t="n">
        <v>46303.37342592593</v>
      </c>
      <c r="U1626" s="2" t="n"/>
    </row>
    <row r="1627">
      <c r="A1627" s="2" t="inlineStr">
        <is>
          <t>En plazo</t>
        </is>
      </c>
      <c r="B1627" s="3" t="n">
        <v>46329.99930555555</v>
      </c>
      <c r="C1627" s="5" t="n">
        <v>495867.77</v>
      </c>
      <c r="D1627" s="5" t="n">
        <v>495867.77</v>
      </c>
      <c r="E1627" s="2" t="inlineStr">
        <is>
          <t>Andalucía</t>
        </is>
      </c>
      <c r="F1627" s="2" t="inlineStr">
        <is>
          <t>Jaén</t>
        </is>
      </c>
      <c r="G1627" s="2" t="inlineStr">
        <is>
          <t>Complejo medioaambiental Guadiel (Linares)</t>
        </is>
      </c>
      <c r="H1627" s="2" t="inlineStr">
        <is>
          <t>Presidencia de la Diputación Provincial de Jaén</t>
        </is>
      </c>
      <c r="I1627" s="2" t="inlineStr">
        <is>
          <t>Adecuación y ampliación del núcleo zoológico de Guadiel (JAÉN).</t>
        </is>
      </c>
      <c r="J1627" s="2" t="inlineStr">
        <is>
          <t>CO-2026/001387</t>
        </is>
      </c>
      <c r="K1627" s="2" t="inlineStr">
        <is>
          <t>Abierto</t>
        </is>
      </c>
      <c r="L1627" s="6" t="n">
        <v>6</v>
      </c>
      <c r="M1627" s="2" t="n"/>
      <c r="N1627" s="7" t="n">
        <v>0.5</v>
      </c>
      <c r="O1627" s="4" t="n"/>
      <c r="P1627" s="2" t="inlineStr">
        <is>
          <t>45000000</t>
        </is>
      </c>
      <c r="Q1627" s="8" t="inlineStr">
        <is>
          <t>Ver</t>
        </is>
      </c>
      <c r="R1627" s="8" t="inlineStr">
        <is>
          <t>PCAP</t>
        </is>
      </c>
      <c r="S1627" s="9" t="n">
        <v>46310</v>
      </c>
      <c r="T1627" s="3" t="n">
        <v>46303.37121527778</v>
      </c>
      <c r="U1627" s="2" t="n"/>
    </row>
    <row r="1628">
      <c r="A1628" s="2" t="inlineStr">
        <is>
          <t>Resuelta</t>
        </is>
      </c>
      <c r="B1628" s="3" t="n">
        <v>46265.54166666666</v>
      </c>
      <c r="C1628" s="5" t="n">
        <v>49394.58</v>
      </c>
      <c r="D1628" s="5" t="n">
        <v>49394.58</v>
      </c>
      <c r="E1628" s="2" t="inlineStr">
        <is>
          <t>Andalucía</t>
        </is>
      </c>
      <c r="F1628" s="2" t="inlineStr">
        <is>
          <t>Granada</t>
        </is>
      </c>
      <c r="G1628" s="2" t="n"/>
      <c r="H1628" s="2" t="inlineStr">
        <is>
          <t>Alcaldía del Ayuntamiento de Piñar</t>
        </is>
      </c>
      <c r="I1628" s="2" t="inlineStr">
        <is>
          <t>Ejecución de las obras de Remodelación del pavimento de la pista polideportiva del CEIP Hermanos Coronel Velázquez de Píñar (Granada), de acuerdo con el proyecto técnico redactado por la arquitecta municipal D. María José Orgaz Vargas, aprobado por el Ayuntamiento de Píñar en el marco del expediente 2023.4.PIDE36.</t>
        </is>
      </c>
      <c r="J1628" s="2" t="inlineStr">
        <is>
          <t>2023/4/PIDE-36</t>
        </is>
      </c>
      <c r="K1628" s="2" t="inlineStr">
        <is>
          <t>Abierto simplificado</t>
        </is>
      </c>
      <c r="L1628" s="6" t="n">
        <v>2</v>
      </c>
      <c r="M1628" s="2" t="n"/>
      <c r="N1628" s="7" t="n">
        <v>0</v>
      </c>
      <c r="O1628" s="4" t="n"/>
      <c r="P1628" s="2" t="inlineStr">
        <is>
          <t>45212000; 45212200</t>
        </is>
      </c>
      <c r="Q1628" s="8" t="inlineStr">
        <is>
          <t>Ver</t>
        </is>
      </c>
      <c r="R1628" s="8" t="inlineStr">
        <is>
          <t>PCAP</t>
        </is>
      </c>
      <c r="S1628" s="9" t="n">
        <v>46310</v>
      </c>
      <c r="T1628" s="3" t="n">
        <v>46303.36927083333</v>
      </c>
      <c r="U1628" s="2" t="n"/>
    </row>
    <row r="1629">
      <c r="A1629" s="2" t="inlineStr">
        <is>
          <t>Resuelta</t>
        </is>
      </c>
      <c r="B1629" s="3" t="n">
        <v>46273.99930555555</v>
      </c>
      <c r="C1629" s="5" t="n">
        <v>94445.69</v>
      </c>
      <c r="D1629" s="5" t="n">
        <v>94445.69</v>
      </c>
      <c r="E1629" s="2" t="inlineStr">
        <is>
          <t>Andalucía</t>
        </is>
      </c>
      <c r="F1629" s="2" t="inlineStr">
        <is>
          <t>Málaga</t>
        </is>
      </c>
      <c r="G1629" s="2" t="n"/>
      <c r="H1629" s="2" t="inlineStr">
        <is>
          <t>Alcaldía del Ayuntamiento de Estepona</t>
        </is>
      </c>
      <c r="I1629" s="2" t="inlineStr">
        <is>
          <t>Obras de reforma de los aseos del ala oeste del C.E.I.P. "Santo Tomás de Aquino", de Estepona</t>
        </is>
      </c>
      <c r="J1629" s="2" t="inlineStr">
        <is>
          <t>27713/2026</t>
        </is>
      </c>
      <c r="K1629" s="2" t="inlineStr">
        <is>
          <t>Abierto</t>
        </is>
      </c>
      <c r="L1629" s="6" t="n">
        <v>2</v>
      </c>
      <c r="M1629" s="2" t="n"/>
      <c r="N1629" s="7" t="n">
        <v>0</v>
      </c>
      <c r="O1629" s="4" t="n"/>
      <c r="P1629" s="2" t="inlineStr">
        <is>
          <t>45211310</t>
        </is>
      </c>
      <c r="Q1629" s="8" t="inlineStr">
        <is>
          <t>Ver</t>
        </is>
      </c>
      <c r="R1629" s="8" t="inlineStr">
        <is>
          <t>PCAP</t>
        </is>
      </c>
      <c r="S1629" s="9" t="n">
        <v>46310</v>
      </c>
      <c r="T1629" s="3" t="n">
        <v>46303.36236111111</v>
      </c>
      <c r="U1629" s="2" t="n"/>
    </row>
    <row r="1630">
      <c r="A1630" s="2" t="inlineStr">
        <is>
          <t>Resuelta</t>
        </is>
      </c>
      <c r="B1630" s="3" t="n">
        <v>46293.99930555555</v>
      </c>
      <c r="C1630" s="5" t="n">
        <v>708067.21</v>
      </c>
      <c r="D1630" s="5" t="n">
        <v>708067.21</v>
      </c>
      <c r="E1630" s="2" t="inlineStr">
        <is>
          <t>Andalucía</t>
        </is>
      </c>
      <c r="F1630" s="2" t="inlineStr">
        <is>
          <t>Almería</t>
        </is>
      </c>
      <c r="G1630" s="2" t="inlineStr">
        <is>
          <t>Almería</t>
        </is>
      </c>
      <c r="H1630" s="2" t="inlineStr">
        <is>
          <t>Junta de Gobierno del Ayuntamiento de Almería</t>
        </is>
      </c>
      <c r="I1630" s="2" t="inlineStr">
        <is>
          <t>Contratación de obras de "Adaptación de las plantas primera y segunda del antiguo Colegio Virgen del Socorro"</t>
        </is>
      </c>
      <c r="J1630" s="2" t="inlineStr">
        <is>
          <t>AYAL-2026000164</t>
        </is>
      </c>
      <c r="K1630" s="2" t="inlineStr">
        <is>
          <t>Abierto</t>
        </is>
      </c>
      <c r="L1630" s="6" t="n">
        <v>9</v>
      </c>
      <c r="M1630" s="2" t="inlineStr">
        <is>
          <t>C4-3; J2-3</t>
        </is>
      </c>
      <c r="N1630" s="7" t="n">
        <v>0.4</v>
      </c>
      <c r="O1630" s="4" t="n"/>
      <c r="P1630" s="2" t="inlineStr">
        <is>
          <t>45210000</t>
        </is>
      </c>
      <c r="Q1630" s="8" t="inlineStr">
        <is>
          <t>Ver</t>
        </is>
      </c>
      <c r="R1630" s="8" t="inlineStr">
        <is>
          <t>PCAP</t>
        </is>
      </c>
      <c r="S1630" s="9" t="n">
        <v>46310</v>
      </c>
      <c r="T1630" s="3" t="n">
        <v>46303.35611111111</v>
      </c>
      <c r="U1630" s="2" t="n"/>
    </row>
    <row r="1631">
      <c r="A1631" s="2" t="inlineStr">
        <is>
          <t>Resuelta</t>
        </is>
      </c>
      <c r="B1631" s="3" t="n">
        <v>46265.99930555555</v>
      </c>
      <c r="C1631" s="5" t="n">
        <v>174413.54</v>
      </c>
      <c r="D1631" s="5" t="n">
        <v>174413.54</v>
      </c>
      <c r="E1631" s="2" t="inlineStr">
        <is>
          <t>Comunitat Valenciana</t>
        </is>
      </c>
      <c r="F1631" s="2" t="inlineStr">
        <is>
          <t>Valencia</t>
        </is>
      </c>
      <c r="G1631" s="2" t="n"/>
      <c r="H1631" s="2" t="inlineStr">
        <is>
          <t>Alcaldía del Ayuntamiento de Alginet</t>
        </is>
      </c>
      <c r="I1631" s="2" t="inlineStr">
        <is>
          <t>Obras para la reforma del retén de la Policía Local d'Alginet por daños causados por la DANA</t>
        </is>
      </c>
      <c r="J1631" s="2" t="inlineStr">
        <is>
          <t>2544902M</t>
        </is>
      </c>
      <c r="K1631" s="2" t="inlineStr">
        <is>
          <t>Abierto simplificado</t>
        </is>
      </c>
      <c r="L1631" s="6" t="n">
        <v>6</v>
      </c>
      <c r="M1631" s="2" t="n"/>
      <c r="N1631" s="7" t="n">
        <v>0</v>
      </c>
      <c r="O1631" s="4" t="n"/>
      <c r="P1631" s="2" t="inlineStr">
        <is>
          <t>45216111; 45261000; 45210000</t>
        </is>
      </c>
      <c r="Q1631" s="8" t="inlineStr">
        <is>
          <t>Ver</t>
        </is>
      </c>
      <c r="R1631" s="8" t="inlineStr">
        <is>
          <t>PCAP</t>
        </is>
      </c>
      <c r="S1631" s="9" t="n">
        <v>46310</v>
      </c>
      <c r="T1631" s="3" t="n">
        <v>46303.35599537037</v>
      </c>
      <c r="U1631" s="2" t="n"/>
    </row>
    <row r="1632">
      <c r="A1632" s="2" t="inlineStr">
        <is>
          <t>En plazo</t>
        </is>
      </c>
      <c r="B1632" s="3" t="n">
        <v>46329.79166666666</v>
      </c>
      <c r="C1632" s="5" t="n">
        <v>13104056.72</v>
      </c>
      <c r="D1632" s="5" t="n">
        <v>13104056.72</v>
      </c>
      <c r="E1632" s="2" t="inlineStr">
        <is>
          <t>Andalucía</t>
        </is>
      </c>
      <c r="F1632" s="2" t="inlineStr">
        <is>
          <t>Jaén</t>
        </is>
      </c>
      <c r="G1632" s="2" t="n"/>
      <c r="H1632" s="2" t="inlineStr">
        <is>
          <t>Pleno del Ayuntamiento de Jaén</t>
        </is>
      </c>
      <c r="I1632" s="2" t="inlineStr">
        <is>
          <t>Contratación de las obras de reparación de pavimentos de calles del municipio de Jaén tras concatenación de borrascas durante los meses de enero y febrero de 2026, financiadas por la Administración General del Estado, a través del Ministerio de Política Territorial y Memoria Democrática, al amparo del art. 7 del Real Decreto-Ley 5/2026, de 17 de febrero.</t>
        </is>
      </c>
      <c r="J1632" s="2" t="inlineStr">
        <is>
          <t>2026000083</t>
        </is>
      </c>
      <c r="K1632" s="2" t="inlineStr">
        <is>
          <t>Abierto</t>
        </is>
      </c>
      <c r="L1632" s="6" t="n">
        <v>4</v>
      </c>
      <c r="M1632" s="2" t="n"/>
      <c r="N1632" s="7" t="n">
        <v>0.25</v>
      </c>
      <c r="O1632" s="4" t="n">
        <v>6</v>
      </c>
      <c r="P1632" s="2" t="inlineStr">
        <is>
          <t>45233252; 45111100; 45262300; 45262522</t>
        </is>
      </c>
      <c r="Q1632" s="8" t="inlineStr">
        <is>
          <t>Ver</t>
        </is>
      </c>
      <c r="R1632" s="8" t="inlineStr">
        <is>
          <t>PCAP</t>
        </is>
      </c>
      <c r="S1632" s="9" t="n">
        <v>46310</v>
      </c>
      <c r="T1632" s="3" t="n">
        <v>46303.34646990741</v>
      </c>
      <c r="U1632" s="2" t="n"/>
    </row>
    <row r="1633">
      <c r="A1633" s="2" t="inlineStr">
        <is>
          <t>Pendiente de adjudicación</t>
        </is>
      </c>
      <c r="B1633" s="3" t="n">
        <v>46294.99930555555</v>
      </c>
      <c r="C1633" s="5" t="n">
        <v>221455.49</v>
      </c>
      <c r="D1633" s="5" t="n">
        <v>221455.49</v>
      </c>
      <c r="E1633" s="2" t="inlineStr">
        <is>
          <t>Andalucía</t>
        </is>
      </c>
      <c r="F1633" s="2" t="inlineStr">
        <is>
          <t>Córdoba</t>
        </is>
      </c>
      <c r="G1633" s="2" t="n"/>
      <c r="H1633" s="2" t="inlineStr">
        <is>
          <t>Diputado delegado de Infraestructuras, Sostenibilidad y Agricultura</t>
        </is>
      </c>
      <c r="I1633" s="2" t="inlineStr">
        <is>
          <t>Contratación de la obra de adecuación y reforma de la pista deportiva y su entorno del colegio en La Granjuela. Obra incluida en el Plan Provincial de Obras y Servicios 2024-2027.</t>
        </is>
      </c>
      <c r="J1633" s="2" t="inlineStr">
        <is>
          <t>350/26 BIS</t>
        </is>
      </c>
      <c r="K1633" s="2" t="inlineStr">
        <is>
          <t>Negociado sin publicidad</t>
        </is>
      </c>
      <c r="L1633" s="6" t="n">
        <v>4</v>
      </c>
      <c r="M1633" s="2" t="n"/>
      <c r="N1633" s="7" t="n">
        <v>0.3</v>
      </c>
      <c r="O1633" s="4" t="n"/>
      <c r="P1633" s="2" t="inlineStr">
        <is>
          <t>45212200</t>
        </is>
      </c>
      <c r="Q1633" s="8" t="inlineStr">
        <is>
          <t>Ver</t>
        </is>
      </c>
      <c r="R1633" s="8" t="inlineStr">
        <is>
          <t>PCAP</t>
        </is>
      </c>
      <c r="S1633" s="9" t="n">
        <v>46310</v>
      </c>
      <c r="T1633" s="3" t="n">
        <v>46303.34524305556</v>
      </c>
      <c r="U1633" s="2" t="n"/>
    </row>
    <row r="1634">
      <c r="A1634" s="2" t="inlineStr">
        <is>
          <t>Resuelta</t>
        </is>
      </c>
      <c r="B1634" s="3" t="n">
        <v>46202.99930555555</v>
      </c>
      <c r="C1634" s="5" t="n">
        <v>79836.17999999999</v>
      </c>
      <c r="D1634" s="5" t="n">
        <v>79836.17999999999</v>
      </c>
      <c r="E1634" s="2" t="inlineStr">
        <is>
          <t>Andalucía</t>
        </is>
      </c>
      <c r="F1634" s="2" t="inlineStr">
        <is>
          <t>Granada</t>
        </is>
      </c>
      <c r="G1634" s="2" t="inlineStr">
        <is>
          <t>HUESCAR</t>
        </is>
      </c>
      <c r="H1634" s="2" t="inlineStr">
        <is>
          <t>Presidencia de la Diputación Provincial de Granada</t>
        </is>
      </c>
      <c r="I1634" s="2" t="inlineStr">
        <is>
          <t>Huéscar, trabajos de construcción especializados dentro de las obras Pfea 2025 para acondicionamiento de parcela para la creación de Arboretum de frutales y hortalizas en finca los morales</t>
        </is>
      </c>
      <c r="J1634" s="2" t="inlineStr">
        <is>
          <t>OB-038/26</t>
        </is>
      </c>
      <c r="K1634" s="2" t="inlineStr">
        <is>
          <t>Abierto simplificado</t>
        </is>
      </c>
      <c r="L1634" s="6" t="n">
        <v>4</v>
      </c>
      <c r="M1634" s="2" t="inlineStr">
        <is>
          <t>G6-1; C6-1</t>
        </is>
      </c>
      <c r="N1634" s="7" t="n">
        <v>0</v>
      </c>
      <c r="O1634" s="4" t="n"/>
      <c r="P1634" s="2" t="inlineStr">
        <is>
          <t>45262600; 45233200</t>
        </is>
      </c>
      <c r="Q1634" s="8" t="inlineStr">
        <is>
          <t>Ver</t>
        </is>
      </c>
      <c r="R1634" s="8" t="inlineStr">
        <is>
          <t>PCAP</t>
        </is>
      </c>
      <c r="S1634" s="9" t="n">
        <v>46310</v>
      </c>
      <c r="T1634" s="3" t="n">
        <v>46303.34251157408</v>
      </c>
      <c r="U1634" s="2" t="n"/>
    </row>
    <row r="1635">
      <c r="A1635" s="2" t="inlineStr">
        <is>
          <t>Resuelta</t>
        </is>
      </c>
      <c r="B1635" s="3" t="n">
        <v>46253.58333333334</v>
      </c>
      <c r="C1635" s="5" t="n">
        <v>59453.43</v>
      </c>
      <c r="D1635" s="5" t="n">
        <v>59453.43</v>
      </c>
      <c r="E1635" s="2" t="inlineStr">
        <is>
          <t>Comunitat Valenciana</t>
        </is>
      </c>
      <c r="F1635" s="2" t="inlineStr">
        <is>
          <t>Valencia</t>
        </is>
      </c>
      <c r="G1635" s="2" t="inlineStr">
        <is>
          <t>Requena</t>
        </is>
      </c>
      <c r="H1635" s="2" t="inlineStr">
        <is>
          <t>Alcaldía del Ayuntamiento de Requena</t>
        </is>
      </c>
      <c r="I1635" s="2" t="inlineStr">
        <is>
          <t>Reforma y adecuación de vestuarios de pista de atletismo</t>
        </is>
      </c>
      <c r="J1635" s="2" t="inlineStr">
        <is>
          <t>2799122W</t>
        </is>
      </c>
      <c r="K1635" s="2" t="inlineStr">
        <is>
          <t>Abierto simplificado</t>
        </is>
      </c>
      <c r="L1635" s="6" t="n">
        <v>2</v>
      </c>
      <c r="M1635" s="2" t="n"/>
      <c r="N1635" s="7" t="n">
        <v>0</v>
      </c>
      <c r="O1635" s="4" t="n"/>
      <c r="P1635" s="2" t="inlineStr">
        <is>
          <t>45212000</t>
        </is>
      </c>
      <c r="Q1635" s="8" t="inlineStr">
        <is>
          <t>Ver</t>
        </is>
      </c>
      <c r="R1635" s="8" t="inlineStr">
        <is>
          <t>PCAP</t>
        </is>
      </c>
      <c r="S1635" s="9" t="n">
        <v>46310</v>
      </c>
      <c r="T1635" s="3" t="n">
        <v>46303.33954861111</v>
      </c>
      <c r="U1635" s="2" t="n"/>
    </row>
    <row r="1636">
      <c r="A1636" s="2" t="inlineStr">
        <is>
          <t>Resuelta</t>
        </is>
      </c>
      <c r="B1636" s="3" t="n">
        <v>46169.41666666666</v>
      </c>
      <c r="C1636" s="5" t="n">
        <v>310092.39</v>
      </c>
      <c r="D1636" s="5" t="n">
        <v>310092.39</v>
      </c>
      <c r="E1636" s="2" t="inlineStr">
        <is>
          <t>Comunitat Valenciana</t>
        </is>
      </c>
      <c r="F1636" s="2" t="inlineStr">
        <is>
          <t>Valencia</t>
        </is>
      </c>
      <c r="G1636" s="2" t="n"/>
      <c r="H1636" s="2" t="inlineStr">
        <is>
          <t>ADIF - Presidencia</t>
        </is>
      </c>
      <c r="I1636" s="2" t="inlineStr">
        <is>
          <t>Obras de ejecución del proyecto técnico instalación de iluminación led en terminal logística Adif – Sagunto.</t>
        </is>
      </c>
      <c r="J1636" s="2" t="inlineStr">
        <is>
          <t>3.26/23108.0065</t>
        </is>
      </c>
      <c r="K1636" s="2" t="inlineStr">
        <is>
          <t>Abierto simplificado</t>
        </is>
      </c>
      <c r="L1636" s="6" t="n">
        <v>3</v>
      </c>
      <c r="M1636" s="2" t="n"/>
      <c r="N1636" s="7" t="n">
        <v>0.25</v>
      </c>
      <c r="O1636" s="4" t="n"/>
      <c r="P1636" s="2" t="inlineStr">
        <is>
          <t>45316100</t>
        </is>
      </c>
      <c r="Q1636" s="8" t="inlineStr">
        <is>
          <t>Ver</t>
        </is>
      </c>
      <c r="R1636" s="8" t="inlineStr">
        <is>
          <t>PCAP</t>
        </is>
      </c>
      <c r="S1636" s="9" t="n">
        <v>46310</v>
      </c>
      <c r="T1636" s="3" t="n">
        <v>46303.33711805556</v>
      </c>
      <c r="U1636" s="2" t="n"/>
    </row>
    <row r="1637">
      <c r="A1637" s="2" t="inlineStr">
        <is>
          <t>Pendiente de adjudicación</t>
        </is>
      </c>
      <c r="B1637" s="3" t="n">
        <v>46294.54166666666</v>
      </c>
      <c r="C1637" s="5" t="n">
        <v>2301597.49</v>
      </c>
      <c r="D1637" s="5" t="n">
        <v>2301597.49</v>
      </c>
      <c r="E1637" s="2" t="inlineStr">
        <is>
          <t>Andalucía</t>
        </is>
      </c>
      <c r="F1637" s="2" t="inlineStr">
        <is>
          <t>Sevilla</t>
        </is>
      </c>
      <c r="G1637" s="2" t="n"/>
      <c r="H1637" s="2" t="inlineStr">
        <is>
          <t>Autoridad Portuaria de Sevilla</t>
        </is>
      </c>
      <c r="I1637" s="2" t="inlineStr">
        <is>
          <t>Optimización de accesos ferroviarios a nuevas terminales Sur.</t>
        </is>
      </c>
      <c r="J1637" s="2" t="inlineStr">
        <is>
          <t>CONT26021</t>
        </is>
      </c>
      <c r="K1637" s="2" t="inlineStr">
        <is>
          <t>Abierto</t>
        </is>
      </c>
      <c r="L1637" s="6" t="n">
        <v>10</v>
      </c>
      <c r="M1637" s="2" t="inlineStr">
        <is>
          <t>D1-4</t>
        </is>
      </c>
      <c r="N1637" s="7" t="n">
        <v>0.51</v>
      </c>
      <c r="O1637" s="4" t="n"/>
      <c r="P1637" s="2" t="inlineStr">
        <is>
          <t>45234100</t>
        </is>
      </c>
      <c r="Q1637" s="8" t="inlineStr">
        <is>
          <t>Ver</t>
        </is>
      </c>
      <c r="R1637" s="8" t="inlineStr">
        <is>
          <t>PCAP</t>
        </is>
      </c>
      <c r="S1637" s="9" t="n">
        <v>46310</v>
      </c>
      <c r="T1637" s="3" t="n">
        <v>46303.33484953704</v>
      </c>
      <c r="U1637" s="2" t="n"/>
    </row>
    <row r="1638">
      <c r="A1638" s="2" t="inlineStr">
        <is>
          <t>Pendiente de adjudicación</t>
        </is>
      </c>
      <c r="B1638" s="3" t="n">
        <v>46295.99930555555</v>
      </c>
      <c r="C1638" s="5" t="n">
        <v>164136.48</v>
      </c>
      <c r="D1638" s="5" t="n">
        <v>164136.48</v>
      </c>
      <c r="E1638" s="2" t="inlineStr">
        <is>
          <t>Andalucía</t>
        </is>
      </c>
      <c r="F1638" s="2" t="inlineStr">
        <is>
          <t>Córdoba</t>
        </is>
      </c>
      <c r="G1638" s="2" t="n"/>
      <c r="H1638" s="2" t="inlineStr">
        <is>
          <t>Diputado delegado de Infraestructuras, Sostenibilidad y Agricultura</t>
        </is>
      </c>
      <c r="I1638" s="2" t="inlineStr">
        <is>
          <t>Contrato de obra de ejecución de pasarela peatonal anexa a la CO-3314, T.M. de Córdoba</t>
        </is>
      </c>
      <c r="J1638" s="2" t="inlineStr">
        <is>
          <t>421/26 BIS</t>
        </is>
      </c>
      <c r="K1638" s="2" t="inlineStr">
        <is>
          <t>Negociado sin publicidad</t>
        </is>
      </c>
      <c r="L1638" s="6" t="n">
        <v>4</v>
      </c>
      <c r="M1638" s="2" t="n"/>
      <c r="N1638" s="7" t="n">
        <v>0.4</v>
      </c>
      <c r="O1638" s="4" t="n"/>
      <c r="P1638" s="2" t="inlineStr">
        <is>
          <t>45233100; 45233140; 45233160</t>
        </is>
      </c>
      <c r="Q1638" s="8" t="inlineStr">
        <is>
          <t>Ver</t>
        </is>
      </c>
      <c r="R1638" s="8" t="inlineStr">
        <is>
          <t>PCAP</t>
        </is>
      </c>
      <c r="S1638" s="9" t="n">
        <v>46310</v>
      </c>
      <c r="T1638" s="3" t="n">
        <v>46303.33181712963</v>
      </c>
      <c r="U1638" s="2" t="n"/>
    </row>
    <row r="1639">
      <c r="A1639" s="2" t="inlineStr">
        <is>
          <t>Pendiente de adjudicación</t>
        </is>
      </c>
      <c r="B1639" s="3" t="n">
        <v>46300.99930555555</v>
      </c>
      <c r="C1639" s="5" t="n">
        <v>90464.34</v>
      </c>
      <c r="D1639" s="5" t="n">
        <v>90464.34</v>
      </c>
      <c r="E1639" s="2" t="inlineStr">
        <is>
          <t>Comunitat Valenciana</t>
        </is>
      </c>
      <c r="F1639" s="2" t="inlineStr">
        <is>
          <t>Castellón</t>
        </is>
      </c>
      <c r="G1639" s="2" t="inlineStr">
        <is>
          <t>Santa Magdalena de Pulpis</t>
        </is>
      </c>
      <c r="H1639" s="2" t="inlineStr">
        <is>
          <t>Pleno del Ayuntamiento de Santa Magdalena de Pulpis</t>
        </is>
      </c>
      <c r="I1639" s="2" t="inlineStr">
        <is>
          <t>Adecuación de Espacio urbano anejo a la Avda. Doctor Luis Torres Morera</t>
        </is>
      </c>
      <c r="J1639" s="2" t="inlineStr">
        <is>
          <t>109/2026</t>
        </is>
      </c>
      <c r="K1639" s="2" t="inlineStr">
        <is>
          <t>Abierto</t>
        </is>
      </c>
      <c r="L1639" s="6" t="n">
        <v>4</v>
      </c>
      <c r="M1639" s="2" t="n"/>
      <c r="N1639" s="7" t="n">
        <v>0.429</v>
      </c>
      <c r="O1639" s="4" t="n"/>
      <c r="P1639" s="2" t="inlineStr">
        <is>
          <t>45236000</t>
        </is>
      </c>
      <c r="Q1639" s="8" t="inlineStr">
        <is>
          <t>Ver</t>
        </is>
      </c>
      <c r="R1639" s="8" t="inlineStr">
        <is>
          <t>PCAP</t>
        </is>
      </c>
      <c r="S1639" s="9" t="n">
        <v>46310</v>
      </c>
      <c r="T1639" s="3" t="n">
        <v>46302.85123842592</v>
      </c>
      <c r="U1639" s="2" t="n"/>
    </row>
    <row r="1640">
      <c r="A1640" s="2" t="inlineStr">
        <is>
          <t>Resuelta</t>
        </is>
      </c>
      <c r="B1640" s="3" t="n">
        <v>46218.58333333334</v>
      </c>
      <c r="C1640" s="5" t="n">
        <v>49521.9</v>
      </c>
      <c r="D1640" s="5" t="n">
        <v>49521.9</v>
      </c>
      <c r="E1640" s="2" t="inlineStr">
        <is>
          <t>Comunitat Valenciana</t>
        </is>
      </c>
      <c r="F1640" s="2" t="inlineStr">
        <is>
          <t>Alicante</t>
        </is>
      </c>
      <c r="G1640" s="2" t="n"/>
      <c r="H1640" s="2" t="inlineStr">
        <is>
          <t>Alcaldía del Ayuntamiento de Jacarilla</t>
        </is>
      </c>
      <c r="I1640" s="2" t="inlineStr">
        <is>
          <t>Renovación de la red de agua potable y acometidas en Camino Los Murcia de Jacarilla.</t>
        </is>
      </c>
      <c r="J1640" s="2" t="inlineStr">
        <is>
          <t>117/2026 Renovación Red agua Camino Los Murcia</t>
        </is>
      </c>
      <c r="K1640" s="2" t="inlineStr">
        <is>
          <t>Abierto simplificado</t>
        </is>
      </c>
      <c r="L1640" s="6" t="n">
        <v>1</v>
      </c>
      <c r="M1640" s="2" t="inlineStr">
        <is>
          <t>E*-1</t>
        </is>
      </c>
      <c r="N1640" s="7" t="n">
        <v>0</v>
      </c>
      <c r="O1640" s="4" t="n"/>
      <c r="P1640" s="2" t="inlineStr">
        <is>
          <t>45200000; 45231300; 45232130</t>
        </is>
      </c>
      <c r="Q1640" s="8" t="inlineStr">
        <is>
          <t>Ver</t>
        </is>
      </c>
      <c r="R1640" s="8" t="inlineStr">
        <is>
          <t>PCAP</t>
        </is>
      </c>
      <c r="S1640" s="9" t="n">
        <v>46310</v>
      </c>
      <c r="T1640" s="3" t="n">
        <v>46302.83383101852</v>
      </c>
      <c r="U1640" s="2" t="n"/>
    </row>
    <row r="1641">
      <c r="A1641" s="2" t="inlineStr">
        <is>
          <t>Adjudicada</t>
        </is>
      </c>
      <c r="B1641" s="3" t="n">
        <v>46223.625</v>
      </c>
      <c r="C1641" s="5" t="n">
        <v>271261.56</v>
      </c>
      <c r="D1641" s="5" t="n">
        <v>271261.56</v>
      </c>
      <c r="E1641" s="2" t="inlineStr">
        <is>
          <t>Comunitat Valenciana</t>
        </is>
      </c>
      <c r="F1641" s="2" t="inlineStr">
        <is>
          <t>Castellón</t>
        </is>
      </c>
      <c r="G1641" s="2" t="inlineStr">
        <is>
          <t>Vinaròs (Castelló)</t>
        </is>
      </c>
      <c r="H1641" s="2" t="inlineStr">
        <is>
          <t>Dirección Territorial de Educación y Universidades de Castellón</t>
        </is>
      </c>
      <c r="I1641" s="2" t="inlineStr">
        <is>
          <t>Pista deportiva en el IES Leopoldo Querol</t>
        </is>
      </c>
      <c r="J1641" s="2" t="inlineStr">
        <is>
          <t>CMAYOR/2026/19Y14/0064</t>
        </is>
      </c>
      <c r="K1641" s="2" t="inlineStr">
        <is>
          <t>Abierto simplificado</t>
        </is>
      </c>
      <c r="L1641" s="6" t="n">
        <v>4</v>
      </c>
      <c r="M1641" s="2" t="n"/>
      <c r="N1641" s="7" t="n">
        <v>0</v>
      </c>
      <c r="O1641" s="4" t="n"/>
      <c r="P1641" s="2" t="inlineStr">
        <is>
          <t>45214220</t>
        </is>
      </c>
      <c r="Q1641" s="8" t="inlineStr">
        <is>
          <t>Ver</t>
        </is>
      </c>
      <c r="R1641" s="8" t="inlineStr">
        <is>
          <t>PCAP</t>
        </is>
      </c>
      <c r="S1641" s="9" t="n">
        <v>46310</v>
      </c>
      <c r="T1641" s="3" t="n">
        <v>46302.78918981482</v>
      </c>
      <c r="U1641" s="2" t="n"/>
    </row>
    <row r="1642">
      <c r="A1642" s="2" t="inlineStr">
        <is>
          <t>En plazo</t>
        </is>
      </c>
      <c r="B1642" s="3" t="n">
        <v>46322.58333333334</v>
      </c>
      <c r="C1642" s="5" t="n">
        <v>239004.6</v>
      </c>
      <c r="D1642" s="5" t="n">
        <v>239004.6</v>
      </c>
      <c r="E1642" s="2" t="inlineStr">
        <is>
          <t>Comunitat Valenciana</t>
        </is>
      </c>
      <c r="F1642" s="2" t="inlineStr">
        <is>
          <t>Castellón</t>
        </is>
      </c>
      <c r="G1642" s="2" t="inlineStr">
        <is>
          <t>Cinctorres</t>
        </is>
      </c>
      <c r="H1642" s="2" t="inlineStr">
        <is>
          <t>Pleno del Ayuntamiento de Cinctorres</t>
        </is>
      </c>
      <c r="I1642" s="2" t="inlineStr">
        <is>
          <t>Contrato Abierto Simplificado Obras "Segunda fase Cambio de uso viviendas a edifico administrativo. Nueva Sede Ayuntamiento Cinctorres"</t>
        </is>
      </c>
      <c r="J1642" s="2" t="inlineStr">
        <is>
          <t>318/2026</t>
        </is>
      </c>
      <c r="K1642" s="2" t="inlineStr">
        <is>
          <t>Abierto simplificado</t>
        </is>
      </c>
      <c r="L1642" s="6" t="n"/>
      <c r="M1642" s="2" t="n"/>
      <c r="N1642" s="7" t="n">
        <v>0</v>
      </c>
      <c r="O1642" s="4" t="n"/>
      <c r="P1642" s="2" t="inlineStr">
        <is>
          <t>45000000; 45210000; 45213150; 45300000</t>
        </is>
      </c>
      <c r="Q1642" s="8" t="inlineStr">
        <is>
          <t>Ver</t>
        </is>
      </c>
      <c r="R1642" s="8" t="inlineStr">
        <is>
          <t>PCAP</t>
        </is>
      </c>
      <c r="S1642" s="9" t="n">
        <v>46310</v>
      </c>
      <c r="T1642" s="3" t="n">
        <v>46302.74681712963</v>
      </c>
      <c r="U1642" s="2" t="n"/>
    </row>
    <row r="1643">
      <c r="A1643" s="2" t="inlineStr">
        <is>
          <t>Pendiente de adjudicación</t>
        </is>
      </c>
      <c r="B1643" s="3" t="n">
        <v>46262.5</v>
      </c>
      <c r="C1643" s="5" t="n">
        <v>770175.59</v>
      </c>
      <c r="D1643" s="5" t="n">
        <v>924210.71</v>
      </c>
      <c r="E1643" s="2" t="inlineStr">
        <is>
          <t>Comunitat Valenciana</t>
        </is>
      </c>
      <c r="F1643" s="2" t="inlineStr">
        <is>
          <t>Valencia</t>
        </is>
      </c>
      <c r="G1643" s="2" t="inlineStr">
        <is>
          <t>Paterna (València)</t>
        </is>
      </c>
      <c r="H1643" s="2" t="inlineStr">
        <is>
          <t>Rectorado de la Universitat de València</t>
        </is>
      </c>
      <c r="I1643" s="2" t="inlineStr">
        <is>
          <t>Nuevo tendido de Línea subterránea de Media Tensión en el centro de reparto en la UA2 del Campus de Paterna</t>
        </is>
      </c>
      <c r="J1643" s="2" t="inlineStr">
        <is>
          <t>2026OB00008</t>
        </is>
      </c>
      <c r="K1643" s="2" t="inlineStr">
        <is>
          <t>Abierto simplificado</t>
        </is>
      </c>
      <c r="L1643" s="6" t="n">
        <v>4</v>
      </c>
      <c r="M1643" s="2" t="inlineStr">
        <is>
          <t>I3-4</t>
        </is>
      </c>
      <c r="N1643" s="7" t="n">
        <v>0.25</v>
      </c>
      <c r="O1643" s="4" t="n"/>
      <c r="P1643" s="2" t="inlineStr">
        <is>
          <t>45315500</t>
        </is>
      </c>
      <c r="Q1643" s="8" t="inlineStr">
        <is>
          <t>Ver</t>
        </is>
      </c>
      <c r="R1643" s="8" t="inlineStr">
        <is>
          <t>PCAP</t>
        </is>
      </c>
      <c r="S1643" s="9" t="n">
        <v>46310</v>
      </c>
      <c r="T1643" s="3" t="n">
        <v>46302.72465277778</v>
      </c>
      <c r="U1643" s="2" t="n"/>
    </row>
    <row r="1644">
      <c r="A1644" s="2" t="inlineStr">
        <is>
          <t>En plazo</t>
        </is>
      </c>
      <c r="B1644" s="3" t="n">
        <v>46321.99930555555</v>
      </c>
      <c r="C1644" s="5" t="n">
        <v>108742.04</v>
      </c>
      <c r="D1644" s="5" t="n">
        <v>119616.24</v>
      </c>
      <c r="E1644" s="2" t="inlineStr">
        <is>
          <t>Comunitat Valenciana</t>
        </is>
      </c>
      <c r="F1644" s="2" t="inlineStr">
        <is>
          <t>Valencia</t>
        </is>
      </c>
      <c r="G1644" s="2" t="n"/>
      <c r="H1644" s="2" t="inlineStr">
        <is>
          <t>Junta de Gobierno del Ayuntamiento de Silla</t>
        </is>
      </c>
      <c r="I1644" s="2" t="inlineStr">
        <is>
          <t>Obra «Adecuación de las condiciones e instalaciones de protección contra incendios del edificio municipal la Nau Jove de Silla»</t>
        </is>
      </c>
      <c r="J1644" s="2" t="inlineStr">
        <is>
          <t>3040807T</t>
        </is>
      </c>
      <c r="K1644" s="2" t="inlineStr">
        <is>
          <t>Abierto simplificado</t>
        </is>
      </c>
      <c r="L1644" s="6" t="n">
        <v>3</v>
      </c>
      <c r="M1644" s="2" t="n"/>
      <c r="N1644" s="7" t="n">
        <v>0</v>
      </c>
      <c r="O1644" s="4" t="n"/>
      <c r="P1644" s="2" t="inlineStr">
        <is>
          <t>45343100; 45343200; 45343000</t>
        </is>
      </c>
      <c r="Q1644" s="8" t="inlineStr">
        <is>
          <t>Ver</t>
        </is>
      </c>
      <c r="R1644" s="8" t="inlineStr">
        <is>
          <t>PCAP</t>
        </is>
      </c>
      <c r="S1644" s="9" t="n">
        <v>46310</v>
      </c>
      <c r="T1644" s="3" t="n">
        <v>46302.66712962963</v>
      </c>
      <c r="U1644" s="2" t="n"/>
    </row>
    <row r="1645">
      <c r="A1645" s="2" t="inlineStr">
        <is>
          <t>Pendiente de adjudicación</t>
        </is>
      </c>
      <c r="B1645" s="3" t="n">
        <v>46314.58333333334</v>
      </c>
      <c r="C1645" s="5" t="n">
        <v>112822.27</v>
      </c>
      <c r="D1645" s="5" t="n">
        <v>112822.27</v>
      </c>
      <c r="E1645" s="2" t="inlineStr">
        <is>
          <t>Comunitat Valenciana</t>
        </is>
      </c>
      <c r="F1645" s="2" t="inlineStr">
        <is>
          <t>Alicante</t>
        </is>
      </c>
      <c r="G1645" s="2" t="n"/>
      <c r="H1645" s="2" t="inlineStr">
        <is>
          <t>Alcaldia del Ayuntamiento de Confrides</t>
        </is>
      </c>
      <c r="I1645" s="2" t="inlineStr">
        <is>
          <t>Obras de eliminación de barreras arquitectónicas, mediante colocación de ascensor y reubicación de escalera, en el Centro Cultural de Confrides. Procedimiento negociado sin publicidad (art. 168.a).1.º LCSP) tras declaración de desierto del expediente 270/2026.</t>
        </is>
      </c>
      <c r="J1645" s="2" t="inlineStr">
        <is>
          <t>548/2026</t>
        </is>
      </c>
      <c r="K1645" s="2" t="inlineStr">
        <is>
          <t>Negociado sin publicidad</t>
        </is>
      </c>
      <c r="L1645" s="6" t="n">
        <v>3</v>
      </c>
      <c r="M1645" s="2" t="n"/>
      <c r="N1645" s="7" t="n">
        <v>0.4</v>
      </c>
      <c r="O1645" s="4" t="n"/>
      <c r="P1645" s="2" t="inlineStr">
        <is>
          <t>45000000</t>
        </is>
      </c>
      <c r="Q1645" s="8" t="inlineStr">
        <is>
          <t>Ver</t>
        </is>
      </c>
      <c r="R1645" s="8" t="inlineStr">
        <is>
          <t>PCAP</t>
        </is>
      </c>
      <c r="S1645" s="9" t="n">
        <v>46310</v>
      </c>
      <c r="T1645" s="3" t="n">
        <v>46302.64869212963</v>
      </c>
      <c r="U1645" s="2" t="n"/>
    </row>
    <row r="1646">
      <c r="A1646" s="2" t="inlineStr">
        <is>
          <t>En plazo</t>
        </is>
      </c>
      <c r="B1646" s="3" t="n">
        <v>46323.5</v>
      </c>
      <c r="C1646" s="5" t="n">
        <v>653963.23</v>
      </c>
      <c r="D1646" s="5" t="n">
        <v>653963.23</v>
      </c>
      <c r="E1646" s="2" t="inlineStr">
        <is>
          <t>Comunitat Valenciana</t>
        </is>
      </c>
      <c r="F1646" s="2" t="inlineStr">
        <is>
          <t>Alicante</t>
        </is>
      </c>
      <c r="G1646" s="2" t="inlineStr">
        <is>
          <t>Almoradí</t>
        </is>
      </c>
      <c r="H1646" s="2" t="inlineStr">
        <is>
          <t>Junta de Gobierno del Ayuntamiento de Almoradí</t>
        </is>
      </c>
      <c r="I1646" s="2" t="inlineStr">
        <is>
          <t>Mejora de la accesibilidad y la escena urbana en el entorno del Teatro Cortés y Museo del Terremoto (Plan de Actuación Integrado PAI, cofinanciado con la Unión Europea - FEDER)</t>
        </is>
      </c>
      <c r="J1646" s="2" t="inlineStr">
        <is>
          <t>6981/2026</t>
        </is>
      </c>
      <c r="K1646" s="2" t="inlineStr">
        <is>
          <t>Abierto simplificado</t>
        </is>
      </c>
      <c r="L1646" s="6" t="n">
        <v>5</v>
      </c>
      <c r="M1646" s="2" t="n"/>
      <c r="N1646" s="7" t="n">
        <v>0.25</v>
      </c>
      <c r="O1646" s="4" t="n"/>
      <c r="P1646" s="2" t="inlineStr">
        <is>
          <t>45233200; 45000000; 45111100; 45233140; 45233253; 45211360</t>
        </is>
      </c>
      <c r="Q1646" s="8" t="inlineStr">
        <is>
          <t>Ver</t>
        </is>
      </c>
      <c r="R1646" s="8" t="inlineStr">
        <is>
          <t>PCAP</t>
        </is>
      </c>
      <c r="S1646" s="9" t="n">
        <v>46310</v>
      </c>
      <c r="T1646" s="3" t="n">
        <v>46302.64556712963</v>
      </c>
      <c r="U1646" s="2" t="n"/>
    </row>
    <row r="1647">
      <c r="A1647" s="2" t="inlineStr">
        <is>
          <t>En plazo</t>
        </is>
      </c>
      <c r="B1647" s="3" t="n">
        <v>46324.58333333334</v>
      </c>
      <c r="C1647" s="5" t="n">
        <v>131306.59</v>
      </c>
      <c r="D1647" s="5" t="n">
        <v>131306.59</v>
      </c>
      <c r="E1647" s="2" t="inlineStr">
        <is>
          <t>Comunitat Valenciana</t>
        </is>
      </c>
      <c r="F1647" s="2" t="inlineStr">
        <is>
          <t>Valencia</t>
        </is>
      </c>
      <c r="G1647" s="2" t="n"/>
      <c r="H1647" s="2" t="inlineStr">
        <is>
          <t>Dirección General de la Ciudad de las Artes y de las Ciencias S.A.</t>
        </is>
      </c>
      <c r="I1647" s="2" t="inlineStr">
        <is>
          <t>Contratación de la ejecución de las obras de reforma de los sistemas de presurización de las escaleras de evacuación de los edificios mediterráneo y templados/ tropicales Oceanogràfic Valencia</t>
        </is>
      </c>
      <c r="J1647" s="2" t="inlineStr">
        <is>
          <t>0080-26</t>
        </is>
      </c>
      <c r="K1647" s="2" t="inlineStr">
        <is>
          <t>Abierto simplificado</t>
        </is>
      </c>
      <c r="L1647" s="6" t="n">
        <v>4</v>
      </c>
      <c r="M1647" s="2" t="n"/>
      <c r="N1647" s="7" t="n">
        <v>0</v>
      </c>
      <c r="O1647" s="4" t="n"/>
      <c r="P1647" s="2" t="inlineStr">
        <is>
          <t>45343200; 42521000; 45261420</t>
        </is>
      </c>
      <c r="Q1647" s="8" t="inlineStr">
        <is>
          <t>Ver</t>
        </is>
      </c>
      <c r="R1647" s="8" t="inlineStr">
        <is>
          <t>PCAP</t>
        </is>
      </c>
      <c r="S1647" s="9" t="n">
        <v>46310</v>
      </c>
      <c r="T1647" s="3" t="n">
        <v>46302.6440162037</v>
      </c>
      <c r="U1647" s="2" t="n"/>
    </row>
    <row r="1648">
      <c r="A1648" s="2" t="inlineStr">
        <is>
          <t>Plazo vencido</t>
        </is>
      </c>
      <c r="B1648" s="3" t="n">
        <v>46317.79166666666</v>
      </c>
      <c r="C1648" s="5" t="n">
        <v>56698.36</v>
      </c>
      <c r="D1648" s="5" t="n">
        <v>56698.36</v>
      </c>
      <c r="E1648" s="2" t="inlineStr">
        <is>
          <t>Comunitat Valenciana</t>
        </is>
      </c>
      <c r="F1648" s="2" t="inlineStr">
        <is>
          <t>Valencia</t>
        </is>
      </c>
      <c r="G1648" s="2" t="inlineStr">
        <is>
          <t>Catadau</t>
        </is>
      </c>
      <c r="H1648" s="2" t="inlineStr">
        <is>
          <t>Alcaldia del Ayuntamiento de Catadau</t>
        </is>
      </c>
      <c r="I1648" s="2" t="inlineStr">
        <is>
          <t>Contrato de obras de adecuación de camí Pucero dentro de las ayudas a entidades locales de acondicionamiento de caminos rurales.</t>
        </is>
      </c>
      <c r="J1648" s="2" t="inlineStr">
        <is>
          <t>2997932W</t>
        </is>
      </c>
      <c r="K1648" s="2" t="inlineStr">
        <is>
          <t>Abierto simplificado</t>
        </is>
      </c>
      <c r="L1648" s="6" t="n">
        <v>1</v>
      </c>
      <c r="M1648" s="2" t="n"/>
      <c r="N1648" s="7" t="n">
        <v>0</v>
      </c>
      <c r="O1648" s="4" t="n"/>
      <c r="P1648" s="2" t="inlineStr">
        <is>
          <t>45233222; 45233160</t>
        </is>
      </c>
      <c r="Q1648" s="8" t="inlineStr">
        <is>
          <t>Ver</t>
        </is>
      </c>
      <c r="R1648" s="8" t="inlineStr">
        <is>
          <t>PCAP</t>
        </is>
      </c>
      <c r="S1648" s="9" t="n">
        <v>46310</v>
      </c>
      <c r="T1648" s="3" t="n">
        <v>46302.63158564815</v>
      </c>
      <c r="U1648" s="2" t="n"/>
    </row>
    <row r="1649">
      <c r="A1649" s="2" t="inlineStr">
        <is>
          <t>Pendiente de adjudicación</t>
        </is>
      </c>
      <c r="B1649" s="3" t="n">
        <v>46237.99930555555</v>
      </c>
      <c r="C1649" s="5" t="n">
        <v>92434.46000000001</v>
      </c>
      <c r="D1649" s="5" t="n">
        <v>92434.46000000001</v>
      </c>
      <c r="E1649" s="2" t="inlineStr">
        <is>
          <t>Andalucía</t>
        </is>
      </c>
      <c r="F1649" s="2" t="inlineStr">
        <is>
          <t>Córdoba</t>
        </is>
      </c>
      <c r="G1649" s="2" t="n"/>
      <c r="H1649" s="2" t="inlineStr">
        <is>
          <t>Junta de Gobierno del Ayuntamiento de Córdoba</t>
        </is>
      </c>
      <c r="I1649" s="2" t="inlineStr">
        <is>
          <t>Obras de instalación de alumbrado público en aparcamiento calle Deán Francisco Javier de Córdoba</t>
        </is>
      </c>
      <c r="J1649" s="2" t="inlineStr">
        <is>
          <t>2026/045</t>
        </is>
      </c>
      <c r="K1649" s="2" t="inlineStr">
        <is>
          <t>Abierto</t>
        </is>
      </c>
      <c r="L1649" s="6" t="n">
        <v>3</v>
      </c>
      <c r="M1649" s="2" t="n"/>
      <c r="N1649" s="7" t="n">
        <v>0</v>
      </c>
      <c r="O1649" s="4" t="n"/>
      <c r="P1649" s="2" t="inlineStr">
        <is>
          <t>45232200; 45316100; 45233222; 45316000</t>
        </is>
      </c>
      <c r="Q1649" s="8" t="inlineStr">
        <is>
          <t>Ver</t>
        </is>
      </c>
      <c r="R1649" s="8" t="inlineStr">
        <is>
          <t>PCAP</t>
        </is>
      </c>
      <c r="S1649" s="9" t="n">
        <v>46310</v>
      </c>
      <c r="T1649" s="3" t="n">
        <v>46302.62746527778</v>
      </c>
      <c r="U1649" s="2" t="n"/>
    </row>
    <row r="1650">
      <c r="A1650" s="2" t="inlineStr">
        <is>
          <t>Pendiente de adjudicación</t>
        </is>
      </c>
      <c r="B1650" s="3" t="n">
        <v>46267.99930555555</v>
      </c>
      <c r="C1650" s="5" t="n">
        <v>103171.41</v>
      </c>
      <c r="D1650" s="5" t="n">
        <v>103171.41</v>
      </c>
      <c r="E1650" s="2" t="inlineStr">
        <is>
          <t>Andalucía</t>
        </is>
      </c>
      <c r="F1650" s="2" t="inlineStr">
        <is>
          <t>Málaga</t>
        </is>
      </c>
      <c r="G1650" s="2" t="n"/>
      <c r="H1650" s="2" t="inlineStr">
        <is>
          <t>Alcaldía del Ayuntamiento de Istán</t>
        </is>
      </c>
      <c r="I1650" s="2" t="inlineStr">
        <is>
          <t>El presente contrato tiene por objeto la ejecución de las obras correspondientes al Tramo II del proyecto de sustitución de la conducción que suministra agua a las urbanizaciones situadas al sur del término municipal de Istán.</t>
        </is>
      </c>
      <c r="J1650" s="2" t="inlineStr">
        <is>
          <t>H405/2026</t>
        </is>
      </c>
      <c r="K1650" s="2" t="inlineStr">
        <is>
          <t>Abierto simplificado</t>
        </is>
      </c>
      <c r="L1650" s="6" t="n">
        <v>3</v>
      </c>
      <c r="M1650" s="2" t="n"/>
      <c r="N1650" s="7" t="n">
        <v>0</v>
      </c>
      <c r="O1650" s="4" t="n"/>
      <c r="P1650" s="2" t="inlineStr">
        <is>
          <t>45232150</t>
        </is>
      </c>
      <c r="Q1650" s="8" t="inlineStr">
        <is>
          <t>Ver</t>
        </is>
      </c>
      <c r="R1650" s="8" t="inlineStr">
        <is>
          <t>PCAP</t>
        </is>
      </c>
      <c r="S1650" s="9" t="n">
        <v>46310</v>
      </c>
      <c r="T1650" s="3" t="n">
        <v>46302.62054398148</v>
      </c>
      <c r="U1650" s="2" t="n"/>
    </row>
    <row r="1651">
      <c r="A1651" s="2" t="inlineStr">
        <is>
          <t>Pendiente de adjudicación</t>
        </is>
      </c>
      <c r="B1651" s="3" t="n">
        <v>46300.99930555555</v>
      </c>
      <c r="C1651" s="5" t="n">
        <v>125202.86</v>
      </c>
      <c r="D1651" s="5" t="n">
        <v>135219.09</v>
      </c>
      <c r="E1651" s="2" t="inlineStr">
        <is>
          <t>Andalucía</t>
        </is>
      </c>
      <c r="F1651" s="2" t="inlineStr">
        <is>
          <t>Sevilla</t>
        </is>
      </c>
      <c r="G1651" s="2" t="inlineStr">
        <is>
          <t>Sevilla</t>
        </is>
      </c>
      <c r="H1651" s="2" t="inlineStr">
        <is>
          <t>Junta de Gobierno del Ayuntamiento de Sevilla</t>
        </is>
      </c>
      <c r="I1651" s="2" t="inlineStr">
        <is>
          <t>Obras para adecuación de sótano de la sede de la BANDA MUNICIPAL de Sevilla, ubicada en el Distrito Nervión de Sevilla</t>
        </is>
      </c>
      <c r="J1651" s="2" t="inlineStr">
        <is>
          <t>2026/000776</t>
        </is>
      </c>
      <c r="K1651" s="2" t="inlineStr">
        <is>
          <t>Abierto simplificado</t>
        </is>
      </c>
      <c r="L1651" s="6" t="n">
        <v>4</v>
      </c>
      <c r="M1651" s="2" t="n"/>
      <c r="N1651" s="7" t="n">
        <v>0</v>
      </c>
      <c r="O1651" s="4" t="n"/>
      <c r="P1651" s="2" t="inlineStr">
        <is>
          <t>45000000</t>
        </is>
      </c>
      <c r="Q1651" s="8" t="inlineStr">
        <is>
          <t>Ver</t>
        </is>
      </c>
      <c r="R1651" s="8" t="inlineStr">
        <is>
          <t>PCAP</t>
        </is>
      </c>
      <c r="S1651" s="9" t="n">
        <v>46310</v>
      </c>
      <c r="T1651" s="3" t="n">
        <v>46302.6140162037</v>
      </c>
      <c r="U1651" s="2" t="n"/>
    </row>
    <row r="1652">
      <c r="A1652" s="2" t="inlineStr">
        <is>
          <t>Resuelta</t>
        </is>
      </c>
      <c r="B1652" s="3" t="n">
        <v>46279.41666666666</v>
      </c>
      <c r="C1652" s="5" t="n">
        <v>38012.53</v>
      </c>
      <c r="D1652" s="5" t="n">
        <v>38012.53</v>
      </c>
      <c r="E1652" s="2" t="inlineStr">
        <is>
          <t>Comunitat Valenciana</t>
        </is>
      </c>
      <c r="F1652" s="2" t="inlineStr">
        <is>
          <t>Castellón</t>
        </is>
      </c>
      <c r="G1652" s="2" t="inlineStr">
        <is>
          <t>Gaibiel</t>
        </is>
      </c>
      <c r="H1652" s="2" t="inlineStr">
        <is>
          <t>Alcaldía del Ayuntamiento de Gaibiel</t>
        </is>
      </c>
      <c r="I1652" s="2" t="inlineStr">
        <is>
          <t>Obra de "adecuación y repavimentación de diversas calles de Gaibiel”</t>
        </is>
      </c>
      <c r="J1652" s="2" t="inlineStr">
        <is>
          <t>170/2026</t>
        </is>
      </c>
      <c r="K1652" s="2" t="inlineStr">
        <is>
          <t>Abierto simplificado</t>
        </is>
      </c>
      <c r="L1652" s="6" t="n">
        <v>2</v>
      </c>
      <c r="M1652" s="2" t="n"/>
      <c r="N1652" s="7" t="n">
        <v>0</v>
      </c>
      <c r="O1652" s="4" t="n"/>
      <c r="P1652" s="2" t="inlineStr">
        <is>
          <t>45233252</t>
        </is>
      </c>
      <c r="Q1652" s="8" t="inlineStr">
        <is>
          <t>Ver</t>
        </is>
      </c>
      <c r="R1652" s="8" t="inlineStr">
        <is>
          <t>PCAP</t>
        </is>
      </c>
      <c r="S1652" s="9" t="n">
        <v>46310</v>
      </c>
      <c r="T1652" s="3" t="n">
        <v>46302.61098379629</v>
      </c>
      <c r="U1652" s="2" t="n"/>
    </row>
    <row r="1653">
      <c r="A1653" s="2" t="inlineStr">
        <is>
          <t>Resuelta</t>
        </is>
      </c>
      <c r="B1653" s="3" t="n">
        <v>46147.41666666666</v>
      </c>
      <c r="C1653" s="5" t="n">
        <v>98268.14999999999</v>
      </c>
      <c r="D1653" s="5" t="n">
        <v>98268.14999999999</v>
      </c>
      <c r="E1653" s="2" t="inlineStr">
        <is>
          <t>Andalucía</t>
        </is>
      </c>
      <c r="F1653" s="2" t="inlineStr">
        <is>
          <t>Cádiz</t>
        </is>
      </c>
      <c r="G1653" s="2" t="n"/>
      <c r="H1653" s="2" t="inlineStr">
        <is>
          <t>Comité Central de Compras de Navantia S.A., S.M.E.</t>
        </is>
      </c>
      <c r="I1653" s="2" t="inlineStr">
        <is>
          <t>La presente licitación tiene por objeto la contratación de la obra para la instalación de una nueva torre de alumbrado y la sustitución de las luminarias de otra torre de alumbrado existente, ubicado entre el Taller de Bloques Curvos y Taller de Bloques Planos en Navantia Puerto Real.</t>
        </is>
      </c>
      <c r="J1653" s="2" t="inlineStr">
        <is>
          <t>5100063001-INSTALACION TORRES ALUMBRADO TBC Y TBP</t>
        </is>
      </c>
      <c r="K1653" s="2" t="inlineStr">
        <is>
          <t>Normas internas</t>
        </is>
      </c>
      <c r="L1653" s="6" t="n">
        <v>1.9</v>
      </c>
      <c r="M1653" s="2" t="n"/>
      <c r="N1653" s="7" t="n">
        <v>1</v>
      </c>
      <c r="O1653" s="4" t="n"/>
      <c r="P1653" s="2" t="inlineStr">
        <is>
          <t>45316100; 31527260; 31527200</t>
        </is>
      </c>
      <c r="Q1653" s="8" t="inlineStr">
        <is>
          <t>Ver</t>
        </is>
      </c>
      <c r="R1653" s="8" t="inlineStr">
        <is>
          <t>PCAP</t>
        </is>
      </c>
      <c r="S1653" s="9" t="n">
        <v>46310</v>
      </c>
      <c r="T1653" s="3" t="n">
        <v>46302.60949074074</v>
      </c>
      <c r="U1653" s="2" t="n"/>
    </row>
    <row r="1654">
      <c r="A1654" s="2" t="inlineStr">
        <is>
          <t>Resuelta</t>
        </is>
      </c>
      <c r="B1654" s="3" t="n">
        <v>46094.41666666666</v>
      </c>
      <c r="C1654" s="5" t="n">
        <v>128000</v>
      </c>
      <c r="D1654" s="5" t="n">
        <v>128000</v>
      </c>
      <c r="E1654" s="2" t="inlineStr">
        <is>
          <t>Andalucía</t>
        </is>
      </c>
      <c r="F1654" s="2" t="inlineStr">
        <is>
          <t>Cádiz</t>
        </is>
      </c>
      <c r="G1654" s="2" t="n"/>
      <c r="H1654" s="2" t="inlineStr">
        <is>
          <t>Comité Central de Compras de Navantia S.A., S.M.E.</t>
        </is>
      </c>
      <c r="I1654" s="2" t="inlineStr">
        <is>
          <t>La presente licitación tiene por objeto la contratación del servicio de redacción de proyecto y ejecución de la obra del nuevo almacén náutico en el centro de trabajo de Navantia San Fernando.</t>
        </is>
      </c>
      <c r="J1654" s="2" t="inlineStr">
        <is>
          <t>Proyecto y obra para nuevo almacén</t>
        </is>
      </c>
      <c r="K1654" s="2" t="inlineStr">
        <is>
          <t>Normas internas</t>
        </is>
      </c>
      <c r="L1654" s="6" t="n">
        <v>5</v>
      </c>
      <c r="M1654" s="2" t="n"/>
      <c r="N1654" s="7" t="n">
        <v>1</v>
      </c>
      <c r="O1654" s="4" t="n"/>
      <c r="P1654" s="2" t="inlineStr">
        <is>
          <t>45000000; 71242000; 71245000</t>
        </is>
      </c>
      <c r="Q1654" s="8" t="inlineStr">
        <is>
          <t>Ver</t>
        </is>
      </c>
      <c r="R1654" s="8" t="inlineStr">
        <is>
          <t>PCAP</t>
        </is>
      </c>
      <c r="S1654" s="9" t="n">
        <v>46310</v>
      </c>
      <c r="T1654" s="3" t="n">
        <v>46302.6066087963</v>
      </c>
      <c r="U1654" s="2" t="n"/>
    </row>
    <row r="1655">
      <c r="A1655" s="2" t="inlineStr">
        <is>
          <t>En plazo</t>
        </is>
      </c>
      <c r="B1655" s="3" t="n">
        <v>46325.99930555555</v>
      </c>
      <c r="C1655" s="5" t="n">
        <v>92718.33</v>
      </c>
      <c r="D1655" s="5" t="n">
        <v>92718.33</v>
      </c>
      <c r="E1655" s="2" t="inlineStr">
        <is>
          <t>Comunitat Valenciana</t>
        </is>
      </c>
      <c r="F1655" s="2" t="inlineStr">
        <is>
          <t>Valencia</t>
        </is>
      </c>
      <c r="G1655" s="2" t="inlineStr">
        <is>
          <t>Novetlè</t>
        </is>
      </c>
      <c r="H1655" s="2" t="inlineStr">
        <is>
          <t>Junta de Gobierno Local del Ayuntamiento de Novetlé</t>
        </is>
      </c>
      <c r="I1655" s="2" t="inlineStr">
        <is>
          <t>Reurbanización calles Sant Josep y Sant Didac</t>
        </is>
      </c>
      <c r="J1655" s="2" t="inlineStr">
        <is>
          <t>EXPEDIENTE 2874809Q</t>
        </is>
      </c>
      <c r="K1655" s="2" t="inlineStr">
        <is>
          <t>Abierto simplificado</t>
        </is>
      </c>
      <c r="L1655" s="6" t="n">
        <v>5</v>
      </c>
      <c r="M1655" s="2" t="n"/>
      <c r="N1655" s="7" t="n">
        <v>0</v>
      </c>
      <c r="O1655" s="4" t="n"/>
      <c r="P1655" s="2" t="inlineStr">
        <is>
          <t>45220000; 45231300; 45233252</t>
        </is>
      </c>
      <c r="Q1655" s="8" t="inlineStr">
        <is>
          <t>Ver</t>
        </is>
      </c>
      <c r="R1655" s="8" t="inlineStr">
        <is>
          <t>PCAP</t>
        </is>
      </c>
      <c r="S1655" s="9" t="n">
        <v>46310</v>
      </c>
      <c r="T1655" s="3" t="n">
        <v>46302.59822916667</v>
      </c>
      <c r="U1655" s="2" t="n"/>
    </row>
    <row r="1656">
      <c r="A1656" s="2" t="inlineStr">
        <is>
          <t>Resuelta</t>
        </is>
      </c>
      <c r="B1656" s="3" t="n">
        <v>46189.99930555555</v>
      </c>
      <c r="C1656" s="5" t="n">
        <v>272139.76</v>
      </c>
      <c r="D1656" s="5" t="n">
        <v>272139.76</v>
      </c>
      <c r="E1656" s="2" t="inlineStr">
        <is>
          <t>Comunitat Valenciana</t>
        </is>
      </c>
      <c r="F1656" s="2" t="inlineStr">
        <is>
          <t>Valencia</t>
        </is>
      </c>
      <c r="G1656" s="2" t="n"/>
      <c r="H1656" s="2" t="inlineStr">
        <is>
          <t>Alcaldía del Ayuntamiento de Quart de Poblet</t>
        </is>
      </c>
      <c r="I1656" s="2" t="inlineStr">
        <is>
          <t>Proyecto de construcción de espacio de juego neuroinclusivo en Polideportivo Municipal de Quart de Poblet. Adenda, incluido dentro del Pla Obert d'inversions de la Diputación Provincial de Valencia 24-27",</t>
        </is>
      </c>
      <c r="J1656" s="2" t="inlineStr">
        <is>
          <t>2688408A</t>
        </is>
      </c>
      <c r="K1656" s="2" t="inlineStr">
        <is>
          <t>Abierto simplificado</t>
        </is>
      </c>
      <c r="L1656" s="6" t="n">
        <v>3</v>
      </c>
      <c r="M1656" s="2" t="n"/>
      <c r="N1656" s="7" t="n">
        <v>0.25</v>
      </c>
      <c r="O1656" s="4" t="n"/>
      <c r="P1656" s="2" t="inlineStr">
        <is>
          <t>45212140; 37535200</t>
        </is>
      </c>
      <c r="Q1656" s="8" t="inlineStr">
        <is>
          <t>Ver</t>
        </is>
      </c>
      <c r="R1656" s="8" t="inlineStr">
        <is>
          <t>PCAP</t>
        </is>
      </c>
      <c r="S1656" s="9" t="n">
        <v>46310</v>
      </c>
      <c r="T1656" s="3" t="n">
        <v>46302.59681712963</v>
      </c>
      <c r="U1656" s="2" t="n"/>
    </row>
    <row r="1657">
      <c r="A1657" s="2" t="inlineStr">
        <is>
          <t>En plazo</t>
        </is>
      </c>
      <c r="B1657" s="3" t="n">
        <v>46328.58333333334</v>
      </c>
      <c r="C1657" s="5" t="n">
        <v>814296.7</v>
      </c>
      <c r="D1657" s="5" t="n">
        <v>814296.7</v>
      </c>
      <c r="E1657" s="2" t="inlineStr">
        <is>
          <t>Comunitat Valenciana</t>
        </is>
      </c>
      <c r="F1657" s="2" t="inlineStr">
        <is>
          <t>Valencia</t>
        </is>
      </c>
      <c r="G1657" s="2" t="inlineStr">
        <is>
          <t>Turís</t>
        </is>
      </c>
      <c r="H1657" s="2" t="inlineStr">
        <is>
          <t>Alcaldía del Ayuntamiento de Turis</t>
        </is>
      </c>
      <c r="I1657" s="2" t="inlineStr">
        <is>
          <t>Urbanización calles perimetrales parcela nuevo CEIP</t>
        </is>
      </c>
      <c r="J1657" s="2" t="inlineStr">
        <is>
          <t>3385/2026</t>
        </is>
      </c>
      <c r="K1657" s="2" t="inlineStr">
        <is>
          <t>Abierto simplificado</t>
        </is>
      </c>
      <c r="L1657" s="6" t="n">
        <v>5</v>
      </c>
      <c r="M1657" s="2" t="n"/>
      <c r="N1657" s="7" t="n">
        <v>0</v>
      </c>
      <c r="O1657" s="4" t="n"/>
      <c r="P1657" s="2" t="inlineStr">
        <is>
          <t>45233140</t>
        </is>
      </c>
      <c r="Q1657" s="8" t="inlineStr">
        <is>
          <t>Ver</t>
        </is>
      </c>
      <c r="R1657" s="8" t="inlineStr">
        <is>
          <t>PCAP</t>
        </is>
      </c>
      <c r="S1657" s="9" t="n">
        <v>46310</v>
      </c>
      <c r="T1657" s="3" t="n">
        <v>46302.59541666666</v>
      </c>
      <c r="U1657" s="2" t="n"/>
    </row>
    <row r="1658">
      <c r="A1658" s="2" t="inlineStr">
        <is>
          <t>Adjudicada</t>
        </is>
      </c>
      <c r="B1658" s="3" t="n">
        <v>46301.5</v>
      </c>
      <c r="C1658" s="5" t="n">
        <v>115378.06</v>
      </c>
      <c r="D1658" s="5" t="n">
        <v>115348.06</v>
      </c>
      <c r="E1658" s="2" t="inlineStr">
        <is>
          <t>Comunitat Valenciana</t>
        </is>
      </c>
      <c r="F1658" s="2" t="inlineStr">
        <is>
          <t>Valencia</t>
        </is>
      </c>
      <c r="G1658" s="2" t="inlineStr">
        <is>
          <t>Quartell</t>
        </is>
      </c>
      <c r="H1658" s="2" t="inlineStr">
        <is>
          <t>Alcaldía del Ayuntamiento de Quartell</t>
        </is>
      </c>
      <c r="I1658" s="2" t="inlineStr">
        <is>
          <t>Obra: Restauración de la cubierta del Palacio de los Condes de Orbe y piniés</t>
        </is>
      </c>
      <c r="J1658" s="2" t="inlineStr">
        <is>
          <t>851/2026 Restauracion Cubierta Palau (Fase 2.1)</t>
        </is>
      </c>
      <c r="K1658" s="2" t="inlineStr">
        <is>
          <t>Abierto</t>
        </is>
      </c>
      <c r="L1658" s="6" t="n">
        <v>3</v>
      </c>
      <c r="M1658" s="2" t="n"/>
      <c r="N1658" s="7" t="n">
        <v>0</v>
      </c>
      <c r="O1658" s="4" t="n"/>
      <c r="P1658" s="2" t="inlineStr">
        <is>
          <t>45212000; 45212300; 45212310</t>
        </is>
      </c>
      <c r="Q1658" s="8" t="inlineStr">
        <is>
          <t>Ver</t>
        </is>
      </c>
      <c r="R1658" s="8" t="inlineStr">
        <is>
          <t>PCAP</t>
        </is>
      </c>
      <c r="S1658" s="9" t="n">
        <v>46310</v>
      </c>
      <c r="T1658" s="3" t="n">
        <v>46302.59469907408</v>
      </c>
      <c r="U1658" s="2" t="n"/>
    </row>
    <row r="1659">
      <c r="A1659" s="2" t="inlineStr">
        <is>
          <t>En plazo</t>
        </is>
      </c>
      <c r="B1659" s="3" t="n">
        <v>46325.99930555555</v>
      </c>
      <c r="C1659" s="5" t="n">
        <v>91319.32000000001</v>
      </c>
      <c r="D1659" s="5" t="n">
        <v>91319.32000000001</v>
      </c>
      <c r="E1659" s="2" t="inlineStr">
        <is>
          <t>Comunitat Valenciana</t>
        </is>
      </c>
      <c r="F1659" s="2" t="inlineStr">
        <is>
          <t>Valencia</t>
        </is>
      </c>
      <c r="G1659" s="2" t="inlineStr">
        <is>
          <t>Novetlè</t>
        </is>
      </c>
      <c r="H1659" s="2" t="inlineStr">
        <is>
          <t>Junta de Gobierno Local del Ayuntamiento de Novetlé</t>
        </is>
      </c>
      <c r="I1659" s="2" t="inlineStr">
        <is>
          <t>Circuito runner y vestuarios</t>
        </is>
      </c>
      <c r="J1659" s="2" t="inlineStr">
        <is>
          <t>EXPEDIENTE 2762546W</t>
        </is>
      </c>
      <c r="K1659" s="2" t="inlineStr">
        <is>
          <t>Abierto simplificado</t>
        </is>
      </c>
      <c r="L1659" s="6" t="n">
        <v>6</v>
      </c>
      <c r="M1659" s="2" t="n"/>
      <c r="N1659" s="7" t="n">
        <v>0</v>
      </c>
      <c r="O1659" s="4" t="n"/>
      <c r="P1659" s="2" t="inlineStr">
        <is>
          <t>45200000</t>
        </is>
      </c>
      <c r="Q1659" s="8" t="inlineStr">
        <is>
          <t>Ver</t>
        </is>
      </c>
      <c r="R1659" s="8" t="inlineStr">
        <is>
          <t>PCAP</t>
        </is>
      </c>
      <c r="S1659" s="9" t="n">
        <v>46310</v>
      </c>
      <c r="T1659" s="3" t="n">
        <v>46302.59442129629</v>
      </c>
      <c r="U1659" s="2" t="n"/>
    </row>
    <row r="1660">
      <c r="A1660" s="2" t="inlineStr">
        <is>
          <t>Resuelta</t>
        </is>
      </c>
      <c r="B1660" s="3" t="n">
        <v>46237.99930555555</v>
      </c>
      <c r="C1660" s="5" t="n">
        <v>226213.05</v>
      </c>
      <c r="D1660" s="5" t="n">
        <v>226213.05</v>
      </c>
      <c r="E1660" s="2" t="inlineStr">
        <is>
          <t>Comunitat Valenciana</t>
        </is>
      </c>
      <c r="F1660" s="2" t="inlineStr">
        <is>
          <t>Alicante</t>
        </is>
      </c>
      <c r="G1660" s="2" t="n"/>
      <c r="H1660" s="2" t="inlineStr">
        <is>
          <t>Junta de Gobierno del Ayuntamiento de Elche</t>
        </is>
      </c>
      <c r="I1660" s="2" t="inlineStr">
        <is>
          <t>Obras para Instalación de velas tensadas en varios colegios públicos de Elche</t>
        </is>
      </c>
      <c r="J1660" s="2" t="inlineStr">
        <is>
          <t>OBR/ABR_SMPL/2026000057</t>
        </is>
      </c>
      <c r="K1660" s="2" t="inlineStr">
        <is>
          <t>Abierto simplificado</t>
        </is>
      </c>
      <c r="L1660" s="6" t="n">
        <v>2</v>
      </c>
      <c r="M1660" s="2" t="n"/>
      <c r="N1660" s="7" t="n">
        <v>0</v>
      </c>
      <c r="O1660" s="4" t="n"/>
      <c r="P1660" s="2" t="inlineStr">
        <is>
          <t>45210000; 45421144; 45255400; 45212190; 39522120</t>
        </is>
      </c>
      <c r="Q1660" s="8" t="inlineStr">
        <is>
          <t>Ver</t>
        </is>
      </c>
      <c r="R1660" s="8" t="inlineStr">
        <is>
          <t>PCAP</t>
        </is>
      </c>
      <c r="S1660" s="9" t="n">
        <v>46310</v>
      </c>
      <c r="T1660" s="3" t="n">
        <v>46302.59439814815</v>
      </c>
      <c r="U1660" s="2" t="n"/>
    </row>
    <row r="1661">
      <c r="A1661" s="2" t="inlineStr">
        <is>
          <t>En plazo</t>
        </is>
      </c>
      <c r="B1661" s="3" t="n">
        <v>46322.99930555555</v>
      </c>
      <c r="C1661" s="5" t="n">
        <v>94619</v>
      </c>
      <c r="D1661" s="5" t="n">
        <v>94619</v>
      </c>
      <c r="E1661" s="2" t="inlineStr">
        <is>
          <t>Comunitat Valenciana</t>
        </is>
      </c>
      <c r="F1661" s="2" t="inlineStr">
        <is>
          <t>Valencia</t>
        </is>
      </c>
      <c r="G1661" s="2" t="inlineStr">
        <is>
          <t>Ador</t>
        </is>
      </c>
      <c r="H1661" s="2" t="inlineStr">
        <is>
          <t>Alcaldía del Ayuntamiento de Ador</t>
        </is>
      </c>
      <c r="I1661" s="2" t="inlineStr">
        <is>
          <t>Segunda fase cerramiento fachadas en el frontón municipal de Ador</t>
        </is>
      </c>
      <c r="J1661" s="2" t="inlineStr">
        <is>
          <t>713/2026</t>
        </is>
      </c>
      <c r="K1661" s="2" t="inlineStr">
        <is>
          <t>Abierto simplificado</t>
        </is>
      </c>
      <c r="L1661" s="6" t="n">
        <v>1.4</v>
      </c>
      <c r="M1661" s="2" t="n"/>
      <c r="N1661" s="7" t="n">
        <v>0</v>
      </c>
      <c r="O1661" s="4" t="n"/>
      <c r="P1661" s="2" t="inlineStr">
        <is>
          <t>45212220</t>
        </is>
      </c>
      <c r="Q1661" s="8" t="inlineStr">
        <is>
          <t>Ver</t>
        </is>
      </c>
      <c r="R1661" s="8" t="inlineStr">
        <is>
          <t>PCAP</t>
        </is>
      </c>
      <c r="S1661" s="9" t="n">
        <v>46310</v>
      </c>
      <c r="T1661" s="3" t="n">
        <v>46302.59159722222</v>
      </c>
      <c r="U1661" s="2" t="n"/>
    </row>
    <row r="1662">
      <c r="A1662" s="2" t="inlineStr">
        <is>
          <t>En plazo</t>
        </is>
      </c>
      <c r="B1662" s="3" t="n">
        <v>46325.99930555555</v>
      </c>
      <c r="C1662" s="5" t="n">
        <v>46035.18</v>
      </c>
      <c r="D1662" s="5" t="n">
        <v>46035.48</v>
      </c>
      <c r="E1662" s="2" t="inlineStr">
        <is>
          <t>Comunitat Valenciana</t>
        </is>
      </c>
      <c r="F1662" s="2" t="inlineStr">
        <is>
          <t>Valencia</t>
        </is>
      </c>
      <c r="G1662" s="2" t="inlineStr">
        <is>
          <t>Novetlè</t>
        </is>
      </c>
      <c r="H1662" s="2" t="inlineStr">
        <is>
          <t>Alcaldía del Ayuntamiento de Novetlé</t>
        </is>
      </c>
      <c r="I1662" s="2" t="inlineStr">
        <is>
          <t>Desvío de conducción agua de riego por liberación de espacio para otras instalaciones</t>
        </is>
      </c>
      <c r="J1662" s="2" t="inlineStr">
        <is>
          <t>EXPEDIENTE 2761974A</t>
        </is>
      </c>
      <c r="K1662" s="2" t="inlineStr">
        <is>
          <t>Abierto simplificado</t>
        </is>
      </c>
      <c r="L1662" s="6" t="n">
        <v>2</v>
      </c>
      <c r="M1662" s="2" t="n"/>
      <c r="N1662" s="7" t="n">
        <v>0</v>
      </c>
      <c r="O1662" s="4" t="n"/>
      <c r="P1662" s="2" t="inlineStr">
        <is>
          <t>45232121</t>
        </is>
      </c>
      <c r="Q1662" s="8" t="inlineStr">
        <is>
          <t>Ver</t>
        </is>
      </c>
      <c r="R1662" s="8" t="inlineStr">
        <is>
          <t>PCAP</t>
        </is>
      </c>
      <c r="S1662" s="9" t="n">
        <v>46310</v>
      </c>
      <c r="T1662" s="3" t="n">
        <v>46302.5909375</v>
      </c>
      <c r="U1662" s="2" t="n"/>
    </row>
    <row r="1663">
      <c r="A1663" s="2" t="inlineStr">
        <is>
          <t>Adjudicada</t>
        </is>
      </c>
      <c r="B1663" s="3" t="n">
        <v>46280.58333333334</v>
      </c>
      <c r="C1663" s="5" t="n">
        <v>45228.93</v>
      </c>
      <c r="D1663" s="5" t="n">
        <v>45228.93</v>
      </c>
      <c r="E1663" s="2" t="inlineStr">
        <is>
          <t>Andalucía</t>
        </is>
      </c>
      <c r="F1663" s="2" t="inlineStr">
        <is>
          <t>Sevilla</t>
        </is>
      </c>
      <c r="G1663" s="2" t="n"/>
      <c r="H1663" s="2" t="inlineStr">
        <is>
          <t>Alcaldia del Ayuntamiento de San Nicolás del Puerto</t>
        </is>
      </c>
      <c r="I1663" s="2" t="inlineStr">
        <is>
          <t>PASA. Rehabilitación camino de los Parrales</t>
        </is>
      </c>
      <c r="J1663" s="2" t="inlineStr">
        <is>
          <t>P4108800F-2026/000025-PAAB</t>
        </is>
      </c>
      <c r="K1663" s="2" t="inlineStr">
        <is>
          <t>Abierto simplificado</t>
        </is>
      </c>
      <c r="L1663" s="6" t="n">
        <v>2</v>
      </c>
      <c r="M1663" s="2" t="n"/>
      <c r="N1663" s="7" t="n">
        <v>0</v>
      </c>
      <c r="O1663" s="4" t="n"/>
      <c r="P1663" s="2" t="inlineStr">
        <is>
          <t>45233160</t>
        </is>
      </c>
      <c r="Q1663" s="8" t="inlineStr">
        <is>
          <t>Ver</t>
        </is>
      </c>
      <c r="R1663" s="8" t="inlineStr">
        <is>
          <t>PCAP</t>
        </is>
      </c>
      <c r="S1663" s="9" t="n">
        <v>46310</v>
      </c>
      <c r="T1663" s="3" t="n">
        <v>46302.58684027778</v>
      </c>
      <c r="U1663" s="2" t="n"/>
    </row>
    <row r="1664">
      <c r="A1664" s="2" t="inlineStr">
        <is>
          <t>En plazo</t>
        </is>
      </c>
      <c r="B1664" s="3" t="n">
        <v>46322.99930555555</v>
      </c>
      <c r="C1664" s="5" t="n">
        <v>107438.02</v>
      </c>
      <c r="D1664" s="5" t="n">
        <v>107438.02</v>
      </c>
      <c r="E1664" s="2" t="inlineStr">
        <is>
          <t>Andalucía</t>
        </is>
      </c>
      <c r="F1664" s="2" t="inlineStr">
        <is>
          <t>Cádiz</t>
        </is>
      </c>
      <c r="G1664" s="2" t="inlineStr">
        <is>
          <t>Algodonales</t>
        </is>
      </c>
      <c r="H1664" s="2" t="inlineStr">
        <is>
          <t>Alcaldía del Ayuntamiento de Algodonales</t>
        </is>
      </c>
      <c r="I1664" s="2" t="inlineStr">
        <is>
          <t>El presente contrato tiene por objeto las obras necesarias para la adecuación de la zona de aparcamiento y evacuación de aguas pluviales en el campo de Fútbol 11.</t>
        </is>
      </c>
      <c r="J1664" s="2" t="inlineStr">
        <is>
          <t>2026_11005_COAS_00004</t>
        </is>
      </c>
      <c r="K1664" s="2" t="inlineStr">
        <is>
          <t>Abierto simplificado</t>
        </is>
      </c>
      <c r="L1664" s="6" t="n">
        <v>6</v>
      </c>
      <c r="M1664" s="2" t="n"/>
      <c r="N1664" s="7" t="n">
        <v>0</v>
      </c>
      <c r="O1664" s="4" t="n"/>
      <c r="P1664" s="2" t="inlineStr">
        <is>
          <t>45000000; 45111200; 45233222</t>
        </is>
      </c>
      <c r="Q1664" s="8" t="inlineStr">
        <is>
          <t>Ver</t>
        </is>
      </c>
      <c r="R1664" s="8" t="inlineStr">
        <is>
          <t>PCAP</t>
        </is>
      </c>
      <c r="S1664" s="9" t="n">
        <v>46310</v>
      </c>
      <c r="T1664" s="3" t="n">
        <v>46302.57603009259</v>
      </c>
      <c r="U1664" s="2" t="n"/>
    </row>
    <row r="1665">
      <c r="A1665" s="2" t="inlineStr">
        <is>
          <t>Pendiente de adjudicación</t>
        </is>
      </c>
      <c r="B1665" s="3" t="n">
        <v>46217.99930555555</v>
      </c>
      <c r="C1665" s="5" t="n">
        <v>733628.8</v>
      </c>
      <c r="D1665" s="5" t="n">
        <v>733628.8</v>
      </c>
      <c r="E1665" s="2" t="inlineStr">
        <is>
          <t>Comunitat Valenciana</t>
        </is>
      </c>
      <c r="F1665" s="2" t="inlineStr">
        <is>
          <t>Valencia</t>
        </is>
      </c>
      <c r="G1665" s="2" t="inlineStr">
        <is>
          <t>Valencia</t>
        </is>
      </c>
      <c r="H1665" s="2" t="inlineStr">
        <is>
          <t>Rectorado de la Universitat Politècnica de València</t>
        </is>
      </c>
      <c r="I1665" s="2" t="inlineStr">
        <is>
          <t>Obra de impermeabilización de la cubierta del edificio 8G norte y de las cubiertas de los casetones de la CPI en el campus de Vera de la Universitat Politècnica de València</t>
        </is>
      </c>
      <c r="J1665" s="2" t="inlineStr">
        <is>
          <t>MY26/VICC/O/42</t>
        </is>
      </c>
      <c r="K1665" s="2" t="inlineStr">
        <is>
          <t>Abierto</t>
        </is>
      </c>
      <c r="L1665" s="6" t="n">
        <v>6</v>
      </c>
      <c r="M1665" s="2" t="inlineStr">
        <is>
          <t>C1-3</t>
        </is>
      </c>
      <c r="N1665" s="7" t="n">
        <v>0.45</v>
      </c>
      <c r="O1665" s="4" t="n"/>
      <c r="P1665" s="2" t="inlineStr">
        <is>
          <t>45261420</t>
        </is>
      </c>
      <c r="Q1665" s="8" t="inlineStr">
        <is>
          <t>Ver</t>
        </is>
      </c>
      <c r="R1665" s="2" t="n"/>
      <c r="S1665" s="9" t="n">
        <v>46310</v>
      </c>
      <c r="T1665" s="3" t="n">
        <v>46302.57342592593</v>
      </c>
      <c r="U1665" s="2" t="n"/>
    </row>
    <row r="1666">
      <c r="A1666" s="2" t="inlineStr">
        <is>
          <t>En plazo</t>
        </is>
      </c>
      <c r="B1666" s="3" t="n">
        <v>46322.79166666666</v>
      </c>
      <c r="C1666" s="5" t="n">
        <v>73202.48</v>
      </c>
      <c r="D1666" s="5" t="n">
        <v>73202.48</v>
      </c>
      <c r="E1666" s="2" t="inlineStr">
        <is>
          <t>Comunitat Valenciana</t>
        </is>
      </c>
      <c r="F1666" s="2" t="inlineStr">
        <is>
          <t>Valencia</t>
        </is>
      </c>
      <c r="G1666" s="2" t="inlineStr">
        <is>
          <t>Corbera</t>
        </is>
      </c>
      <c r="H1666" s="2" t="inlineStr">
        <is>
          <t>Alcaldía del Ayuntamiento de Corbera</t>
        </is>
      </c>
      <c r="I1666" s="2" t="inlineStr">
        <is>
          <t>Proyecto de construcción de nuevos nichos al cementerio municipal.</t>
        </is>
      </c>
      <c r="J1666" s="2" t="inlineStr">
        <is>
          <t>1517/2026</t>
        </is>
      </c>
      <c r="K1666" s="2" t="inlineStr">
        <is>
          <t>Abierto simplificado</t>
        </is>
      </c>
      <c r="L1666" s="6" t="n">
        <v>4</v>
      </c>
      <c r="M1666" s="2" t="n"/>
      <c r="N1666" s="7" t="n">
        <v>0</v>
      </c>
      <c r="O1666" s="4" t="n"/>
      <c r="P1666" s="2" t="inlineStr">
        <is>
          <t>45223800; 45000000; 45215400</t>
        </is>
      </c>
      <c r="Q1666" s="8" t="inlineStr">
        <is>
          <t>Ver</t>
        </is>
      </c>
      <c r="R1666" s="8" t="inlineStr">
        <is>
          <t>PCAP</t>
        </is>
      </c>
      <c r="S1666" s="9" t="n">
        <v>46310</v>
      </c>
      <c r="T1666" s="3" t="n">
        <v>46302.57260416666</v>
      </c>
      <c r="U1666" s="2" t="n"/>
    </row>
    <row r="1667">
      <c r="A1667" s="2" t="inlineStr">
        <is>
          <t>En plazo</t>
        </is>
      </c>
      <c r="B1667" s="3" t="n">
        <v>46325.58333333334</v>
      </c>
      <c r="C1667" s="5" t="n">
        <v>1540129.68</v>
      </c>
      <c r="D1667" s="5" t="n">
        <v>1540129.68</v>
      </c>
      <c r="E1667" s="2" t="inlineStr">
        <is>
          <t>Andalucía</t>
        </is>
      </c>
      <c r="F1667" s="2" t="inlineStr">
        <is>
          <t>Granada</t>
        </is>
      </c>
      <c r="G1667" s="2" t="inlineStr">
        <is>
          <t>Granada</t>
        </is>
      </c>
      <c r="H1667" s="2" t="inlineStr">
        <is>
          <t>Secretaría General de la Agencia Estatal Consejo Superior de Investigaciones Científicas</t>
        </is>
      </c>
      <c r="I1667" s="2" t="inlineStr">
        <is>
          <t>Obras de nuevo edificio del Instituto de Astrofísica de Andalucía</t>
        </is>
      </c>
      <c r="J1667" s="2" t="inlineStr">
        <is>
          <t>35349/26</t>
        </is>
      </c>
      <c r="K1667" s="2" t="inlineStr">
        <is>
          <t>Abierto simplificado</t>
        </is>
      </c>
      <c r="L1667" s="6" t="n">
        <v>12</v>
      </c>
      <c r="M1667" s="2" t="n"/>
      <c r="N1667" s="7" t="n">
        <v>0.25</v>
      </c>
      <c r="O1667" s="4" t="n"/>
      <c r="P1667" s="2" t="inlineStr">
        <is>
          <t>45214000; 45214600; 45213150</t>
        </is>
      </c>
      <c r="Q1667" s="8" t="inlineStr">
        <is>
          <t>Ver</t>
        </is>
      </c>
      <c r="R1667" s="8" t="inlineStr">
        <is>
          <t>PCAP</t>
        </is>
      </c>
      <c r="S1667" s="9" t="n">
        <v>46310</v>
      </c>
      <c r="T1667" s="3" t="n">
        <v>46302.57195601852</v>
      </c>
      <c r="U1667" s="2" t="n"/>
    </row>
    <row r="1668">
      <c r="A1668" s="2" t="inlineStr">
        <is>
          <t>Pendiente de adjudicación</t>
        </is>
      </c>
      <c r="B1668" s="3" t="n">
        <v>46279.99930555555</v>
      </c>
      <c r="C1668" s="5" t="n">
        <v>82667.25999999999</v>
      </c>
      <c r="D1668" s="5" t="n">
        <v>82667.25999999999</v>
      </c>
      <c r="E1668" s="2" t="inlineStr">
        <is>
          <t>Andalucía</t>
        </is>
      </c>
      <c r="F1668" s="2" t="inlineStr">
        <is>
          <t>Granada</t>
        </is>
      </c>
      <c r="G1668" s="2" t="inlineStr">
        <is>
          <t>CHIMENEAS</t>
        </is>
      </c>
      <c r="H1668" s="2" t="inlineStr">
        <is>
          <t>Presidencia de la Diputación Provincial de Granada</t>
        </is>
      </c>
      <c r="I1668" s="2" t="inlineStr">
        <is>
          <t>2026/4/PPOYS-47/2 "Chimeneas, mejora del alumbrado público en Chimeneas"</t>
        </is>
      </c>
      <c r="J1668" s="2" t="inlineStr">
        <is>
          <t>OB-061/26</t>
        </is>
      </c>
      <c r="K1668" s="2" t="inlineStr">
        <is>
          <t>Abierto simplificado</t>
        </is>
      </c>
      <c r="L1668" s="6" t="n">
        <v>4</v>
      </c>
      <c r="M1668" s="2" t="inlineStr">
        <is>
          <t>G6-1; I1-1</t>
        </is>
      </c>
      <c r="N1668" s="7" t="n">
        <v>0</v>
      </c>
      <c r="O1668" s="4" t="n"/>
      <c r="P1668" s="2" t="inlineStr">
        <is>
          <t>45316100</t>
        </is>
      </c>
      <c r="Q1668" s="8" t="inlineStr">
        <is>
          <t>Ver</t>
        </is>
      </c>
      <c r="R1668" s="8" t="inlineStr">
        <is>
          <t>PCAP</t>
        </is>
      </c>
      <c r="S1668" s="9" t="n">
        <v>46310</v>
      </c>
      <c r="T1668" s="3" t="n">
        <v>46302.57063657408</v>
      </c>
      <c r="U1668" s="2" t="n"/>
    </row>
    <row r="1669">
      <c r="A1669" s="2" t="inlineStr">
        <is>
          <t>Pendiente de adjudicación</t>
        </is>
      </c>
      <c r="B1669" s="3" t="n">
        <v>46244.99930555555</v>
      </c>
      <c r="C1669" s="5" t="n">
        <v>2224067.77</v>
      </c>
      <c r="D1669" s="5" t="n">
        <v>2224067.77</v>
      </c>
      <c r="E1669" s="2" t="inlineStr">
        <is>
          <t>Andalucía</t>
        </is>
      </c>
      <c r="F1669" s="2" t="inlineStr">
        <is>
          <t>Sevilla</t>
        </is>
      </c>
      <c r="G1669" s="2" t="inlineStr">
        <is>
          <t>Marchena</t>
        </is>
      </c>
      <c r="H1669" s="2" t="inlineStr">
        <is>
          <t>Pleno del Ayuntamiento de Marchena</t>
        </is>
      </c>
      <c r="I1669" s="2" t="inlineStr">
        <is>
          <t>Restauración y puesta en valor de la Muralla Almohade y Palacio Ducal. Frente oriental de la Alcazaba Medieval. Marchena (Sevilla), a cargo de Fondos Propios Municipales, auxiliados por el FEAR de la Excma. Diputación Provincial de Sevilla.</t>
        </is>
      </c>
      <c r="J1669" s="2" t="inlineStr">
        <is>
          <t>2026/CTT_01/000040</t>
        </is>
      </c>
      <c r="K1669" s="2" t="inlineStr">
        <is>
          <t>Abierto</t>
        </is>
      </c>
      <c r="L1669" s="6" t="n">
        <v>18</v>
      </c>
      <c r="M1669" s="2" t="inlineStr">
        <is>
          <t>K4-1; K7-4; C3-1</t>
        </is>
      </c>
      <c r="N1669" s="7" t="n">
        <v>0</v>
      </c>
      <c r="O1669" s="4" t="n"/>
      <c r="P1669" s="2" t="inlineStr">
        <is>
          <t>45000000; 45212350</t>
        </is>
      </c>
      <c r="Q1669" s="8" t="inlineStr">
        <is>
          <t>Ver</t>
        </is>
      </c>
      <c r="R1669" s="8" t="inlineStr">
        <is>
          <t>PCAP</t>
        </is>
      </c>
      <c r="S1669" s="9" t="n">
        <v>46310</v>
      </c>
      <c r="T1669" s="3" t="n">
        <v>46302.56998842592</v>
      </c>
      <c r="U1669" s="2" t="n"/>
    </row>
    <row r="1670">
      <c r="A1670" s="2" t="inlineStr">
        <is>
          <t>Resuelta</t>
        </is>
      </c>
      <c r="B1670" s="3" t="n">
        <v>46182.58333333334</v>
      </c>
      <c r="C1670" s="5" t="n">
        <v>1032485.65</v>
      </c>
      <c r="D1670" s="5" t="n">
        <v>1032485.65</v>
      </c>
      <c r="E1670" s="2" t="inlineStr">
        <is>
          <t>Comunitat Valenciana</t>
        </is>
      </c>
      <c r="F1670" s="2" t="inlineStr">
        <is>
          <t>Alicante</t>
        </is>
      </c>
      <c r="G1670" s="2" t="inlineStr">
        <is>
          <t>Teulada</t>
        </is>
      </c>
      <c r="H1670" s="2" t="inlineStr">
        <is>
          <t>Junta de Gobierno del Ayuntamiento de Teulada</t>
        </is>
      </c>
      <c r="I1670" s="2" t="inlineStr">
        <is>
          <t>Ejecución de las obras "Aulario de 12 unidades para 1º y 2º ciclo de la etapa infantil en el Colegio Público CEIP San Vicente Ferrer de Teulada dentro del programa EDIFICANT de la Generalitat Valenciana" (terminación)</t>
        </is>
      </c>
      <c r="J1670" s="2" t="inlineStr">
        <is>
          <t>3964/2026</t>
        </is>
      </c>
      <c r="K1670" s="2" t="inlineStr">
        <is>
          <t>Negociado sin publicidad</t>
        </is>
      </c>
      <c r="L1670" s="6" t="n">
        <v>4</v>
      </c>
      <c r="M1670" s="2" t="inlineStr">
        <is>
          <t>B2-4</t>
        </is>
      </c>
      <c r="N1670" s="7" t="n">
        <v>0.2</v>
      </c>
      <c r="O1670" s="4" t="n"/>
      <c r="P1670" s="2" t="inlineStr">
        <is>
          <t>45214200; 45214210</t>
        </is>
      </c>
      <c r="Q1670" s="8" t="inlineStr">
        <is>
          <t>Ver</t>
        </is>
      </c>
      <c r="R1670" s="8" t="inlineStr">
        <is>
          <t>PCAP</t>
        </is>
      </c>
      <c r="S1670" s="9" t="n">
        <v>46310</v>
      </c>
      <c r="T1670" s="3" t="n">
        <v>46302.56949074074</v>
      </c>
      <c r="U1670" s="2" t="n"/>
    </row>
    <row r="1671">
      <c r="A1671" s="2" t="inlineStr">
        <is>
          <t>Pendiente de adjudicación</t>
        </is>
      </c>
      <c r="B1671" s="3" t="n">
        <v>46275.99930555555</v>
      </c>
      <c r="C1671" s="5" t="n">
        <v>26922.75</v>
      </c>
      <c r="D1671" s="5" t="n">
        <v>26922.75</v>
      </c>
      <c r="E1671" s="2" t="inlineStr">
        <is>
          <t>Andalucía</t>
        </is>
      </c>
      <c r="F1671" s="2" t="inlineStr">
        <is>
          <t>Córdoba</t>
        </is>
      </c>
      <c r="G1671" s="2" t="n"/>
      <c r="H1671" s="2" t="inlineStr">
        <is>
          <t>Alcalde de Ayuntamiento de Puente Genil</t>
        </is>
      </c>
      <c r="I1671" s="2" t="inlineStr">
        <is>
          <t>Las obras incluidas en la Memoria Técnica para el desarrollo del sistema de control y automatización en la piscina cubierta de Puente Genil (CÓRDOBA)</t>
        </is>
      </c>
      <c r="J1671" s="2" t="inlineStr">
        <is>
          <t>27/2026</t>
        </is>
      </c>
      <c r="K1671" s="2" t="inlineStr">
        <is>
          <t>Abierto simplificado</t>
        </is>
      </c>
      <c r="L1671" s="6" t="n">
        <v>2</v>
      </c>
      <c r="M1671" s="2" t="n"/>
      <c r="N1671" s="7" t="n">
        <v>0</v>
      </c>
      <c r="O1671" s="4" t="n"/>
      <c r="P1671" s="2" t="inlineStr">
        <is>
          <t>45315100</t>
        </is>
      </c>
      <c r="Q1671" s="8" t="inlineStr">
        <is>
          <t>Ver</t>
        </is>
      </c>
      <c r="R1671" s="8" t="inlineStr">
        <is>
          <t>PCAP</t>
        </is>
      </c>
      <c r="S1671" s="9" t="n">
        <v>46310</v>
      </c>
      <c r="T1671" s="3" t="n">
        <v>46302.56890046296</v>
      </c>
      <c r="U1671" s="2" t="n"/>
    </row>
    <row r="1672">
      <c r="A1672" s="2" t="inlineStr">
        <is>
          <t>Resuelta</t>
        </is>
      </c>
      <c r="B1672" s="3" t="n">
        <v>46294.41666666666</v>
      </c>
      <c r="C1672" s="5" t="n">
        <v>63000</v>
      </c>
      <c r="D1672" s="5" t="n">
        <v>63000</v>
      </c>
      <c r="E1672" s="2" t="inlineStr">
        <is>
          <t>Andalucía</t>
        </is>
      </c>
      <c r="F1672" s="2" t="inlineStr">
        <is>
          <t>Huelva</t>
        </is>
      </c>
      <c r="G1672" s="2" t="n"/>
      <c r="H1672" s="2" t="inlineStr">
        <is>
          <t>Empresa de Transformación Agraria S.A.,S.M.E., M.P., (TRAGSA)</t>
        </is>
      </c>
      <c r="I1672"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TS PINAR DEL PINTO</t>
        </is>
      </c>
      <c r="J1672" s="2" t="inlineStr">
        <is>
          <t>TSA0080057-263</t>
        </is>
      </c>
      <c r="K1672" s="2" t="inlineStr">
        <is>
          <t>Abierto</t>
        </is>
      </c>
      <c r="L1672" s="6" t="n">
        <v>8</v>
      </c>
      <c r="M1672" s="2" t="n"/>
      <c r="N1672" s="7" t="n">
        <v>0</v>
      </c>
      <c r="O1672" s="4" t="n"/>
      <c r="P1672" s="2" t="inlineStr">
        <is>
          <t>45500000</t>
        </is>
      </c>
      <c r="Q1672" s="8" t="inlineStr">
        <is>
          <t>Ver</t>
        </is>
      </c>
      <c r="R1672" s="8" t="inlineStr">
        <is>
          <t>PCAP</t>
        </is>
      </c>
      <c r="S1672" s="9" t="n">
        <v>46310</v>
      </c>
      <c r="T1672" s="3" t="n">
        <v>46302.56546296296</v>
      </c>
      <c r="U1672" s="2" t="n"/>
    </row>
    <row r="1673">
      <c r="A1673" s="2" t="inlineStr">
        <is>
          <t>Pendiente de adjudicación</t>
        </is>
      </c>
      <c r="B1673" s="3" t="n">
        <v>46286.99930555555</v>
      </c>
      <c r="C1673" s="5" t="n">
        <v>157024.74</v>
      </c>
      <c r="D1673" s="5" t="n">
        <v>157024.74</v>
      </c>
      <c r="E1673" s="2" t="inlineStr">
        <is>
          <t>Comunitat Valenciana</t>
        </is>
      </c>
      <c r="F1673" s="2" t="inlineStr">
        <is>
          <t>Valencia</t>
        </is>
      </c>
      <c r="G1673" s="2" t="n"/>
      <c r="H1673" s="2" t="inlineStr">
        <is>
          <t>Junta de Gobierno del Ayuntamiento de Alzira</t>
        </is>
      </c>
      <c r="I1673" s="2" t="inlineStr">
        <is>
          <t>Peatonalización de la calle Bernat Montagud (fase 2)</t>
        </is>
      </c>
      <c r="J1673" s="2" t="inlineStr">
        <is>
          <t>OC-7887/25</t>
        </is>
      </c>
      <c r="K1673" s="2" t="inlineStr">
        <is>
          <t>Abierto simplificado</t>
        </is>
      </c>
      <c r="L1673" s="6" t="n">
        <v>6</v>
      </c>
      <c r="M1673" s="2" t="n"/>
      <c r="N1673" s="7" t="n">
        <v>0</v>
      </c>
      <c r="O1673" s="4" t="n"/>
      <c r="P1673" s="2" t="inlineStr">
        <is>
          <t>45233252; 45112700</t>
        </is>
      </c>
      <c r="Q1673" s="8" t="inlineStr">
        <is>
          <t>Ver</t>
        </is>
      </c>
      <c r="R1673" s="8" t="inlineStr">
        <is>
          <t>PCAP</t>
        </is>
      </c>
      <c r="S1673" s="9" t="n">
        <v>46310</v>
      </c>
      <c r="T1673" s="3" t="n">
        <v>46302.56440972222</v>
      </c>
      <c r="U1673" s="2" t="n"/>
    </row>
    <row r="1674">
      <c r="A1674" s="2" t="inlineStr">
        <is>
          <t>Resuelta</t>
        </is>
      </c>
      <c r="B1674" s="3" t="n">
        <v>46294.41666666666</v>
      </c>
      <c r="C1674" s="5" t="n">
        <v>63000</v>
      </c>
      <c r="D1674" s="5" t="n">
        <v>63000</v>
      </c>
      <c r="E1674" s="2" t="inlineStr">
        <is>
          <t>Andalucía</t>
        </is>
      </c>
      <c r="F1674" s="2" t="inlineStr">
        <is>
          <t>Huelva</t>
        </is>
      </c>
      <c r="G1674" s="2" t="n"/>
      <c r="H1674" s="2" t="inlineStr">
        <is>
          <t>Empresa de Transformación Agraria S.A.,S.M.E., M.P., (TRAGSA)</t>
        </is>
      </c>
      <c r="I1674"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TS PINAR DEL PINTO</t>
        </is>
      </c>
      <c r="J1674" s="2" t="inlineStr">
        <is>
          <t>TSA0080057-262</t>
        </is>
      </c>
      <c r="K1674" s="2" t="inlineStr">
        <is>
          <t>Abierto</t>
        </is>
      </c>
      <c r="L1674" s="6" t="n">
        <v>8</v>
      </c>
      <c r="M1674" s="2" t="n"/>
      <c r="N1674" s="7" t="n">
        <v>0</v>
      </c>
      <c r="O1674" s="4" t="n"/>
      <c r="P1674" s="2" t="inlineStr">
        <is>
          <t>45500000</t>
        </is>
      </c>
      <c r="Q1674" s="8" t="inlineStr">
        <is>
          <t>Ver</t>
        </is>
      </c>
      <c r="R1674" s="8" t="inlineStr">
        <is>
          <t>PCAP</t>
        </is>
      </c>
      <c r="S1674" s="9" t="n">
        <v>46310</v>
      </c>
      <c r="T1674" s="3" t="n">
        <v>46302.56333333333</v>
      </c>
      <c r="U1674" s="2" t="n"/>
    </row>
    <row r="1675">
      <c r="A1675" s="2" t="inlineStr">
        <is>
          <t>En plazo</t>
        </is>
      </c>
      <c r="B1675" s="3" t="n">
        <v>46331.99930555555</v>
      </c>
      <c r="C1675" s="5" t="n">
        <v>2543636.15</v>
      </c>
      <c r="D1675" s="5" t="n">
        <v>2543636.15</v>
      </c>
      <c r="E1675" s="2" t="inlineStr">
        <is>
          <t>Andalucía</t>
        </is>
      </c>
      <c r="F1675" s="2" t="inlineStr">
        <is>
          <t>Sevilla</t>
        </is>
      </c>
      <c r="G1675" s="2" t="n"/>
      <c r="H1675" s="2" t="inlineStr">
        <is>
          <t>Presidencia de la Diputación Provincial de Sevilla</t>
        </is>
      </c>
      <c r="I1675" s="2" t="inlineStr">
        <is>
          <t>Obra para la mejora de la estación de bombeo de agua potable al Consorcio de Aguas Sierra Sur, nuevo depósito y sistemas antiariete, Osuna</t>
        </is>
      </c>
      <c r="J1675" s="2" t="inlineStr">
        <is>
          <t>2026/000697-PAA</t>
        </is>
      </c>
      <c r="K1675" s="2" t="inlineStr">
        <is>
          <t>Abierto</t>
        </is>
      </c>
      <c r="L1675" s="6" t="n">
        <v>8</v>
      </c>
      <c r="M1675" s="2" t="inlineStr">
        <is>
          <t>E1-5</t>
        </is>
      </c>
      <c r="N1675" s="7" t="n">
        <v>0.25</v>
      </c>
      <c r="O1675" s="4" t="n"/>
      <c r="P1675" s="2" t="inlineStr">
        <is>
          <t>45213260; 45232152</t>
        </is>
      </c>
      <c r="Q1675" s="8" t="inlineStr">
        <is>
          <t>Ver</t>
        </is>
      </c>
      <c r="R1675" s="8" t="inlineStr">
        <is>
          <t>PCAP</t>
        </is>
      </c>
      <c r="S1675" s="9" t="n">
        <v>46310</v>
      </c>
      <c r="T1675" s="3" t="n">
        <v>46302.55922453704</v>
      </c>
      <c r="U1675" s="2" t="n"/>
    </row>
    <row r="1676">
      <c r="A1676" s="2" t="inlineStr">
        <is>
          <t>Resuelta</t>
        </is>
      </c>
      <c r="B1676" s="3" t="n">
        <v>46294.41666666666</v>
      </c>
      <c r="C1676" s="5" t="n">
        <v>63000</v>
      </c>
      <c r="D1676" s="5" t="n">
        <v>63000</v>
      </c>
      <c r="E1676" s="2" t="inlineStr">
        <is>
          <t>Andalucía</t>
        </is>
      </c>
      <c r="F1676" s="2" t="inlineStr">
        <is>
          <t>Huelva</t>
        </is>
      </c>
      <c r="G1676" s="2" t="n"/>
      <c r="H1676" s="2" t="inlineStr">
        <is>
          <t>Empresa de Transformación Agraria S.A.,S.M.E., M.P., (TRAGSA)</t>
        </is>
      </c>
      <c r="I1676"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TS PINAR DEL PINTO</t>
        </is>
      </c>
      <c r="J1676" s="2" t="inlineStr">
        <is>
          <t>TSA0080057-261</t>
        </is>
      </c>
      <c r="K1676" s="2" t="inlineStr">
        <is>
          <t>Abierto</t>
        </is>
      </c>
      <c r="L1676" s="6" t="n">
        <v>8</v>
      </c>
      <c r="M1676" s="2" t="n"/>
      <c r="N1676" s="7" t="n">
        <v>0</v>
      </c>
      <c r="O1676" s="4" t="n"/>
      <c r="P1676" s="2" t="inlineStr">
        <is>
          <t>45500000</t>
        </is>
      </c>
      <c r="Q1676" s="8" t="inlineStr">
        <is>
          <t>Ver</t>
        </is>
      </c>
      <c r="R1676" s="8" t="inlineStr">
        <is>
          <t>PCAP</t>
        </is>
      </c>
      <c r="S1676" s="9" t="n">
        <v>46310</v>
      </c>
      <c r="T1676" s="3" t="n">
        <v>46302.55869212963</v>
      </c>
      <c r="U1676" s="2" t="n"/>
    </row>
    <row r="1677">
      <c r="A1677" s="2" t="inlineStr">
        <is>
          <t>En plazo</t>
        </is>
      </c>
      <c r="B1677" s="3" t="n">
        <v>46322.99930555555</v>
      </c>
      <c r="C1677" s="5" t="n">
        <v>194381.95</v>
      </c>
      <c r="D1677" s="5" t="n">
        <v>194381.95</v>
      </c>
      <c r="E1677" s="2" t="inlineStr">
        <is>
          <t>Comunitat Valenciana</t>
        </is>
      </c>
      <c r="F1677" s="2" t="inlineStr">
        <is>
          <t>Valencia</t>
        </is>
      </c>
      <c r="G1677" s="2" t="n"/>
      <c r="H1677" s="2" t="inlineStr">
        <is>
          <t>Pleno del Ayuntamiento d'Almiserà</t>
        </is>
      </c>
      <c r="I1677" s="2" t="inlineStr">
        <is>
          <t>Ampliación cementerio municipal de Almisera. Fase 1</t>
        </is>
      </c>
      <c r="J1677" s="2" t="inlineStr">
        <is>
          <t>502/2026</t>
        </is>
      </c>
      <c r="K1677" s="2" t="inlineStr">
        <is>
          <t>Abierto simplificado</t>
        </is>
      </c>
      <c r="L1677" s="6" t="n">
        <v>4</v>
      </c>
      <c r="M1677" s="2" t="n"/>
      <c r="N1677" s="7" t="n">
        <v>0.25</v>
      </c>
      <c r="O1677" s="4" t="n"/>
      <c r="P1677" s="2" t="inlineStr">
        <is>
          <t>45215400; 45261000; 45220000; 45223000</t>
        </is>
      </c>
      <c r="Q1677" s="8" t="inlineStr">
        <is>
          <t>Ver</t>
        </is>
      </c>
      <c r="R1677" s="8" t="inlineStr">
        <is>
          <t>PCAP</t>
        </is>
      </c>
      <c r="S1677" s="9" t="n">
        <v>46310</v>
      </c>
      <c r="T1677" s="3" t="n">
        <v>46302.55758101852</v>
      </c>
      <c r="U1677" s="2" t="n"/>
    </row>
    <row r="1678">
      <c r="A1678" s="2" t="inlineStr">
        <is>
          <t>Resuelta</t>
        </is>
      </c>
      <c r="B1678" s="3" t="n">
        <v>46294.41666666666</v>
      </c>
      <c r="C1678" s="5" t="n">
        <v>63000</v>
      </c>
      <c r="D1678" s="5" t="n">
        <v>63000</v>
      </c>
      <c r="E1678" s="2" t="inlineStr">
        <is>
          <t>Andalucía</t>
        </is>
      </c>
      <c r="F1678" s="2" t="inlineStr">
        <is>
          <t>Huelva</t>
        </is>
      </c>
      <c r="G1678" s="2" t="n"/>
      <c r="H1678" s="2" t="inlineStr">
        <is>
          <t>Empresa de Transformación Agraria S.A.,S.M.E., M.P., (TRAGSA)</t>
        </is>
      </c>
      <c r="I1678"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TS PINAR DEL PINTO</t>
        </is>
      </c>
      <c r="J1678" s="2" t="inlineStr">
        <is>
          <t>TSA0080057-260</t>
        </is>
      </c>
      <c r="K1678" s="2" t="inlineStr">
        <is>
          <t>Abierto</t>
        </is>
      </c>
      <c r="L1678" s="6" t="n">
        <v>8</v>
      </c>
      <c r="M1678" s="2" t="n"/>
      <c r="N1678" s="7" t="n">
        <v>0</v>
      </c>
      <c r="O1678" s="4" t="n"/>
      <c r="P1678" s="2" t="inlineStr">
        <is>
          <t>45500000</t>
        </is>
      </c>
      <c r="Q1678" s="8" t="inlineStr">
        <is>
          <t>Ver</t>
        </is>
      </c>
      <c r="R1678" s="8" t="inlineStr">
        <is>
          <t>PCAP</t>
        </is>
      </c>
      <c r="S1678" s="9" t="n">
        <v>46310</v>
      </c>
      <c r="T1678" s="3" t="n">
        <v>46302.5552662037</v>
      </c>
      <c r="U1678" s="2" t="n"/>
    </row>
    <row r="1679">
      <c r="A1679" s="2" t="inlineStr">
        <is>
          <t>Resuelta</t>
        </is>
      </c>
      <c r="B1679" s="3" t="n">
        <v>46294.41666666666</v>
      </c>
      <c r="C1679" s="5" t="n">
        <v>63000</v>
      </c>
      <c r="D1679" s="5" t="n">
        <v>63000</v>
      </c>
      <c r="E1679" s="2" t="inlineStr">
        <is>
          <t>Andalucía</t>
        </is>
      </c>
      <c r="F1679" s="2" t="inlineStr">
        <is>
          <t>Huelva</t>
        </is>
      </c>
      <c r="G1679" s="2" t="n"/>
      <c r="H1679" s="2" t="inlineStr">
        <is>
          <t>Empresa de Transformación Agraria S.A.,S.M.E., M.P., (TRAGSA)</t>
        </is>
      </c>
      <c r="I1679"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TS PINAR DEL PINTO</t>
        </is>
      </c>
      <c r="J1679" s="2" t="inlineStr">
        <is>
          <t>TSA0080057-259</t>
        </is>
      </c>
      <c r="K1679" s="2" t="inlineStr">
        <is>
          <t>Abierto</t>
        </is>
      </c>
      <c r="L1679" s="6" t="n">
        <v>8</v>
      </c>
      <c r="M1679" s="2" t="n"/>
      <c r="N1679" s="7" t="n">
        <v>0</v>
      </c>
      <c r="O1679" s="4" t="n"/>
      <c r="P1679" s="2" t="inlineStr">
        <is>
          <t>45500000</t>
        </is>
      </c>
      <c r="Q1679" s="8" t="inlineStr">
        <is>
          <t>Ver</t>
        </is>
      </c>
      <c r="R1679" s="8" t="inlineStr">
        <is>
          <t>PCAP</t>
        </is>
      </c>
      <c r="S1679" s="9" t="n">
        <v>46310</v>
      </c>
      <c r="T1679" s="3" t="n">
        <v>46302.55335648148</v>
      </c>
      <c r="U1679" s="2" t="n"/>
    </row>
    <row r="1680">
      <c r="A1680" s="2" t="inlineStr">
        <is>
          <t>Pendiente de adjudicación</t>
        </is>
      </c>
      <c r="B1680" s="3" t="n">
        <v>46301.58333333334</v>
      </c>
      <c r="C1680" s="5" t="n">
        <v>59476.8</v>
      </c>
      <c r="D1680" s="5" t="n">
        <v>59476.8</v>
      </c>
      <c r="E1680" s="2" t="inlineStr">
        <is>
          <t>Comunitat Valenciana</t>
        </is>
      </c>
      <c r="F1680" s="2" t="inlineStr">
        <is>
          <t>Valencia</t>
        </is>
      </c>
      <c r="G1680" s="2" t="n"/>
      <c r="H1680" s="2" t="inlineStr">
        <is>
          <t>Alcaldía del Ayuntamiento de Alfarrasí</t>
        </is>
      </c>
      <c r="I1680" s="2" t="inlineStr">
        <is>
          <t>Reforma de inmueble existente para cambio de uso a Centre Jove</t>
        </is>
      </c>
      <c r="J1680" s="2" t="inlineStr">
        <is>
          <t>2440095X</t>
        </is>
      </c>
      <c r="K1680" s="2" t="inlineStr">
        <is>
          <t>Abierto simplificado</t>
        </is>
      </c>
      <c r="L1680" s="6" t="n">
        <v>6</v>
      </c>
      <c r="M1680" s="2" t="n"/>
      <c r="N1680" s="7" t="n"/>
      <c r="O1680" s="4" t="n"/>
      <c r="P1680" s="2" t="inlineStr">
        <is>
          <t>45000000; 45212000; 45210000</t>
        </is>
      </c>
      <c r="Q1680" s="8" t="inlineStr">
        <is>
          <t>Ver</t>
        </is>
      </c>
      <c r="R1680" s="8" t="inlineStr">
        <is>
          <t>PCAP</t>
        </is>
      </c>
      <c r="S1680" s="9" t="n">
        <v>46310</v>
      </c>
      <c r="T1680" s="3" t="n">
        <v>46302.55328703704</v>
      </c>
      <c r="U1680" s="2" t="n"/>
    </row>
    <row r="1681">
      <c r="A1681" s="2" t="inlineStr">
        <is>
          <t>Pendiente de adjudicación</t>
        </is>
      </c>
      <c r="B1681" s="3" t="n">
        <v>46288.99930555555</v>
      </c>
      <c r="C1681" s="5" t="n">
        <v>396694.21</v>
      </c>
      <c r="D1681" s="5" t="n">
        <v>396694.21</v>
      </c>
      <c r="E1681" s="2" t="inlineStr">
        <is>
          <t>Andalucía</t>
        </is>
      </c>
      <c r="F1681" s="2" t="inlineStr">
        <is>
          <t>Granada</t>
        </is>
      </c>
      <c r="G1681" s="2" t="inlineStr">
        <is>
          <t>SANTA FE</t>
        </is>
      </c>
      <c r="H1681" s="2" t="inlineStr">
        <is>
          <t>Presidencia de la Diputación Provincial de Granada</t>
        </is>
      </c>
      <c r="I1681" s="2" t="inlineStr">
        <is>
          <t>2025/4/CUART-1 "Santa Fe, proyecto de reforma de cuartel del Guardia Civil"</t>
        </is>
      </c>
      <c r="J1681" s="2" t="inlineStr">
        <is>
          <t>OB-034/26</t>
        </is>
      </c>
      <c r="K1681" s="2" t="inlineStr">
        <is>
          <t>Abierto simplificado</t>
        </is>
      </c>
      <c r="L1681" s="6" t="n">
        <v>8</v>
      </c>
      <c r="M1681" s="2" t="inlineStr">
        <is>
          <t>C*-3</t>
        </is>
      </c>
      <c r="N1681" s="7" t="n">
        <v>0</v>
      </c>
      <c r="O1681" s="4" t="n"/>
      <c r="P1681" s="2" t="inlineStr">
        <is>
          <t>45262700; 45453100; 45210000; 45300000</t>
        </is>
      </c>
      <c r="Q1681" s="8" t="inlineStr">
        <is>
          <t>Ver</t>
        </is>
      </c>
      <c r="R1681" s="8" t="inlineStr">
        <is>
          <t>PCAP</t>
        </is>
      </c>
      <c r="S1681" s="9" t="n">
        <v>46310</v>
      </c>
      <c r="T1681" s="3" t="n">
        <v>46302.55269675926</v>
      </c>
      <c r="U1681" s="2" t="n"/>
    </row>
    <row r="1682">
      <c r="A1682" s="2" t="inlineStr">
        <is>
          <t>Resuelta</t>
        </is>
      </c>
      <c r="B1682" s="3" t="n">
        <v>46202.99930555555</v>
      </c>
      <c r="C1682" s="5" t="n">
        <v>82644.63</v>
      </c>
      <c r="D1682" s="5" t="n">
        <v>82644.63</v>
      </c>
      <c r="E1682" s="2" t="inlineStr">
        <is>
          <t>Andalucía</t>
        </is>
      </c>
      <c r="F1682" s="2" t="inlineStr">
        <is>
          <t>Córdoba</t>
        </is>
      </c>
      <c r="G1682" s="2" t="n"/>
      <c r="H1682" s="2" t="inlineStr">
        <is>
          <t>Diputado delegado de Infraestructuras, Sostenibilidad y Agricultura</t>
        </is>
      </c>
      <c r="I1682" s="2" t="inlineStr">
        <is>
          <t>Contrato de obra de mejora de accesibilidad de instalaciones deportivas de la piscina municipal en Adamuz (Córdoba). Obra incluida en el Plan de Humanización de Entornos Urbanos y Agenda Rural 2024-2027</t>
        </is>
      </c>
      <c r="J1682" s="2" t="inlineStr">
        <is>
          <t>376/26</t>
        </is>
      </c>
      <c r="K1682" s="2" t="inlineStr">
        <is>
          <t>Abierto</t>
        </is>
      </c>
      <c r="L1682" s="6" t="n">
        <v>3</v>
      </c>
      <c r="M1682" s="2" t="n"/>
      <c r="N1682" s="7" t="n">
        <v>0.25</v>
      </c>
      <c r="O1682" s="4" t="n"/>
      <c r="P1682" s="2" t="inlineStr">
        <is>
          <t>45200000</t>
        </is>
      </c>
      <c r="Q1682" s="8" t="inlineStr">
        <is>
          <t>Ver</t>
        </is>
      </c>
      <c r="R1682" s="8" t="inlineStr">
        <is>
          <t>PCAP</t>
        </is>
      </c>
      <c r="S1682" s="9" t="n">
        <v>46310</v>
      </c>
      <c r="T1682" s="3" t="n">
        <v>46302.55195601852</v>
      </c>
      <c r="U1682" s="2" t="n"/>
    </row>
    <row r="1683">
      <c r="A1683" s="2" t="inlineStr">
        <is>
          <t>Resuelta</t>
        </is>
      </c>
      <c r="B1683" s="3" t="n">
        <v>46294.41666666666</v>
      </c>
      <c r="C1683" s="5" t="n">
        <v>63000</v>
      </c>
      <c r="D1683" s="5" t="n">
        <v>63000</v>
      </c>
      <c r="E1683" s="2" t="inlineStr">
        <is>
          <t>Andalucía</t>
        </is>
      </c>
      <c r="F1683" s="2" t="inlineStr">
        <is>
          <t>Huelva</t>
        </is>
      </c>
      <c r="G1683" s="2" t="n"/>
      <c r="H1683" s="2" t="inlineStr">
        <is>
          <t>Empresa de Transformación Agraria S.A.,S.M.E., M.P., (TRAGSA)</t>
        </is>
      </c>
      <c r="I1683"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TS PINAR DEL PINTO</t>
        </is>
      </c>
      <c r="J1683" s="2" t="inlineStr">
        <is>
          <t>TSA0080057-258</t>
        </is>
      </c>
      <c r="K1683" s="2" t="inlineStr">
        <is>
          <t>Abierto</t>
        </is>
      </c>
      <c r="L1683" s="6" t="n">
        <v>8</v>
      </c>
      <c r="M1683" s="2" t="n"/>
      <c r="N1683" s="7" t="n">
        <v>0</v>
      </c>
      <c r="O1683" s="4" t="n"/>
      <c r="P1683" s="2" t="inlineStr">
        <is>
          <t>45500000</t>
        </is>
      </c>
      <c r="Q1683" s="8" t="inlineStr">
        <is>
          <t>Ver</t>
        </is>
      </c>
      <c r="R1683" s="8" t="inlineStr">
        <is>
          <t>PCAP</t>
        </is>
      </c>
      <c r="S1683" s="9" t="n">
        <v>46310</v>
      </c>
      <c r="T1683" s="3" t="n">
        <v>46302.55006944444</v>
      </c>
      <c r="U1683" s="2" t="n"/>
    </row>
    <row r="1684">
      <c r="A1684" s="2" t="inlineStr">
        <is>
          <t>En plazo</t>
        </is>
      </c>
      <c r="B1684" s="3" t="n">
        <v>48099.58333333334</v>
      </c>
      <c r="C1684" s="5" t="n">
        <v>3000000</v>
      </c>
      <c r="D1684" s="5" t="n">
        <v>3000000</v>
      </c>
      <c r="E1684" s="2" t="inlineStr">
        <is>
          <t>Andalucía</t>
        </is>
      </c>
      <c r="F1684" s="2" t="inlineStr">
        <is>
          <t>Córdoba</t>
        </is>
      </c>
      <c r="G1684" s="2" t="inlineStr">
        <is>
          <t>Córdoba</t>
        </is>
      </c>
      <c r="H1684" s="2" t="inlineStr">
        <is>
          <t>Consejo de Administración de la Empresa Municipal de Aguas de Córdoba, S.A. (EMACSA)</t>
        </is>
      </c>
      <c r="I1684" s="2" t="inlineStr">
        <is>
          <t>Sistema dinámico de adquisición de obras en redes e instalaciones para la Empresa Municipal de Aguas de Córdoba, S.A.</t>
        </is>
      </c>
      <c r="J1684" s="2" t="inlineStr">
        <is>
          <t>SDA32/2026</t>
        </is>
      </c>
      <c r="K1684" s="2" t="inlineStr">
        <is>
          <t>Restringido</t>
        </is>
      </c>
      <c r="L1684" s="6" t="n"/>
      <c r="M1684" s="2" t="n"/>
      <c r="N1684" s="7" t="n">
        <v>0</v>
      </c>
      <c r="O1684" s="4" t="n">
        <v>2</v>
      </c>
      <c r="P1684" s="2" t="inlineStr">
        <is>
          <t>45231110; 45232152; 45252100; 45231300; 45232423; 45232411; 45252120; 45232150; 45232400; 45232410; 45232151</t>
        </is>
      </c>
      <c r="Q1684" s="8" t="inlineStr">
        <is>
          <t>Ver</t>
        </is>
      </c>
      <c r="R1684" s="8" t="inlineStr">
        <is>
          <t>PCAP</t>
        </is>
      </c>
      <c r="S1684" s="9" t="n">
        <v>46310</v>
      </c>
      <c r="T1684" s="3" t="n">
        <v>46302.54614583333</v>
      </c>
      <c r="U1684" s="2" t="n"/>
    </row>
    <row r="1685">
      <c r="A1685" s="2" t="inlineStr">
        <is>
          <t>En plazo</t>
        </is>
      </c>
      <c r="B1685" s="3" t="n">
        <v>46323.58333333334</v>
      </c>
      <c r="C1685" s="5" t="n">
        <v>235206.8</v>
      </c>
      <c r="D1685" s="5" t="n">
        <v>235206.8</v>
      </c>
      <c r="E1685" s="2" t="inlineStr">
        <is>
          <t>Comunitat Valenciana</t>
        </is>
      </c>
      <c r="F1685" s="2" t="inlineStr">
        <is>
          <t>Valencia</t>
        </is>
      </c>
      <c r="G1685" s="2" t="n"/>
      <c r="H1685" s="2" t="inlineStr">
        <is>
          <t>Empresa de Transformación Agraria S.A.,S.M.E., M.P., (TRAGSA)</t>
        </is>
      </c>
      <c r="I1685" s="2" t="inlineStr">
        <is>
          <t>UT2 Obras de asfaltado mediante mezclas bituminosas en caliente para el proyecto de obras ambientales y de modernización de Regadíos de la Acequia Real del Júcar. redes de distribución sectores 26 y 33. TT.MM. de Alginet, Algemesí y Sollana (Valencia).</t>
        </is>
      </c>
      <c r="J1685" s="2" t="inlineStr">
        <is>
          <t>TSA0084229</t>
        </is>
      </c>
      <c r="K1685" s="2" t="inlineStr">
        <is>
          <t>Abierto simplificado</t>
        </is>
      </c>
      <c r="L1685" s="6" t="n">
        <v>12</v>
      </c>
      <c r="M1685" s="2" t="inlineStr">
        <is>
          <t>G4-2</t>
        </is>
      </c>
      <c r="N1685" s="7" t="n">
        <v>0</v>
      </c>
      <c r="O1685" s="4" t="n"/>
      <c r="P1685" s="2" t="inlineStr">
        <is>
          <t>45233222</t>
        </is>
      </c>
      <c r="Q1685" s="8" t="inlineStr">
        <is>
          <t>Ver</t>
        </is>
      </c>
      <c r="R1685" s="8" t="inlineStr">
        <is>
          <t>PCAP</t>
        </is>
      </c>
      <c r="S1685" s="9" t="n">
        <v>46310</v>
      </c>
      <c r="T1685" s="3" t="n">
        <v>46302.54582175926</v>
      </c>
      <c r="U1685" s="2" t="n"/>
    </row>
    <row r="1686">
      <c r="A1686" s="2" t="inlineStr">
        <is>
          <t>En plazo</t>
        </is>
      </c>
      <c r="B1686" s="3" t="n">
        <v>46322.99930555555</v>
      </c>
      <c r="C1686" s="5" t="n">
        <v>1408264.46</v>
      </c>
      <c r="D1686" s="5" t="n">
        <v>1408264.46</v>
      </c>
      <c r="E1686" s="2" t="inlineStr">
        <is>
          <t>Andalucía</t>
        </is>
      </c>
      <c r="F1686" s="2" t="inlineStr">
        <is>
          <t>Almería</t>
        </is>
      </c>
      <c r="G1686" s="2" t="n"/>
      <c r="H1686" s="2" t="inlineStr">
        <is>
          <t>Junta de Gobierno de la Diputación Provincial de Almería</t>
        </is>
      </c>
      <c r="I1686" s="2" t="inlineStr">
        <is>
          <t>Obras De Urbanización Para Un Complejo Deportivo. Vera 72PPOS24-27BI</t>
        </is>
      </c>
      <c r="J1686" s="2" t="inlineStr">
        <is>
          <t>2026/D31000/006-013/00078</t>
        </is>
      </c>
      <c r="K1686" s="2" t="inlineStr">
        <is>
          <t>Abierto simplificado</t>
        </is>
      </c>
      <c r="L1686" s="6" t="n">
        <v>12.2</v>
      </c>
      <c r="M1686" s="2" t="inlineStr">
        <is>
          <t>G6-4</t>
        </is>
      </c>
      <c r="N1686" s="7" t="n">
        <v>0.25</v>
      </c>
      <c r="O1686" s="4" t="n"/>
      <c r="P1686" s="2" t="inlineStr">
        <is>
          <t>45233200</t>
        </is>
      </c>
      <c r="Q1686" s="8" t="inlineStr">
        <is>
          <t>Ver</t>
        </is>
      </c>
      <c r="R1686" s="8" t="inlineStr">
        <is>
          <t>PCAP</t>
        </is>
      </c>
      <c r="S1686" s="9" t="n">
        <v>46310</v>
      </c>
      <c r="T1686" s="3" t="n">
        <v>46302.53921296296</v>
      </c>
      <c r="U1686" s="2" t="n"/>
    </row>
    <row r="1687">
      <c r="A1687" s="2" t="inlineStr">
        <is>
          <t>Resuelta</t>
        </is>
      </c>
      <c r="B1687" s="3" t="n">
        <v>46294.41666666666</v>
      </c>
      <c r="C1687" s="5" t="n">
        <v>63000</v>
      </c>
      <c r="D1687" s="5" t="n">
        <v>63000</v>
      </c>
      <c r="E1687" s="2" t="inlineStr">
        <is>
          <t>Andalucía</t>
        </is>
      </c>
      <c r="F1687" s="2" t="inlineStr">
        <is>
          <t>Huelva</t>
        </is>
      </c>
      <c r="G1687" s="2" t="n"/>
      <c r="H1687" s="2" t="inlineStr">
        <is>
          <t>Empresa de Transformación Agraria S.A.,S.M.E., M.P., (TRAGSA)</t>
        </is>
      </c>
      <c r="I1687"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TS PINAR DEL PINTO</t>
        </is>
      </c>
      <c r="J1687" s="2" t="inlineStr">
        <is>
          <t>TSA0080057-257</t>
        </is>
      </c>
      <c r="K1687" s="2" t="inlineStr">
        <is>
          <t>Abierto</t>
        </is>
      </c>
      <c r="L1687" s="6" t="n">
        <v>8</v>
      </c>
      <c r="M1687" s="2" t="n"/>
      <c r="N1687" s="7" t="n">
        <v>0</v>
      </c>
      <c r="O1687" s="4" t="n"/>
      <c r="P1687" s="2" t="inlineStr">
        <is>
          <t>45500000</t>
        </is>
      </c>
      <c r="Q1687" s="8" t="inlineStr">
        <is>
          <t>Ver</t>
        </is>
      </c>
      <c r="R1687" s="8" t="inlineStr">
        <is>
          <t>PCAP</t>
        </is>
      </c>
      <c r="S1687" s="9" t="n">
        <v>46310</v>
      </c>
      <c r="T1687" s="3" t="n">
        <v>46302.53783564815</v>
      </c>
      <c r="U1687" s="2" t="n"/>
    </row>
    <row r="1688">
      <c r="A1688" s="2" t="inlineStr">
        <is>
          <t>Resuelta</t>
        </is>
      </c>
      <c r="B1688" s="3" t="n">
        <v>46294.41666666666</v>
      </c>
      <c r="C1688" s="5" t="n">
        <v>63000</v>
      </c>
      <c r="D1688" s="5" t="n">
        <v>63000</v>
      </c>
      <c r="E1688" s="2" t="inlineStr">
        <is>
          <t>Andalucía</t>
        </is>
      </c>
      <c r="F1688" s="2" t="inlineStr">
        <is>
          <t>Huelva</t>
        </is>
      </c>
      <c r="G1688" s="2" t="n"/>
      <c r="H1688" s="2" t="inlineStr">
        <is>
          <t>Empresa de Transformación Agraria S.A.,S.M.E., M.P., (TRAGSA)</t>
        </is>
      </c>
      <c r="I1688"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TS PINAR DEL PINTO</t>
        </is>
      </c>
      <c r="J1688" s="2" t="inlineStr">
        <is>
          <t>TSA0080057-256</t>
        </is>
      </c>
      <c r="K1688" s="2" t="inlineStr">
        <is>
          <t>Abierto</t>
        </is>
      </c>
      <c r="L1688" s="6" t="n">
        <v>8</v>
      </c>
      <c r="M1688" s="2" t="n"/>
      <c r="N1688" s="7" t="n">
        <v>0</v>
      </c>
      <c r="O1688" s="4" t="n"/>
      <c r="P1688" s="2" t="inlineStr">
        <is>
          <t>45500000</t>
        </is>
      </c>
      <c r="Q1688" s="8" t="inlineStr">
        <is>
          <t>Ver</t>
        </is>
      </c>
      <c r="R1688" s="8" t="inlineStr">
        <is>
          <t>PCAP</t>
        </is>
      </c>
      <c r="S1688" s="9" t="n">
        <v>46310</v>
      </c>
      <c r="T1688" s="3" t="n">
        <v>46302.53592592593</v>
      </c>
      <c r="U1688" s="2" t="n"/>
    </row>
    <row r="1689">
      <c r="A1689" s="2" t="inlineStr">
        <is>
          <t>Resuelta</t>
        </is>
      </c>
      <c r="B1689" s="3" t="n">
        <v>46294.41666666666</v>
      </c>
      <c r="C1689" s="5" t="n">
        <v>63000</v>
      </c>
      <c r="D1689" s="5" t="n">
        <v>63000</v>
      </c>
      <c r="E1689" s="2" t="inlineStr">
        <is>
          <t>Andalucía</t>
        </is>
      </c>
      <c r="F1689" s="2" t="inlineStr">
        <is>
          <t>Huelva</t>
        </is>
      </c>
      <c r="G1689" s="2" t="n"/>
      <c r="H1689" s="2" t="inlineStr">
        <is>
          <t>Empresa de Transformación Agraria S.A.,S.M.E., M.P., (TRAGSA)</t>
        </is>
      </c>
      <c r="I1689" s="2" t="inlineStr">
        <is>
          <t>Contrato derivado del Acuerdo marco para alquiler de maquinaria de obra civil, agrícola y forestal, y camiones para obras de construcción y demolición, dotada de operario, para las actuaciones del ámbito territorial de la gerencia provincial de Tragsa en Huelva, incluidas las obras con fondos del PRTR Next Generation EU. Obra: TS PINAR DEL PINTO</t>
        </is>
      </c>
      <c r="J1689" s="2" t="inlineStr">
        <is>
          <t>TSA0080057-255</t>
        </is>
      </c>
      <c r="K1689" s="2" t="inlineStr">
        <is>
          <t>Abierto</t>
        </is>
      </c>
      <c r="L1689" s="6" t="n">
        <v>8</v>
      </c>
      <c r="M1689" s="2" t="n"/>
      <c r="N1689" s="7" t="n">
        <v>0</v>
      </c>
      <c r="O1689" s="4" t="n"/>
      <c r="P1689" s="2" t="inlineStr">
        <is>
          <t>45500000</t>
        </is>
      </c>
      <c r="Q1689" s="8" t="inlineStr">
        <is>
          <t>Ver</t>
        </is>
      </c>
      <c r="R1689" s="8" t="inlineStr">
        <is>
          <t>PCAP</t>
        </is>
      </c>
      <c r="S1689" s="9" t="n">
        <v>46310</v>
      </c>
      <c r="T1689" s="3" t="n">
        <v>46302.53444444444</v>
      </c>
      <c r="U1689" s="2" t="n"/>
    </row>
    <row r="1690">
      <c r="A1690" s="2" t="inlineStr">
        <is>
          <t>Pendiente de adjudicación</t>
        </is>
      </c>
      <c r="B1690" s="3" t="n">
        <v>46206.99930555555</v>
      </c>
      <c r="C1690" s="5" t="n">
        <v>2120367.12</v>
      </c>
      <c r="D1690" s="5" t="n">
        <v>2120367.12</v>
      </c>
      <c r="E1690" s="2" t="inlineStr">
        <is>
          <t>Comunitat Valenciana</t>
        </is>
      </c>
      <c r="F1690" s="2" t="inlineStr">
        <is>
          <t>Alicante</t>
        </is>
      </c>
      <c r="G1690" s="2" t="inlineStr">
        <is>
          <t>Xixona</t>
        </is>
      </c>
      <c r="H1690" s="2" t="inlineStr">
        <is>
          <t>Junta de Gobierno del Ayuntamiento de Xixona</t>
        </is>
      </c>
      <c r="I1690" s="2" t="inlineStr">
        <is>
          <t>Ejecución de las obras de "consolidación estructural del edificio de la Casa Aracil" dentro del Plan de Recuperación, Transformación y Resiliencia - Financiado por la Unión Europea - Next generationEU.</t>
        </is>
      </c>
      <c r="J1690" s="2" t="inlineStr">
        <is>
          <t>2026/501</t>
        </is>
      </c>
      <c r="K1690" s="2" t="inlineStr">
        <is>
          <t>Abierto</t>
        </is>
      </c>
      <c r="L1690" s="6" t="n">
        <v>15</v>
      </c>
      <c r="M1690" s="2" t="inlineStr">
        <is>
          <t>K7-3; C3-3</t>
        </is>
      </c>
      <c r="N1690" s="7" t="n">
        <v>0</v>
      </c>
      <c r="O1690" s="4" t="n"/>
      <c r="P1690" s="2" t="inlineStr">
        <is>
          <t>45454000; 45454100; 45212350</t>
        </is>
      </c>
      <c r="Q1690" s="8" t="inlineStr">
        <is>
          <t>Ver</t>
        </is>
      </c>
      <c r="R1690" s="8" t="inlineStr">
        <is>
          <t>PCAP</t>
        </is>
      </c>
      <c r="S1690" s="9" t="n">
        <v>46310</v>
      </c>
      <c r="T1690" s="3" t="n">
        <v>46302.53166666667</v>
      </c>
      <c r="U1690" s="2" t="n"/>
    </row>
    <row r="1691">
      <c r="A1691" s="2" t="inlineStr">
        <is>
          <t>Resuelta</t>
        </is>
      </c>
      <c r="B1691" s="3" t="n">
        <v>46218.99930555555</v>
      </c>
      <c r="C1691" s="5" t="n">
        <v>48702.4</v>
      </c>
      <c r="D1691" s="5" t="n">
        <v>48702.4</v>
      </c>
      <c r="E1691" s="2" t="inlineStr">
        <is>
          <t>Andalucía</t>
        </is>
      </c>
      <c r="F1691" s="2" t="inlineStr">
        <is>
          <t>Córdoba</t>
        </is>
      </c>
      <c r="G1691" s="2" t="n"/>
      <c r="H1691" s="2" t="inlineStr">
        <is>
          <t>Diputado delegado de Infraestructuras, Sostenibilidad y Agricultura</t>
        </is>
      </c>
      <c r="I1691" s="2" t="inlineStr">
        <is>
          <t>Contratación de la obra Nuevo pavimento de césped artificial sobre pista de futbito en Céspedes, en Hornachuelos (Córdoba). Obra incluida en el Plan de Aldeas 2024-2027.</t>
        </is>
      </c>
      <c r="J1691" s="2" t="inlineStr">
        <is>
          <t>390/26 BIS</t>
        </is>
      </c>
      <c r="K1691" s="2" t="inlineStr">
        <is>
          <t>Abierto simplificado</t>
        </is>
      </c>
      <c r="L1691" s="6" t="n">
        <v>3</v>
      </c>
      <c r="M1691" s="2" t="n"/>
      <c r="N1691" s="7" t="n">
        <v>0</v>
      </c>
      <c r="O1691" s="4" t="n"/>
      <c r="P1691" s="2" t="inlineStr">
        <is>
          <t>45212200; 45450000</t>
        </is>
      </c>
      <c r="Q1691" s="8" t="inlineStr">
        <is>
          <t>Ver</t>
        </is>
      </c>
      <c r="R1691" s="8" t="inlineStr">
        <is>
          <t>PCAP</t>
        </is>
      </c>
      <c r="S1691" s="9" t="n">
        <v>46310</v>
      </c>
      <c r="T1691" s="3" t="n">
        <v>46302.5296875</v>
      </c>
      <c r="U1691" s="2" t="n"/>
    </row>
    <row r="1692">
      <c r="A1692" s="2" t="inlineStr">
        <is>
          <t>Plazo vencido</t>
        </is>
      </c>
      <c r="B1692" s="3" t="n">
        <v>46317.99930555555</v>
      </c>
      <c r="C1692" s="5" t="n">
        <v>76887.91</v>
      </c>
      <c r="D1692" s="5" t="n">
        <v>76887.91</v>
      </c>
      <c r="E1692" s="2" t="inlineStr">
        <is>
          <t>Andalucía</t>
        </is>
      </c>
      <c r="F1692" s="2" t="inlineStr">
        <is>
          <t>Córdoba</t>
        </is>
      </c>
      <c r="G1692" s="2" t="inlineStr">
        <is>
          <t>El Carpio (Córdoba)</t>
        </is>
      </c>
      <c r="H1692" s="2" t="inlineStr">
        <is>
          <t>Alcaldía del Ayuntamiento de El Carpio</t>
        </is>
      </c>
      <c r="I1692" s="2" t="inlineStr">
        <is>
          <t>Actuación en sistema local de equipamiento para explanación de terrenos para estacionamiento de vehículos en Calle Sevilla de El Carpio (Córdoba)</t>
        </is>
      </c>
      <c r="J1692" s="2" t="inlineStr">
        <is>
          <t>3477/2026</t>
        </is>
      </c>
      <c r="K1692" s="2" t="inlineStr">
        <is>
          <t>Abierto simplificado</t>
        </is>
      </c>
      <c r="L1692" s="6" t="n">
        <v>2</v>
      </c>
      <c r="M1692" s="2" t="n"/>
      <c r="N1692" s="7" t="n">
        <v>0</v>
      </c>
      <c r="O1692" s="4" t="n"/>
      <c r="P1692" s="2" t="inlineStr">
        <is>
          <t>45000000</t>
        </is>
      </c>
      <c r="Q1692" s="8" t="inlineStr">
        <is>
          <t>Ver</t>
        </is>
      </c>
      <c r="R1692" s="8" t="inlineStr">
        <is>
          <t>PCAP</t>
        </is>
      </c>
      <c r="S1692" s="9" t="n">
        <v>46310</v>
      </c>
      <c r="T1692" s="3" t="n">
        <v>46302.5291087963</v>
      </c>
      <c r="U1692" s="2" t="n"/>
    </row>
    <row r="1693">
      <c r="A1693" s="2" t="inlineStr">
        <is>
          <t>Resuelta</t>
        </is>
      </c>
      <c r="B1693" s="3" t="n">
        <v>46238.99930555555</v>
      </c>
      <c r="C1693" s="5" t="n">
        <v>149910.14</v>
      </c>
      <c r="D1693" s="5" t="n">
        <v>149910.14</v>
      </c>
      <c r="E1693" s="2" t="inlineStr">
        <is>
          <t>Comunitat Valenciana</t>
        </is>
      </c>
      <c r="F1693" s="2" t="inlineStr">
        <is>
          <t>Alicante</t>
        </is>
      </c>
      <c r="G1693" s="2" t="inlineStr">
        <is>
          <t>Novelda</t>
        </is>
      </c>
      <c r="H1693" s="2" t="inlineStr">
        <is>
          <t>Junta de Gobierno del Ayuntamiento de Novelda</t>
        </is>
      </c>
      <c r="I1693" s="2" t="inlineStr">
        <is>
          <t>Construcción de Nuevos Nichos y Columbarios en el Cementerio Municipal de Novelda</t>
        </is>
      </c>
      <c r="J1693" s="2" t="inlineStr">
        <is>
          <t>2026/5296L</t>
        </is>
      </c>
      <c r="K1693" s="2" t="inlineStr">
        <is>
          <t>Abierto simplificado</t>
        </is>
      </c>
      <c r="L1693" s="6" t="n">
        <v>3</v>
      </c>
      <c r="M1693" s="2" t="n"/>
      <c r="N1693" s="7" t="n">
        <v>0</v>
      </c>
      <c r="O1693" s="4" t="n"/>
      <c r="P1693" s="2" t="inlineStr">
        <is>
          <t>45223820; 45215400</t>
        </is>
      </c>
      <c r="Q1693" s="8" t="inlineStr">
        <is>
          <t>Ver</t>
        </is>
      </c>
      <c r="R1693" s="8" t="inlineStr">
        <is>
          <t>PCAP</t>
        </is>
      </c>
      <c r="S1693" s="9" t="n">
        <v>46310</v>
      </c>
      <c r="T1693" s="3" t="n">
        <v>46302.52868055556</v>
      </c>
      <c r="U1693" s="2" t="n"/>
    </row>
    <row r="1694">
      <c r="A1694" s="2" t="inlineStr">
        <is>
          <t>En plazo</t>
        </is>
      </c>
      <c r="B1694" s="3" t="n">
        <v>46332.99930555555</v>
      </c>
      <c r="C1694" s="5" t="n">
        <v>1089694.08</v>
      </c>
      <c r="D1694" s="5" t="n">
        <v>1089694.08</v>
      </c>
      <c r="E1694" s="2" t="inlineStr">
        <is>
          <t>Andalucía</t>
        </is>
      </c>
      <c r="F1694" s="2" t="inlineStr">
        <is>
          <t>Sevilla</t>
        </is>
      </c>
      <c r="G1694" s="2" t="n"/>
      <c r="H1694" s="2" t="inlineStr">
        <is>
          <t>Alcaldia del Ayuntamiento de San Nicolás del Puerto</t>
        </is>
      </c>
      <c r="I1694" s="2" t="inlineStr">
        <is>
          <t>PAS. Construcción de Piscina Municipal y de vesturarios en San Nicolás del Puerto. Plan ACTUA 2022 Diputación.</t>
        </is>
      </c>
      <c r="J1694" s="2" t="inlineStr">
        <is>
          <t>P4108800F-2026/000032-PAAS</t>
        </is>
      </c>
      <c r="K1694" s="2" t="inlineStr">
        <is>
          <t>Abierto simplificado</t>
        </is>
      </c>
      <c r="L1694" s="6" t="n">
        <v>10</v>
      </c>
      <c r="M1694" s="2" t="inlineStr">
        <is>
          <t>C6-6; C*-4; C4-4</t>
        </is>
      </c>
      <c r="N1694" s="7" t="n">
        <v>0</v>
      </c>
      <c r="O1694" s="4" t="n"/>
      <c r="P1694" s="2" t="inlineStr">
        <is>
          <t>45000000</t>
        </is>
      </c>
      <c r="Q1694" s="8" t="inlineStr">
        <is>
          <t>Ver</t>
        </is>
      </c>
      <c r="R1694" s="8" t="inlineStr">
        <is>
          <t>PCAP</t>
        </is>
      </c>
      <c r="S1694" s="9" t="n">
        <v>46310</v>
      </c>
      <c r="T1694" s="3" t="n">
        <v>46302.52152777778</v>
      </c>
      <c r="U1694" s="2" t="n"/>
    </row>
    <row r="1695">
      <c r="A1695" s="2" t="inlineStr">
        <is>
          <t>Resuelta</t>
        </is>
      </c>
      <c r="B1695" s="3" t="n">
        <v>46232.99930555555</v>
      </c>
      <c r="C1695" s="5" t="n">
        <v>95200</v>
      </c>
      <c r="D1695" s="5" t="n">
        <v>95200</v>
      </c>
      <c r="E1695" s="2" t="inlineStr">
        <is>
          <t>Andalucía</t>
        </is>
      </c>
      <c r="F1695" s="2" t="inlineStr">
        <is>
          <t>Cádiz</t>
        </is>
      </c>
      <c r="G1695" s="2" t="inlineStr">
        <is>
          <t>Chipiona</t>
        </is>
      </c>
      <c r="H1695" s="2" t="inlineStr">
        <is>
          <t>Alcaldía del Ayuntamiento de Chipiona</t>
        </is>
      </c>
      <c r="I1695" s="2" t="inlineStr">
        <is>
          <t>Obras de "Sustitución de Material de cubrición de la cubierta de la Piscina Municipal</t>
        </is>
      </c>
      <c r="J1695" s="2" t="inlineStr">
        <is>
          <t>4867 PAS Obras cubierta Piscina</t>
        </is>
      </c>
      <c r="K1695" s="2" t="inlineStr">
        <is>
          <t>Abierto simplificado</t>
        </is>
      </c>
      <c r="L1695" s="6" t="n">
        <v>3</v>
      </c>
      <c r="M1695" s="2" t="n"/>
      <c r="N1695" s="7" t="n">
        <v>0</v>
      </c>
      <c r="O1695" s="4" t="n"/>
      <c r="P1695" s="2" t="inlineStr">
        <is>
          <t>45212212; 39522100; 45261000</t>
        </is>
      </c>
      <c r="Q1695" s="8" t="inlineStr">
        <is>
          <t>Ver</t>
        </is>
      </c>
      <c r="R1695" s="8" t="inlineStr">
        <is>
          <t>PCAP</t>
        </is>
      </c>
      <c r="S1695" s="9" t="n">
        <v>46310</v>
      </c>
      <c r="T1695" s="3" t="n">
        <v>46302.52120370371</v>
      </c>
      <c r="U1695" s="2" t="n"/>
    </row>
    <row r="1696">
      <c r="A1696" s="2" t="inlineStr">
        <is>
          <t>En plazo</t>
        </is>
      </c>
      <c r="B1696" s="3" t="n">
        <v>46322.58333333334</v>
      </c>
      <c r="C1696" s="5" t="n">
        <v>385429.12</v>
      </c>
      <c r="D1696" s="5" t="n">
        <v>385429.12</v>
      </c>
      <c r="E1696" s="2" t="inlineStr">
        <is>
          <t>Andalucía</t>
        </is>
      </c>
      <c r="F1696" s="2" t="inlineStr">
        <is>
          <t>Cádiz</t>
        </is>
      </c>
      <c r="G1696" s="2" t="n"/>
      <c r="H1696" s="2" t="inlineStr">
        <is>
          <t>Presidencia de la Autoridad Portuaria de la Bahía de Algeciras</t>
        </is>
      </c>
      <c r="I1696" s="2" t="inlineStr">
        <is>
          <t>Proyecto básico y ejecución de mejora de sala de espera y redistribución de dependencias varias en Estación Marítima de Tarifa</t>
        </is>
      </c>
      <c r="J1696" s="2" t="inlineStr">
        <is>
          <t>2026-064</t>
        </is>
      </c>
      <c r="K1696" s="2" t="inlineStr">
        <is>
          <t>Abierto simplificado</t>
        </is>
      </c>
      <c r="L1696" s="6" t="n">
        <v>4</v>
      </c>
      <c r="M1696" s="2" t="inlineStr">
        <is>
          <t>C4-2</t>
        </is>
      </c>
      <c r="N1696" s="7" t="n">
        <v>0.25</v>
      </c>
      <c r="O1696" s="4" t="n"/>
      <c r="P1696" s="2" t="inlineStr">
        <is>
          <t>45453000; 45259900</t>
        </is>
      </c>
      <c r="Q1696" s="8" t="inlineStr">
        <is>
          <t>Ver</t>
        </is>
      </c>
      <c r="R1696" s="8" t="inlineStr">
        <is>
          <t>PCAP</t>
        </is>
      </c>
      <c r="S1696" s="9" t="n">
        <v>46310</v>
      </c>
      <c r="T1696" s="3" t="n">
        <v>46302.51771990741</v>
      </c>
      <c r="U1696" s="2" t="n"/>
    </row>
    <row r="1697">
      <c r="A1697" s="2" t="inlineStr">
        <is>
          <t>Resuelta</t>
        </is>
      </c>
      <c r="B1697" s="3" t="n">
        <v>46213.99930555555</v>
      </c>
      <c r="C1697" s="5" t="n">
        <v>245000</v>
      </c>
      <c r="D1697" s="5" t="n">
        <v>490000</v>
      </c>
      <c r="E1697" s="2" t="inlineStr">
        <is>
          <t>Andalucía</t>
        </is>
      </c>
      <c r="F1697" s="2" t="inlineStr">
        <is>
          <t>Córdoba</t>
        </is>
      </c>
      <c r="G1697" s="2" t="n"/>
      <c r="H1697" s="2" t="inlineStr">
        <is>
          <t>Presidencia del Consejo Rector de la Gerencia Municipal de Urbanismo del Ayuntamiento de Córdoba</t>
        </is>
      </c>
      <c r="I1697" s="2" t="inlineStr">
        <is>
          <t>Ejecución de las obras y actuaciones que debe llevar a cabo la GMU tanto por motivos de seguridad y salubridad, como para la reposición de la realidad física alterada o restablecimiento de la legalidad en materia urbanística, medioambiental, de protección del patrimonio o en el dominio público.</t>
        </is>
      </c>
      <c r="J1697" s="2" t="inlineStr">
        <is>
          <t>27/2026</t>
        </is>
      </c>
      <c r="K1697" s="2" t="inlineStr">
        <is>
          <t>Negociado sin publicidad</t>
        </is>
      </c>
      <c r="L1697" s="6" t="n">
        <v>12</v>
      </c>
      <c r="M1697" s="2" t="n"/>
      <c r="N1697" s="7" t="n">
        <v>0</v>
      </c>
      <c r="O1697" s="4" t="n"/>
      <c r="P1697" s="2" t="inlineStr">
        <is>
          <t>45000000</t>
        </is>
      </c>
      <c r="Q1697" s="8" t="inlineStr">
        <is>
          <t>Ver</t>
        </is>
      </c>
      <c r="R1697" s="8" t="inlineStr">
        <is>
          <t>PCAP</t>
        </is>
      </c>
      <c r="S1697" s="9" t="n">
        <v>46310</v>
      </c>
      <c r="T1697" s="3" t="n">
        <v>46302.50761574074</v>
      </c>
      <c r="U1697" s="2" t="n"/>
    </row>
    <row r="1698">
      <c r="A1698" s="2" t="inlineStr">
        <is>
          <t>Plazo vencido</t>
        </is>
      </c>
      <c r="B1698" s="3" t="n">
        <v>46318.99930555555</v>
      </c>
      <c r="C1698" s="5" t="n">
        <v>76160</v>
      </c>
      <c r="D1698" s="5" t="n">
        <v>76160</v>
      </c>
      <c r="E1698" s="2" t="inlineStr">
        <is>
          <t>Comunitat Valenciana</t>
        </is>
      </c>
      <c r="F1698" s="2" t="inlineStr">
        <is>
          <t>Castellón</t>
        </is>
      </c>
      <c r="G1698" s="2" t="n"/>
      <c r="H1698" s="2" t="inlineStr">
        <is>
          <t>Alcaldía del Ayuntamiento de Segorbe</t>
        </is>
      </c>
      <c r="I1698" s="2" t="inlineStr">
        <is>
          <t>Obras de rehabilitación parcial de la Capilla de la Virgen de Gracia de Segorbe</t>
        </is>
      </c>
      <c r="J1698" s="2" t="inlineStr">
        <is>
          <t>245/2026</t>
        </is>
      </c>
      <c r="K1698" s="2" t="inlineStr">
        <is>
          <t>Abierto simplificado</t>
        </is>
      </c>
      <c r="L1698" s="6" t="n">
        <v>1</v>
      </c>
      <c r="M1698" s="2" t="n"/>
      <c r="N1698" s="7" t="n">
        <v>0</v>
      </c>
      <c r="O1698" s="4" t="n"/>
      <c r="P1698" s="2" t="inlineStr">
        <is>
          <t>45200000</t>
        </is>
      </c>
      <c r="Q1698" s="8" t="inlineStr">
        <is>
          <t>Ver</t>
        </is>
      </c>
      <c r="R1698" s="8" t="inlineStr">
        <is>
          <t>PCAP</t>
        </is>
      </c>
      <c r="S1698" s="9" t="n">
        <v>46310</v>
      </c>
      <c r="T1698" s="3" t="n">
        <v>46302.50759259259</v>
      </c>
      <c r="U1698" s="2" t="n"/>
    </row>
    <row r="1699">
      <c r="A1699" s="2" t="inlineStr">
        <is>
          <t>Pendiente de adjudicación</t>
        </is>
      </c>
      <c r="B1699" s="3" t="n">
        <v>46300.99930555555</v>
      </c>
      <c r="C1699" s="5" t="n">
        <v>421394.27</v>
      </c>
      <c r="D1699" s="5" t="n">
        <v>442463.98</v>
      </c>
      <c r="E1699" s="2" t="inlineStr">
        <is>
          <t>Andalucía</t>
        </is>
      </c>
      <c r="F1699" s="2" t="inlineStr">
        <is>
          <t>Sevilla</t>
        </is>
      </c>
      <c r="G1699" s="2" t="inlineStr">
        <is>
          <t>Sevilla</t>
        </is>
      </c>
      <c r="H1699" s="2" t="inlineStr">
        <is>
          <t>Junta de Gobierno del Ayuntamiento de Sevilla</t>
        </is>
      </c>
      <c r="I1699" s="2" t="inlineStr">
        <is>
          <t>Obras para revitalización de zona de educación infantil en el CEIP JOAQUÍN TURINA, ubicado en el Distrito Sur de Sevilla</t>
        </is>
      </c>
      <c r="J1699" s="2" t="inlineStr">
        <is>
          <t>2026/000848</t>
        </is>
      </c>
      <c r="K1699" s="2" t="inlineStr">
        <is>
          <t>Abierto simplificado</t>
        </is>
      </c>
      <c r="L1699" s="6" t="n">
        <v>6</v>
      </c>
      <c r="M1699" s="2" t="n"/>
      <c r="N1699" s="7" t="n">
        <v>0</v>
      </c>
      <c r="O1699" s="4" t="n"/>
      <c r="P1699" s="2" t="inlineStr">
        <is>
          <t>45000000</t>
        </is>
      </c>
      <c r="Q1699" s="8" t="inlineStr">
        <is>
          <t>Ver</t>
        </is>
      </c>
      <c r="R1699" s="8" t="inlineStr">
        <is>
          <t>PCAP</t>
        </is>
      </c>
      <c r="S1699" s="9" t="n">
        <v>46310</v>
      </c>
      <c r="T1699" s="3" t="n">
        <v>46302.50697916667</v>
      </c>
      <c r="U1699" s="2" t="n"/>
    </row>
    <row r="1700">
      <c r="A1700" s="2" t="inlineStr">
        <is>
          <t>Resuelta</t>
        </is>
      </c>
      <c r="B1700" s="3" t="n">
        <v>46259.99930555555</v>
      </c>
      <c r="C1700" s="5" t="n">
        <v>528633.86</v>
      </c>
      <c r="D1700" s="5" t="n">
        <v>528633.86</v>
      </c>
      <c r="E1700" s="2" t="inlineStr">
        <is>
          <t>Comunitat Valenciana</t>
        </is>
      </c>
      <c r="F1700" s="2" t="inlineStr">
        <is>
          <t>Valencia</t>
        </is>
      </c>
      <c r="G1700" s="2" t="n"/>
      <c r="H1700" s="2" t="inlineStr">
        <is>
          <t>Alcaldía del Ajuntament de Massamagrell</t>
        </is>
      </c>
      <c r="I1700" s="2" t="inlineStr">
        <is>
          <t>El objeto del contrato es la ejecución de las obras para la Reforma e instalación de la Cubierta del Trinquet, de acuerdo con las características técnicas indicadas en el proyecto de ejecución.</t>
        </is>
      </c>
      <c r="J1700" s="2" t="inlineStr">
        <is>
          <t>436/2026</t>
        </is>
      </c>
      <c r="K1700" s="2" t="inlineStr">
        <is>
          <t>Abierto simplificado</t>
        </is>
      </c>
      <c r="L1700" s="6" t="n">
        <v>7</v>
      </c>
      <c r="M1700" s="2" t="inlineStr">
        <is>
          <t>C3-3</t>
        </is>
      </c>
      <c r="N1700" s="7" t="n">
        <v>0</v>
      </c>
      <c r="O1700" s="4" t="n"/>
      <c r="P1700" s="2" t="inlineStr">
        <is>
          <t>45000000; 45200000; 45261000; 45260000</t>
        </is>
      </c>
      <c r="Q1700" s="8" t="inlineStr">
        <is>
          <t>Ver</t>
        </is>
      </c>
      <c r="R1700" s="8" t="inlineStr">
        <is>
          <t>PCAP</t>
        </is>
      </c>
      <c r="S1700" s="9" t="n">
        <v>46310</v>
      </c>
      <c r="T1700" s="3" t="n">
        <v>46302.50638888889</v>
      </c>
      <c r="U1700" s="2" t="n"/>
    </row>
    <row r="1701">
      <c r="A1701" s="2" t="inlineStr">
        <is>
          <t>Pendiente de adjudicación</t>
        </is>
      </c>
      <c r="B1701" s="3" t="n">
        <v>46300.99930555555</v>
      </c>
      <c r="C1701" s="5" t="n">
        <v>130216.51</v>
      </c>
      <c r="D1701" s="5" t="n">
        <v>136727.33</v>
      </c>
      <c r="E1701" s="2" t="inlineStr">
        <is>
          <t>Andalucía</t>
        </is>
      </c>
      <c r="F1701" s="2" t="inlineStr">
        <is>
          <t>Sevilla</t>
        </is>
      </c>
      <c r="G1701" s="2" t="inlineStr">
        <is>
          <t>Sevilla</t>
        </is>
      </c>
      <c r="H1701" s="2" t="inlineStr">
        <is>
          <t>Junta de Gobierno del Ayuntamiento de Sevilla</t>
        </is>
      </c>
      <c r="I1701" s="2" t="inlineStr">
        <is>
          <t>Obras de sustitución de carpintería exterior en el CEI SANTA CATALINA, ubicado en el Distrito Macarena de Sevilla</t>
        </is>
      </c>
      <c r="J1701" s="2" t="inlineStr">
        <is>
          <t>2026/000839</t>
        </is>
      </c>
      <c r="K1701" s="2" t="inlineStr">
        <is>
          <t>Abierto simplificado</t>
        </is>
      </c>
      <c r="L1701" s="6" t="n">
        <v>4</v>
      </c>
      <c r="M1701" s="2" t="n"/>
      <c r="N1701" s="7" t="n">
        <v>0</v>
      </c>
      <c r="O1701" s="4" t="n"/>
      <c r="P1701" s="2" t="inlineStr">
        <is>
          <t>45000000</t>
        </is>
      </c>
      <c r="Q1701" s="8" t="inlineStr">
        <is>
          <t>Ver</t>
        </is>
      </c>
      <c r="R1701" s="8" t="inlineStr">
        <is>
          <t>PCAP</t>
        </is>
      </c>
      <c r="S1701" s="9" t="n">
        <v>46310</v>
      </c>
      <c r="T1701" s="3" t="n">
        <v>46302.50623842593</v>
      </c>
      <c r="U1701" s="2" t="n"/>
    </row>
    <row r="1702">
      <c r="A1702" s="2" t="inlineStr">
        <is>
          <t>Resuelta</t>
        </is>
      </c>
      <c r="B1702" s="3" t="n">
        <v>46246.625</v>
      </c>
      <c r="C1702" s="5" t="n">
        <v>227344.28</v>
      </c>
      <c r="D1702" s="5" t="n">
        <v>227344.28</v>
      </c>
      <c r="E1702" s="2" t="inlineStr">
        <is>
          <t>Comunitat Valenciana</t>
        </is>
      </c>
      <c r="F1702" s="2" t="inlineStr">
        <is>
          <t>Alicante</t>
        </is>
      </c>
      <c r="G1702" s="2" t="inlineStr">
        <is>
          <t>Alicante (Alacant)</t>
        </is>
      </c>
      <c r="H1702" s="2" t="inlineStr">
        <is>
          <t>Junta de Gobierno del Ayuntamiento de La Nucía</t>
        </is>
      </c>
      <c r="I1702" s="2" t="inlineStr">
        <is>
          <t>Obras de mejora de las condiciones de accesibilidad al medio físico en l'ermita de Sant Rafel</t>
        </is>
      </c>
      <c r="J1702" s="2" t="inlineStr">
        <is>
          <t>9564/2026</t>
        </is>
      </c>
      <c r="K1702" s="2" t="inlineStr">
        <is>
          <t>Abierto simplificado</t>
        </is>
      </c>
      <c r="L1702" s="6" t="n">
        <v>3</v>
      </c>
      <c r="M1702" s="2" t="n"/>
      <c r="N1702" s="7" t="n"/>
      <c r="O1702" s="4" t="n"/>
      <c r="P1702" s="2" t="inlineStr">
        <is>
          <t>45233252; 45316000</t>
        </is>
      </c>
      <c r="Q1702" s="8" t="inlineStr">
        <is>
          <t>Ver</t>
        </is>
      </c>
      <c r="R1702" s="2" t="n"/>
      <c r="S1702" s="9" t="n">
        <v>46310</v>
      </c>
      <c r="T1702" s="3" t="n">
        <v>46302.50244212963</v>
      </c>
      <c r="U1702" s="2" t="n"/>
    </row>
    <row r="1703">
      <c r="A1703" s="2" t="inlineStr">
        <is>
          <t>Plazo vencido</t>
        </is>
      </c>
      <c r="B1703" s="3" t="n">
        <v>46317.79166666666</v>
      </c>
      <c r="C1703" s="5" t="n">
        <v>76029.75</v>
      </c>
      <c r="D1703" s="5" t="n">
        <v>76029.75</v>
      </c>
      <c r="E1703" s="2" t="inlineStr">
        <is>
          <t>Andalucía</t>
        </is>
      </c>
      <c r="F1703" s="2" t="inlineStr">
        <is>
          <t>Cádiz</t>
        </is>
      </c>
      <c r="G1703" s="2" t="inlineStr">
        <is>
          <t>TAHIVILLA</t>
        </is>
      </c>
      <c r="H1703" s="2" t="inlineStr">
        <is>
          <t>Presidencia Entidad Autónoma de Tahivilla</t>
        </is>
      </c>
      <c r="I1703" s="2" t="inlineStr">
        <is>
          <t>Mejoras de camino público La Dehesilla, Tahivilla</t>
        </is>
      </c>
      <c r="J1703" s="2" t="inlineStr">
        <is>
          <t>2026/6567</t>
        </is>
      </c>
      <c r="K1703" s="2" t="inlineStr">
        <is>
          <t>Abierto simplificado</t>
        </is>
      </c>
      <c r="L1703" s="6" t="n">
        <v>0.5</v>
      </c>
      <c r="M1703" s="2" t="n"/>
      <c r="N1703" s="7" t="n">
        <v>0</v>
      </c>
      <c r="O1703" s="4" t="n"/>
      <c r="P1703" s="2" t="inlineStr">
        <is>
          <t>45233200; 45233000</t>
        </is>
      </c>
      <c r="Q1703" s="8" t="inlineStr">
        <is>
          <t>Ver</t>
        </is>
      </c>
      <c r="R1703" s="8" t="inlineStr">
        <is>
          <t>PCAP</t>
        </is>
      </c>
      <c r="S1703" s="9" t="n">
        <v>46310</v>
      </c>
      <c r="T1703" s="3" t="n">
        <v>46302.49341435185</v>
      </c>
      <c r="U1703" s="2" t="n"/>
    </row>
    <row r="1704">
      <c r="A1704" s="2" t="inlineStr">
        <is>
          <t>Adjudicada</t>
        </is>
      </c>
      <c r="B1704" s="3" t="n">
        <v>46232.79166666666</v>
      </c>
      <c r="C1704" s="5" t="n">
        <v>198347.11</v>
      </c>
      <c r="D1704" s="5" t="n">
        <v>198347.11</v>
      </c>
      <c r="E1704" s="2" t="inlineStr">
        <is>
          <t>Comunitat Valenciana</t>
        </is>
      </c>
      <c r="F1704" s="2" t="inlineStr">
        <is>
          <t>Valencia</t>
        </is>
      </c>
      <c r="G1704" s="2" t="inlineStr">
        <is>
          <t>Valencia</t>
        </is>
      </c>
      <c r="H1704" s="2" t="inlineStr">
        <is>
          <t>Hospital Pare Jofré. Dirección Económica-Gerencia</t>
        </is>
      </c>
      <c r="I1704" s="2" t="inlineStr">
        <is>
          <t>Obra de adecuación de la válvulas y tuberías del sistema de climatización de las tuberías de agua fría del servicio a las habitaciones del hospital de la primera planta 1 A mediante la sustitución del existente, las válvulas y tuberías del sistema de climatización de las tuberías de agua caliente y fría de las plantas 1B, 1C, 2 A y 2 B.</t>
        </is>
      </c>
      <c r="J1704" s="2" t="inlineStr">
        <is>
          <t>1191/2026</t>
        </is>
      </c>
      <c r="K1704" s="2" t="inlineStr">
        <is>
          <t>Abierto</t>
        </is>
      </c>
      <c r="L1704" s="6" t="n">
        <v>6</v>
      </c>
      <c r="M1704" s="2" t="inlineStr">
        <is>
          <t>J2-2</t>
        </is>
      </c>
      <c r="N1704" s="7" t="n">
        <v>0</v>
      </c>
      <c r="O1704" s="4" t="n"/>
      <c r="P1704" s="2" t="inlineStr">
        <is>
          <t>45200000; 45331000; 42512300; 45000000</t>
        </is>
      </c>
      <c r="Q1704" s="8" t="inlineStr">
        <is>
          <t>Ver</t>
        </is>
      </c>
      <c r="R1704" s="8" t="inlineStr">
        <is>
          <t>PCAP</t>
        </is>
      </c>
      <c r="S1704" s="9" t="n">
        <v>46310</v>
      </c>
      <c r="T1704" s="3" t="n">
        <v>46302.49180555555</v>
      </c>
      <c r="U1704" s="2" t="n"/>
    </row>
    <row r="1705">
      <c r="A1705" s="2" t="inlineStr">
        <is>
          <t>Plazo vencido</t>
        </is>
      </c>
      <c r="B1705" s="3" t="n">
        <v>46308.99930555555</v>
      </c>
      <c r="C1705" s="5" t="n">
        <v>225128.95</v>
      </c>
      <c r="D1705" s="5" t="n">
        <v>247641.85</v>
      </c>
      <c r="E1705" s="2" t="inlineStr">
        <is>
          <t>Comunitat Valenciana</t>
        </is>
      </c>
      <c r="F1705" s="2" t="inlineStr">
        <is>
          <t>Valencia</t>
        </is>
      </c>
      <c r="G1705" s="2" t="inlineStr">
        <is>
          <t>Valencia</t>
        </is>
      </c>
      <c r="H1705" s="2" t="inlineStr">
        <is>
          <t>Departamento de Salud Valencia Dr. Peset. Dirección Económica-Gerencia</t>
        </is>
      </c>
      <c r="I1705" s="2" t="inlineStr">
        <is>
          <t>Obras para el Departamento de Salud Valencia Doctor Peset, con condiciones especiales de ejecución de carácter ambiental. 2 Lotes.</t>
        </is>
      </c>
      <c r="J1705" s="2" t="inlineStr">
        <is>
          <t>PAS 1099/2026</t>
        </is>
      </c>
      <c r="K1705" s="2" t="inlineStr">
        <is>
          <t>Abierto simplificado</t>
        </is>
      </c>
      <c r="L1705" s="6" t="n">
        <v>3</v>
      </c>
      <c r="M1705" s="2" t="n"/>
      <c r="N1705" s="7" t="n">
        <v>0.25</v>
      </c>
      <c r="O1705" s="4" t="n">
        <v>2</v>
      </c>
      <c r="P1705" s="2" t="inlineStr">
        <is>
          <t>45215100; 45215140; 45331200; 45330000</t>
        </is>
      </c>
      <c r="Q1705" s="8" t="inlineStr">
        <is>
          <t>Ver</t>
        </is>
      </c>
      <c r="R1705" s="8" t="inlineStr">
        <is>
          <t>PCAP</t>
        </is>
      </c>
      <c r="S1705" s="9" t="n">
        <v>46310</v>
      </c>
      <c r="T1705" s="3" t="n">
        <v>46302.49028935185</v>
      </c>
      <c r="U1705" s="2" t="n"/>
    </row>
    <row r="1706">
      <c r="A1706" s="2" t="inlineStr">
        <is>
          <t>Pendiente de adjudicación</t>
        </is>
      </c>
      <c r="B1706" s="3" t="n">
        <v>46259.99930555555</v>
      </c>
      <c r="C1706" s="5" t="n">
        <v>184295.09</v>
      </c>
      <c r="D1706" s="5" t="n">
        <v>184295.09</v>
      </c>
      <c r="E1706" s="2" t="inlineStr">
        <is>
          <t>Andalucía</t>
        </is>
      </c>
      <c r="F1706" s="2" t="inlineStr">
        <is>
          <t>Granada</t>
        </is>
      </c>
      <c r="G1706" s="2" t="n"/>
      <c r="H1706" s="2" t="inlineStr">
        <is>
          <t>Alcaldía del Ayuntamiento de Cenes de la Vega</t>
        </is>
      </c>
      <c r="I1706" s="2" t="inlineStr">
        <is>
          <t>Ejecución de las obras descritas en el "ADECUACIÓN DE LOCAL PARA VESTUARIOS DE CAMPO DE FÚTBOL MUNICIPAL", suscrito por Antonio Donaire López, arquitecto, visado por el Colegio Oficial de Arquitectos de Granada el 19 de mayo de 2022, y posteriormente modificado con fecha de 27 de junio de 2025.</t>
        </is>
      </c>
      <c r="J1706" s="2" t="inlineStr">
        <is>
          <t>1580/2026</t>
        </is>
      </c>
      <c r="K1706" s="2" t="inlineStr">
        <is>
          <t>Abierto simplificado</t>
        </is>
      </c>
      <c r="L1706" s="6" t="n">
        <v>4</v>
      </c>
      <c r="M1706" s="2" t="n"/>
      <c r="N1706" s="7" t="n">
        <v>0</v>
      </c>
      <c r="O1706" s="4" t="n"/>
      <c r="P1706" s="2" t="inlineStr">
        <is>
          <t>45212600</t>
        </is>
      </c>
      <c r="Q1706" s="8" t="inlineStr">
        <is>
          <t>Ver</t>
        </is>
      </c>
      <c r="R1706" s="8" t="inlineStr">
        <is>
          <t>PCAP</t>
        </is>
      </c>
      <c r="S1706" s="9" t="n">
        <v>46310</v>
      </c>
      <c r="T1706" s="3" t="n">
        <v>46302.48629629629</v>
      </c>
      <c r="U1706" s="2" t="n"/>
    </row>
    <row r="1707">
      <c r="A1707" s="2" t="inlineStr">
        <is>
          <t>En plazo</t>
        </is>
      </c>
      <c r="B1707" s="3" t="n">
        <v>46322.99930555555</v>
      </c>
      <c r="C1707" s="5" t="n">
        <v>66494.02</v>
      </c>
      <c r="D1707" s="5" t="n">
        <v>66494.02</v>
      </c>
      <c r="E1707" s="2" t="inlineStr">
        <is>
          <t>Andalucía</t>
        </is>
      </c>
      <c r="F1707" s="2" t="inlineStr">
        <is>
          <t>Cádiz</t>
        </is>
      </c>
      <c r="G1707" s="2" t="n"/>
      <c r="H1707" s="2" t="inlineStr">
        <is>
          <t>Alcaldía del Ayuntamiento de Algeciras</t>
        </is>
      </c>
      <c r="I1707" s="2" t="inlineStr">
        <is>
          <t>Renovación a tecnología led de la iluminación de las pistas de atletismo de la instalación municipal enrique talavera</t>
        </is>
      </c>
      <c r="J1707" s="2" t="inlineStr">
        <is>
          <t>37082/2026</t>
        </is>
      </c>
      <c r="K1707" s="2" t="inlineStr">
        <is>
          <t>Abierto simplificado</t>
        </is>
      </c>
      <c r="L1707" s="6" t="n">
        <v>1.9</v>
      </c>
      <c r="M1707" s="2" t="n"/>
      <c r="N1707" s="7" t="n">
        <v>0</v>
      </c>
      <c r="O1707" s="4" t="n">
        <v>2</v>
      </c>
      <c r="P1707" s="2" t="inlineStr">
        <is>
          <t>45310000; 71317210</t>
        </is>
      </c>
      <c r="Q1707" s="8" t="inlineStr">
        <is>
          <t>Ver</t>
        </is>
      </c>
      <c r="R1707" s="8" t="inlineStr">
        <is>
          <t>PCAP</t>
        </is>
      </c>
      <c r="S1707" s="9" t="n">
        <v>46310</v>
      </c>
      <c r="T1707" s="3" t="n">
        <v>46302.48219907407</v>
      </c>
      <c r="U1707" s="2" t="n"/>
    </row>
    <row r="1708">
      <c r="A1708" s="2" t="inlineStr">
        <is>
          <t>Resuelta</t>
        </is>
      </c>
      <c r="B1708" s="3" t="n">
        <v>46279.99930555555</v>
      </c>
      <c r="C1708" s="5" t="n">
        <v>228586.76</v>
      </c>
      <c r="D1708" s="5" t="n">
        <v>228586.76</v>
      </c>
      <c r="E1708" s="2" t="inlineStr">
        <is>
          <t>Comunitat Valenciana</t>
        </is>
      </c>
      <c r="F1708" s="2" t="inlineStr">
        <is>
          <t>Valencia</t>
        </is>
      </c>
      <c r="G1708" s="2" t="n"/>
      <c r="H1708" s="2" t="inlineStr">
        <is>
          <t>Alcaldia del Ayuntamiento de Alcasser</t>
        </is>
      </c>
      <c r="I1708" s="2" t="inlineStr">
        <is>
          <t>Reurbanización calle Dels Argenters - P.I. L'Alter</t>
        </is>
      </c>
      <c r="J1708" s="2" t="inlineStr">
        <is>
          <t>2636/2026</t>
        </is>
      </c>
      <c r="K1708" s="2" t="inlineStr">
        <is>
          <t>Abierto simplificado</t>
        </is>
      </c>
      <c r="L1708" s="6" t="n">
        <v>2.3</v>
      </c>
      <c r="M1708" s="2" t="n"/>
      <c r="N1708" s="7" t="n">
        <v>0</v>
      </c>
      <c r="O1708" s="4" t="n"/>
      <c r="P1708" s="2" t="inlineStr">
        <is>
          <t>45233250; 45232130; 45233252; 45232450</t>
        </is>
      </c>
      <c r="Q1708" s="8" t="inlineStr">
        <is>
          <t>Ver</t>
        </is>
      </c>
      <c r="R1708" s="8" t="inlineStr">
        <is>
          <t>PCAP</t>
        </is>
      </c>
      <c r="S1708" s="9" t="n">
        <v>46310</v>
      </c>
      <c r="T1708" s="3" t="n">
        <v>46302.47586805555</v>
      </c>
      <c r="U1708" s="2" t="n"/>
    </row>
    <row r="1709">
      <c r="A1709" s="2" t="inlineStr">
        <is>
          <t>Adjudicada</t>
        </is>
      </c>
      <c r="B1709" s="3" t="n">
        <v>46167.4375</v>
      </c>
      <c r="C1709" s="5" t="n">
        <v>3702515.21</v>
      </c>
      <c r="D1709" s="5" t="n">
        <v>4072766.73</v>
      </c>
      <c r="E1709" s="2" t="inlineStr">
        <is>
          <t>Comunitat Valenciana</t>
        </is>
      </c>
      <c r="F1709" s="2" t="inlineStr">
        <is>
          <t>Valencia</t>
        </is>
      </c>
      <c r="G1709" s="2" t="inlineStr">
        <is>
          <t>Valencia</t>
        </is>
      </c>
      <c r="H1709" s="2" t="inlineStr">
        <is>
          <t>Presidencia de la Autoridad Portuaria de Valencia</t>
        </is>
      </c>
      <c r="I1709" s="2" t="inlineStr">
        <is>
          <t>Nuevo centro de reparto alimentado desde CT23 y obra civil para conexión con canalizaciones existentes</t>
        </is>
      </c>
      <c r="J1709" s="2" t="inlineStr">
        <is>
          <t>EC26-C02-01070</t>
        </is>
      </c>
      <c r="K1709" s="2" t="inlineStr">
        <is>
          <t>Abierto</t>
        </is>
      </c>
      <c r="L1709" s="6" t="n">
        <v>6</v>
      </c>
      <c r="M1709" s="2" t="inlineStr">
        <is>
          <t>I5-4</t>
        </is>
      </c>
      <c r="N1709" s="7" t="n">
        <v>0.49</v>
      </c>
      <c r="O1709" s="4" t="n"/>
      <c r="P1709" s="2" t="inlineStr">
        <is>
          <t>45231400; 45315400</t>
        </is>
      </c>
      <c r="Q1709" s="8" t="inlineStr">
        <is>
          <t>Ver</t>
        </is>
      </c>
      <c r="R1709" s="8" t="inlineStr">
        <is>
          <t>PCAP</t>
        </is>
      </c>
      <c r="S1709" s="9" t="n">
        <v>46310</v>
      </c>
      <c r="T1709" s="3" t="n">
        <v>46302.46299768519</v>
      </c>
      <c r="U1709" s="2" t="n"/>
    </row>
    <row r="1710">
      <c r="A1710" s="2" t="inlineStr">
        <is>
          <t>En plazo</t>
        </is>
      </c>
      <c r="B1710" s="3" t="n">
        <v>46322.625</v>
      </c>
      <c r="C1710" s="5" t="n">
        <v>80165.28999999999</v>
      </c>
      <c r="D1710" s="5" t="n">
        <v>80165.28999999999</v>
      </c>
      <c r="E1710" s="2" t="inlineStr">
        <is>
          <t>Andalucía</t>
        </is>
      </c>
      <c r="F1710" s="2" t="inlineStr">
        <is>
          <t>Málaga</t>
        </is>
      </c>
      <c r="G1710" s="2" t="inlineStr">
        <is>
          <t>fuente de piedra</t>
        </is>
      </c>
      <c r="H1710" s="2" t="inlineStr">
        <is>
          <t>Junta de Gobierno Local del Ayuntamiento de Fuente de Piedra</t>
        </is>
      </c>
      <c r="I1710" s="2" t="inlineStr">
        <is>
          <t>la ejecución de las obras contenidas en el "Proyecto Básico y de Ejecución para Mejora de Redes de Abastecimiento (PO-AG 35/2026)" en las calles María Zambrano, Vicente Aleixandre y Antonio Gala del municipio de Fuente de Piedra (Málaga</t>
        </is>
      </c>
      <c r="J1710" s="2" t="inlineStr">
        <is>
          <t>857/2026</t>
        </is>
      </c>
      <c r="K1710" s="2" t="inlineStr">
        <is>
          <t>Abierto simplificado</t>
        </is>
      </c>
      <c r="L1710" s="6" t="n">
        <v>4</v>
      </c>
      <c r="M1710" s="2" t="n"/>
      <c r="N1710" s="7" t="n">
        <v>0</v>
      </c>
      <c r="O1710" s="4" t="n"/>
      <c r="P1710" s="2" t="inlineStr">
        <is>
          <t>45231300; 45232150</t>
        </is>
      </c>
      <c r="Q1710" s="8" t="inlineStr">
        <is>
          <t>Ver</t>
        </is>
      </c>
      <c r="R1710" s="8" t="inlineStr">
        <is>
          <t>PCAP</t>
        </is>
      </c>
      <c r="S1710" s="9" t="n">
        <v>46310</v>
      </c>
      <c r="T1710" s="3" t="n">
        <v>46302.46170138889</v>
      </c>
      <c r="U1710" s="2" t="n"/>
    </row>
    <row r="1711">
      <c r="A1711" s="2" t="inlineStr">
        <is>
          <t>Pendiente de adjudicación</t>
        </is>
      </c>
      <c r="B1711" s="3" t="n">
        <v>46272.79166666666</v>
      </c>
      <c r="C1711" s="5" t="n">
        <v>334340.88</v>
      </c>
      <c r="D1711" s="5" t="n">
        <v>401209.06</v>
      </c>
      <c r="E1711" s="2" t="inlineStr">
        <is>
          <t>Andalucía</t>
        </is>
      </c>
      <c r="F1711" s="2" t="inlineStr">
        <is>
          <t>Sevilla</t>
        </is>
      </c>
      <c r="G1711" s="2" t="inlineStr">
        <is>
          <t>Bormujos</t>
        </is>
      </c>
      <c r="H1711" s="2" t="inlineStr">
        <is>
          <t>Gerencia de la Empresa Mancomunada del Aljarafe, S.A. (ALJARAFESA)</t>
        </is>
      </c>
      <c r="I1711" s="2" t="inlineStr">
        <is>
          <t>Proyecto de Mejora del Abastecimiento en la Calle Jacaranda, en el municipio de Bormujos (Sevilla)</t>
        </is>
      </c>
      <c r="J1711" s="2" t="inlineStr">
        <is>
          <t>PAA/164/2026</t>
        </is>
      </c>
      <c r="K1711" s="2" t="inlineStr">
        <is>
          <t>Abierto</t>
        </is>
      </c>
      <c r="L1711" s="6" t="n">
        <v>5</v>
      </c>
      <c r="M1711" s="2" t="inlineStr">
        <is>
          <t>G6-2; E1-2</t>
        </is>
      </c>
      <c r="N1711" s="7" t="n">
        <v>0</v>
      </c>
      <c r="O1711" s="4" t="n"/>
      <c r="P1711" s="2" t="inlineStr">
        <is>
          <t>45231300; 45233251</t>
        </is>
      </c>
      <c r="Q1711" s="8" t="inlineStr">
        <is>
          <t>Ver</t>
        </is>
      </c>
      <c r="R1711" s="8" t="inlineStr">
        <is>
          <t>PCAP</t>
        </is>
      </c>
      <c r="S1711" s="9" t="n">
        <v>46310</v>
      </c>
      <c r="T1711" s="3" t="n">
        <v>46302.4521875</v>
      </c>
      <c r="U1711" s="2" t="n"/>
    </row>
    <row r="1712">
      <c r="A1712" s="2" t="inlineStr">
        <is>
          <t>Pendiente de adjudicación</t>
        </is>
      </c>
      <c r="B1712" s="3" t="n">
        <v>46300.99930555555</v>
      </c>
      <c r="C1712" s="5" t="n">
        <v>403932.13</v>
      </c>
      <c r="D1712" s="5" t="n">
        <v>403932.13</v>
      </c>
      <c r="E1712" s="2" t="inlineStr">
        <is>
          <t>Comunitat Valenciana</t>
        </is>
      </c>
      <c r="F1712" s="2" t="inlineStr">
        <is>
          <t>Valencia</t>
        </is>
      </c>
      <c r="G1712" s="2" t="n"/>
      <c r="H1712" s="2" t="inlineStr">
        <is>
          <t>Alcaldía del Ayuntamiento de Foios</t>
        </is>
      </c>
      <c r="I1712" s="2" t="inlineStr">
        <is>
          <t>Obra "Ampliación del Centro Social de Foios"</t>
        </is>
      </c>
      <c r="J1712" s="2" t="inlineStr">
        <is>
          <t>2026/1990</t>
        </is>
      </c>
      <c r="K1712" s="2" t="inlineStr">
        <is>
          <t>Abierto simplificado</t>
        </is>
      </c>
      <c r="L1712" s="6" t="n">
        <v>10</v>
      </c>
      <c r="M1712" s="2" t="n"/>
      <c r="N1712" s="7" t="n">
        <v>0</v>
      </c>
      <c r="O1712" s="4" t="n"/>
      <c r="P1712" s="2" t="inlineStr">
        <is>
          <t>45210000</t>
        </is>
      </c>
      <c r="Q1712" s="8" t="inlineStr">
        <is>
          <t>Ver</t>
        </is>
      </c>
      <c r="R1712" s="8" t="inlineStr">
        <is>
          <t>PCAP</t>
        </is>
      </c>
      <c r="S1712" s="9" t="n">
        <v>46310</v>
      </c>
      <c r="T1712" s="3" t="n">
        <v>46302.450625</v>
      </c>
      <c r="U1712" s="2" t="n"/>
    </row>
    <row r="1713">
      <c r="A1713" s="2" t="inlineStr">
        <is>
          <t>Resuelta</t>
        </is>
      </c>
      <c r="B1713" s="3" t="n">
        <v>46210.54166666666</v>
      </c>
      <c r="C1713" s="5" t="n">
        <v>670270.6</v>
      </c>
      <c r="D1713" s="5" t="n">
        <v>737297.66</v>
      </c>
      <c r="E1713" s="2" t="inlineStr">
        <is>
          <t>Comunitat Valenciana</t>
        </is>
      </c>
      <c r="F1713" s="2" t="inlineStr">
        <is>
          <t>Valencia</t>
        </is>
      </c>
      <c r="G1713" s="2" t="n"/>
      <c r="H1713" s="2" t="inlineStr">
        <is>
          <t>Presidencia de la Diputación Provincial de Valencia</t>
        </is>
      </c>
      <c r="I1713" s="2" t="inlineStr">
        <is>
          <t>V-213CIT/O. Mejora de caminos de el término municipal de Alpuente.</t>
        </is>
      </c>
      <c r="J1713" s="2" t="inlineStr">
        <is>
          <t>243/26/CAR</t>
        </is>
      </c>
      <c r="K1713" s="2" t="inlineStr">
        <is>
          <t>Abierto</t>
        </is>
      </c>
      <c r="L1713" s="6" t="n">
        <v>5</v>
      </c>
      <c r="M1713" s="2" t="inlineStr">
        <is>
          <t>G4-3</t>
        </is>
      </c>
      <c r="N1713" s="7" t="n">
        <v>0.45</v>
      </c>
      <c r="O1713" s="4" t="n"/>
      <c r="P1713" s="2" t="inlineStr">
        <is>
          <t>45233120</t>
        </is>
      </c>
      <c r="Q1713" s="8" t="inlineStr">
        <is>
          <t>Ver</t>
        </is>
      </c>
      <c r="R1713" s="8" t="inlineStr">
        <is>
          <t>PCAP</t>
        </is>
      </c>
      <c r="S1713" s="9" t="n">
        <v>46310</v>
      </c>
      <c r="T1713" s="3" t="n">
        <v>46302.44865740741</v>
      </c>
      <c r="U1713" s="2" t="n"/>
    </row>
    <row r="1714">
      <c r="A1714" s="2" t="inlineStr">
        <is>
          <t>En plazo</t>
        </is>
      </c>
      <c r="B1714" s="3" t="n">
        <v>46322.99930555555</v>
      </c>
      <c r="C1714" s="5" t="n">
        <v>826446.28</v>
      </c>
      <c r="D1714" s="5" t="n">
        <v>826446.28</v>
      </c>
      <c r="E1714" s="2" t="inlineStr">
        <is>
          <t>Andalucía</t>
        </is>
      </c>
      <c r="F1714" s="2" t="inlineStr">
        <is>
          <t>Almería</t>
        </is>
      </c>
      <c r="G1714" s="2" t="n"/>
      <c r="H1714" s="2" t="inlineStr">
        <is>
          <t>Junta de Gobierno de la Diputación Provincial de Almería</t>
        </is>
      </c>
      <c r="I1714" s="2" t="inlineStr">
        <is>
          <t>Rehabilitación Y Mejora De Edificios Municipales. Benahadux 19PPOS24-27BII</t>
        </is>
      </c>
      <c r="J1714" s="2" t="inlineStr">
        <is>
          <t>2026/D31000/006-013/00009</t>
        </is>
      </c>
      <c r="K1714" s="2" t="inlineStr">
        <is>
          <t>Abierto simplificado</t>
        </is>
      </c>
      <c r="L1714" s="6" t="n">
        <v>15</v>
      </c>
      <c r="M1714" s="2" t="inlineStr">
        <is>
          <t>C6-3; C4-3</t>
        </is>
      </c>
      <c r="N1714" s="7" t="n">
        <v>0.25</v>
      </c>
      <c r="O1714" s="4" t="n"/>
      <c r="P1714" s="2" t="inlineStr">
        <is>
          <t>45214000</t>
        </is>
      </c>
      <c r="Q1714" s="8" t="inlineStr">
        <is>
          <t>Ver</t>
        </is>
      </c>
      <c r="R1714" s="8" t="inlineStr">
        <is>
          <t>PCAP</t>
        </is>
      </c>
      <c r="S1714" s="9" t="n">
        <v>46310</v>
      </c>
      <c r="T1714" s="3" t="n">
        <v>46302.4315625</v>
      </c>
      <c r="U1714" s="2" t="n"/>
    </row>
    <row r="1715">
      <c r="A1715" s="2" t="inlineStr">
        <is>
          <t>Resuelta</t>
        </is>
      </c>
      <c r="B1715" s="3" t="n">
        <v>46196.99930555555</v>
      </c>
      <c r="C1715" s="5" t="n">
        <v>92385.09</v>
      </c>
      <c r="D1715" s="5" t="n">
        <v>101623.6</v>
      </c>
      <c r="E1715" s="2" t="inlineStr">
        <is>
          <t>Comunitat Valenciana</t>
        </is>
      </c>
      <c r="F1715" s="2" t="inlineStr">
        <is>
          <t>Alicante</t>
        </is>
      </c>
      <c r="G1715" s="2" t="inlineStr">
        <is>
          <t>Alicante</t>
        </is>
      </c>
      <c r="H1715" s="2" t="inlineStr">
        <is>
          <t>Departamento de Salud Alicante. Dirección Económica-Gerencia</t>
        </is>
      </c>
      <c r="I1715" s="2" t="inlineStr">
        <is>
          <t>Obra de conexión hall principal con vestíbulo-cafetería del Hospital General Universitario Doctor Balmis de Alicante</t>
        </is>
      </c>
      <c r="J1715" s="2" t="inlineStr">
        <is>
          <t>PAS 125/2026</t>
        </is>
      </c>
      <c r="K1715" s="2" t="inlineStr">
        <is>
          <t>Abierto simplificado</t>
        </is>
      </c>
      <c r="L1715" s="6" t="n">
        <v>3</v>
      </c>
      <c r="M1715" s="2" t="n"/>
      <c r="N1715" s="7" t="n">
        <v>0.25</v>
      </c>
      <c r="O1715" s="4" t="n"/>
      <c r="P1715" s="2" t="inlineStr">
        <is>
          <t>45220000</t>
        </is>
      </c>
      <c r="Q1715" s="8" t="inlineStr">
        <is>
          <t>Ver</t>
        </is>
      </c>
      <c r="R1715" s="8" t="inlineStr">
        <is>
          <t>PCAP</t>
        </is>
      </c>
      <c r="S1715" s="9" t="n">
        <v>46310</v>
      </c>
      <c r="T1715" s="3" t="n">
        <v>46302.42903935185</v>
      </c>
      <c r="U1715" s="2" t="n"/>
    </row>
    <row r="1716">
      <c r="A1716" s="2" t="inlineStr">
        <is>
          <t>Resuelta</t>
        </is>
      </c>
      <c r="B1716" s="3" t="n">
        <v>46174.75</v>
      </c>
      <c r="C1716" s="5" t="n">
        <v>570165.2</v>
      </c>
      <c r="D1716" s="5" t="n">
        <v>570165.2</v>
      </c>
      <c r="E1716" s="2" t="inlineStr">
        <is>
          <t>Andalucía</t>
        </is>
      </c>
      <c r="F1716" s="2" t="inlineStr">
        <is>
          <t>Almería</t>
        </is>
      </c>
      <c r="G1716" s="2" t="inlineStr">
        <is>
          <t>Almería</t>
        </is>
      </c>
      <c r="H1716" s="2" t="inlineStr">
        <is>
          <t>Presidencia de la Autoridad Portuaria de Almería</t>
        </is>
      </c>
      <c r="I1716" s="2" t="inlineStr">
        <is>
          <t>Adaptación de la Estación Marítima para el acceso a cruceros</t>
        </is>
      </c>
      <c r="J1716" s="2" t="inlineStr">
        <is>
          <t>07/O/AS/AL26.BIS</t>
        </is>
      </c>
      <c r="K1716" s="2" t="inlineStr">
        <is>
          <t>Abierto simplificado</t>
        </is>
      </c>
      <c r="L1716" s="6" t="n">
        <v>4</v>
      </c>
      <c r="M1716" s="2" t="inlineStr">
        <is>
          <t>C4-3; C*-4</t>
        </is>
      </c>
      <c r="N1716" s="7" t="n">
        <v>0.25</v>
      </c>
      <c r="O1716" s="4" t="n"/>
      <c r="P1716" s="2" t="inlineStr">
        <is>
          <t>45200000; 45233200; 34931300</t>
        </is>
      </c>
      <c r="Q1716" s="8" t="inlineStr">
        <is>
          <t>Ver</t>
        </is>
      </c>
      <c r="R1716" s="2" t="n"/>
      <c r="S1716" s="9" t="n">
        <v>46310</v>
      </c>
      <c r="T1716" s="3" t="n">
        <v>46302.42858796296</v>
      </c>
      <c r="U1716" s="2" t="n"/>
    </row>
    <row r="1717">
      <c r="A1717" s="2" t="inlineStr">
        <is>
          <t>Pendiente de adjudicación</t>
        </is>
      </c>
      <c r="B1717" s="3" t="n">
        <v>46253.99930555555</v>
      </c>
      <c r="C1717" s="5" t="n">
        <v>195554.7</v>
      </c>
      <c r="D1717" s="5" t="n">
        <v>195554.7</v>
      </c>
      <c r="E1717" s="2" t="inlineStr">
        <is>
          <t>Comunitat Valenciana</t>
        </is>
      </c>
      <c r="F1717" s="2" t="inlineStr">
        <is>
          <t>Alicante</t>
        </is>
      </c>
      <c r="G1717" s="2" t="n"/>
      <c r="H1717" s="2" t="inlineStr">
        <is>
          <t>Junta de Gobierno del Ayuntamiento Dénia</t>
        </is>
      </c>
      <c r="I1717" s="2" t="inlineStr">
        <is>
          <t>Obras de adecuación del Paseo de la Playa de la Marineta Cassiana</t>
        </is>
      </c>
      <c r="J1717" s="2" t="inlineStr">
        <is>
          <t>OBR/2026000044</t>
        </is>
      </c>
      <c r="K1717" s="2" t="inlineStr">
        <is>
          <t>Abierto simplificado</t>
        </is>
      </c>
      <c r="L1717" s="6" t="n">
        <v>4</v>
      </c>
      <c r="M1717" s="2" t="inlineStr">
        <is>
          <t>G6-2</t>
        </is>
      </c>
      <c r="N1717" s="7" t="n">
        <v>0</v>
      </c>
      <c r="O1717" s="4" t="n"/>
      <c r="P1717" s="2" t="inlineStr">
        <is>
          <t>45233252</t>
        </is>
      </c>
      <c r="Q1717" s="8" t="inlineStr">
        <is>
          <t>Ver</t>
        </is>
      </c>
      <c r="R1717" s="8" t="inlineStr">
        <is>
          <t>PCAP</t>
        </is>
      </c>
      <c r="S1717" s="9" t="n">
        <v>46310</v>
      </c>
      <c r="T1717" s="3" t="n">
        <v>46302.42760416667</v>
      </c>
      <c r="U1717" s="2" t="n"/>
    </row>
    <row r="1718">
      <c r="A1718" s="2" t="inlineStr">
        <is>
          <t>En plazo</t>
        </is>
      </c>
      <c r="B1718" s="3" t="n">
        <v>46322.99930555555</v>
      </c>
      <c r="C1718" s="5" t="n">
        <v>100173.95</v>
      </c>
      <c r="D1718" s="5" t="n">
        <v>100173.95</v>
      </c>
      <c r="E1718" s="2" t="inlineStr">
        <is>
          <t>Comunitat Valenciana</t>
        </is>
      </c>
      <c r="F1718" s="2" t="inlineStr">
        <is>
          <t>Alicante</t>
        </is>
      </c>
      <c r="G1718" s="2" t="n"/>
      <c r="H1718" s="2" t="inlineStr">
        <is>
          <t>Junta de Gobierno del Ayuntamiento de Benissa</t>
        </is>
      </c>
      <c r="I1718" s="2" t="inlineStr">
        <is>
          <t>Instalación de ascensores. Dos lotes. Lote 1:Instalacion de ascensor en la Escuela de Música y Lote 2: Instalación de ascensor en el Centro Social Bernia</t>
        </is>
      </c>
      <c r="J1718" s="2" t="inlineStr">
        <is>
          <t>6136/2026</t>
        </is>
      </c>
      <c r="K1718" s="2" t="inlineStr">
        <is>
          <t>Abierto simplificado</t>
        </is>
      </c>
      <c r="L1718" s="6" t="n">
        <v>4</v>
      </c>
      <c r="M1718" s="2" t="n"/>
      <c r="N1718" s="7" t="n">
        <v>0</v>
      </c>
      <c r="O1718" s="4" t="n">
        <v>2</v>
      </c>
      <c r="P1718" s="2" t="inlineStr">
        <is>
          <t>45313100</t>
        </is>
      </c>
      <c r="Q1718" s="8" t="inlineStr">
        <is>
          <t>Ver</t>
        </is>
      </c>
      <c r="R1718" s="8" t="inlineStr">
        <is>
          <t>PCAP</t>
        </is>
      </c>
      <c r="S1718" s="9" t="n">
        <v>46310</v>
      </c>
      <c r="T1718" s="3" t="n">
        <v>46302.4108449074</v>
      </c>
      <c r="U1718" s="2" t="n"/>
    </row>
    <row r="1719">
      <c r="A1719" s="2" t="inlineStr">
        <is>
          <t>Plazo vencido</t>
        </is>
      </c>
      <c r="B1719" s="3" t="n">
        <v>46316.58333333334</v>
      </c>
      <c r="C1719" s="5" t="n">
        <v>15000000</v>
      </c>
      <c r="D1719" s="5" t="n">
        <v>15000000</v>
      </c>
      <c r="E1719" s="2" t="inlineStr">
        <is>
          <t>Andalucía</t>
        </is>
      </c>
      <c r="F1719" s="2" t="inlineStr">
        <is>
          <t>Córdoba</t>
        </is>
      </c>
      <c r="G1719" s="2" t="n"/>
      <c r="H1719" s="2" t="inlineStr">
        <is>
          <t>Empresa de Transformación Agraria S.A.,S.M.E., M.P., (TRAGSA)</t>
        </is>
      </c>
      <c r="I1719" s="2" t="inlineStr">
        <is>
          <t>Conclusión del Acuerdo Marco para Alquiler de Maquinaria de Obra Civil, Agrícola y Forestal, y Camiones, dotada de operario, para Las Actuaciones de La Gerencia Provincial de Tragsa en Córdoba, incluidas obras Financiadas con Fondos Europeos</t>
        </is>
      </c>
      <c r="J1719" s="2" t="inlineStr">
        <is>
          <t>TSA0084239</t>
        </is>
      </c>
      <c r="K1719" s="2" t="inlineStr">
        <is>
          <t>Abierto</t>
        </is>
      </c>
      <c r="L1719" s="6" t="n">
        <v>24</v>
      </c>
      <c r="M1719" s="2" t="inlineStr">
        <is>
          <t>C*-1; A*-1; K*-1; E*-1; D*-1; G*-1</t>
        </is>
      </c>
      <c r="N1719" s="7" t="n">
        <v>0</v>
      </c>
      <c r="O1719" s="4" t="n"/>
      <c r="P1719" s="2" t="inlineStr">
        <is>
          <t>45500000</t>
        </is>
      </c>
      <c r="Q1719" s="8" t="inlineStr">
        <is>
          <t>Ver</t>
        </is>
      </c>
      <c r="R1719" s="8" t="inlineStr">
        <is>
          <t>PCAP</t>
        </is>
      </c>
      <c r="S1719" s="9" t="n">
        <v>46310</v>
      </c>
      <c r="T1719" s="3" t="n">
        <v>46302.40373842593</v>
      </c>
      <c r="U1719" s="2" t="n"/>
    </row>
    <row r="1720">
      <c r="A1720" s="2" t="inlineStr">
        <is>
          <t>En plazo</t>
        </is>
      </c>
      <c r="B1720" s="3" t="n">
        <v>46324.625</v>
      </c>
      <c r="C1720" s="5" t="n">
        <v>45307.47</v>
      </c>
      <c r="D1720" s="5" t="n">
        <v>45307.47</v>
      </c>
      <c r="E1720" s="2" t="inlineStr">
        <is>
          <t>Comunitat Valenciana</t>
        </is>
      </c>
      <c r="F1720" s="2" t="inlineStr">
        <is>
          <t>Alicante</t>
        </is>
      </c>
      <c r="G1720" s="2" t="inlineStr">
        <is>
          <t>Muro de Alcoi</t>
        </is>
      </c>
      <c r="H1720" s="2" t="inlineStr">
        <is>
          <t>Departamento de Salud Alcoy. Dirección Económica-Gerencia</t>
        </is>
      </c>
      <c r="I1720" s="2" t="inlineStr">
        <is>
          <t>Obra de instalación de ventanas para la mejora de la eficiencia energética del CS de Muro.</t>
        </is>
      </c>
      <c r="J1720" s="2" t="inlineStr">
        <is>
          <t>PASA 1186/2026</t>
        </is>
      </c>
      <c r="K1720" s="2" t="inlineStr">
        <is>
          <t>Abierto simplificado</t>
        </is>
      </c>
      <c r="L1720" s="6" t="n">
        <v>1</v>
      </c>
      <c r="M1720" s="2" t="n"/>
      <c r="N1720" s="7" t="n">
        <v>0</v>
      </c>
      <c r="O1720" s="4" t="n"/>
      <c r="P1720" s="2" t="inlineStr">
        <is>
          <t>45421132; 44221100</t>
        </is>
      </c>
      <c r="Q1720" s="8" t="inlineStr">
        <is>
          <t>Ver</t>
        </is>
      </c>
      <c r="R1720" s="8" t="inlineStr">
        <is>
          <t>PCAP</t>
        </is>
      </c>
      <c r="S1720" s="9" t="n">
        <v>46310</v>
      </c>
      <c r="T1720" s="3" t="n">
        <v>46302.40362268518</v>
      </c>
      <c r="U1720" s="2" t="n"/>
    </row>
    <row r="1721">
      <c r="A1721" s="2" t="inlineStr">
        <is>
          <t>Resuelta</t>
        </is>
      </c>
      <c r="B1721" s="3" t="n">
        <v>46076.99930555555</v>
      </c>
      <c r="C1721" s="5" t="n">
        <v>645826.91</v>
      </c>
      <c r="D1721" s="5" t="n">
        <v>645826.91</v>
      </c>
      <c r="E1721" s="2" t="inlineStr">
        <is>
          <t>Comunitat Valenciana</t>
        </is>
      </c>
      <c r="F1721" s="2" t="inlineStr">
        <is>
          <t>Valencia</t>
        </is>
      </c>
      <c r="G1721" s="2" t="inlineStr">
        <is>
          <t>Valencia</t>
        </is>
      </c>
      <c r="H1721" s="2" t="inlineStr">
        <is>
          <t>Rectorado de la Universitat Politècnica de València</t>
        </is>
      </c>
      <c r="I1721" s="2" t="inlineStr">
        <is>
          <t>Obra de reforma de climatización y ventilación en el bloque 5E de la Escuela Técnica Superior de Ingeniería Industrial del campus de Vera de la Universitat Politècnica de València</t>
        </is>
      </c>
      <c r="J1721" s="2" t="inlineStr">
        <is>
          <t>MY26/VICC/O/5</t>
        </is>
      </c>
      <c r="K1721" s="2" t="inlineStr">
        <is>
          <t>Abierto</t>
        </is>
      </c>
      <c r="L1721" s="6" t="n">
        <v>6.1</v>
      </c>
      <c r="M1721" s="2" t="inlineStr">
        <is>
          <t>J2-3</t>
        </is>
      </c>
      <c r="N1721" s="7" t="n">
        <v>0.45</v>
      </c>
      <c r="O1721" s="4" t="n"/>
      <c r="P1721" s="2" t="inlineStr">
        <is>
          <t>45331000</t>
        </is>
      </c>
      <c r="Q1721" s="8" t="inlineStr">
        <is>
          <t>Ver</t>
        </is>
      </c>
      <c r="R1721" s="2" t="n"/>
      <c r="S1721" s="9" t="n">
        <v>46310</v>
      </c>
      <c r="T1721" s="3" t="n">
        <v>46302.4033449074</v>
      </c>
      <c r="U1721" s="2" t="n"/>
    </row>
    <row r="1722">
      <c r="A1722" s="2" t="inlineStr">
        <is>
          <t>En plazo</t>
        </is>
      </c>
      <c r="B1722" s="3" t="n">
        <v>46323.5</v>
      </c>
      <c r="C1722" s="5" t="n">
        <v>80000</v>
      </c>
      <c r="D1722" s="5" t="n">
        <v>80000</v>
      </c>
      <c r="E1722" s="2" t="inlineStr">
        <is>
          <t>Andalucía</t>
        </is>
      </c>
      <c r="F1722" s="2" t="inlineStr">
        <is>
          <t>Cádiz</t>
        </is>
      </c>
      <c r="G1722" s="2" t="n"/>
      <c r="H1722" s="2" t="inlineStr">
        <is>
          <t>Comité Central de Compras de Navantia S.A., S.M.E.</t>
        </is>
      </c>
      <c r="I1722" s="2" t="inlineStr">
        <is>
          <t>Licitación para la adjudicación de los trabajos de adecuación de barandillas en Dique 1 en Navantia San Fernando.</t>
        </is>
      </c>
      <c r="J1722" s="2" t="inlineStr">
        <is>
          <t>5100075573 Adec. barandillas D1 Navantia SF</t>
        </is>
      </c>
      <c r="K1722" s="2" t="inlineStr">
        <is>
          <t>Normas internas</t>
        </is>
      </c>
      <c r="L1722" s="6" t="n">
        <v>2</v>
      </c>
      <c r="M1722" s="2" t="n"/>
      <c r="N1722" s="7" t="n">
        <v>1</v>
      </c>
      <c r="O1722" s="4" t="n"/>
      <c r="P1722" s="2" t="inlineStr">
        <is>
          <t>45259000</t>
        </is>
      </c>
      <c r="Q1722" s="8" t="inlineStr">
        <is>
          <t>Ver</t>
        </is>
      </c>
      <c r="R1722" s="8" t="inlineStr">
        <is>
          <t>PCAP</t>
        </is>
      </c>
      <c r="S1722" s="9" t="n">
        <v>46310</v>
      </c>
      <c r="T1722" s="3" t="n">
        <v>46302.39496527778</v>
      </c>
      <c r="U1722" s="2" t="n"/>
    </row>
    <row r="1723">
      <c r="A1723" s="2" t="inlineStr">
        <is>
          <t>Resuelta</t>
        </is>
      </c>
      <c r="B1723" s="3" t="n">
        <v>46289.99930555555</v>
      </c>
      <c r="C1723" s="5" t="n">
        <v>281304.1</v>
      </c>
      <c r="D1723" s="5" t="n">
        <v>281304.1</v>
      </c>
      <c r="E1723" s="2" t="inlineStr">
        <is>
          <t>Andalucía</t>
        </is>
      </c>
      <c r="F1723" s="2" t="inlineStr">
        <is>
          <t>Málaga</t>
        </is>
      </c>
      <c r="G1723" s="2" t="inlineStr">
        <is>
          <t>Nerja</t>
        </is>
      </c>
      <c r="H1723" s="2" t="inlineStr">
        <is>
          <t>Junta de Gobierno del Ayuntamiento de Nerja</t>
        </is>
      </c>
      <c r="I1723" s="2" t="inlineStr">
        <is>
          <t>Obras correspondientes al Proyecto de Reurbanización de Calle Cantarero, en Maro (Nerja) Actualizado</t>
        </is>
      </c>
      <c r="J1723" s="2" t="inlineStr">
        <is>
          <t>2026/4/S245</t>
        </is>
      </c>
      <c r="K1723" s="2" t="inlineStr">
        <is>
          <t>Abierto simplificado</t>
        </is>
      </c>
      <c r="L1723" s="6" t="n">
        <v>4</v>
      </c>
      <c r="M1723" s="2" t="n"/>
      <c r="N1723" s="7" t="n">
        <v>0.25</v>
      </c>
      <c r="O1723" s="4" t="n"/>
      <c r="P1723" s="2" t="inlineStr">
        <is>
          <t>45231100; 45233252; 45233140; 45220000</t>
        </is>
      </c>
      <c r="Q1723" s="8" t="inlineStr">
        <is>
          <t>Ver</t>
        </is>
      </c>
      <c r="R1723" s="8" t="inlineStr">
        <is>
          <t>PCAP</t>
        </is>
      </c>
      <c r="S1723" s="9" t="n">
        <v>46310</v>
      </c>
      <c r="T1723" s="3" t="n">
        <v>46302.39099537037</v>
      </c>
      <c r="U1723" s="2" t="n"/>
    </row>
    <row r="1724">
      <c r="A1724" s="2" t="inlineStr">
        <is>
          <t>En plazo</t>
        </is>
      </c>
      <c r="B1724" s="3" t="n">
        <v>46322.99930555555</v>
      </c>
      <c r="C1724" s="5" t="n">
        <v>206611.57</v>
      </c>
      <c r="D1724" s="5" t="n">
        <v>206611.57</v>
      </c>
      <c r="E1724" s="2" t="inlineStr">
        <is>
          <t>Andalucía</t>
        </is>
      </c>
      <c r="F1724" s="2" t="inlineStr">
        <is>
          <t>Almería</t>
        </is>
      </c>
      <c r="G1724" s="2" t="n"/>
      <c r="H1724" s="2" t="inlineStr">
        <is>
          <t>Junta de Gobierno de la Diputación Provincial de Almería</t>
        </is>
      </c>
      <c r="I1724" s="2" t="inlineStr">
        <is>
          <t>Restauración Y Puesta En Valor Del Molino Del Lugar En Zurgena. Este Proyecto Podrá Ser Cofinanciado Por La Unión Europea A Través Del Fondo Europeo De Desarrollo Regional (feder) En El Marco Del Prog 3PAI-ALMANZORA30</t>
        </is>
      </c>
      <c r="J1724" s="2" t="inlineStr">
        <is>
          <t>2026/D31000/006-013/00081</t>
        </is>
      </c>
      <c r="K1724" s="2" t="inlineStr">
        <is>
          <t>Abierto simplificado</t>
        </is>
      </c>
      <c r="L1724" s="6" t="n">
        <v>12</v>
      </c>
      <c r="M1724" s="2" t="n"/>
      <c r="N1724" s="7" t="n">
        <v>0.25</v>
      </c>
      <c r="O1724" s="4" t="n"/>
      <c r="P1724" s="2" t="inlineStr">
        <is>
          <t>45200000</t>
        </is>
      </c>
      <c r="Q1724" s="8" t="inlineStr">
        <is>
          <t>Ver</t>
        </is>
      </c>
      <c r="R1724" s="8" t="inlineStr">
        <is>
          <t>PCAP</t>
        </is>
      </c>
      <c r="S1724" s="9" t="n">
        <v>46310</v>
      </c>
      <c r="T1724" s="3" t="n">
        <v>46302.38836805556</v>
      </c>
      <c r="U1724" s="2" t="n"/>
    </row>
    <row r="1725">
      <c r="A1725" s="2" t="inlineStr">
        <is>
          <t>Resuelta</t>
        </is>
      </c>
      <c r="B1725" s="3" t="n">
        <v>46260.99930555555</v>
      </c>
      <c r="C1725" s="5" t="n">
        <v>104059.95</v>
      </c>
      <c r="D1725" s="5" t="n">
        <v>104059.95</v>
      </c>
      <c r="E1725" s="2" t="inlineStr">
        <is>
          <t>Andalucía</t>
        </is>
      </c>
      <c r="F1725" s="2" t="inlineStr">
        <is>
          <t>Granada</t>
        </is>
      </c>
      <c r="G1725" s="2" t="n"/>
      <c r="H1725" s="2" t="inlineStr">
        <is>
          <t>Dirección Gerente de la Empresa Municipal de Abastecimiento y Saneamiento de Granada, S.A.</t>
        </is>
      </c>
      <c r="I1725" s="2" t="inlineStr">
        <is>
          <t>Proyecto de ejecución de fuente recreativa transitable en el parque 28 de febrero de Granada.</t>
        </is>
      </c>
      <c r="J1725" s="2" t="inlineStr">
        <is>
          <t>Obra 2026-00021</t>
        </is>
      </c>
      <c r="K1725" s="2" t="inlineStr">
        <is>
          <t>Abierto</t>
        </is>
      </c>
      <c r="L1725" s="6" t="n">
        <v>2</v>
      </c>
      <c r="M1725" s="2" t="n"/>
      <c r="N1725" s="7" t="n">
        <v>0.4</v>
      </c>
      <c r="O1725" s="4" t="n"/>
      <c r="P1725" s="2" t="inlineStr">
        <is>
          <t>45240000</t>
        </is>
      </c>
      <c r="Q1725" s="8" t="inlineStr">
        <is>
          <t>Ver</t>
        </is>
      </c>
      <c r="R1725" s="8" t="inlineStr">
        <is>
          <t>PCAP</t>
        </is>
      </c>
      <c r="S1725" s="9" t="n">
        <v>46310</v>
      </c>
      <c r="T1725" s="3" t="n">
        <v>46302.38613425926</v>
      </c>
      <c r="U1725" s="2" t="n"/>
    </row>
    <row r="1726">
      <c r="A1726" s="2" t="inlineStr">
        <is>
          <t>Adjudicada</t>
        </is>
      </c>
      <c r="B1726" s="3" t="n">
        <v>46238.99930555555</v>
      </c>
      <c r="C1726" s="5" t="n">
        <v>777869.6800000001</v>
      </c>
      <c r="D1726" s="5" t="n">
        <v>777869.6800000001</v>
      </c>
      <c r="E1726" s="2" t="inlineStr">
        <is>
          <t>Comunitat Valenciana</t>
        </is>
      </c>
      <c r="F1726" s="2" t="inlineStr">
        <is>
          <t>Valencia</t>
        </is>
      </c>
      <c r="G1726" s="2" t="n"/>
      <c r="H1726" s="2" t="inlineStr">
        <is>
          <t>Junta de Gobierno del Ayuntamiento de Burjassot</t>
        </is>
      </c>
      <c r="I1726" s="2" t="inlineStr">
        <is>
          <t>Obras del proyecto de renovación de parques municipales de Burjassot. Mejora y ampliación de zonas verdes. Pla Obert d'Inversions 2024-2027 de la Diputació De València (POI2024-2027).</t>
        </is>
      </c>
      <c r="J1726" s="2" t="inlineStr">
        <is>
          <t>2026/9591J</t>
        </is>
      </c>
      <c r="K1726" s="2" t="inlineStr">
        <is>
          <t>Abierto simplificado</t>
        </is>
      </c>
      <c r="L1726" s="6" t="n">
        <v>4</v>
      </c>
      <c r="M1726" s="2" t="n"/>
      <c r="N1726" s="7" t="n">
        <v>0</v>
      </c>
      <c r="O1726" s="4" t="n">
        <v>7</v>
      </c>
      <c r="P1726" s="2" t="inlineStr">
        <is>
          <t>45236210; 43325000; 37535200; 45112000</t>
        </is>
      </c>
      <c r="Q1726" s="8" t="inlineStr">
        <is>
          <t>Ver</t>
        </is>
      </c>
      <c r="R1726" s="8" t="inlineStr">
        <is>
          <t>PCAP</t>
        </is>
      </c>
      <c r="S1726" s="9" t="n">
        <v>46310</v>
      </c>
      <c r="T1726" s="3" t="n">
        <v>46302.3779050926</v>
      </c>
      <c r="U1726" s="2" t="n"/>
    </row>
    <row r="1727">
      <c r="A1727" s="2" t="inlineStr">
        <is>
          <t>En plazo</t>
        </is>
      </c>
      <c r="B1727" s="3" t="n">
        <v>46322.625</v>
      </c>
      <c r="C1727" s="5" t="n">
        <v>82300.83</v>
      </c>
      <c r="D1727" s="5" t="n">
        <v>82300.83</v>
      </c>
      <c r="E1727" s="2" t="inlineStr">
        <is>
          <t>Andalucía</t>
        </is>
      </c>
      <c r="F1727" s="2" t="inlineStr">
        <is>
          <t>Granada</t>
        </is>
      </c>
      <c r="G1727" s="2" t="n"/>
      <c r="H1727" s="2" t="inlineStr">
        <is>
          <t>Alcaldía del Ayuntamiento de Escúzar</t>
        </is>
      </c>
      <c r="I1727" s="2" t="inlineStr">
        <is>
          <t>Obras de mejora en el camino de Paveros</t>
        </is>
      </c>
      <c r="J1727" s="2" t="inlineStr">
        <is>
          <t>2026-04</t>
        </is>
      </c>
      <c r="K1727" s="2" t="inlineStr">
        <is>
          <t>Abierto simplificado</t>
        </is>
      </c>
      <c r="L1727" s="6" t="n">
        <v>1.5</v>
      </c>
      <c r="M1727" s="2" t="n"/>
      <c r="N1727" s="7" t="n"/>
      <c r="O1727" s="4" t="n"/>
      <c r="P1727" s="2" t="inlineStr">
        <is>
          <t>45233141</t>
        </is>
      </c>
      <c r="Q1727" s="8" t="inlineStr">
        <is>
          <t>Ver</t>
        </is>
      </c>
      <c r="R1727" s="8" t="inlineStr">
        <is>
          <t>PCAP</t>
        </is>
      </c>
      <c r="S1727" s="9" t="n">
        <v>46310</v>
      </c>
      <c r="T1727" s="3" t="n">
        <v>46302.37600694445</v>
      </c>
      <c r="U1727" s="2" t="n"/>
    </row>
    <row r="1728">
      <c r="A1728" s="2" t="inlineStr">
        <is>
          <t>Resuelta</t>
        </is>
      </c>
      <c r="B1728" s="3" t="n">
        <v>45653.99930555555</v>
      </c>
      <c r="C1728" s="5" t="n">
        <v>4359578.08</v>
      </c>
      <c r="D1728" s="5" t="n">
        <v>4359578.08</v>
      </c>
      <c r="E1728" s="2" t="inlineStr">
        <is>
          <t>Comunitat Valenciana</t>
        </is>
      </c>
      <c r="F1728" s="2" t="inlineStr">
        <is>
          <t>Alicante</t>
        </is>
      </c>
      <c r="G1728" s="2" t="n"/>
      <c r="H1728" s="2" t="inlineStr">
        <is>
          <t>Pleno del Ayuntamiento de Novelda</t>
        </is>
      </c>
      <c r="I1728" s="2" t="inlineStr">
        <is>
          <t>Contratación De La Ejecución De Las Obras De “Construcción De Aulario Para Ciclos Formativos Y Conserjería, Climatización Y Eficiencia Energética, Accesibilidad Y Evacuación Del Centro I.E.S. La Mola”</t>
        </is>
      </c>
      <c r="J1728" s="2" t="inlineStr">
        <is>
          <t>2024/8456S</t>
        </is>
      </c>
      <c r="K1728" s="2" t="inlineStr">
        <is>
          <t>Abierto</t>
        </is>
      </c>
      <c r="L1728" s="6" t="n">
        <v>12</v>
      </c>
      <c r="M1728" s="2" t="inlineStr">
        <is>
          <t>I9-1; C2-1</t>
        </is>
      </c>
      <c r="N1728" s="7" t="n">
        <v>0.49</v>
      </c>
      <c r="O1728" s="4" t="n"/>
      <c r="P1728" s="2" t="inlineStr">
        <is>
          <t>45214220; 45214310</t>
        </is>
      </c>
      <c r="Q1728" s="8" t="inlineStr">
        <is>
          <t>Ver</t>
        </is>
      </c>
      <c r="R1728" s="8" t="inlineStr">
        <is>
          <t>PCAP</t>
        </is>
      </c>
      <c r="S1728" s="9" t="n">
        <v>46310</v>
      </c>
      <c r="T1728" s="3" t="n">
        <v>46302.375</v>
      </c>
      <c r="U1728" s="2" t="n"/>
    </row>
    <row r="1729">
      <c r="A1729" s="2" t="inlineStr">
        <is>
          <t>Resuelta</t>
        </is>
      </c>
      <c r="B1729" s="3" t="n">
        <v>46233.99930555555</v>
      </c>
      <c r="C1729" s="5" t="n">
        <v>390763.14</v>
      </c>
      <c r="D1729" s="5" t="n">
        <v>390763.14</v>
      </c>
      <c r="E1729" s="2" t="inlineStr">
        <is>
          <t>Comunitat Valenciana</t>
        </is>
      </c>
      <c r="F1729" s="2" t="inlineStr">
        <is>
          <t>Valencia</t>
        </is>
      </c>
      <c r="G1729" s="2" t="inlineStr">
        <is>
          <t>Torrent</t>
        </is>
      </c>
      <c r="H1729" s="2" t="inlineStr">
        <is>
          <t>Junta de Gobierno del Ayuntamiento de Torrent</t>
        </is>
      </c>
      <c r="I1729" s="2" t="inlineStr">
        <is>
          <t>Obra para el mantenimiento y reparación interior del edificio existente, compuesto por 4 viviendas y local en planta baja en C/ Maestro Fortea, nº 4 de Torrent</t>
        </is>
      </c>
      <c r="J1729" s="2" t="inlineStr">
        <is>
          <t>26002/2026</t>
        </is>
      </c>
      <c r="K1729" s="2" t="inlineStr">
        <is>
          <t>Abierto</t>
        </is>
      </c>
      <c r="L1729" s="6" t="n">
        <v>4</v>
      </c>
      <c r="M1729" s="2" t="n"/>
      <c r="N1729" s="7" t="n">
        <v>0</v>
      </c>
      <c r="O1729" s="4" t="n"/>
      <c r="P1729" s="2" t="inlineStr">
        <is>
          <t>45211100</t>
        </is>
      </c>
      <c r="Q1729" s="8" t="inlineStr">
        <is>
          <t>Ver</t>
        </is>
      </c>
      <c r="R1729" s="8" t="inlineStr">
        <is>
          <t>PCAP</t>
        </is>
      </c>
      <c r="S1729" s="9" t="n">
        <v>46310</v>
      </c>
      <c r="T1729" s="3" t="n">
        <v>46302.37027777778</v>
      </c>
      <c r="U1729" s="2" t="n"/>
    </row>
    <row r="1730">
      <c r="A1730" s="2" t="inlineStr">
        <is>
          <t>Resuelta</t>
        </is>
      </c>
      <c r="B1730" s="3" t="n">
        <v>45615.75</v>
      </c>
      <c r="C1730" s="5" t="n">
        <v>1604081.59</v>
      </c>
      <c r="D1730" s="5" t="n">
        <v>1604081.59</v>
      </c>
      <c r="E1730" s="2" t="inlineStr">
        <is>
          <t>Andalucía</t>
        </is>
      </c>
      <c r="F1730" s="2" t="inlineStr">
        <is>
          <t>Sevilla</t>
        </is>
      </c>
      <c r="G1730" s="2" t="n"/>
      <c r="H1730" s="2" t="inlineStr">
        <is>
          <t>Rectorado de la Universidad de Sevilla</t>
        </is>
      </c>
      <c r="I1730" s="2" t="inlineStr">
        <is>
          <t>Obra de Rehabilitación y Museografía de la Sala Cero del Museo de la Universidad de Sevilla en el edificio Bien de Interés Cultural de la Antigua Fábrica de Tabacos</t>
        </is>
      </c>
      <c r="J1730" s="2" t="inlineStr">
        <is>
          <t>24/ANT/58381</t>
        </is>
      </c>
      <c r="K1730" s="2" t="inlineStr">
        <is>
          <t>Abierto simplificado</t>
        </is>
      </c>
      <c r="L1730" s="6" t="n">
        <v>6</v>
      </c>
      <c r="M1730" s="2" t="inlineStr">
        <is>
          <t>K*-4</t>
        </is>
      </c>
      <c r="N1730" s="7" t="n">
        <v>0</v>
      </c>
      <c r="O1730" s="4" t="n"/>
      <c r="P1730" s="2" t="inlineStr">
        <is>
          <t>45214400</t>
        </is>
      </c>
      <c r="Q1730" s="8" t="inlineStr">
        <is>
          <t>Ver</t>
        </is>
      </c>
      <c r="R1730" s="8" t="inlineStr">
        <is>
          <t>PCAP</t>
        </is>
      </c>
      <c r="S1730" s="9" t="n">
        <v>46310</v>
      </c>
      <c r="T1730" s="3" t="n">
        <v>46302.35969907408</v>
      </c>
      <c r="U1730" s="2" t="n"/>
    </row>
    <row r="1731">
      <c r="A1731" s="2" t="inlineStr">
        <is>
          <t>Resuelta</t>
        </is>
      </c>
      <c r="B1731" s="3" t="n">
        <v>46251.99930555555</v>
      </c>
      <c r="C1731" s="5" t="n">
        <v>232971.31</v>
      </c>
      <c r="D1731" s="5" t="n">
        <v>232971.31</v>
      </c>
      <c r="E1731" s="2" t="inlineStr">
        <is>
          <t>Andalucía</t>
        </is>
      </c>
      <c r="F1731" s="2" t="inlineStr">
        <is>
          <t>Málaga</t>
        </is>
      </c>
      <c r="G1731" s="2" t="inlineStr">
        <is>
          <t>Alhaurín el Grande</t>
        </is>
      </c>
      <c r="H1731" s="2" t="inlineStr">
        <is>
          <t>Alcaldía del Ayuntamiento de Alhaurín el Grande</t>
        </is>
      </c>
      <c r="I1731" s="2" t="inlineStr">
        <is>
          <t>Proyecto de obras de rehabilitación cubierta del Pabellón nº 2 del Polideportivo Municipal de Alhaurín el Grande</t>
        </is>
      </c>
      <c r="J1731" s="2" t="inlineStr">
        <is>
          <t>22873/2026 CUBIERTA PABELLON</t>
        </is>
      </c>
      <c r="K1731" s="2" t="inlineStr">
        <is>
          <t>Abierto simplificado</t>
        </is>
      </c>
      <c r="L1731" s="6" t="n">
        <v>2.5</v>
      </c>
      <c r="M1731" s="2" t="n"/>
      <c r="N1731" s="7" t="n">
        <v>0.3</v>
      </c>
      <c r="O1731" s="4" t="n"/>
      <c r="P1731" s="2" t="inlineStr">
        <is>
          <t>45212225</t>
        </is>
      </c>
      <c r="Q1731" s="8" t="inlineStr">
        <is>
          <t>Ver</t>
        </is>
      </c>
      <c r="R1731" s="8" t="inlineStr">
        <is>
          <t>PCAP</t>
        </is>
      </c>
      <c r="S1731" s="9" t="n">
        <v>46310</v>
      </c>
      <c r="T1731" s="3" t="n">
        <v>46302.35820601852</v>
      </c>
      <c r="U1731" s="2" t="n"/>
    </row>
    <row r="1732">
      <c r="A1732" s="2" t="inlineStr">
        <is>
          <t>Resuelta</t>
        </is>
      </c>
      <c r="B1732" s="3" t="n">
        <v>46281.5</v>
      </c>
      <c r="C1732" s="5" t="n">
        <v>133644.51</v>
      </c>
      <c r="D1732" s="5" t="n">
        <v>133644.51</v>
      </c>
      <c r="E1732" s="2" t="inlineStr">
        <is>
          <t>Andalucía</t>
        </is>
      </c>
      <c r="F1732" s="2" t="inlineStr">
        <is>
          <t>Córdoba</t>
        </is>
      </c>
      <c r="G1732" s="2" t="n"/>
      <c r="H1732" s="2" t="inlineStr">
        <is>
          <t>Jefatura de Intendencia de Asuntos Económicos Sur</t>
        </is>
      </c>
      <c r="I1732" s="2" t="inlineStr">
        <is>
          <t>OBRA TC 204-16/25 de sustitución de cubierta y reparación de elementos estructurales en hangar nº 05, Base Cerro Muriano, Córdoba</t>
        </is>
      </c>
      <c r="J1732" s="2" t="inlineStr">
        <is>
          <t>2026/ETSAE0226/00005625E</t>
        </is>
      </c>
      <c r="K1732" s="2" t="inlineStr">
        <is>
          <t>Abierto</t>
        </is>
      </c>
      <c r="L1732" s="6" t="n">
        <v>3</v>
      </c>
      <c r="M1732" s="2" t="n"/>
      <c r="N1732" s="7" t="n">
        <v>0</v>
      </c>
      <c r="O1732" s="4" t="n"/>
      <c r="P1732" s="2" t="inlineStr">
        <is>
          <t>45261213</t>
        </is>
      </c>
      <c r="Q1732" s="8" t="inlineStr">
        <is>
          <t>Ver</t>
        </is>
      </c>
      <c r="R1732" s="8" t="inlineStr">
        <is>
          <t>PCAP</t>
        </is>
      </c>
      <c r="S1732" s="9" t="n">
        <v>46310</v>
      </c>
      <c r="T1732" s="3" t="n">
        <v>46302.35603009259</v>
      </c>
      <c r="U1732" s="2" t="n"/>
    </row>
    <row r="1733">
      <c r="A1733" s="2" t="inlineStr">
        <is>
          <t>Resuelta</t>
        </is>
      </c>
      <c r="B1733" s="3" t="n">
        <v>44858.54166666666</v>
      </c>
      <c r="C1733" s="5" t="n">
        <v>1770938.44</v>
      </c>
      <c r="D1733" s="5" t="n">
        <v>1770938.44</v>
      </c>
      <c r="E1733" s="2" t="inlineStr">
        <is>
          <t>Andalucía</t>
        </is>
      </c>
      <c r="F1733" s="2" t="inlineStr">
        <is>
          <t>Sevilla</t>
        </is>
      </c>
      <c r="G1733" s="2" t="inlineStr">
        <is>
          <t>Marchena</t>
        </is>
      </c>
      <c r="H1733" s="2" t="inlineStr">
        <is>
          <t>Pleno del Ayuntamiento de Marchena</t>
        </is>
      </c>
      <c r="I1733" s="2" t="inlineStr">
        <is>
          <t>Contrato de obras denominadas “PROYECTO DE EJECUCIÓN PARA LA REHABILITACIÓN AMPLIACIÓN Y ADAPTACIÓN DE LA CASA CONSISTORIAL DE MARCHENA A EDIFICIO DE CONSUMO ENERGÉTICO CASI NULO”, con cargo al Programa de subvenciones de la Diputación Provincial de Sevilla para la elaboración de proyectos básicos y de ejecución, así como la propia ejecución de las obras, de casas consistoriales de consumo energético casi nulo (CC-EECN) aprobadas por Resolución no 3168/2020 de 26/06/2020 (Bop no 153 de fecha 03/07/2020) y en las Bases reguladoras del Programa de Casas Consistoriales de consumo energético casi nulo (EECN) del Plan Provincial de Reactivación Económica y Social 2020-2021, aprobadas por el Pleno de la Diputación en sesión celebrada el 29/12/2020 (Bop no 8 de fecha 12/01/2021), así como su posterior modificación de 17 de mayo de 2021</t>
        </is>
      </c>
      <c r="J1733" s="2" t="inlineStr">
        <is>
          <t>2022/CTT_01/000156</t>
        </is>
      </c>
      <c r="K1733" s="2" t="inlineStr">
        <is>
          <t>Abierto simplificado</t>
        </is>
      </c>
      <c r="L1733" s="6" t="n">
        <v>15</v>
      </c>
      <c r="M1733" s="2" t="inlineStr">
        <is>
          <t>C9-4; C*-2; C*-6; C*-4</t>
        </is>
      </c>
      <c r="N1733" s="7" t="n">
        <v>0</v>
      </c>
      <c r="O1733" s="4" t="n"/>
      <c r="P1733" s="2" t="inlineStr">
        <is>
          <t>45000000; 45213150</t>
        </is>
      </c>
      <c r="Q1733" s="8" t="inlineStr">
        <is>
          <t>Ver</t>
        </is>
      </c>
      <c r="R1733" s="8" t="inlineStr">
        <is>
          <t>PCAP</t>
        </is>
      </c>
      <c r="S1733" s="9" t="n">
        <v>46310</v>
      </c>
      <c r="T1733" s="3" t="n">
        <v>46302.35174768518</v>
      </c>
      <c r="U1733" s="2" t="n"/>
    </row>
    <row r="1734">
      <c r="A1734" s="2" t="inlineStr">
        <is>
          <t>Adjudicada</t>
        </is>
      </c>
      <c r="B1734" s="3" t="n">
        <v>46293.625</v>
      </c>
      <c r="C1734" s="5" t="n">
        <v>413223.14</v>
      </c>
      <c r="D1734" s="5" t="n">
        <v>413223.14</v>
      </c>
      <c r="E1734" s="2" t="inlineStr">
        <is>
          <t>Andalucía</t>
        </is>
      </c>
      <c r="F1734" s="2" t="inlineStr">
        <is>
          <t>Sevilla</t>
        </is>
      </c>
      <c r="G1734" s="2" t="n"/>
      <c r="H1734" s="2" t="inlineStr">
        <is>
          <t>Alcaldía del Ayuntamiento de El Pedroso</t>
        </is>
      </c>
      <c r="I1734" s="2" t="inlineStr">
        <is>
          <t>Reforma y reparación del Camping La Jarosa</t>
        </is>
      </c>
      <c r="J1734" s="2" t="inlineStr">
        <is>
          <t>348/2025</t>
        </is>
      </c>
      <c r="K1734" s="2" t="inlineStr">
        <is>
          <t>Abierto</t>
        </is>
      </c>
      <c r="L1734" s="6" t="n">
        <v>6</v>
      </c>
      <c r="M1734" s="2" t="n"/>
      <c r="N1734" s="7" t="n">
        <v>0</v>
      </c>
      <c r="O1734" s="4" t="n"/>
      <c r="P1734" s="2" t="inlineStr">
        <is>
          <t>45212000</t>
        </is>
      </c>
      <c r="Q1734" s="8" t="inlineStr">
        <is>
          <t>Ver</t>
        </is>
      </c>
      <c r="R1734" s="8" t="inlineStr">
        <is>
          <t>PCAP</t>
        </is>
      </c>
      <c r="S1734" s="9" t="n">
        <v>46310</v>
      </c>
      <c r="T1734" s="3" t="n">
        <v>46302.3515162037</v>
      </c>
      <c r="U1734" s="2" t="n"/>
    </row>
    <row r="1735">
      <c r="A1735" s="2" t="inlineStr">
        <is>
          <t>Resuelta</t>
        </is>
      </c>
      <c r="B1735" s="3" t="n">
        <v>46233.75</v>
      </c>
      <c r="C1735" s="5" t="n">
        <v>681938.29</v>
      </c>
      <c r="D1735" s="5" t="n">
        <v>681938.29</v>
      </c>
      <c r="E1735" s="2" t="inlineStr">
        <is>
          <t>Andalucía</t>
        </is>
      </c>
      <c r="F1735" s="2" t="inlineStr">
        <is>
          <t>Cádiz</t>
        </is>
      </c>
      <c r="G1735" s="2" t="n"/>
      <c r="H1735" s="2" t="inlineStr">
        <is>
          <t>Junta de Gobierno del Ayuntamiento de El Puerto de Santa María</t>
        </is>
      </c>
      <c r="I1735" s="2" t="inlineStr">
        <is>
          <t>Ejecución de obras de sustitución de césped e instalación red de riego y equipamiento deportivo en campo de fútbol en la Ciudad Deportiva Rafael Sánchez.</t>
        </is>
      </c>
      <c r="J1735" s="2" t="inlineStr">
        <is>
          <t>8239/2026</t>
        </is>
      </c>
      <c r="K1735" s="2" t="inlineStr">
        <is>
          <t>Abierto simplificado</t>
        </is>
      </c>
      <c r="L1735" s="6" t="n">
        <v>3</v>
      </c>
      <c r="M1735" s="2" t="n"/>
      <c r="N1735" s="7" t="n">
        <v>0.25</v>
      </c>
      <c r="O1735" s="4" t="n"/>
      <c r="P1735" s="2" t="inlineStr">
        <is>
          <t>45236119; 45212200; 39293400; 45212290</t>
        </is>
      </c>
      <c r="Q1735" s="8" t="inlineStr">
        <is>
          <t>Ver</t>
        </is>
      </c>
      <c r="R1735" s="8" t="inlineStr">
        <is>
          <t>PCAP</t>
        </is>
      </c>
      <c r="S1735" s="9" t="n">
        <v>46310</v>
      </c>
      <c r="T1735" s="3" t="n">
        <v>46302.34282407408</v>
      </c>
      <c r="U1735" s="2" t="n"/>
    </row>
    <row r="1736">
      <c r="A1736" s="2" t="inlineStr">
        <is>
          <t>Resuelta</t>
        </is>
      </c>
      <c r="B1736" s="3" t="n">
        <v>46260.58333333334</v>
      </c>
      <c r="C1736" s="5" t="n">
        <v>99121.78999999999</v>
      </c>
      <c r="D1736" s="5" t="n">
        <v>99121.78999999999</v>
      </c>
      <c r="E1736" s="2" t="inlineStr">
        <is>
          <t>Comunitat Valenciana</t>
        </is>
      </c>
      <c r="F1736" s="2" t="inlineStr">
        <is>
          <t>Valencia</t>
        </is>
      </c>
      <c r="G1736" s="2" t="n"/>
      <c r="H1736" s="2" t="inlineStr">
        <is>
          <t>Concejalía Delegada de Contratación del Ayuntamiento de Gandía</t>
        </is>
      </c>
      <c r="I1736" s="2" t="inlineStr">
        <is>
          <t>Contrato de obras para la construcción de la segunda fase de nichos en la ampliación del Cementerio de Gandia.</t>
        </is>
      </c>
      <c r="J1736" s="2" t="inlineStr">
        <is>
          <t>CONT-052/2026 (37840/2026)</t>
        </is>
      </c>
      <c r="K1736" s="2" t="inlineStr">
        <is>
          <t>Abierto</t>
        </is>
      </c>
      <c r="L1736" s="6" t="n">
        <v>2</v>
      </c>
      <c r="M1736" s="2" t="n"/>
      <c r="N1736" s="7" t="n">
        <v>0</v>
      </c>
      <c r="O1736" s="4" t="n"/>
      <c r="P1736" s="2" t="inlineStr">
        <is>
          <t>45215400</t>
        </is>
      </c>
      <c r="Q1736" s="8" t="inlineStr">
        <is>
          <t>Ver</t>
        </is>
      </c>
      <c r="R1736" s="8" t="inlineStr">
        <is>
          <t>PCAP</t>
        </is>
      </c>
      <c r="S1736" s="9" t="n">
        <v>46310</v>
      </c>
      <c r="T1736" s="3" t="n">
        <v>46302.3409375</v>
      </c>
      <c r="U1736" s="2" t="n"/>
    </row>
    <row r="1737">
      <c r="A1737" s="2" t="inlineStr">
        <is>
          <t>Plazo vencido</t>
        </is>
      </c>
      <c r="B1737" s="3" t="n">
        <v>46315.5</v>
      </c>
      <c r="C1737" s="5" t="n">
        <v>52000</v>
      </c>
      <c r="D1737" s="5" t="n">
        <v>52000</v>
      </c>
      <c r="E1737" s="2" t="inlineStr">
        <is>
          <t>Andalucía</t>
        </is>
      </c>
      <c r="F1737" s="2" t="inlineStr">
        <is>
          <t>Granada</t>
        </is>
      </c>
      <c r="G1737" s="2" t="n"/>
      <c r="H1737" s="2" t="inlineStr">
        <is>
          <t>Dirección General de Renfe Ingeniería y Mantenimiento Sociedad Mercantil Estatal, S.A.</t>
        </is>
      </c>
      <c r="I1737" s="2" t="inlineStr">
        <is>
          <t>Obra de adecuacion y sustitucion de alumbrado y acometidas de techos, paredes y fosos, tipo led, en la nave de automotores del cerc de granada</t>
        </is>
      </c>
      <c r="J1737" s="2" t="inlineStr">
        <is>
          <t>2026-03849</t>
        </is>
      </c>
      <c r="K1737" s="2" t="inlineStr">
        <is>
          <t>Normas internas</t>
        </is>
      </c>
      <c r="L1737" s="6" t="n">
        <v>3</v>
      </c>
      <c r="M1737" s="2" t="n"/>
      <c r="N1737" s="7" t="n"/>
      <c r="O1737" s="4" t="n"/>
      <c r="P1737" s="2" t="inlineStr">
        <is>
          <t>45316000; 45310000</t>
        </is>
      </c>
      <c r="Q1737" s="8" t="inlineStr">
        <is>
          <t>Ver</t>
        </is>
      </c>
      <c r="R1737" s="8" t="inlineStr">
        <is>
          <t>PCAP</t>
        </is>
      </c>
      <c r="S1737" s="9" t="n">
        <v>46310</v>
      </c>
      <c r="T1737" s="3" t="n">
        <v>46302.31199074074</v>
      </c>
      <c r="U1737" s="2" t="n"/>
    </row>
    <row r="1738">
      <c r="A1738" s="2" t="inlineStr">
        <is>
          <t>Plazo vencido</t>
        </is>
      </c>
      <c r="B1738" s="3" t="n">
        <v>46317.99930555555</v>
      </c>
      <c r="C1738" s="5" t="n">
        <v>145984</v>
      </c>
      <c r="D1738" s="5" t="n">
        <v>145984</v>
      </c>
      <c r="E1738" s="2" t="inlineStr">
        <is>
          <t>Comunitat Valenciana</t>
        </is>
      </c>
      <c r="F1738" s="2" t="inlineStr">
        <is>
          <t>Alicante</t>
        </is>
      </c>
      <c r="G1738" s="2" t="n"/>
      <c r="H1738" s="2" t="inlineStr">
        <is>
          <t>Alcaldía del Ayuntamiento de Polop</t>
        </is>
      </c>
      <c r="I1738" s="2" t="inlineStr">
        <is>
          <t>Obras de reparación de fuente y depósito de la Plaza de los Chorros en Polop de la Marina (Alicante).</t>
        </is>
      </c>
      <c r="J1738" s="2" t="inlineStr">
        <is>
          <t>2869/2026</t>
        </is>
      </c>
      <c r="K1738" s="2" t="inlineStr">
        <is>
          <t>Abierto simplificado</t>
        </is>
      </c>
      <c r="L1738" s="6" t="n">
        <v>3</v>
      </c>
      <c r="M1738" s="2" t="n"/>
      <c r="N1738" s="7" t="n">
        <v>0.25</v>
      </c>
      <c r="O1738" s="4" t="n"/>
      <c r="P1738" s="2" t="inlineStr">
        <is>
          <t>45212350</t>
        </is>
      </c>
      <c r="Q1738" s="8" t="inlineStr">
        <is>
          <t>Ver</t>
        </is>
      </c>
      <c r="R1738" s="8" t="inlineStr">
        <is>
          <t>PCAP</t>
        </is>
      </c>
      <c r="S1738" s="9" t="n">
        <v>46310</v>
      </c>
      <c r="T1738" s="3" t="n">
        <v>46302.25481481481</v>
      </c>
      <c r="U1738" s="2" t="n"/>
    </row>
    <row r="1739">
      <c r="A1739" s="2" t="inlineStr">
        <is>
          <t>En plazo</t>
        </is>
      </c>
      <c r="B1739" s="3" t="n">
        <v>46321.58333333334</v>
      </c>
      <c r="C1739" s="5" t="n">
        <v>54504.36</v>
      </c>
      <c r="D1739" s="5" t="n">
        <v>54504.36</v>
      </c>
      <c r="E1739" s="2" t="inlineStr">
        <is>
          <t>Comunitat Valenciana</t>
        </is>
      </c>
      <c r="F1739" s="2" t="inlineStr">
        <is>
          <t>Valencia</t>
        </is>
      </c>
      <c r="G1739" s="2" t="inlineStr">
        <is>
          <t>Vallanca</t>
        </is>
      </c>
      <c r="H1739" s="2" t="inlineStr">
        <is>
          <t>Alcaldía del Ayuntamiento de Vallanca</t>
        </is>
      </c>
      <c r="I1739" s="2" t="inlineStr">
        <is>
          <t>Rehabilitación del inmueble municipal Casa Diezmera</t>
        </is>
      </c>
      <c r="J1739" s="2" t="inlineStr">
        <is>
          <t>240/2026</t>
        </is>
      </c>
      <c r="K1739" s="2" t="inlineStr">
        <is>
          <t>Abierto simplificado</t>
        </is>
      </c>
      <c r="L1739" s="6" t="n">
        <v>6</v>
      </c>
      <c r="M1739" s="2" t="n"/>
      <c r="N1739" s="7" t="n">
        <v>0</v>
      </c>
      <c r="O1739" s="4" t="n"/>
      <c r="P1739" s="2" t="inlineStr">
        <is>
          <t>45262690</t>
        </is>
      </c>
      <c r="Q1739" s="8" t="inlineStr">
        <is>
          <t>Ver</t>
        </is>
      </c>
      <c r="R1739" s="8" t="inlineStr">
        <is>
          <t>PCAP</t>
        </is>
      </c>
      <c r="S1739" s="9" t="n">
        <v>46310</v>
      </c>
      <c r="T1739" s="3" t="n">
        <v>46301.87353009259</v>
      </c>
      <c r="U1739" s="2" t="n"/>
    </row>
    <row r="1740">
      <c r="A1740" s="2" t="inlineStr">
        <is>
          <t>Pendiente de adjudicación</t>
        </is>
      </c>
      <c r="B1740" s="3" t="n">
        <v>46174.99930555555</v>
      </c>
      <c r="C1740" s="5" t="n">
        <v>162659.88</v>
      </c>
      <c r="D1740" s="5" t="n">
        <v>162659.88</v>
      </c>
      <c r="E1740" s="2" t="inlineStr">
        <is>
          <t>Andalucía</t>
        </is>
      </c>
      <c r="F1740" s="2" t="inlineStr">
        <is>
          <t>Málaga</t>
        </is>
      </c>
      <c r="G1740" s="2" t="inlineStr">
        <is>
          <t>Torrox</t>
        </is>
      </c>
      <c r="H1740" s="2" t="inlineStr">
        <is>
          <t>Alcaldia del Ayuntamiento de Torrox</t>
        </is>
      </c>
      <c r="I1740" s="2" t="inlineStr">
        <is>
          <t>Reparación de canalizaciones, conductos y equipos de climatización y cambio de bomba de calor en edificio de usos multiples en Torrox-Costa</t>
        </is>
      </c>
      <c r="J1740" s="2" t="inlineStr">
        <is>
          <t>1775/2026</t>
        </is>
      </c>
      <c r="K1740" s="2" t="inlineStr">
        <is>
          <t>Abierto simplificado</t>
        </is>
      </c>
      <c r="L1740" s="6" t="n">
        <v>3</v>
      </c>
      <c r="M1740" s="2" t="n"/>
      <c r="N1740" s="7" t="n">
        <v>0.667</v>
      </c>
      <c r="O1740" s="4" t="n"/>
      <c r="P1740" s="2" t="inlineStr">
        <is>
          <t>45331220; 42512300; 42512000</t>
        </is>
      </c>
      <c r="Q1740" s="8" t="inlineStr">
        <is>
          <t>Ver</t>
        </is>
      </c>
      <c r="R1740" s="8" t="inlineStr">
        <is>
          <t>PCAP</t>
        </is>
      </c>
      <c r="S1740" s="9" t="n">
        <v>46310</v>
      </c>
      <c r="T1740" s="3" t="n">
        <v>46301.78880787037</v>
      </c>
      <c r="U1740" s="2" t="n"/>
    </row>
    <row r="1741">
      <c r="A1741" s="2" t="inlineStr">
        <is>
          <t>En plazo</t>
        </is>
      </c>
      <c r="B1741" s="3" t="n">
        <v>46321.99930555555</v>
      </c>
      <c r="C1741" s="5" t="n">
        <v>80021.95</v>
      </c>
      <c r="D1741" s="5" t="n">
        <v>80021.95</v>
      </c>
      <c r="E1741" s="2" t="inlineStr">
        <is>
          <t>Andalucía</t>
        </is>
      </c>
      <c r="F1741" s="2" t="inlineStr">
        <is>
          <t>Jaén</t>
        </is>
      </c>
      <c r="G1741" s="2" t="inlineStr">
        <is>
          <t>Torreblascopedro, Jaén</t>
        </is>
      </c>
      <c r="H1741" s="2" t="inlineStr">
        <is>
          <t>Alcaldía del Ayuntamiento de Torreblascopedro</t>
        </is>
      </c>
      <c r="I1741" s="2" t="inlineStr">
        <is>
          <t>Reparación e impermeabilización de cubierta metálica del Complejo Deportivo Municipal (Pabellón) de Torreblascopedro (Jaén), en el marco del Real Decreto-ley 5/2026, de 17 de febrero, por el que se adoptan medidas urgentes en respuesta a los daños causados por diversos fenómenos meteorológicos adversos, de especial afectación en las comunidades de Andalucía y Extremadura</t>
        </is>
      </c>
      <c r="J1741" s="2" t="inlineStr">
        <is>
          <t>299/2026</t>
        </is>
      </c>
      <c r="K1741" s="2" t="inlineStr">
        <is>
          <t>Abierto simplificado</t>
        </is>
      </c>
      <c r="L1741" s="6" t="n">
        <v>3</v>
      </c>
      <c r="M1741" s="2" t="inlineStr">
        <is>
          <t>C7-1</t>
        </is>
      </c>
      <c r="N1741" s="7" t="n">
        <v>0</v>
      </c>
      <c r="O1741" s="4" t="n"/>
      <c r="P1741" s="2" t="inlineStr">
        <is>
          <t>45261900; 45261420; 09331200</t>
        </is>
      </c>
      <c r="Q1741" s="8" t="inlineStr">
        <is>
          <t>Ver</t>
        </is>
      </c>
      <c r="R1741" s="8" t="inlineStr">
        <is>
          <t>PCAP</t>
        </is>
      </c>
      <c r="S1741" s="9" t="n">
        <v>46310</v>
      </c>
      <c r="T1741" s="3" t="n">
        <v>46301.77266203704</v>
      </c>
      <c r="U1741" s="2" t="n"/>
    </row>
    <row r="1742">
      <c r="A1742" s="2" t="inlineStr">
        <is>
          <t>Pendiente de adjudicación</t>
        </is>
      </c>
      <c r="B1742" s="3" t="n">
        <v>46293.99930555555</v>
      </c>
      <c r="C1742" s="5" t="n">
        <v>51577.69</v>
      </c>
      <c r="D1742" s="5" t="n">
        <v>51577.69</v>
      </c>
      <c r="E1742" s="2" t="inlineStr">
        <is>
          <t>Andalucía</t>
        </is>
      </c>
      <c r="F1742" s="2" t="inlineStr">
        <is>
          <t>Granada</t>
        </is>
      </c>
      <c r="G1742" s="2" t="inlineStr">
        <is>
          <t>JUN.</t>
        </is>
      </c>
      <c r="H1742" s="2" t="inlineStr">
        <is>
          <t>Alcaldía del Ayuntamiento de Jun</t>
        </is>
      </c>
      <c r="I1742" s="2" t="inlineStr">
        <is>
          <t>Pavimentación de las calles San Luís, Aguas, Antonio Rodríguez, en JUN.</t>
        </is>
      </c>
      <c r="J1742" s="2" t="inlineStr">
        <is>
          <t>387/2026</t>
        </is>
      </c>
      <c r="K1742" s="2" t="inlineStr">
        <is>
          <t>Abierto simplificado</t>
        </is>
      </c>
      <c r="L1742" s="6" t="n">
        <v>0.7</v>
      </c>
      <c r="M1742" s="2" t="n"/>
      <c r="N1742" s="7" t="n">
        <v>0</v>
      </c>
      <c r="O1742" s="4" t="n"/>
      <c r="P1742" s="2" t="inlineStr">
        <is>
          <t>45233252</t>
        </is>
      </c>
      <c r="Q1742" s="8" t="inlineStr">
        <is>
          <t>Ver</t>
        </is>
      </c>
      <c r="R1742" s="8" t="inlineStr">
        <is>
          <t>PCAP</t>
        </is>
      </c>
      <c r="S1742" s="9" t="n">
        <v>46310</v>
      </c>
      <c r="T1742" s="3" t="n">
        <v>46301.73722222223</v>
      </c>
      <c r="U1742" s="2" t="n"/>
    </row>
    <row r="1743">
      <c r="A1743" s="2" t="inlineStr">
        <is>
          <t>Adjudicada</t>
        </is>
      </c>
      <c r="B1743" s="3" t="n">
        <v>46230.99930555555</v>
      </c>
      <c r="C1743" s="5" t="n">
        <v>1239669.42</v>
      </c>
      <c r="D1743" s="5" t="n">
        <v>2975206.61</v>
      </c>
      <c r="E1743" s="2" t="inlineStr">
        <is>
          <t>Andalucía</t>
        </is>
      </c>
      <c r="F1743" s="2" t="inlineStr">
        <is>
          <t>Málaga</t>
        </is>
      </c>
      <c r="G1743" s="2" t="n"/>
      <c r="H1743" s="2" t="inlineStr">
        <is>
          <t>Concejalía Delegada en Materia de Contratación del Ayuntamiento de Torremolinos</t>
        </is>
      </c>
      <c r="I1743" s="2" t="inlineStr">
        <is>
          <t>Acuerdo Marco obras de reparación simple, conservación y mantenimiento de acera y áreas peatonales de espacios públicos del Ayuntamiento de Torremolinos (3 lotes)</t>
        </is>
      </c>
      <c r="J1743" s="2" t="inlineStr">
        <is>
          <t>13571/2026</t>
        </is>
      </c>
      <c r="K1743" s="2" t="inlineStr">
        <is>
          <t>Abierto</t>
        </is>
      </c>
      <c r="L1743" s="6" t="n">
        <v>12</v>
      </c>
      <c r="M1743" s="2" t="n"/>
      <c r="N1743" s="7" t="n">
        <v>0.15</v>
      </c>
      <c r="O1743" s="4" t="n"/>
      <c r="P1743" s="2" t="inlineStr">
        <is>
          <t>45233222; 50230000; 45233251; 45233253; 45233252</t>
        </is>
      </c>
      <c r="Q1743" s="8" t="inlineStr">
        <is>
          <t>Ver</t>
        </is>
      </c>
      <c r="R1743" s="8" t="inlineStr">
        <is>
          <t>PCAP</t>
        </is>
      </c>
      <c r="S1743" s="9" t="n">
        <v>46310</v>
      </c>
      <c r="T1743" s="3" t="n">
        <v>46301.70177083334</v>
      </c>
      <c r="U1743" s="2" t="n"/>
    </row>
    <row r="1744">
      <c r="A1744" s="2" t="inlineStr">
        <is>
          <t>Resuelta</t>
        </is>
      </c>
      <c r="B1744" s="3" t="n">
        <v>46210.58333333334</v>
      </c>
      <c r="C1744" s="5" t="n">
        <v>254134.14</v>
      </c>
      <c r="D1744" s="5" t="n">
        <v>254134.14</v>
      </c>
      <c r="E1744" s="2" t="inlineStr">
        <is>
          <t>Comunitat Valenciana</t>
        </is>
      </c>
      <c r="F1744" s="2" t="inlineStr">
        <is>
          <t>Valencia</t>
        </is>
      </c>
      <c r="G1744" s="2" t="n"/>
      <c r="H1744" s="2" t="inlineStr">
        <is>
          <t>Alcaldía del Ayuntamiento de Almussafes</t>
        </is>
      </c>
      <c r="I1744" s="2" t="inlineStr">
        <is>
          <t>Contrato obras de construcción de vestuarios y aseos para uso compartido del campo de fútbol y la pista polivalente de Almussafes</t>
        </is>
      </c>
      <c r="J1744" s="2" t="inlineStr">
        <is>
          <t>SEC/cma/020-2026</t>
        </is>
      </c>
      <c r="K1744" s="2" t="inlineStr">
        <is>
          <t>Abierto simplificado</t>
        </is>
      </c>
      <c r="L1744" s="6" t="n">
        <v>5</v>
      </c>
      <c r="M1744" s="2" t="n"/>
      <c r="N1744" s="7" t="n">
        <v>0</v>
      </c>
      <c r="O1744" s="4" t="n"/>
      <c r="P1744" s="2" t="inlineStr">
        <is>
          <t>45212200; 45212230</t>
        </is>
      </c>
      <c r="Q1744" s="8" t="inlineStr">
        <is>
          <t>Ver</t>
        </is>
      </c>
      <c r="R1744" s="8" t="inlineStr">
        <is>
          <t>PCAP</t>
        </is>
      </c>
      <c r="S1744" s="9" t="n">
        <v>46310</v>
      </c>
      <c r="T1744" s="3" t="n">
        <v>46301.64070601852</v>
      </c>
      <c r="U1744" s="2" t="n"/>
    </row>
    <row r="1745">
      <c r="A1745" s="2" t="inlineStr">
        <is>
          <t>Resuelta</t>
        </is>
      </c>
      <c r="B1745" s="3" t="n">
        <v>46237.99930555555</v>
      </c>
      <c r="C1745" s="5" t="n">
        <v>1377516.84</v>
      </c>
      <c r="D1745" s="5" t="n">
        <v>1377516.84</v>
      </c>
      <c r="E1745" s="2" t="inlineStr">
        <is>
          <t>Andalucía</t>
        </is>
      </c>
      <c r="F1745" s="2" t="inlineStr">
        <is>
          <t>Málaga</t>
        </is>
      </c>
      <c r="G1745" s="2" t="n"/>
      <c r="H1745" s="2" t="inlineStr">
        <is>
          <t>Alcaldía del Ayuntamiento de Alhaurín de la Torre</t>
        </is>
      </c>
      <c r="I1745" s="2" t="inlineStr">
        <is>
          <t>Restitución de la canalización de aguas pluviales en las calles Félix Rodríguez de la Fuente, Cabo de Gata, Jose Espronceda y Avenida de la Calera hasta llegar al cauce del Arroyo del Gato</t>
        </is>
      </c>
      <c r="J1745" s="2" t="inlineStr">
        <is>
          <t>2026 CONT-00030</t>
        </is>
      </c>
      <c r="K1745" s="2" t="inlineStr">
        <is>
          <t>Abierto simplificado</t>
        </is>
      </c>
      <c r="L1745" s="6" t="n">
        <v>8</v>
      </c>
      <c r="M1745" s="2" t="inlineStr">
        <is>
          <t>E1-4</t>
        </is>
      </c>
      <c r="N1745" s="7" t="n">
        <v>0</v>
      </c>
      <c r="O1745" s="4" t="n"/>
      <c r="P1745" s="2" t="inlineStr">
        <is>
          <t>45000000; 45232400; 45112000; 45233222; 45232410; 45112100; 45231300; 45200000</t>
        </is>
      </c>
      <c r="Q1745" s="8" t="inlineStr">
        <is>
          <t>Ver</t>
        </is>
      </c>
      <c r="R1745" s="8" t="inlineStr">
        <is>
          <t>PCAP</t>
        </is>
      </c>
      <c r="S1745" s="9" t="n">
        <v>46310</v>
      </c>
      <c r="T1745" s="3" t="n">
        <v>46301.63260416667</v>
      </c>
      <c r="U1745" s="2" t="n"/>
    </row>
    <row r="1746">
      <c r="A1746" s="2" t="inlineStr">
        <is>
          <t>Plazo vencido</t>
        </is>
      </c>
      <c r="B1746" s="3" t="n">
        <v>46316.99930555555</v>
      </c>
      <c r="C1746" s="5" t="n">
        <v>59473.66</v>
      </c>
      <c r="D1746" s="5" t="n">
        <v>59473.66</v>
      </c>
      <c r="E1746" s="2" t="inlineStr">
        <is>
          <t>Andalucía</t>
        </is>
      </c>
      <c r="F1746" s="2" t="inlineStr">
        <is>
          <t>Cádiz</t>
        </is>
      </c>
      <c r="G1746" s="2" t="inlineStr">
        <is>
          <t>Algeciras (Cádiz)</t>
        </is>
      </c>
      <c r="H1746" s="2" t="inlineStr">
        <is>
          <t>Alcaldía del Ayuntamiento de Algeciras</t>
        </is>
      </c>
      <c r="I1746" s="2" t="inlineStr">
        <is>
          <t>REPARACIÓN PARCIAL DE CUBIERTA DE LA EEI GLORIAFUERTES LOTE 1: Obra de Reparación parcial de la cubierta en la EEI Gloria Fuertes LOTE2: Asistencia técnica para la coordinación de seguridad y salud en fase ejecución de las obras.</t>
        </is>
      </c>
      <c r="J1746" s="2" t="inlineStr">
        <is>
          <t>23105/2026</t>
        </is>
      </c>
      <c r="K1746" s="2" t="inlineStr">
        <is>
          <t>Abierto simplificado</t>
        </is>
      </c>
      <c r="L1746" s="6" t="n">
        <v>3</v>
      </c>
      <c r="M1746" s="2" t="n"/>
      <c r="N1746" s="7" t="n">
        <v>0</v>
      </c>
      <c r="O1746" s="4" t="n">
        <v>2</v>
      </c>
      <c r="P1746" s="2" t="inlineStr">
        <is>
          <t>45200000; 71317200</t>
        </is>
      </c>
      <c r="Q1746" s="8" t="inlineStr">
        <is>
          <t>Ver</t>
        </is>
      </c>
      <c r="R1746" s="8" t="inlineStr">
        <is>
          <t>PCAP</t>
        </is>
      </c>
      <c r="S1746" s="9" t="n">
        <v>46310</v>
      </c>
      <c r="T1746" s="3" t="n">
        <v>46301.6309375</v>
      </c>
      <c r="U1746" s="2" t="n"/>
    </row>
    <row r="1747">
      <c r="A1747" s="2" t="inlineStr">
        <is>
          <t>Resuelta</t>
        </is>
      </c>
      <c r="B1747" s="3" t="n">
        <v>46094.95833333334</v>
      </c>
      <c r="C1747" s="5" t="n">
        <v>353626.79</v>
      </c>
      <c r="D1747" s="5" t="n">
        <v>353626.79</v>
      </c>
      <c r="E1747" s="2" t="inlineStr">
        <is>
          <t>Andalucía</t>
        </is>
      </c>
      <c r="F1747" s="2" t="inlineStr">
        <is>
          <t>Granada</t>
        </is>
      </c>
      <c r="G1747" s="2" t="n"/>
      <c r="H1747" s="2" t="inlineStr">
        <is>
          <t>Alcaldía del Ayuntamiento de Vegas del Genil</t>
        </is>
      </c>
      <c r="I1747" s="2" t="inlineStr">
        <is>
          <t>Remodelación de varios parques (Avda. del Mediterráneo, C/Fuente Vaqueros, C/ Atenea, C/ Águila) y Plaza de Andalucía.</t>
        </is>
      </c>
      <c r="J1747" s="2" t="inlineStr">
        <is>
          <t>7448/2025</t>
        </is>
      </c>
      <c r="K1747" s="2" t="inlineStr">
        <is>
          <t>Abierto simplificado</t>
        </is>
      </c>
      <c r="L1747" s="6" t="n">
        <v>4</v>
      </c>
      <c r="M1747" s="2" t="n"/>
      <c r="N1747" s="7" t="n">
        <v>0</v>
      </c>
      <c r="O1747" s="4" t="n">
        <v>5</v>
      </c>
      <c r="P1747" s="2" t="inlineStr">
        <is>
          <t>45112711; 45000000</t>
        </is>
      </c>
      <c r="Q1747" s="8" t="inlineStr">
        <is>
          <t>Ver</t>
        </is>
      </c>
      <c r="R1747" s="8" t="inlineStr">
        <is>
          <t>PCAP</t>
        </is>
      </c>
      <c r="S1747" s="9" t="n">
        <v>46310</v>
      </c>
      <c r="T1747" s="3" t="n">
        <v>46301.62054398148</v>
      </c>
      <c r="U1747" s="2" t="n"/>
    </row>
    <row r="1748">
      <c r="A1748" s="2" t="inlineStr">
        <is>
          <t>Adjudicada</t>
        </is>
      </c>
      <c r="B1748" s="3" t="n">
        <v>46290.99930555555</v>
      </c>
      <c r="C1748" s="5" t="n">
        <v>63809.56</v>
      </c>
      <c r="D1748" s="5" t="n">
        <v>63809.56</v>
      </c>
      <c r="E1748" s="2" t="inlineStr">
        <is>
          <t>Comunitat Valenciana</t>
        </is>
      </c>
      <c r="F1748" s="2" t="inlineStr">
        <is>
          <t>Valencia</t>
        </is>
      </c>
      <c r="G1748" s="2" t="inlineStr">
        <is>
          <t>Jalance</t>
        </is>
      </c>
      <c r="H1748" s="2" t="inlineStr">
        <is>
          <t>Alcaldía del Ayuntamiento de Jalance</t>
        </is>
      </c>
      <c r="I1748" s="2" t="inlineStr">
        <is>
          <t>Obras de acondicionamiento de Camino Penva Campillo según proyecto redactado por Óscar Méndez Argente (Ingeniero Industrial nº4.400) de fecha septiembre 2026, PENVA 2025.</t>
        </is>
      </c>
      <c r="J1748" s="2" t="inlineStr">
        <is>
          <t>458-2026</t>
        </is>
      </c>
      <c r="K1748" s="2" t="inlineStr">
        <is>
          <t>Abierto simplificado</t>
        </is>
      </c>
      <c r="L1748" s="6" t="n"/>
      <c r="M1748" s="2" t="n"/>
      <c r="N1748" s="7" t="n">
        <v>0</v>
      </c>
      <c r="O1748" s="4" t="n"/>
      <c r="P1748" s="2" t="inlineStr">
        <is>
          <t>45233222</t>
        </is>
      </c>
      <c r="Q1748" s="8" t="inlineStr">
        <is>
          <t>Ver</t>
        </is>
      </c>
      <c r="R1748" s="8" t="inlineStr">
        <is>
          <t>PCAP</t>
        </is>
      </c>
      <c r="S1748" s="9" t="n">
        <v>46310</v>
      </c>
      <c r="T1748" s="3" t="n">
        <v>46301.62006944444</v>
      </c>
      <c r="U1748" s="2" t="n"/>
    </row>
    <row r="1749">
      <c r="A1749" s="2" t="inlineStr">
        <is>
          <t>En plazo</t>
        </is>
      </c>
      <c r="B1749" s="3" t="n">
        <v>46321.99930555555</v>
      </c>
      <c r="C1749" s="5" t="n">
        <v>1025843.16</v>
      </c>
      <c r="D1749" s="5" t="n">
        <v>1025843.16</v>
      </c>
      <c r="E1749" s="2" t="inlineStr">
        <is>
          <t>Andalucía</t>
        </is>
      </c>
      <c r="F1749" s="2" t="inlineStr">
        <is>
          <t>Málaga</t>
        </is>
      </c>
      <c r="G1749" s="2" t="inlineStr">
        <is>
          <t>Alhaurín el Grande</t>
        </is>
      </c>
      <c r="H1749" s="2" t="inlineStr">
        <is>
          <t>Alcaldía del Ayuntamiento de Alhaurín el Grande</t>
        </is>
      </c>
      <c r="I1749" s="2" t="inlineStr">
        <is>
          <t>Proyecto de obras de renaturalización de las Avenidas Blas Infante y Libertad. Tramo 4</t>
        </is>
      </c>
      <c r="J1749" s="2" t="inlineStr">
        <is>
          <t>25734/2026 BLAS INFANTE Y LIBERTAD</t>
        </is>
      </c>
      <c r="K1749" s="2" t="inlineStr">
        <is>
          <t>Abierto simplificado</t>
        </is>
      </c>
      <c r="L1749" s="6" t="n">
        <v>14</v>
      </c>
      <c r="M1749" s="2" t="n"/>
      <c r="N1749" s="7" t="n">
        <v>0.1</v>
      </c>
      <c r="O1749" s="4" t="n"/>
      <c r="P1749" s="2" t="inlineStr">
        <is>
          <t>45223210; 45262520; 45233140; 45262210; 45112000; 45232100</t>
        </is>
      </c>
      <c r="Q1749" s="8" t="inlineStr">
        <is>
          <t>Ver</t>
        </is>
      </c>
      <c r="R1749" s="8" t="inlineStr">
        <is>
          <t>PCAP</t>
        </is>
      </c>
      <c r="S1749" s="9" t="n">
        <v>46310</v>
      </c>
      <c r="T1749" s="3" t="n">
        <v>46301.61583333334</v>
      </c>
      <c r="U1749" s="2" t="n"/>
    </row>
    <row r="1750">
      <c r="A1750" s="2" t="inlineStr">
        <is>
          <t>Resuelta</t>
        </is>
      </c>
      <c r="B1750" s="3" t="n">
        <v>46105.99930555555</v>
      </c>
      <c r="C1750" s="5" t="n">
        <v>210341.16</v>
      </c>
      <c r="D1750" s="5" t="n">
        <v>210341.16</v>
      </c>
      <c r="E1750" s="2" t="inlineStr">
        <is>
          <t>Comunitat Valenciana</t>
        </is>
      </c>
      <c r="F1750" s="2" t="inlineStr">
        <is>
          <t>Valencia</t>
        </is>
      </c>
      <c r="G1750" s="2" t="n"/>
      <c r="H1750" s="2" t="inlineStr">
        <is>
          <t>Dirección General Societat Anonima de Gestió Sagunt Mitja Propi Municipal S.A.</t>
        </is>
      </c>
      <c r="I1750" s="2" t="inlineStr">
        <is>
          <t>Establecimiento de Acuerdo Marco mixto para el suministro de material de pintura (accesorio) y trabajos (principal) de aplicación.</t>
        </is>
      </c>
      <c r="J1750" s="2" t="inlineStr">
        <is>
          <t>AMSAG2026-01</t>
        </is>
      </c>
      <c r="K1750" s="2" t="inlineStr">
        <is>
          <t>Abierto</t>
        </is>
      </c>
      <c r="L1750" s="6" t="n">
        <v>12</v>
      </c>
      <c r="M1750" s="2" t="n"/>
      <c r="N1750" s="7" t="n">
        <v>0</v>
      </c>
      <c r="O1750" s="4" t="n">
        <v>3</v>
      </c>
      <c r="P1750" s="2" t="inlineStr">
        <is>
          <t>45233221; 44800000; 44811000; 45442110</t>
        </is>
      </c>
      <c r="Q1750" s="8" t="inlineStr">
        <is>
          <t>Ver</t>
        </is>
      </c>
      <c r="R1750" s="8" t="inlineStr">
        <is>
          <t>PCAP</t>
        </is>
      </c>
      <c r="S1750" s="9" t="n">
        <v>46310</v>
      </c>
      <c r="T1750" s="3" t="n">
        <v>46301.61453703704</v>
      </c>
      <c r="U1750" s="2" t="n"/>
    </row>
    <row r="1751">
      <c r="A1751" s="2" t="inlineStr">
        <is>
          <t>Resuelta</t>
        </is>
      </c>
      <c r="B1751" s="3" t="n">
        <v>46283.99930555555</v>
      </c>
      <c r="C1751" s="5" t="n">
        <v>799142.17</v>
      </c>
      <c r="D1751" s="5" t="n">
        <v>799142.17</v>
      </c>
      <c r="E1751" s="2" t="inlineStr">
        <is>
          <t>Andalucía</t>
        </is>
      </c>
      <c r="F1751" s="2" t="inlineStr">
        <is>
          <t>Sevilla</t>
        </is>
      </c>
      <c r="G1751" s="2" t="inlineStr">
        <is>
          <t>Alcalá de Guadaíra</t>
        </is>
      </c>
      <c r="H1751" s="2" t="inlineStr">
        <is>
          <t>Junta de Gobierno Local del Ayuntamiento de Alcalá de Guadaíra</t>
        </is>
      </c>
      <c r="I1751" s="2" t="inlineStr">
        <is>
          <t>obras de ampliación del museo de la ciudad (C-2026/044)</t>
        </is>
      </c>
      <c r="J1751" s="2" t="inlineStr">
        <is>
          <t>7693/2026</t>
        </is>
      </c>
      <c r="K1751" s="2" t="inlineStr">
        <is>
          <t>Abierto simplificado</t>
        </is>
      </c>
      <c r="L1751" s="6" t="n">
        <v>12</v>
      </c>
      <c r="M1751" s="2" t="n"/>
      <c r="N1751" s="7" t="n">
        <v>0.2</v>
      </c>
      <c r="O1751" s="4" t="n"/>
      <c r="P1751" s="2" t="inlineStr">
        <is>
          <t>45212313</t>
        </is>
      </c>
      <c r="Q1751" s="8" t="inlineStr">
        <is>
          <t>Ver</t>
        </is>
      </c>
      <c r="R1751" s="8" t="inlineStr">
        <is>
          <t>PCAP</t>
        </is>
      </c>
      <c r="S1751" s="9" t="n">
        <v>46310</v>
      </c>
      <c r="T1751" s="3" t="n">
        <v>46301.60958333333</v>
      </c>
      <c r="U1751" s="2" t="n"/>
    </row>
    <row r="1752">
      <c r="A1752" s="2" t="inlineStr">
        <is>
          <t>Pendiente de adjudicación</t>
        </is>
      </c>
      <c r="B1752" s="3" t="n">
        <v>46231.58333333334</v>
      </c>
      <c r="C1752" s="5" t="n">
        <v>11085400.34</v>
      </c>
      <c r="D1752" s="5" t="n">
        <v>11085400.34</v>
      </c>
      <c r="E1752" s="2" t="inlineStr">
        <is>
          <t>Comunitat Valenciana</t>
        </is>
      </c>
      <c r="F1752" s="2" t="inlineStr">
        <is>
          <t>Valencia</t>
        </is>
      </c>
      <c r="G1752" s="2" t="n"/>
      <c r="H1752" s="2" t="inlineStr">
        <is>
          <t>Presidencia de la Entidad Valenciana de Vivienda y Suelo</t>
        </is>
      </c>
      <c r="I1752" s="2" t="inlineStr">
        <is>
          <t>Obras de Ejecución de edificio de 57 viviendas de Protección Pública, y 57 plazas de aparcamiento en sótano, en la calle Artesans, 15 del Sector Benisaet de Torrent (Valencia).</t>
        </is>
      </c>
      <c r="J1752" s="2" t="inlineStr">
        <is>
          <t>CMAYOR/2026/EVHA0/0008</t>
        </is>
      </c>
      <c r="K1752" s="2" t="inlineStr">
        <is>
          <t>Abierto</t>
        </is>
      </c>
      <c r="L1752" s="6" t="n">
        <v>24</v>
      </c>
      <c r="M1752" s="2" t="inlineStr">
        <is>
          <t>C6-6; C*-6; C2-6</t>
        </is>
      </c>
      <c r="N1752" s="7" t="n">
        <v>0.3</v>
      </c>
      <c r="O1752" s="4" t="n"/>
      <c r="P1752" s="2" t="inlineStr">
        <is>
          <t>45211340</t>
        </is>
      </c>
      <c r="Q1752" s="8" t="inlineStr">
        <is>
          <t>Ver</t>
        </is>
      </c>
      <c r="R1752" s="8" t="inlineStr">
        <is>
          <t>PCAP</t>
        </is>
      </c>
      <c r="S1752" s="9" t="n">
        <v>46310</v>
      </c>
      <c r="T1752" s="3" t="n">
        <v>46301.6075462963</v>
      </c>
      <c r="U1752" s="2" t="n"/>
    </row>
    <row r="1753">
      <c r="A1753" s="2" t="inlineStr">
        <is>
          <t>En plazo</t>
        </is>
      </c>
      <c r="B1753" s="3" t="n">
        <v>46321.99930555555</v>
      </c>
      <c r="C1753" s="5" t="n">
        <v>66264.12</v>
      </c>
      <c r="D1753" s="5" t="n">
        <v>66264.12</v>
      </c>
      <c r="E1753" s="2" t="inlineStr">
        <is>
          <t>Andalucía</t>
        </is>
      </c>
      <c r="F1753" s="2" t="inlineStr">
        <is>
          <t>Jaén</t>
        </is>
      </c>
      <c r="G1753" s="2" t="inlineStr">
        <is>
          <t>Arjona</t>
        </is>
      </c>
      <c r="H1753" s="2" t="inlineStr">
        <is>
          <t>Alcaldia del Ayuntamiento de Arjona</t>
        </is>
      </c>
      <c r="I1753" s="2" t="inlineStr">
        <is>
          <t>Regir la ejecución del contrato de obra denominado "Reparación del camino rural Pozo de la Yegua en el termino de Arjona", conforme al Proyecto Técnico redactado por el Ingeniero de Camino Canales y Puertos Don Manuel Mena Escabias (Colegiado núm. 26866) de fecha Julio del 2026 con un presupuesto de ejecución de 80.179,58 € (Iva incluido)</t>
        </is>
      </c>
      <c r="J1753" s="2" t="inlineStr">
        <is>
          <t>1195/2026</t>
        </is>
      </c>
      <c r="K1753" s="2" t="inlineStr">
        <is>
          <t>Abierto simplificado</t>
        </is>
      </c>
      <c r="L1753" s="6" t="n">
        <v>4</v>
      </c>
      <c r="M1753" s="2" t="inlineStr">
        <is>
          <t>G*-1</t>
        </is>
      </c>
      <c r="N1753" s="7" t="n">
        <v>0</v>
      </c>
      <c r="O1753" s="4" t="n"/>
      <c r="P1753" s="2" t="inlineStr">
        <is>
          <t>45111200</t>
        </is>
      </c>
      <c r="Q1753" s="8" t="inlineStr">
        <is>
          <t>Ver</t>
        </is>
      </c>
      <c r="R1753" s="8" t="inlineStr">
        <is>
          <t>PCAP</t>
        </is>
      </c>
      <c r="S1753" s="9" t="n">
        <v>46310</v>
      </c>
      <c r="T1753" s="3" t="n">
        <v>46301.60621527778</v>
      </c>
      <c r="U1753" s="2" t="n"/>
    </row>
    <row r="1754">
      <c r="A1754" s="2" t="inlineStr">
        <is>
          <t>Adjudicada</t>
        </is>
      </c>
      <c r="B1754" s="3" t="n">
        <v>46272.79166666666</v>
      </c>
      <c r="C1754" s="5" t="n">
        <v>82644.63</v>
      </c>
      <c r="D1754" s="5" t="n">
        <v>82644.63</v>
      </c>
      <c r="E1754" s="2" t="inlineStr">
        <is>
          <t>Andalucía</t>
        </is>
      </c>
      <c r="F1754" s="2" t="inlineStr">
        <is>
          <t>Almería</t>
        </is>
      </c>
      <c r="G1754" s="2" t="inlineStr">
        <is>
          <t>Vélez Rubio</t>
        </is>
      </c>
      <c r="H1754" s="2" t="inlineStr">
        <is>
          <t>ALCALDÍA AYUNTAMIENTO DE VÉLEZ-RUBIO</t>
        </is>
      </c>
      <c r="I1754" s="2" t="inlineStr">
        <is>
          <t>El objeto del contrato es la ejecución de las obras correspondientes a la Memoria Valorada Sustitución Pavimento varias calles del casco antiguo de Vélez Rubio.</t>
        </is>
      </c>
      <c r="J1754" s="2" t="inlineStr">
        <is>
          <t>VR 2085/2026</t>
        </is>
      </c>
      <c r="K1754" s="2" t="inlineStr">
        <is>
          <t>Abierto simplificado</t>
        </is>
      </c>
      <c r="L1754" s="6" t="n">
        <v>2</v>
      </c>
      <c r="M1754" s="2" t="n"/>
      <c r="N1754" s="7" t="n">
        <v>0</v>
      </c>
      <c r="O1754" s="4" t="n"/>
      <c r="P1754" s="2" t="inlineStr">
        <is>
          <t>45233222</t>
        </is>
      </c>
      <c r="Q1754" s="8" t="inlineStr">
        <is>
          <t>Ver</t>
        </is>
      </c>
      <c r="R1754" s="8" t="inlineStr">
        <is>
          <t>PCAP</t>
        </is>
      </c>
      <c r="S1754" s="9" t="n">
        <v>46310</v>
      </c>
      <c r="T1754" s="3" t="n">
        <v>46301.60490740741</v>
      </c>
      <c r="U1754" s="2" t="n"/>
    </row>
    <row r="1755">
      <c r="A1755" s="2" t="inlineStr">
        <is>
          <t>Adjudicada</t>
        </is>
      </c>
      <c r="B1755" s="3" t="n">
        <v>46225.99930555555</v>
      </c>
      <c r="C1755" s="5" t="n">
        <v>56156.63</v>
      </c>
      <c r="D1755" s="5" t="n">
        <v>56156.63</v>
      </c>
      <c r="E1755" s="2" t="inlineStr">
        <is>
          <t>Andalucía</t>
        </is>
      </c>
      <c r="F1755" s="2" t="inlineStr">
        <is>
          <t>Cádiz</t>
        </is>
      </c>
      <c r="G1755" s="2" t="n"/>
      <c r="H1755" s="2" t="inlineStr">
        <is>
          <t>Alcaldía del Ayuntamiento de Villamartín</t>
        </is>
      </c>
      <c r="I1755" s="2" t="inlineStr">
        <is>
          <t>Proyecto de ejecución de patio de la parcela sita en calle Torrevieja s/n en el municipio de Villamartín (Cádiz)</t>
        </is>
      </c>
      <c r="J1755" s="2" t="inlineStr">
        <is>
          <t>758/2026</t>
        </is>
      </c>
      <c r="K1755" s="2" t="inlineStr">
        <is>
          <t>Abierto simplificado</t>
        </is>
      </c>
      <c r="L1755" s="6" t="n">
        <v>4</v>
      </c>
      <c r="M1755" s="2" t="n"/>
      <c r="N1755" s="7" t="n">
        <v>0</v>
      </c>
      <c r="O1755" s="4" t="n"/>
      <c r="P1755" s="2" t="inlineStr">
        <is>
          <t>45232130; 45112000</t>
        </is>
      </c>
      <c r="Q1755" s="8" t="inlineStr">
        <is>
          <t>Ver</t>
        </is>
      </c>
      <c r="R1755" s="8" t="inlineStr">
        <is>
          <t>PCAP</t>
        </is>
      </c>
      <c r="S1755" s="9" t="n">
        <v>46310</v>
      </c>
      <c r="T1755" s="3" t="n">
        <v>46301.59913194444</v>
      </c>
      <c r="U1755" s="2" t="n"/>
    </row>
    <row r="1756">
      <c r="A1756" s="2" t="inlineStr">
        <is>
          <t>Adjudicada</t>
        </is>
      </c>
      <c r="B1756" s="3" t="n">
        <v>46239.6875</v>
      </c>
      <c r="C1756" s="5" t="n">
        <v>732892.26</v>
      </c>
      <c r="D1756" s="5" t="n">
        <v>732892.26</v>
      </c>
      <c r="E1756" s="2" t="inlineStr">
        <is>
          <t>Comunitat Valenciana</t>
        </is>
      </c>
      <c r="F1756" s="2" t="inlineStr">
        <is>
          <t>Valencia</t>
        </is>
      </c>
      <c r="G1756" s="2" t="n"/>
      <c r="H1756" s="2" t="inlineStr">
        <is>
          <t>Consejo de Administración de la Empresa Municipal de Transportes de Valencia, S.A.U.</t>
        </is>
      </c>
      <c r="I1756" s="2" t="inlineStr">
        <is>
          <t>Contratación de la ejecución material de las obras correspondientes a los proyectos de ejecución, seguridad y salud y gestión de residuos para la renovación de la impermeabilización de los techos de talleres y la reparación de cubiertas de Depósito Norte y Depósito San Isidro para la Empresa Municipal de Transportes S.A.U (Medio Propio)</t>
        </is>
      </c>
      <c r="J1756" s="2" t="inlineStr">
        <is>
          <t>2026-0072</t>
        </is>
      </c>
      <c r="K1756" s="2" t="inlineStr">
        <is>
          <t>Abierto simplificado</t>
        </is>
      </c>
      <c r="L1756" s="6" t="n">
        <v>4.2</v>
      </c>
      <c r="M1756" s="2" t="inlineStr">
        <is>
          <t>C7-3; C3-3</t>
        </is>
      </c>
      <c r="N1756" s="7" t="n">
        <v>0.25</v>
      </c>
      <c r="O1756" s="4" t="n"/>
      <c r="P1756" s="2" t="inlineStr">
        <is>
          <t>45261420; 45261220</t>
        </is>
      </c>
      <c r="Q1756" s="8" t="inlineStr">
        <is>
          <t>Ver</t>
        </is>
      </c>
      <c r="R1756" s="8" t="inlineStr">
        <is>
          <t>PCAP</t>
        </is>
      </c>
      <c r="S1756" s="9" t="n">
        <v>46310</v>
      </c>
      <c r="T1756" s="3" t="n">
        <v>46301.59878472222</v>
      </c>
      <c r="U1756" s="2" t="n"/>
    </row>
    <row r="1757">
      <c r="A1757" s="2" t="inlineStr">
        <is>
          <t>En plazo</t>
        </is>
      </c>
      <c r="B1757" s="3" t="n">
        <v>46328.99930555555</v>
      </c>
      <c r="C1757" s="5" t="n">
        <v>4502927.26</v>
      </c>
      <c r="D1757" s="5" t="n">
        <v>4502927.26</v>
      </c>
      <c r="E1757" s="2" t="inlineStr">
        <is>
          <t>Comunitat Valenciana</t>
        </is>
      </c>
      <c r="F1757" s="2" t="inlineStr">
        <is>
          <t>Valencia</t>
        </is>
      </c>
      <c r="G1757" s="2" t="n"/>
      <c r="H1757" s="2" t="inlineStr">
        <is>
          <t>Pleno del Ayuntamiento de Carlet</t>
        </is>
      </c>
      <c r="I1757" s="2" t="inlineStr">
        <is>
          <t>Obras de restitución de las canalizaciones de la red de agua potable y de la red de saneamiento y pavimentación de la Ronda Malecón, financiadas con cargo al Fondo de Solidaridad de la Unión Europea</t>
        </is>
      </c>
      <c r="J1757" s="2" t="inlineStr">
        <is>
          <t>3018/2026</t>
        </is>
      </c>
      <c r="K1757" s="2" t="inlineStr">
        <is>
          <t>Abierto</t>
        </is>
      </c>
      <c r="L1757" s="6" t="n">
        <v>12</v>
      </c>
      <c r="M1757" s="2" t="inlineStr">
        <is>
          <t>E*-5</t>
        </is>
      </c>
      <c r="N1757" s="7" t="n">
        <v>0</v>
      </c>
      <c r="O1757" s="4" t="n"/>
      <c r="P1757" s="2" t="inlineStr">
        <is>
          <t>45240000; 45233200; 45232150; 45232440</t>
        </is>
      </c>
      <c r="Q1757" s="8" t="inlineStr">
        <is>
          <t>Ver</t>
        </is>
      </c>
      <c r="R1757" s="8" t="inlineStr">
        <is>
          <t>PCAP</t>
        </is>
      </c>
      <c r="S1757" s="9" t="n">
        <v>46310</v>
      </c>
      <c r="T1757" s="3" t="n">
        <v>46301.58863425926</v>
      </c>
      <c r="U1757" s="2" t="n"/>
    </row>
    <row r="1758">
      <c r="A1758" s="2" t="inlineStr">
        <is>
          <t>Adjudicada</t>
        </is>
      </c>
      <c r="B1758" s="3" t="n">
        <v>46224.99930555555</v>
      </c>
      <c r="C1758" s="5" t="n">
        <v>35009.62</v>
      </c>
      <c r="D1758" s="5" t="n">
        <v>35009.62</v>
      </c>
      <c r="E1758" s="2" t="inlineStr">
        <is>
          <t>Andalucía</t>
        </is>
      </c>
      <c r="F1758" s="2" t="inlineStr">
        <is>
          <t>Huelva</t>
        </is>
      </c>
      <c r="G1758" s="2" t="n"/>
      <c r="H1758" s="2" t="inlineStr">
        <is>
          <t>Rectorado de la Universidad de Huelva</t>
        </is>
      </c>
      <c r="I1758" s="2" t="inlineStr">
        <is>
          <t>Obras de demolición de espacio de Enseñanza Virtual "Casita del Coronel" en parcela EE17 del Campus Universitario El Carmen</t>
        </is>
      </c>
      <c r="J1758" s="2" t="inlineStr">
        <is>
          <t>O-09-26</t>
        </is>
      </c>
      <c r="K1758" s="2" t="inlineStr">
        <is>
          <t>Abierto simplificado</t>
        </is>
      </c>
      <c r="L1758" s="6" t="n">
        <v>1</v>
      </c>
      <c r="M1758" s="2" t="n"/>
      <c r="N1758" s="7" t="n">
        <v>0.25</v>
      </c>
      <c r="O1758" s="4" t="n"/>
      <c r="P1758" s="2" t="inlineStr">
        <is>
          <t>45110000</t>
        </is>
      </c>
      <c r="Q1758" s="8" t="inlineStr">
        <is>
          <t>Ver</t>
        </is>
      </c>
      <c r="R1758" s="8" t="inlineStr">
        <is>
          <t>PCAP</t>
        </is>
      </c>
      <c r="S1758" s="9" t="n">
        <v>46310</v>
      </c>
      <c r="T1758" s="3" t="n">
        <v>46301.58828703704</v>
      </c>
      <c r="U1758" s="2" t="n"/>
    </row>
    <row r="1759">
      <c r="A1759" s="2" t="inlineStr">
        <is>
          <t>Resuelta</t>
        </is>
      </c>
      <c r="B1759" s="3" t="n"/>
      <c r="C1759" s="5" t="n">
        <v>3451695.97</v>
      </c>
      <c r="D1759" s="5" t="n">
        <v>3451695.97</v>
      </c>
      <c r="E1759" s="2" t="inlineStr">
        <is>
          <t>Comunitat Valenciana</t>
        </is>
      </c>
      <c r="F1759" s="2" t="inlineStr">
        <is>
          <t>Valencia</t>
        </is>
      </c>
      <c r="G1759" s="2" t="n"/>
      <c r="H1759" s="2" t="inlineStr">
        <is>
          <t>Conselleria de Agricultura, Agua, Ganadería y Pesca</t>
        </is>
      </c>
      <c r="I1759" s="2" t="inlineStr">
        <is>
          <t>Reparación daños ocasionados por la DANA de 29 de octubre en encauzamientos urbanos de la provincia de Valencia. Área de actuación nº 3 Municipios: Alcàsser, Algemesí, Alginet, Alzira, Benifaió, Carlet, Guadassuar, L'Alcudia y Picassent.</t>
        </is>
      </c>
      <c r="J1759" s="2" t="inlineStr">
        <is>
          <t>CMAYOR/2025/26Y05/0012</t>
        </is>
      </c>
      <c r="K1759" s="2" t="inlineStr">
        <is>
          <t>Negociado sin publicidad</t>
        </is>
      </c>
      <c r="L1759" s="6" t="n">
        <v>15</v>
      </c>
      <c r="M1759" s="2" t="inlineStr">
        <is>
          <t>E5-5</t>
        </is>
      </c>
      <c r="N1759" s="7" t="n"/>
      <c r="O1759" s="4" t="n"/>
      <c r="P1759" s="2" t="inlineStr">
        <is>
          <t>45246400</t>
        </is>
      </c>
      <c r="Q1759" s="8" t="inlineStr">
        <is>
          <t>Ver</t>
        </is>
      </c>
      <c r="R1759" s="2" t="n"/>
      <c r="S1759" s="9" t="n">
        <v>46310</v>
      </c>
      <c r="T1759" s="3" t="n">
        <v>46301.58646990741</v>
      </c>
      <c r="U1759" s="2" t="n"/>
    </row>
    <row r="1760">
      <c r="A1760" s="2" t="inlineStr">
        <is>
          <t>Pendiente de adjudicación</t>
        </is>
      </c>
      <c r="B1760" s="3" t="n">
        <v>46289.79166666666</v>
      </c>
      <c r="C1760" s="5" t="n">
        <v>135470.04</v>
      </c>
      <c r="D1760" s="5" t="n">
        <v>135470.04</v>
      </c>
      <c r="E1760" s="2" t="inlineStr">
        <is>
          <t>Comunitat Valenciana</t>
        </is>
      </c>
      <c r="F1760" s="2" t="inlineStr">
        <is>
          <t>Valencia</t>
        </is>
      </c>
      <c r="G1760" s="2" t="inlineStr">
        <is>
          <t>Albal (Valencia)</t>
        </is>
      </c>
      <c r="H1760" s="2" t="inlineStr">
        <is>
          <t>Junta de Gobierno del Ayuntamiento de Albal</t>
        </is>
      </c>
      <c r="I1760" s="2" t="inlineStr">
        <is>
          <t>Construcción de tres módulos con 32 nichos cada uno, con un total de 96 nichos y su urbanización colindante y necesaria para la puesta en servicio de los nichos, a realizar en el cementerio municipal de Albal (Valencia)</t>
        </is>
      </c>
      <c r="J1760" s="2" t="inlineStr">
        <is>
          <t>2606032P</t>
        </is>
      </c>
      <c r="K1760" s="2" t="inlineStr">
        <is>
          <t>Abierto simplificado</t>
        </is>
      </c>
      <c r="L1760" s="6" t="n">
        <v>3</v>
      </c>
      <c r="M1760" s="2" t="n"/>
      <c r="N1760" s="7" t="n">
        <v>0</v>
      </c>
      <c r="O1760" s="4" t="n"/>
      <c r="P1760" s="2" t="inlineStr">
        <is>
          <t>45215400; 45215000</t>
        </is>
      </c>
      <c r="Q1760" s="8" t="inlineStr">
        <is>
          <t>Ver</t>
        </is>
      </c>
      <c r="R1760" s="8" t="inlineStr">
        <is>
          <t>PCAP</t>
        </is>
      </c>
      <c r="S1760" s="9" t="n">
        <v>46310</v>
      </c>
      <c r="T1760" s="3" t="n">
        <v>46301.58604166667</v>
      </c>
      <c r="U1760" s="2" t="n"/>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R3" r:id="rId3"/>
    <hyperlink xmlns:r="http://schemas.openxmlformats.org/officeDocument/2006/relationships" ref="Q4" r:id="rId4"/>
    <hyperlink xmlns:r="http://schemas.openxmlformats.org/officeDocument/2006/relationships" ref="R4" r:id="rId5"/>
    <hyperlink xmlns:r="http://schemas.openxmlformats.org/officeDocument/2006/relationships" ref="Q5" r:id="rId6"/>
    <hyperlink xmlns:r="http://schemas.openxmlformats.org/officeDocument/2006/relationships" ref="R5" r:id="rId7"/>
    <hyperlink xmlns:r="http://schemas.openxmlformats.org/officeDocument/2006/relationships" ref="Q6" r:id="rId8"/>
    <hyperlink xmlns:r="http://schemas.openxmlformats.org/officeDocument/2006/relationships" ref="R6" r:id="rId9"/>
    <hyperlink xmlns:r="http://schemas.openxmlformats.org/officeDocument/2006/relationships" ref="Q7" r:id="rId10"/>
    <hyperlink xmlns:r="http://schemas.openxmlformats.org/officeDocument/2006/relationships" ref="R7" r:id="rId11"/>
    <hyperlink xmlns:r="http://schemas.openxmlformats.org/officeDocument/2006/relationships" ref="Q8" r:id="rId12"/>
    <hyperlink xmlns:r="http://schemas.openxmlformats.org/officeDocument/2006/relationships" ref="Q9" r:id="rId13"/>
    <hyperlink xmlns:r="http://schemas.openxmlformats.org/officeDocument/2006/relationships" ref="R9" r:id="rId14"/>
    <hyperlink xmlns:r="http://schemas.openxmlformats.org/officeDocument/2006/relationships" ref="Q10" r:id="rId15"/>
    <hyperlink xmlns:r="http://schemas.openxmlformats.org/officeDocument/2006/relationships" ref="R10" r:id="rId16"/>
    <hyperlink xmlns:r="http://schemas.openxmlformats.org/officeDocument/2006/relationships" ref="Q11" r:id="rId17"/>
    <hyperlink xmlns:r="http://schemas.openxmlformats.org/officeDocument/2006/relationships" ref="R11" r:id="rId18"/>
    <hyperlink xmlns:r="http://schemas.openxmlformats.org/officeDocument/2006/relationships" ref="Q12" r:id="rId19"/>
    <hyperlink xmlns:r="http://schemas.openxmlformats.org/officeDocument/2006/relationships" ref="R12" r:id="rId20"/>
    <hyperlink xmlns:r="http://schemas.openxmlformats.org/officeDocument/2006/relationships" ref="Q13" r:id="rId21"/>
    <hyperlink xmlns:r="http://schemas.openxmlformats.org/officeDocument/2006/relationships" ref="R13" r:id="rId22"/>
    <hyperlink xmlns:r="http://schemas.openxmlformats.org/officeDocument/2006/relationships" ref="Q14" r:id="rId23"/>
    <hyperlink xmlns:r="http://schemas.openxmlformats.org/officeDocument/2006/relationships" ref="R14" r:id="rId24"/>
    <hyperlink xmlns:r="http://schemas.openxmlformats.org/officeDocument/2006/relationships" ref="Q15" r:id="rId25"/>
    <hyperlink xmlns:r="http://schemas.openxmlformats.org/officeDocument/2006/relationships" ref="R15" r:id="rId26"/>
    <hyperlink xmlns:r="http://schemas.openxmlformats.org/officeDocument/2006/relationships" ref="Q16" r:id="rId27"/>
    <hyperlink xmlns:r="http://schemas.openxmlformats.org/officeDocument/2006/relationships" ref="R16" r:id="rId28"/>
    <hyperlink xmlns:r="http://schemas.openxmlformats.org/officeDocument/2006/relationships" ref="Q17" r:id="rId29"/>
    <hyperlink xmlns:r="http://schemas.openxmlformats.org/officeDocument/2006/relationships" ref="R17" r:id="rId30"/>
    <hyperlink xmlns:r="http://schemas.openxmlformats.org/officeDocument/2006/relationships" ref="Q18" r:id="rId31"/>
    <hyperlink xmlns:r="http://schemas.openxmlformats.org/officeDocument/2006/relationships" ref="R18" r:id="rId32"/>
    <hyperlink xmlns:r="http://schemas.openxmlformats.org/officeDocument/2006/relationships" ref="Q19" r:id="rId33"/>
    <hyperlink xmlns:r="http://schemas.openxmlformats.org/officeDocument/2006/relationships" ref="R19" r:id="rId34"/>
    <hyperlink xmlns:r="http://schemas.openxmlformats.org/officeDocument/2006/relationships" ref="Q20" r:id="rId35"/>
    <hyperlink xmlns:r="http://schemas.openxmlformats.org/officeDocument/2006/relationships" ref="R20" r:id="rId36"/>
    <hyperlink xmlns:r="http://schemas.openxmlformats.org/officeDocument/2006/relationships" ref="Q21" r:id="rId37"/>
    <hyperlink xmlns:r="http://schemas.openxmlformats.org/officeDocument/2006/relationships" ref="R21" r:id="rId38"/>
    <hyperlink xmlns:r="http://schemas.openxmlformats.org/officeDocument/2006/relationships" ref="Q22" r:id="rId39"/>
    <hyperlink xmlns:r="http://schemas.openxmlformats.org/officeDocument/2006/relationships" ref="R22" r:id="rId40"/>
    <hyperlink xmlns:r="http://schemas.openxmlformats.org/officeDocument/2006/relationships" ref="Q23" r:id="rId41"/>
    <hyperlink xmlns:r="http://schemas.openxmlformats.org/officeDocument/2006/relationships" ref="R23" r:id="rId42"/>
    <hyperlink xmlns:r="http://schemas.openxmlformats.org/officeDocument/2006/relationships" ref="Q24" r:id="rId43"/>
    <hyperlink xmlns:r="http://schemas.openxmlformats.org/officeDocument/2006/relationships" ref="R24" r:id="rId44"/>
    <hyperlink xmlns:r="http://schemas.openxmlformats.org/officeDocument/2006/relationships" ref="Q25" r:id="rId45"/>
    <hyperlink xmlns:r="http://schemas.openxmlformats.org/officeDocument/2006/relationships" ref="R25" r:id="rId46"/>
    <hyperlink xmlns:r="http://schemas.openxmlformats.org/officeDocument/2006/relationships" ref="Q26" r:id="rId47"/>
    <hyperlink xmlns:r="http://schemas.openxmlformats.org/officeDocument/2006/relationships" ref="R26" r:id="rId48"/>
    <hyperlink xmlns:r="http://schemas.openxmlformats.org/officeDocument/2006/relationships" ref="Q27" r:id="rId49"/>
    <hyperlink xmlns:r="http://schemas.openxmlformats.org/officeDocument/2006/relationships" ref="R27" r:id="rId50"/>
    <hyperlink xmlns:r="http://schemas.openxmlformats.org/officeDocument/2006/relationships" ref="Q28" r:id="rId51"/>
    <hyperlink xmlns:r="http://schemas.openxmlformats.org/officeDocument/2006/relationships" ref="R28" r:id="rId52"/>
    <hyperlink xmlns:r="http://schemas.openxmlformats.org/officeDocument/2006/relationships" ref="Q29" r:id="rId53"/>
    <hyperlink xmlns:r="http://schemas.openxmlformats.org/officeDocument/2006/relationships" ref="R29" r:id="rId54"/>
    <hyperlink xmlns:r="http://schemas.openxmlformats.org/officeDocument/2006/relationships" ref="Q30" r:id="rId55"/>
    <hyperlink xmlns:r="http://schemas.openxmlformats.org/officeDocument/2006/relationships" ref="R30" r:id="rId56"/>
    <hyperlink xmlns:r="http://schemas.openxmlformats.org/officeDocument/2006/relationships" ref="Q31" r:id="rId57"/>
    <hyperlink xmlns:r="http://schemas.openxmlformats.org/officeDocument/2006/relationships" ref="R31" r:id="rId58"/>
    <hyperlink xmlns:r="http://schemas.openxmlformats.org/officeDocument/2006/relationships" ref="Q32" r:id="rId59"/>
    <hyperlink xmlns:r="http://schemas.openxmlformats.org/officeDocument/2006/relationships" ref="R32" r:id="rId60"/>
    <hyperlink xmlns:r="http://schemas.openxmlformats.org/officeDocument/2006/relationships" ref="Q33" r:id="rId61"/>
    <hyperlink xmlns:r="http://schemas.openxmlformats.org/officeDocument/2006/relationships" ref="R33" r:id="rId62"/>
    <hyperlink xmlns:r="http://schemas.openxmlformats.org/officeDocument/2006/relationships" ref="Q34" r:id="rId63"/>
    <hyperlink xmlns:r="http://schemas.openxmlformats.org/officeDocument/2006/relationships" ref="R34" r:id="rId64"/>
    <hyperlink xmlns:r="http://schemas.openxmlformats.org/officeDocument/2006/relationships" ref="Q35" r:id="rId65"/>
    <hyperlink xmlns:r="http://schemas.openxmlformats.org/officeDocument/2006/relationships" ref="R35" r:id="rId66"/>
    <hyperlink xmlns:r="http://schemas.openxmlformats.org/officeDocument/2006/relationships" ref="Q36" r:id="rId67"/>
    <hyperlink xmlns:r="http://schemas.openxmlformats.org/officeDocument/2006/relationships" ref="R36" r:id="rId68"/>
    <hyperlink xmlns:r="http://schemas.openxmlformats.org/officeDocument/2006/relationships" ref="Q37" r:id="rId69"/>
    <hyperlink xmlns:r="http://schemas.openxmlformats.org/officeDocument/2006/relationships" ref="R37" r:id="rId70"/>
    <hyperlink xmlns:r="http://schemas.openxmlformats.org/officeDocument/2006/relationships" ref="Q38" r:id="rId71"/>
    <hyperlink xmlns:r="http://schemas.openxmlformats.org/officeDocument/2006/relationships" ref="R38" r:id="rId72"/>
    <hyperlink xmlns:r="http://schemas.openxmlformats.org/officeDocument/2006/relationships" ref="Q39" r:id="rId73"/>
    <hyperlink xmlns:r="http://schemas.openxmlformats.org/officeDocument/2006/relationships" ref="R39" r:id="rId74"/>
    <hyperlink xmlns:r="http://schemas.openxmlformats.org/officeDocument/2006/relationships" ref="Q40" r:id="rId75"/>
    <hyperlink xmlns:r="http://schemas.openxmlformats.org/officeDocument/2006/relationships" ref="R40" r:id="rId76"/>
    <hyperlink xmlns:r="http://schemas.openxmlformats.org/officeDocument/2006/relationships" ref="Q41" r:id="rId77"/>
    <hyperlink xmlns:r="http://schemas.openxmlformats.org/officeDocument/2006/relationships" ref="R41" r:id="rId78"/>
    <hyperlink xmlns:r="http://schemas.openxmlformats.org/officeDocument/2006/relationships" ref="Q42" r:id="rId79"/>
    <hyperlink xmlns:r="http://schemas.openxmlformats.org/officeDocument/2006/relationships" ref="R42" r:id="rId80"/>
    <hyperlink xmlns:r="http://schemas.openxmlformats.org/officeDocument/2006/relationships" ref="Q43" r:id="rId81"/>
    <hyperlink xmlns:r="http://schemas.openxmlformats.org/officeDocument/2006/relationships" ref="R43" r:id="rId82"/>
    <hyperlink xmlns:r="http://schemas.openxmlformats.org/officeDocument/2006/relationships" ref="Q44" r:id="rId83"/>
    <hyperlink xmlns:r="http://schemas.openxmlformats.org/officeDocument/2006/relationships" ref="R44" r:id="rId84"/>
    <hyperlink xmlns:r="http://schemas.openxmlformats.org/officeDocument/2006/relationships" ref="Q45" r:id="rId85"/>
    <hyperlink xmlns:r="http://schemas.openxmlformats.org/officeDocument/2006/relationships" ref="R45" r:id="rId86"/>
    <hyperlink xmlns:r="http://schemas.openxmlformats.org/officeDocument/2006/relationships" ref="Q46" r:id="rId87"/>
    <hyperlink xmlns:r="http://schemas.openxmlformats.org/officeDocument/2006/relationships" ref="Q47" r:id="rId88"/>
    <hyperlink xmlns:r="http://schemas.openxmlformats.org/officeDocument/2006/relationships" ref="R47" r:id="rId89"/>
    <hyperlink xmlns:r="http://schemas.openxmlformats.org/officeDocument/2006/relationships" ref="Q48" r:id="rId90"/>
    <hyperlink xmlns:r="http://schemas.openxmlformats.org/officeDocument/2006/relationships" ref="R48" r:id="rId91"/>
    <hyperlink xmlns:r="http://schemas.openxmlformats.org/officeDocument/2006/relationships" ref="Q49" r:id="rId92"/>
    <hyperlink xmlns:r="http://schemas.openxmlformats.org/officeDocument/2006/relationships" ref="R49" r:id="rId93"/>
    <hyperlink xmlns:r="http://schemas.openxmlformats.org/officeDocument/2006/relationships" ref="Q50" r:id="rId94"/>
    <hyperlink xmlns:r="http://schemas.openxmlformats.org/officeDocument/2006/relationships" ref="R50" r:id="rId95"/>
    <hyperlink xmlns:r="http://schemas.openxmlformats.org/officeDocument/2006/relationships" ref="Q51" r:id="rId96"/>
    <hyperlink xmlns:r="http://schemas.openxmlformats.org/officeDocument/2006/relationships" ref="R51" r:id="rId97"/>
    <hyperlink xmlns:r="http://schemas.openxmlformats.org/officeDocument/2006/relationships" ref="Q52" r:id="rId98"/>
    <hyperlink xmlns:r="http://schemas.openxmlformats.org/officeDocument/2006/relationships" ref="Q53" r:id="rId99"/>
    <hyperlink xmlns:r="http://schemas.openxmlformats.org/officeDocument/2006/relationships" ref="R53" r:id="rId100"/>
    <hyperlink xmlns:r="http://schemas.openxmlformats.org/officeDocument/2006/relationships" ref="Q54" r:id="rId101"/>
    <hyperlink xmlns:r="http://schemas.openxmlformats.org/officeDocument/2006/relationships" ref="R54" r:id="rId102"/>
    <hyperlink xmlns:r="http://schemas.openxmlformats.org/officeDocument/2006/relationships" ref="Q55" r:id="rId103"/>
    <hyperlink xmlns:r="http://schemas.openxmlformats.org/officeDocument/2006/relationships" ref="Q56" r:id="rId104"/>
    <hyperlink xmlns:r="http://schemas.openxmlformats.org/officeDocument/2006/relationships" ref="R56" r:id="rId105"/>
    <hyperlink xmlns:r="http://schemas.openxmlformats.org/officeDocument/2006/relationships" ref="Q57" r:id="rId106"/>
    <hyperlink xmlns:r="http://schemas.openxmlformats.org/officeDocument/2006/relationships" ref="R57" r:id="rId107"/>
    <hyperlink xmlns:r="http://schemas.openxmlformats.org/officeDocument/2006/relationships" ref="Q58" r:id="rId108"/>
    <hyperlink xmlns:r="http://schemas.openxmlformats.org/officeDocument/2006/relationships" ref="R58" r:id="rId109"/>
    <hyperlink xmlns:r="http://schemas.openxmlformats.org/officeDocument/2006/relationships" ref="Q59" r:id="rId110"/>
    <hyperlink xmlns:r="http://schemas.openxmlformats.org/officeDocument/2006/relationships" ref="R59" r:id="rId111"/>
    <hyperlink xmlns:r="http://schemas.openxmlformats.org/officeDocument/2006/relationships" ref="Q60" r:id="rId112"/>
    <hyperlink xmlns:r="http://schemas.openxmlformats.org/officeDocument/2006/relationships" ref="R60" r:id="rId113"/>
    <hyperlink xmlns:r="http://schemas.openxmlformats.org/officeDocument/2006/relationships" ref="Q61" r:id="rId114"/>
    <hyperlink xmlns:r="http://schemas.openxmlformats.org/officeDocument/2006/relationships" ref="R61" r:id="rId115"/>
    <hyperlink xmlns:r="http://schemas.openxmlformats.org/officeDocument/2006/relationships" ref="Q62" r:id="rId116"/>
    <hyperlink xmlns:r="http://schemas.openxmlformats.org/officeDocument/2006/relationships" ref="R62" r:id="rId117"/>
    <hyperlink xmlns:r="http://schemas.openxmlformats.org/officeDocument/2006/relationships" ref="Q63" r:id="rId118"/>
    <hyperlink xmlns:r="http://schemas.openxmlformats.org/officeDocument/2006/relationships" ref="R63" r:id="rId119"/>
    <hyperlink xmlns:r="http://schemas.openxmlformats.org/officeDocument/2006/relationships" ref="Q64" r:id="rId120"/>
    <hyperlink xmlns:r="http://schemas.openxmlformats.org/officeDocument/2006/relationships" ref="R64" r:id="rId121"/>
    <hyperlink xmlns:r="http://schemas.openxmlformats.org/officeDocument/2006/relationships" ref="Q65" r:id="rId122"/>
    <hyperlink xmlns:r="http://schemas.openxmlformats.org/officeDocument/2006/relationships" ref="R65" r:id="rId123"/>
    <hyperlink xmlns:r="http://schemas.openxmlformats.org/officeDocument/2006/relationships" ref="Q66" r:id="rId124"/>
    <hyperlink xmlns:r="http://schemas.openxmlformats.org/officeDocument/2006/relationships" ref="R66" r:id="rId125"/>
    <hyperlink xmlns:r="http://schemas.openxmlformats.org/officeDocument/2006/relationships" ref="Q67" r:id="rId126"/>
    <hyperlink xmlns:r="http://schemas.openxmlformats.org/officeDocument/2006/relationships" ref="R67" r:id="rId127"/>
    <hyperlink xmlns:r="http://schemas.openxmlformats.org/officeDocument/2006/relationships" ref="Q68" r:id="rId128"/>
    <hyperlink xmlns:r="http://schemas.openxmlformats.org/officeDocument/2006/relationships" ref="R68" r:id="rId129"/>
    <hyperlink xmlns:r="http://schemas.openxmlformats.org/officeDocument/2006/relationships" ref="Q69" r:id="rId130"/>
    <hyperlink xmlns:r="http://schemas.openxmlformats.org/officeDocument/2006/relationships" ref="R69" r:id="rId131"/>
    <hyperlink xmlns:r="http://schemas.openxmlformats.org/officeDocument/2006/relationships" ref="Q70" r:id="rId132"/>
    <hyperlink xmlns:r="http://schemas.openxmlformats.org/officeDocument/2006/relationships" ref="R70" r:id="rId133"/>
    <hyperlink xmlns:r="http://schemas.openxmlformats.org/officeDocument/2006/relationships" ref="Q71" r:id="rId134"/>
    <hyperlink xmlns:r="http://schemas.openxmlformats.org/officeDocument/2006/relationships" ref="R71" r:id="rId135"/>
    <hyperlink xmlns:r="http://schemas.openxmlformats.org/officeDocument/2006/relationships" ref="Q72" r:id="rId136"/>
    <hyperlink xmlns:r="http://schemas.openxmlformats.org/officeDocument/2006/relationships" ref="R72" r:id="rId137"/>
    <hyperlink xmlns:r="http://schemas.openxmlformats.org/officeDocument/2006/relationships" ref="Q73" r:id="rId138"/>
    <hyperlink xmlns:r="http://schemas.openxmlformats.org/officeDocument/2006/relationships" ref="R73" r:id="rId139"/>
    <hyperlink xmlns:r="http://schemas.openxmlformats.org/officeDocument/2006/relationships" ref="Q74" r:id="rId140"/>
    <hyperlink xmlns:r="http://schemas.openxmlformats.org/officeDocument/2006/relationships" ref="R74" r:id="rId141"/>
    <hyperlink xmlns:r="http://schemas.openxmlformats.org/officeDocument/2006/relationships" ref="Q75" r:id="rId142"/>
    <hyperlink xmlns:r="http://schemas.openxmlformats.org/officeDocument/2006/relationships" ref="R75" r:id="rId143"/>
    <hyperlink xmlns:r="http://schemas.openxmlformats.org/officeDocument/2006/relationships" ref="Q76" r:id="rId144"/>
    <hyperlink xmlns:r="http://schemas.openxmlformats.org/officeDocument/2006/relationships" ref="R76" r:id="rId145"/>
    <hyperlink xmlns:r="http://schemas.openxmlformats.org/officeDocument/2006/relationships" ref="Q77" r:id="rId146"/>
    <hyperlink xmlns:r="http://schemas.openxmlformats.org/officeDocument/2006/relationships" ref="R77" r:id="rId147"/>
    <hyperlink xmlns:r="http://schemas.openxmlformats.org/officeDocument/2006/relationships" ref="Q78" r:id="rId148"/>
    <hyperlink xmlns:r="http://schemas.openxmlformats.org/officeDocument/2006/relationships" ref="R78" r:id="rId149"/>
    <hyperlink xmlns:r="http://schemas.openxmlformats.org/officeDocument/2006/relationships" ref="Q79" r:id="rId150"/>
    <hyperlink xmlns:r="http://schemas.openxmlformats.org/officeDocument/2006/relationships" ref="R79" r:id="rId151"/>
    <hyperlink xmlns:r="http://schemas.openxmlformats.org/officeDocument/2006/relationships" ref="Q80" r:id="rId152"/>
    <hyperlink xmlns:r="http://schemas.openxmlformats.org/officeDocument/2006/relationships" ref="R80" r:id="rId153"/>
    <hyperlink xmlns:r="http://schemas.openxmlformats.org/officeDocument/2006/relationships" ref="Q81" r:id="rId154"/>
    <hyperlink xmlns:r="http://schemas.openxmlformats.org/officeDocument/2006/relationships" ref="R81" r:id="rId155"/>
    <hyperlink xmlns:r="http://schemas.openxmlformats.org/officeDocument/2006/relationships" ref="Q82" r:id="rId156"/>
    <hyperlink xmlns:r="http://schemas.openxmlformats.org/officeDocument/2006/relationships" ref="R82" r:id="rId157"/>
    <hyperlink xmlns:r="http://schemas.openxmlformats.org/officeDocument/2006/relationships" ref="Q83" r:id="rId158"/>
    <hyperlink xmlns:r="http://schemas.openxmlformats.org/officeDocument/2006/relationships" ref="R83" r:id="rId159"/>
    <hyperlink xmlns:r="http://schemas.openxmlformats.org/officeDocument/2006/relationships" ref="Q84" r:id="rId160"/>
    <hyperlink xmlns:r="http://schemas.openxmlformats.org/officeDocument/2006/relationships" ref="R84" r:id="rId161"/>
    <hyperlink xmlns:r="http://schemas.openxmlformats.org/officeDocument/2006/relationships" ref="Q85" r:id="rId162"/>
    <hyperlink xmlns:r="http://schemas.openxmlformats.org/officeDocument/2006/relationships" ref="R85" r:id="rId163"/>
    <hyperlink xmlns:r="http://schemas.openxmlformats.org/officeDocument/2006/relationships" ref="Q86" r:id="rId164"/>
    <hyperlink xmlns:r="http://schemas.openxmlformats.org/officeDocument/2006/relationships" ref="R86" r:id="rId165"/>
    <hyperlink xmlns:r="http://schemas.openxmlformats.org/officeDocument/2006/relationships" ref="Q87" r:id="rId166"/>
    <hyperlink xmlns:r="http://schemas.openxmlformats.org/officeDocument/2006/relationships" ref="R87" r:id="rId167"/>
    <hyperlink xmlns:r="http://schemas.openxmlformats.org/officeDocument/2006/relationships" ref="Q88" r:id="rId168"/>
    <hyperlink xmlns:r="http://schemas.openxmlformats.org/officeDocument/2006/relationships" ref="R88" r:id="rId169"/>
    <hyperlink xmlns:r="http://schemas.openxmlformats.org/officeDocument/2006/relationships" ref="Q89" r:id="rId170"/>
    <hyperlink xmlns:r="http://schemas.openxmlformats.org/officeDocument/2006/relationships" ref="R89" r:id="rId171"/>
    <hyperlink xmlns:r="http://schemas.openxmlformats.org/officeDocument/2006/relationships" ref="Q90" r:id="rId172"/>
    <hyperlink xmlns:r="http://schemas.openxmlformats.org/officeDocument/2006/relationships" ref="R90" r:id="rId173"/>
    <hyperlink xmlns:r="http://schemas.openxmlformats.org/officeDocument/2006/relationships" ref="Q91" r:id="rId174"/>
    <hyperlink xmlns:r="http://schemas.openxmlformats.org/officeDocument/2006/relationships" ref="R91" r:id="rId175"/>
    <hyperlink xmlns:r="http://schemas.openxmlformats.org/officeDocument/2006/relationships" ref="Q92" r:id="rId176"/>
    <hyperlink xmlns:r="http://schemas.openxmlformats.org/officeDocument/2006/relationships" ref="R92" r:id="rId177"/>
    <hyperlink xmlns:r="http://schemas.openxmlformats.org/officeDocument/2006/relationships" ref="Q93" r:id="rId178"/>
    <hyperlink xmlns:r="http://schemas.openxmlformats.org/officeDocument/2006/relationships" ref="R93" r:id="rId179"/>
    <hyperlink xmlns:r="http://schemas.openxmlformats.org/officeDocument/2006/relationships" ref="Q94" r:id="rId180"/>
    <hyperlink xmlns:r="http://schemas.openxmlformats.org/officeDocument/2006/relationships" ref="R94" r:id="rId181"/>
    <hyperlink xmlns:r="http://schemas.openxmlformats.org/officeDocument/2006/relationships" ref="Q95" r:id="rId182"/>
    <hyperlink xmlns:r="http://schemas.openxmlformats.org/officeDocument/2006/relationships" ref="R95" r:id="rId183"/>
    <hyperlink xmlns:r="http://schemas.openxmlformats.org/officeDocument/2006/relationships" ref="Q96" r:id="rId184"/>
    <hyperlink xmlns:r="http://schemas.openxmlformats.org/officeDocument/2006/relationships" ref="R96" r:id="rId185"/>
    <hyperlink xmlns:r="http://schemas.openxmlformats.org/officeDocument/2006/relationships" ref="Q97" r:id="rId186"/>
    <hyperlink xmlns:r="http://schemas.openxmlformats.org/officeDocument/2006/relationships" ref="R97" r:id="rId187"/>
    <hyperlink xmlns:r="http://schemas.openxmlformats.org/officeDocument/2006/relationships" ref="Q98" r:id="rId188"/>
    <hyperlink xmlns:r="http://schemas.openxmlformats.org/officeDocument/2006/relationships" ref="R98" r:id="rId189"/>
    <hyperlink xmlns:r="http://schemas.openxmlformats.org/officeDocument/2006/relationships" ref="Q99" r:id="rId190"/>
    <hyperlink xmlns:r="http://schemas.openxmlformats.org/officeDocument/2006/relationships" ref="R99" r:id="rId191"/>
    <hyperlink xmlns:r="http://schemas.openxmlformats.org/officeDocument/2006/relationships" ref="Q100" r:id="rId192"/>
    <hyperlink xmlns:r="http://schemas.openxmlformats.org/officeDocument/2006/relationships" ref="R100" r:id="rId193"/>
    <hyperlink xmlns:r="http://schemas.openxmlformats.org/officeDocument/2006/relationships" ref="Q101" r:id="rId194"/>
    <hyperlink xmlns:r="http://schemas.openxmlformats.org/officeDocument/2006/relationships" ref="R101" r:id="rId195"/>
    <hyperlink xmlns:r="http://schemas.openxmlformats.org/officeDocument/2006/relationships" ref="Q102" r:id="rId196"/>
    <hyperlink xmlns:r="http://schemas.openxmlformats.org/officeDocument/2006/relationships" ref="R102" r:id="rId197"/>
    <hyperlink xmlns:r="http://schemas.openxmlformats.org/officeDocument/2006/relationships" ref="Q103" r:id="rId198"/>
    <hyperlink xmlns:r="http://schemas.openxmlformats.org/officeDocument/2006/relationships" ref="R103" r:id="rId199"/>
    <hyperlink xmlns:r="http://schemas.openxmlformats.org/officeDocument/2006/relationships" ref="Q104" r:id="rId200"/>
    <hyperlink xmlns:r="http://schemas.openxmlformats.org/officeDocument/2006/relationships" ref="R104" r:id="rId201"/>
    <hyperlink xmlns:r="http://schemas.openxmlformats.org/officeDocument/2006/relationships" ref="Q105" r:id="rId202"/>
    <hyperlink xmlns:r="http://schemas.openxmlformats.org/officeDocument/2006/relationships" ref="R105" r:id="rId203"/>
    <hyperlink xmlns:r="http://schemas.openxmlformats.org/officeDocument/2006/relationships" ref="Q106" r:id="rId204"/>
    <hyperlink xmlns:r="http://schemas.openxmlformats.org/officeDocument/2006/relationships" ref="R106" r:id="rId205"/>
    <hyperlink xmlns:r="http://schemas.openxmlformats.org/officeDocument/2006/relationships" ref="Q107" r:id="rId206"/>
    <hyperlink xmlns:r="http://schemas.openxmlformats.org/officeDocument/2006/relationships" ref="R107" r:id="rId207"/>
    <hyperlink xmlns:r="http://schemas.openxmlformats.org/officeDocument/2006/relationships" ref="Q108" r:id="rId208"/>
    <hyperlink xmlns:r="http://schemas.openxmlformats.org/officeDocument/2006/relationships" ref="Q109" r:id="rId209"/>
    <hyperlink xmlns:r="http://schemas.openxmlformats.org/officeDocument/2006/relationships" ref="R109" r:id="rId210"/>
    <hyperlink xmlns:r="http://schemas.openxmlformats.org/officeDocument/2006/relationships" ref="Q110" r:id="rId211"/>
    <hyperlink xmlns:r="http://schemas.openxmlformats.org/officeDocument/2006/relationships" ref="R110" r:id="rId212"/>
    <hyperlink xmlns:r="http://schemas.openxmlformats.org/officeDocument/2006/relationships" ref="Q111" r:id="rId213"/>
    <hyperlink xmlns:r="http://schemas.openxmlformats.org/officeDocument/2006/relationships" ref="R111" r:id="rId214"/>
    <hyperlink xmlns:r="http://schemas.openxmlformats.org/officeDocument/2006/relationships" ref="Q112" r:id="rId215"/>
    <hyperlink xmlns:r="http://schemas.openxmlformats.org/officeDocument/2006/relationships" ref="R112" r:id="rId216"/>
    <hyperlink xmlns:r="http://schemas.openxmlformats.org/officeDocument/2006/relationships" ref="Q113" r:id="rId217"/>
    <hyperlink xmlns:r="http://schemas.openxmlformats.org/officeDocument/2006/relationships" ref="R113" r:id="rId218"/>
    <hyperlink xmlns:r="http://schemas.openxmlformats.org/officeDocument/2006/relationships" ref="Q114" r:id="rId219"/>
    <hyperlink xmlns:r="http://schemas.openxmlformats.org/officeDocument/2006/relationships" ref="R114" r:id="rId220"/>
    <hyperlink xmlns:r="http://schemas.openxmlformats.org/officeDocument/2006/relationships" ref="Q115" r:id="rId221"/>
    <hyperlink xmlns:r="http://schemas.openxmlformats.org/officeDocument/2006/relationships" ref="R115" r:id="rId222"/>
    <hyperlink xmlns:r="http://schemas.openxmlformats.org/officeDocument/2006/relationships" ref="Q116" r:id="rId223"/>
    <hyperlink xmlns:r="http://schemas.openxmlformats.org/officeDocument/2006/relationships" ref="R116" r:id="rId224"/>
    <hyperlink xmlns:r="http://schemas.openxmlformats.org/officeDocument/2006/relationships" ref="Q117" r:id="rId225"/>
    <hyperlink xmlns:r="http://schemas.openxmlformats.org/officeDocument/2006/relationships" ref="R117" r:id="rId226"/>
    <hyperlink xmlns:r="http://schemas.openxmlformats.org/officeDocument/2006/relationships" ref="Q118" r:id="rId227"/>
    <hyperlink xmlns:r="http://schemas.openxmlformats.org/officeDocument/2006/relationships" ref="R118" r:id="rId228"/>
    <hyperlink xmlns:r="http://schemas.openxmlformats.org/officeDocument/2006/relationships" ref="Q119" r:id="rId229"/>
    <hyperlink xmlns:r="http://schemas.openxmlformats.org/officeDocument/2006/relationships" ref="R119" r:id="rId230"/>
    <hyperlink xmlns:r="http://schemas.openxmlformats.org/officeDocument/2006/relationships" ref="Q120" r:id="rId231"/>
    <hyperlink xmlns:r="http://schemas.openxmlformats.org/officeDocument/2006/relationships" ref="R120" r:id="rId232"/>
    <hyperlink xmlns:r="http://schemas.openxmlformats.org/officeDocument/2006/relationships" ref="Q121" r:id="rId233"/>
    <hyperlink xmlns:r="http://schemas.openxmlformats.org/officeDocument/2006/relationships" ref="R121" r:id="rId234"/>
    <hyperlink xmlns:r="http://schemas.openxmlformats.org/officeDocument/2006/relationships" ref="Q122" r:id="rId235"/>
    <hyperlink xmlns:r="http://schemas.openxmlformats.org/officeDocument/2006/relationships" ref="R122" r:id="rId236"/>
    <hyperlink xmlns:r="http://schemas.openxmlformats.org/officeDocument/2006/relationships" ref="Q123" r:id="rId237"/>
    <hyperlink xmlns:r="http://schemas.openxmlformats.org/officeDocument/2006/relationships" ref="R123" r:id="rId238"/>
    <hyperlink xmlns:r="http://schemas.openxmlformats.org/officeDocument/2006/relationships" ref="Q124" r:id="rId239"/>
    <hyperlink xmlns:r="http://schemas.openxmlformats.org/officeDocument/2006/relationships" ref="R124" r:id="rId240"/>
    <hyperlink xmlns:r="http://schemas.openxmlformats.org/officeDocument/2006/relationships" ref="Q125" r:id="rId241"/>
    <hyperlink xmlns:r="http://schemas.openxmlformats.org/officeDocument/2006/relationships" ref="R125" r:id="rId242"/>
    <hyperlink xmlns:r="http://schemas.openxmlformats.org/officeDocument/2006/relationships" ref="Q126" r:id="rId243"/>
    <hyperlink xmlns:r="http://schemas.openxmlformats.org/officeDocument/2006/relationships" ref="Q127" r:id="rId244"/>
    <hyperlink xmlns:r="http://schemas.openxmlformats.org/officeDocument/2006/relationships" ref="R127" r:id="rId245"/>
    <hyperlink xmlns:r="http://schemas.openxmlformats.org/officeDocument/2006/relationships" ref="Q128" r:id="rId246"/>
    <hyperlink xmlns:r="http://schemas.openxmlformats.org/officeDocument/2006/relationships" ref="R128" r:id="rId247"/>
    <hyperlink xmlns:r="http://schemas.openxmlformats.org/officeDocument/2006/relationships" ref="Q129" r:id="rId248"/>
    <hyperlink xmlns:r="http://schemas.openxmlformats.org/officeDocument/2006/relationships" ref="R129" r:id="rId249"/>
    <hyperlink xmlns:r="http://schemas.openxmlformats.org/officeDocument/2006/relationships" ref="Q130" r:id="rId250"/>
    <hyperlink xmlns:r="http://schemas.openxmlformats.org/officeDocument/2006/relationships" ref="R130" r:id="rId251"/>
    <hyperlink xmlns:r="http://schemas.openxmlformats.org/officeDocument/2006/relationships" ref="Q131" r:id="rId252"/>
    <hyperlink xmlns:r="http://schemas.openxmlformats.org/officeDocument/2006/relationships" ref="R131" r:id="rId253"/>
    <hyperlink xmlns:r="http://schemas.openxmlformats.org/officeDocument/2006/relationships" ref="Q132" r:id="rId254"/>
    <hyperlink xmlns:r="http://schemas.openxmlformats.org/officeDocument/2006/relationships" ref="R132" r:id="rId255"/>
    <hyperlink xmlns:r="http://schemas.openxmlformats.org/officeDocument/2006/relationships" ref="Q133" r:id="rId256"/>
    <hyperlink xmlns:r="http://schemas.openxmlformats.org/officeDocument/2006/relationships" ref="R133" r:id="rId257"/>
    <hyperlink xmlns:r="http://schemas.openxmlformats.org/officeDocument/2006/relationships" ref="Q134" r:id="rId258"/>
    <hyperlink xmlns:r="http://schemas.openxmlformats.org/officeDocument/2006/relationships" ref="R134" r:id="rId259"/>
    <hyperlink xmlns:r="http://schemas.openxmlformats.org/officeDocument/2006/relationships" ref="Q135" r:id="rId260"/>
    <hyperlink xmlns:r="http://schemas.openxmlformats.org/officeDocument/2006/relationships" ref="R135" r:id="rId261"/>
    <hyperlink xmlns:r="http://schemas.openxmlformats.org/officeDocument/2006/relationships" ref="Q136" r:id="rId262"/>
    <hyperlink xmlns:r="http://schemas.openxmlformats.org/officeDocument/2006/relationships" ref="R136" r:id="rId263"/>
    <hyperlink xmlns:r="http://schemas.openxmlformats.org/officeDocument/2006/relationships" ref="Q137" r:id="rId264"/>
    <hyperlink xmlns:r="http://schemas.openxmlformats.org/officeDocument/2006/relationships" ref="R137" r:id="rId265"/>
    <hyperlink xmlns:r="http://schemas.openxmlformats.org/officeDocument/2006/relationships" ref="Q138" r:id="rId266"/>
    <hyperlink xmlns:r="http://schemas.openxmlformats.org/officeDocument/2006/relationships" ref="R138" r:id="rId267"/>
    <hyperlink xmlns:r="http://schemas.openxmlformats.org/officeDocument/2006/relationships" ref="Q139" r:id="rId268"/>
    <hyperlink xmlns:r="http://schemas.openxmlformats.org/officeDocument/2006/relationships" ref="Q140" r:id="rId269"/>
    <hyperlink xmlns:r="http://schemas.openxmlformats.org/officeDocument/2006/relationships" ref="R140" r:id="rId270"/>
    <hyperlink xmlns:r="http://schemas.openxmlformats.org/officeDocument/2006/relationships" ref="Q141" r:id="rId271"/>
    <hyperlink xmlns:r="http://schemas.openxmlformats.org/officeDocument/2006/relationships" ref="R141" r:id="rId272"/>
    <hyperlink xmlns:r="http://schemas.openxmlformats.org/officeDocument/2006/relationships" ref="Q142" r:id="rId273"/>
    <hyperlink xmlns:r="http://schemas.openxmlformats.org/officeDocument/2006/relationships" ref="R142" r:id="rId274"/>
    <hyperlink xmlns:r="http://schemas.openxmlformats.org/officeDocument/2006/relationships" ref="Q143" r:id="rId275"/>
    <hyperlink xmlns:r="http://schemas.openxmlformats.org/officeDocument/2006/relationships" ref="Q144" r:id="rId276"/>
    <hyperlink xmlns:r="http://schemas.openxmlformats.org/officeDocument/2006/relationships" ref="R144" r:id="rId277"/>
    <hyperlink xmlns:r="http://schemas.openxmlformats.org/officeDocument/2006/relationships" ref="Q145" r:id="rId278"/>
    <hyperlink xmlns:r="http://schemas.openxmlformats.org/officeDocument/2006/relationships" ref="Q146" r:id="rId279"/>
    <hyperlink xmlns:r="http://schemas.openxmlformats.org/officeDocument/2006/relationships" ref="R146" r:id="rId280"/>
    <hyperlink xmlns:r="http://schemas.openxmlformats.org/officeDocument/2006/relationships" ref="Q147" r:id="rId281"/>
    <hyperlink xmlns:r="http://schemas.openxmlformats.org/officeDocument/2006/relationships" ref="R147" r:id="rId282"/>
    <hyperlink xmlns:r="http://schemas.openxmlformats.org/officeDocument/2006/relationships" ref="Q148" r:id="rId283"/>
    <hyperlink xmlns:r="http://schemas.openxmlformats.org/officeDocument/2006/relationships" ref="R148" r:id="rId284"/>
    <hyperlink xmlns:r="http://schemas.openxmlformats.org/officeDocument/2006/relationships" ref="Q149" r:id="rId285"/>
    <hyperlink xmlns:r="http://schemas.openxmlformats.org/officeDocument/2006/relationships" ref="R149" r:id="rId286"/>
    <hyperlink xmlns:r="http://schemas.openxmlformats.org/officeDocument/2006/relationships" ref="Q150" r:id="rId287"/>
    <hyperlink xmlns:r="http://schemas.openxmlformats.org/officeDocument/2006/relationships" ref="R150" r:id="rId288"/>
    <hyperlink xmlns:r="http://schemas.openxmlformats.org/officeDocument/2006/relationships" ref="Q151" r:id="rId289"/>
    <hyperlink xmlns:r="http://schemas.openxmlformats.org/officeDocument/2006/relationships" ref="R151" r:id="rId290"/>
    <hyperlink xmlns:r="http://schemas.openxmlformats.org/officeDocument/2006/relationships" ref="Q152" r:id="rId291"/>
    <hyperlink xmlns:r="http://schemas.openxmlformats.org/officeDocument/2006/relationships" ref="R152" r:id="rId292"/>
    <hyperlink xmlns:r="http://schemas.openxmlformats.org/officeDocument/2006/relationships" ref="Q153" r:id="rId293"/>
    <hyperlink xmlns:r="http://schemas.openxmlformats.org/officeDocument/2006/relationships" ref="R153" r:id="rId294"/>
    <hyperlink xmlns:r="http://schemas.openxmlformats.org/officeDocument/2006/relationships" ref="Q154" r:id="rId295"/>
    <hyperlink xmlns:r="http://schemas.openxmlformats.org/officeDocument/2006/relationships" ref="R154" r:id="rId296"/>
    <hyperlink xmlns:r="http://schemas.openxmlformats.org/officeDocument/2006/relationships" ref="Q155" r:id="rId297"/>
    <hyperlink xmlns:r="http://schemas.openxmlformats.org/officeDocument/2006/relationships" ref="R155" r:id="rId298"/>
    <hyperlink xmlns:r="http://schemas.openxmlformats.org/officeDocument/2006/relationships" ref="Q156" r:id="rId299"/>
    <hyperlink xmlns:r="http://schemas.openxmlformats.org/officeDocument/2006/relationships" ref="R156" r:id="rId300"/>
    <hyperlink xmlns:r="http://schemas.openxmlformats.org/officeDocument/2006/relationships" ref="Q157" r:id="rId301"/>
    <hyperlink xmlns:r="http://schemas.openxmlformats.org/officeDocument/2006/relationships" ref="R157" r:id="rId302"/>
    <hyperlink xmlns:r="http://schemas.openxmlformats.org/officeDocument/2006/relationships" ref="Q158" r:id="rId303"/>
    <hyperlink xmlns:r="http://schemas.openxmlformats.org/officeDocument/2006/relationships" ref="R158" r:id="rId304"/>
    <hyperlink xmlns:r="http://schemas.openxmlformats.org/officeDocument/2006/relationships" ref="Q159" r:id="rId305"/>
    <hyperlink xmlns:r="http://schemas.openxmlformats.org/officeDocument/2006/relationships" ref="R159" r:id="rId306"/>
    <hyperlink xmlns:r="http://schemas.openxmlformats.org/officeDocument/2006/relationships" ref="Q160" r:id="rId307"/>
    <hyperlink xmlns:r="http://schemas.openxmlformats.org/officeDocument/2006/relationships" ref="R160" r:id="rId308"/>
    <hyperlink xmlns:r="http://schemas.openxmlformats.org/officeDocument/2006/relationships" ref="Q161" r:id="rId309"/>
    <hyperlink xmlns:r="http://schemas.openxmlformats.org/officeDocument/2006/relationships" ref="R161" r:id="rId310"/>
    <hyperlink xmlns:r="http://schemas.openxmlformats.org/officeDocument/2006/relationships" ref="Q162" r:id="rId311"/>
    <hyperlink xmlns:r="http://schemas.openxmlformats.org/officeDocument/2006/relationships" ref="R162" r:id="rId312"/>
    <hyperlink xmlns:r="http://schemas.openxmlformats.org/officeDocument/2006/relationships" ref="Q163" r:id="rId313"/>
    <hyperlink xmlns:r="http://schemas.openxmlformats.org/officeDocument/2006/relationships" ref="R163" r:id="rId314"/>
    <hyperlink xmlns:r="http://schemas.openxmlformats.org/officeDocument/2006/relationships" ref="Q164" r:id="rId315"/>
    <hyperlink xmlns:r="http://schemas.openxmlformats.org/officeDocument/2006/relationships" ref="R164" r:id="rId316"/>
    <hyperlink xmlns:r="http://schemas.openxmlformats.org/officeDocument/2006/relationships" ref="Q165" r:id="rId317"/>
    <hyperlink xmlns:r="http://schemas.openxmlformats.org/officeDocument/2006/relationships" ref="R165" r:id="rId318"/>
    <hyperlink xmlns:r="http://schemas.openxmlformats.org/officeDocument/2006/relationships" ref="Q166" r:id="rId319"/>
    <hyperlink xmlns:r="http://schemas.openxmlformats.org/officeDocument/2006/relationships" ref="R166" r:id="rId320"/>
    <hyperlink xmlns:r="http://schemas.openxmlformats.org/officeDocument/2006/relationships" ref="Q167" r:id="rId321"/>
    <hyperlink xmlns:r="http://schemas.openxmlformats.org/officeDocument/2006/relationships" ref="R167" r:id="rId322"/>
    <hyperlink xmlns:r="http://schemas.openxmlformats.org/officeDocument/2006/relationships" ref="Q168" r:id="rId323"/>
    <hyperlink xmlns:r="http://schemas.openxmlformats.org/officeDocument/2006/relationships" ref="R168" r:id="rId324"/>
    <hyperlink xmlns:r="http://schemas.openxmlformats.org/officeDocument/2006/relationships" ref="Q169" r:id="rId325"/>
    <hyperlink xmlns:r="http://schemas.openxmlformats.org/officeDocument/2006/relationships" ref="R169" r:id="rId326"/>
    <hyperlink xmlns:r="http://schemas.openxmlformats.org/officeDocument/2006/relationships" ref="Q170" r:id="rId327"/>
    <hyperlink xmlns:r="http://schemas.openxmlformats.org/officeDocument/2006/relationships" ref="R170" r:id="rId328"/>
    <hyperlink xmlns:r="http://schemas.openxmlformats.org/officeDocument/2006/relationships" ref="Q171" r:id="rId329"/>
    <hyperlink xmlns:r="http://schemas.openxmlformats.org/officeDocument/2006/relationships" ref="R171" r:id="rId330"/>
    <hyperlink xmlns:r="http://schemas.openxmlformats.org/officeDocument/2006/relationships" ref="Q172" r:id="rId331"/>
    <hyperlink xmlns:r="http://schemas.openxmlformats.org/officeDocument/2006/relationships" ref="R172" r:id="rId332"/>
    <hyperlink xmlns:r="http://schemas.openxmlformats.org/officeDocument/2006/relationships" ref="Q173" r:id="rId333"/>
    <hyperlink xmlns:r="http://schemas.openxmlformats.org/officeDocument/2006/relationships" ref="R173" r:id="rId334"/>
    <hyperlink xmlns:r="http://schemas.openxmlformats.org/officeDocument/2006/relationships" ref="Q174" r:id="rId335"/>
    <hyperlink xmlns:r="http://schemas.openxmlformats.org/officeDocument/2006/relationships" ref="R174" r:id="rId336"/>
    <hyperlink xmlns:r="http://schemas.openxmlformats.org/officeDocument/2006/relationships" ref="Q175" r:id="rId337"/>
    <hyperlink xmlns:r="http://schemas.openxmlformats.org/officeDocument/2006/relationships" ref="R175" r:id="rId338"/>
    <hyperlink xmlns:r="http://schemas.openxmlformats.org/officeDocument/2006/relationships" ref="Q176" r:id="rId339"/>
    <hyperlink xmlns:r="http://schemas.openxmlformats.org/officeDocument/2006/relationships" ref="R176" r:id="rId340"/>
    <hyperlink xmlns:r="http://schemas.openxmlformats.org/officeDocument/2006/relationships" ref="Q177" r:id="rId341"/>
    <hyperlink xmlns:r="http://schemas.openxmlformats.org/officeDocument/2006/relationships" ref="R177" r:id="rId342"/>
    <hyperlink xmlns:r="http://schemas.openxmlformats.org/officeDocument/2006/relationships" ref="Q178" r:id="rId343"/>
    <hyperlink xmlns:r="http://schemas.openxmlformats.org/officeDocument/2006/relationships" ref="R178" r:id="rId344"/>
    <hyperlink xmlns:r="http://schemas.openxmlformats.org/officeDocument/2006/relationships" ref="Q179" r:id="rId345"/>
    <hyperlink xmlns:r="http://schemas.openxmlformats.org/officeDocument/2006/relationships" ref="R179" r:id="rId346"/>
    <hyperlink xmlns:r="http://schemas.openxmlformats.org/officeDocument/2006/relationships" ref="Q180" r:id="rId347"/>
    <hyperlink xmlns:r="http://schemas.openxmlformats.org/officeDocument/2006/relationships" ref="R180" r:id="rId348"/>
    <hyperlink xmlns:r="http://schemas.openxmlformats.org/officeDocument/2006/relationships" ref="Q181" r:id="rId349"/>
    <hyperlink xmlns:r="http://schemas.openxmlformats.org/officeDocument/2006/relationships" ref="R181" r:id="rId350"/>
    <hyperlink xmlns:r="http://schemas.openxmlformats.org/officeDocument/2006/relationships" ref="Q182" r:id="rId351"/>
    <hyperlink xmlns:r="http://schemas.openxmlformats.org/officeDocument/2006/relationships" ref="R182" r:id="rId352"/>
    <hyperlink xmlns:r="http://schemas.openxmlformats.org/officeDocument/2006/relationships" ref="Q183" r:id="rId353"/>
    <hyperlink xmlns:r="http://schemas.openxmlformats.org/officeDocument/2006/relationships" ref="R183" r:id="rId354"/>
    <hyperlink xmlns:r="http://schemas.openxmlformats.org/officeDocument/2006/relationships" ref="Q184" r:id="rId355"/>
    <hyperlink xmlns:r="http://schemas.openxmlformats.org/officeDocument/2006/relationships" ref="R184" r:id="rId356"/>
    <hyperlink xmlns:r="http://schemas.openxmlformats.org/officeDocument/2006/relationships" ref="Q185" r:id="rId357"/>
    <hyperlink xmlns:r="http://schemas.openxmlformats.org/officeDocument/2006/relationships" ref="R185" r:id="rId358"/>
    <hyperlink xmlns:r="http://schemas.openxmlformats.org/officeDocument/2006/relationships" ref="Q186" r:id="rId359"/>
    <hyperlink xmlns:r="http://schemas.openxmlformats.org/officeDocument/2006/relationships" ref="R186" r:id="rId360"/>
    <hyperlink xmlns:r="http://schemas.openxmlformats.org/officeDocument/2006/relationships" ref="Q187" r:id="rId361"/>
    <hyperlink xmlns:r="http://schemas.openxmlformats.org/officeDocument/2006/relationships" ref="R187" r:id="rId362"/>
    <hyperlink xmlns:r="http://schemas.openxmlformats.org/officeDocument/2006/relationships" ref="Q188" r:id="rId363"/>
    <hyperlink xmlns:r="http://schemas.openxmlformats.org/officeDocument/2006/relationships" ref="R188" r:id="rId364"/>
    <hyperlink xmlns:r="http://schemas.openxmlformats.org/officeDocument/2006/relationships" ref="Q189" r:id="rId365"/>
    <hyperlink xmlns:r="http://schemas.openxmlformats.org/officeDocument/2006/relationships" ref="R189" r:id="rId366"/>
    <hyperlink xmlns:r="http://schemas.openxmlformats.org/officeDocument/2006/relationships" ref="Q190" r:id="rId367"/>
    <hyperlink xmlns:r="http://schemas.openxmlformats.org/officeDocument/2006/relationships" ref="R190" r:id="rId368"/>
    <hyperlink xmlns:r="http://schemas.openxmlformats.org/officeDocument/2006/relationships" ref="Q191" r:id="rId369"/>
    <hyperlink xmlns:r="http://schemas.openxmlformats.org/officeDocument/2006/relationships" ref="R191" r:id="rId370"/>
    <hyperlink xmlns:r="http://schemas.openxmlformats.org/officeDocument/2006/relationships" ref="Q192" r:id="rId371"/>
    <hyperlink xmlns:r="http://schemas.openxmlformats.org/officeDocument/2006/relationships" ref="R192" r:id="rId372"/>
    <hyperlink xmlns:r="http://schemas.openxmlformats.org/officeDocument/2006/relationships" ref="Q193" r:id="rId373"/>
    <hyperlink xmlns:r="http://schemas.openxmlformats.org/officeDocument/2006/relationships" ref="R193" r:id="rId374"/>
    <hyperlink xmlns:r="http://schemas.openxmlformats.org/officeDocument/2006/relationships" ref="Q194" r:id="rId375"/>
    <hyperlink xmlns:r="http://schemas.openxmlformats.org/officeDocument/2006/relationships" ref="R194" r:id="rId376"/>
    <hyperlink xmlns:r="http://schemas.openxmlformats.org/officeDocument/2006/relationships" ref="Q195" r:id="rId377"/>
    <hyperlink xmlns:r="http://schemas.openxmlformats.org/officeDocument/2006/relationships" ref="R195" r:id="rId378"/>
    <hyperlink xmlns:r="http://schemas.openxmlformats.org/officeDocument/2006/relationships" ref="Q196" r:id="rId379"/>
    <hyperlink xmlns:r="http://schemas.openxmlformats.org/officeDocument/2006/relationships" ref="R196" r:id="rId380"/>
    <hyperlink xmlns:r="http://schemas.openxmlformats.org/officeDocument/2006/relationships" ref="Q197" r:id="rId381"/>
    <hyperlink xmlns:r="http://schemas.openxmlformats.org/officeDocument/2006/relationships" ref="R197" r:id="rId382"/>
    <hyperlink xmlns:r="http://schemas.openxmlformats.org/officeDocument/2006/relationships" ref="Q198" r:id="rId383"/>
    <hyperlink xmlns:r="http://schemas.openxmlformats.org/officeDocument/2006/relationships" ref="R198" r:id="rId384"/>
    <hyperlink xmlns:r="http://schemas.openxmlformats.org/officeDocument/2006/relationships" ref="Q199" r:id="rId385"/>
    <hyperlink xmlns:r="http://schemas.openxmlformats.org/officeDocument/2006/relationships" ref="R199" r:id="rId386"/>
    <hyperlink xmlns:r="http://schemas.openxmlformats.org/officeDocument/2006/relationships" ref="Q200" r:id="rId387"/>
    <hyperlink xmlns:r="http://schemas.openxmlformats.org/officeDocument/2006/relationships" ref="R200" r:id="rId388"/>
    <hyperlink xmlns:r="http://schemas.openxmlformats.org/officeDocument/2006/relationships" ref="Q201" r:id="rId389"/>
    <hyperlink xmlns:r="http://schemas.openxmlformats.org/officeDocument/2006/relationships" ref="R201" r:id="rId390"/>
    <hyperlink xmlns:r="http://schemas.openxmlformats.org/officeDocument/2006/relationships" ref="Q202" r:id="rId391"/>
    <hyperlink xmlns:r="http://schemas.openxmlformats.org/officeDocument/2006/relationships" ref="R202" r:id="rId392"/>
    <hyperlink xmlns:r="http://schemas.openxmlformats.org/officeDocument/2006/relationships" ref="Q203" r:id="rId393"/>
    <hyperlink xmlns:r="http://schemas.openxmlformats.org/officeDocument/2006/relationships" ref="R203" r:id="rId394"/>
    <hyperlink xmlns:r="http://schemas.openxmlformats.org/officeDocument/2006/relationships" ref="Q204" r:id="rId395"/>
    <hyperlink xmlns:r="http://schemas.openxmlformats.org/officeDocument/2006/relationships" ref="R204" r:id="rId396"/>
    <hyperlink xmlns:r="http://schemas.openxmlformats.org/officeDocument/2006/relationships" ref="Q205" r:id="rId397"/>
    <hyperlink xmlns:r="http://schemas.openxmlformats.org/officeDocument/2006/relationships" ref="R205" r:id="rId398"/>
    <hyperlink xmlns:r="http://schemas.openxmlformats.org/officeDocument/2006/relationships" ref="Q206" r:id="rId399"/>
    <hyperlink xmlns:r="http://schemas.openxmlformats.org/officeDocument/2006/relationships" ref="R206" r:id="rId400"/>
    <hyperlink xmlns:r="http://schemas.openxmlformats.org/officeDocument/2006/relationships" ref="Q207" r:id="rId401"/>
    <hyperlink xmlns:r="http://schemas.openxmlformats.org/officeDocument/2006/relationships" ref="R207" r:id="rId402"/>
    <hyperlink xmlns:r="http://schemas.openxmlformats.org/officeDocument/2006/relationships" ref="Q208" r:id="rId403"/>
    <hyperlink xmlns:r="http://schemas.openxmlformats.org/officeDocument/2006/relationships" ref="R208" r:id="rId404"/>
    <hyperlink xmlns:r="http://schemas.openxmlformats.org/officeDocument/2006/relationships" ref="Q209" r:id="rId405"/>
    <hyperlink xmlns:r="http://schemas.openxmlformats.org/officeDocument/2006/relationships" ref="R209" r:id="rId406"/>
    <hyperlink xmlns:r="http://schemas.openxmlformats.org/officeDocument/2006/relationships" ref="Q210" r:id="rId407"/>
    <hyperlink xmlns:r="http://schemas.openxmlformats.org/officeDocument/2006/relationships" ref="R210" r:id="rId408"/>
    <hyperlink xmlns:r="http://schemas.openxmlformats.org/officeDocument/2006/relationships" ref="Q211" r:id="rId409"/>
    <hyperlink xmlns:r="http://schemas.openxmlformats.org/officeDocument/2006/relationships" ref="R211" r:id="rId410"/>
    <hyperlink xmlns:r="http://schemas.openxmlformats.org/officeDocument/2006/relationships" ref="Q212" r:id="rId411"/>
    <hyperlink xmlns:r="http://schemas.openxmlformats.org/officeDocument/2006/relationships" ref="R212" r:id="rId412"/>
    <hyperlink xmlns:r="http://schemas.openxmlformats.org/officeDocument/2006/relationships" ref="Q213" r:id="rId413"/>
    <hyperlink xmlns:r="http://schemas.openxmlformats.org/officeDocument/2006/relationships" ref="R213" r:id="rId414"/>
    <hyperlink xmlns:r="http://schemas.openxmlformats.org/officeDocument/2006/relationships" ref="Q214" r:id="rId415"/>
    <hyperlink xmlns:r="http://schemas.openxmlformats.org/officeDocument/2006/relationships" ref="R214" r:id="rId416"/>
    <hyperlink xmlns:r="http://schemas.openxmlformats.org/officeDocument/2006/relationships" ref="Q215" r:id="rId417"/>
    <hyperlink xmlns:r="http://schemas.openxmlformats.org/officeDocument/2006/relationships" ref="R215" r:id="rId418"/>
    <hyperlink xmlns:r="http://schemas.openxmlformats.org/officeDocument/2006/relationships" ref="Q216" r:id="rId419"/>
    <hyperlink xmlns:r="http://schemas.openxmlformats.org/officeDocument/2006/relationships" ref="R216" r:id="rId420"/>
    <hyperlink xmlns:r="http://schemas.openxmlformats.org/officeDocument/2006/relationships" ref="Q217" r:id="rId421"/>
    <hyperlink xmlns:r="http://schemas.openxmlformats.org/officeDocument/2006/relationships" ref="R217" r:id="rId422"/>
    <hyperlink xmlns:r="http://schemas.openxmlformats.org/officeDocument/2006/relationships" ref="Q218" r:id="rId423"/>
    <hyperlink xmlns:r="http://schemas.openxmlformats.org/officeDocument/2006/relationships" ref="R218" r:id="rId424"/>
    <hyperlink xmlns:r="http://schemas.openxmlformats.org/officeDocument/2006/relationships" ref="Q219" r:id="rId425"/>
    <hyperlink xmlns:r="http://schemas.openxmlformats.org/officeDocument/2006/relationships" ref="R219" r:id="rId426"/>
    <hyperlink xmlns:r="http://schemas.openxmlformats.org/officeDocument/2006/relationships" ref="Q220" r:id="rId427"/>
    <hyperlink xmlns:r="http://schemas.openxmlformats.org/officeDocument/2006/relationships" ref="R220" r:id="rId428"/>
    <hyperlink xmlns:r="http://schemas.openxmlformats.org/officeDocument/2006/relationships" ref="Q221" r:id="rId429"/>
    <hyperlink xmlns:r="http://schemas.openxmlformats.org/officeDocument/2006/relationships" ref="R221" r:id="rId430"/>
    <hyperlink xmlns:r="http://schemas.openxmlformats.org/officeDocument/2006/relationships" ref="Q222" r:id="rId431"/>
    <hyperlink xmlns:r="http://schemas.openxmlformats.org/officeDocument/2006/relationships" ref="R222" r:id="rId432"/>
    <hyperlink xmlns:r="http://schemas.openxmlformats.org/officeDocument/2006/relationships" ref="Q223" r:id="rId433"/>
    <hyperlink xmlns:r="http://schemas.openxmlformats.org/officeDocument/2006/relationships" ref="R223" r:id="rId434"/>
    <hyperlink xmlns:r="http://schemas.openxmlformats.org/officeDocument/2006/relationships" ref="Q224" r:id="rId435"/>
    <hyperlink xmlns:r="http://schemas.openxmlformats.org/officeDocument/2006/relationships" ref="R224" r:id="rId436"/>
    <hyperlink xmlns:r="http://schemas.openxmlformats.org/officeDocument/2006/relationships" ref="Q225" r:id="rId437"/>
    <hyperlink xmlns:r="http://schemas.openxmlformats.org/officeDocument/2006/relationships" ref="R225" r:id="rId438"/>
    <hyperlink xmlns:r="http://schemas.openxmlformats.org/officeDocument/2006/relationships" ref="Q226" r:id="rId439"/>
    <hyperlink xmlns:r="http://schemas.openxmlformats.org/officeDocument/2006/relationships" ref="R226" r:id="rId440"/>
    <hyperlink xmlns:r="http://schemas.openxmlformats.org/officeDocument/2006/relationships" ref="Q227" r:id="rId441"/>
    <hyperlink xmlns:r="http://schemas.openxmlformats.org/officeDocument/2006/relationships" ref="R227" r:id="rId442"/>
    <hyperlink xmlns:r="http://schemas.openxmlformats.org/officeDocument/2006/relationships" ref="Q228" r:id="rId443"/>
    <hyperlink xmlns:r="http://schemas.openxmlformats.org/officeDocument/2006/relationships" ref="R228" r:id="rId444"/>
    <hyperlink xmlns:r="http://schemas.openxmlformats.org/officeDocument/2006/relationships" ref="Q229" r:id="rId445"/>
    <hyperlink xmlns:r="http://schemas.openxmlformats.org/officeDocument/2006/relationships" ref="R229" r:id="rId446"/>
    <hyperlink xmlns:r="http://schemas.openxmlformats.org/officeDocument/2006/relationships" ref="Q230" r:id="rId447"/>
    <hyperlink xmlns:r="http://schemas.openxmlformats.org/officeDocument/2006/relationships" ref="R230" r:id="rId448"/>
    <hyperlink xmlns:r="http://schemas.openxmlformats.org/officeDocument/2006/relationships" ref="Q231" r:id="rId449"/>
    <hyperlink xmlns:r="http://schemas.openxmlformats.org/officeDocument/2006/relationships" ref="R231" r:id="rId450"/>
    <hyperlink xmlns:r="http://schemas.openxmlformats.org/officeDocument/2006/relationships" ref="Q232" r:id="rId451"/>
    <hyperlink xmlns:r="http://schemas.openxmlformats.org/officeDocument/2006/relationships" ref="R232" r:id="rId452"/>
    <hyperlink xmlns:r="http://schemas.openxmlformats.org/officeDocument/2006/relationships" ref="Q233" r:id="rId453"/>
    <hyperlink xmlns:r="http://schemas.openxmlformats.org/officeDocument/2006/relationships" ref="R233" r:id="rId454"/>
    <hyperlink xmlns:r="http://schemas.openxmlformats.org/officeDocument/2006/relationships" ref="Q234" r:id="rId455"/>
    <hyperlink xmlns:r="http://schemas.openxmlformats.org/officeDocument/2006/relationships" ref="R234" r:id="rId456"/>
    <hyperlink xmlns:r="http://schemas.openxmlformats.org/officeDocument/2006/relationships" ref="Q235" r:id="rId457"/>
    <hyperlink xmlns:r="http://schemas.openxmlformats.org/officeDocument/2006/relationships" ref="R235" r:id="rId458"/>
    <hyperlink xmlns:r="http://schemas.openxmlformats.org/officeDocument/2006/relationships" ref="Q236" r:id="rId459"/>
    <hyperlink xmlns:r="http://schemas.openxmlformats.org/officeDocument/2006/relationships" ref="R236" r:id="rId460"/>
    <hyperlink xmlns:r="http://schemas.openxmlformats.org/officeDocument/2006/relationships" ref="Q237" r:id="rId461"/>
    <hyperlink xmlns:r="http://schemas.openxmlformats.org/officeDocument/2006/relationships" ref="R237" r:id="rId462"/>
    <hyperlink xmlns:r="http://schemas.openxmlformats.org/officeDocument/2006/relationships" ref="Q238" r:id="rId463"/>
    <hyperlink xmlns:r="http://schemas.openxmlformats.org/officeDocument/2006/relationships" ref="R238" r:id="rId464"/>
    <hyperlink xmlns:r="http://schemas.openxmlformats.org/officeDocument/2006/relationships" ref="Q239" r:id="rId465"/>
    <hyperlink xmlns:r="http://schemas.openxmlformats.org/officeDocument/2006/relationships" ref="R239" r:id="rId466"/>
    <hyperlink xmlns:r="http://schemas.openxmlformats.org/officeDocument/2006/relationships" ref="Q240" r:id="rId467"/>
    <hyperlink xmlns:r="http://schemas.openxmlformats.org/officeDocument/2006/relationships" ref="R240" r:id="rId468"/>
    <hyperlink xmlns:r="http://schemas.openxmlformats.org/officeDocument/2006/relationships" ref="Q241" r:id="rId469"/>
    <hyperlink xmlns:r="http://schemas.openxmlformats.org/officeDocument/2006/relationships" ref="R241" r:id="rId470"/>
    <hyperlink xmlns:r="http://schemas.openxmlformats.org/officeDocument/2006/relationships" ref="Q242" r:id="rId471"/>
    <hyperlink xmlns:r="http://schemas.openxmlformats.org/officeDocument/2006/relationships" ref="R242" r:id="rId472"/>
    <hyperlink xmlns:r="http://schemas.openxmlformats.org/officeDocument/2006/relationships" ref="Q243" r:id="rId473"/>
    <hyperlink xmlns:r="http://schemas.openxmlformats.org/officeDocument/2006/relationships" ref="R243" r:id="rId474"/>
    <hyperlink xmlns:r="http://schemas.openxmlformats.org/officeDocument/2006/relationships" ref="Q244" r:id="rId475"/>
    <hyperlink xmlns:r="http://schemas.openxmlformats.org/officeDocument/2006/relationships" ref="R244" r:id="rId476"/>
    <hyperlink xmlns:r="http://schemas.openxmlformats.org/officeDocument/2006/relationships" ref="Q245" r:id="rId477"/>
    <hyperlink xmlns:r="http://schemas.openxmlformats.org/officeDocument/2006/relationships" ref="R245" r:id="rId478"/>
    <hyperlink xmlns:r="http://schemas.openxmlformats.org/officeDocument/2006/relationships" ref="Q246" r:id="rId479"/>
    <hyperlink xmlns:r="http://schemas.openxmlformats.org/officeDocument/2006/relationships" ref="R246" r:id="rId480"/>
    <hyperlink xmlns:r="http://schemas.openxmlformats.org/officeDocument/2006/relationships" ref="Q247" r:id="rId481"/>
    <hyperlink xmlns:r="http://schemas.openxmlformats.org/officeDocument/2006/relationships" ref="R247" r:id="rId482"/>
    <hyperlink xmlns:r="http://schemas.openxmlformats.org/officeDocument/2006/relationships" ref="Q248" r:id="rId483"/>
    <hyperlink xmlns:r="http://schemas.openxmlformats.org/officeDocument/2006/relationships" ref="R248" r:id="rId484"/>
    <hyperlink xmlns:r="http://schemas.openxmlformats.org/officeDocument/2006/relationships" ref="Q249" r:id="rId485"/>
    <hyperlink xmlns:r="http://schemas.openxmlformats.org/officeDocument/2006/relationships" ref="R249" r:id="rId486"/>
    <hyperlink xmlns:r="http://schemas.openxmlformats.org/officeDocument/2006/relationships" ref="Q250" r:id="rId487"/>
    <hyperlink xmlns:r="http://schemas.openxmlformats.org/officeDocument/2006/relationships" ref="R250" r:id="rId488"/>
    <hyperlink xmlns:r="http://schemas.openxmlformats.org/officeDocument/2006/relationships" ref="Q251" r:id="rId489"/>
    <hyperlink xmlns:r="http://schemas.openxmlformats.org/officeDocument/2006/relationships" ref="R251" r:id="rId490"/>
    <hyperlink xmlns:r="http://schemas.openxmlformats.org/officeDocument/2006/relationships" ref="Q252" r:id="rId491"/>
    <hyperlink xmlns:r="http://schemas.openxmlformats.org/officeDocument/2006/relationships" ref="R252" r:id="rId492"/>
    <hyperlink xmlns:r="http://schemas.openxmlformats.org/officeDocument/2006/relationships" ref="Q253" r:id="rId493"/>
    <hyperlink xmlns:r="http://schemas.openxmlformats.org/officeDocument/2006/relationships" ref="R253" r:id="rId494"/>
    <hyperlink xmlns:r="http://schemas.openxmlformats.org/officeDocument/2006/relationships" ref="Q254" r:id="rId495"/>
    <hyperlink xmlns:r="http://schemas.openxmlformats.org/officeDocument/2006/relationships" ref="R254" r:id="rId496"/>
    <hyperlink xmlns:r="http://schemas.openxmlformats.org/officeDocument/2006/relationships" ref="Q255" r:id="rId497"/>
    <hyperlink xmlns:r="http://schemas.openxmlformats.org/officeDocument/2006/relationships" ref="R255" r:id="rId498"/>
    <hyperlink xmlns:r="http://schemas.openxmlformats.org/officeDocument/2006/relationships" ref="Q256" r:id="rId499"/>
    <hyperlink xmlns:r="http://schemas.openxmlformats.org/officeDocument/2006/relationships" ref="R256" r:id="rId500"/>
    <hyperlink xmlns:r="http://schemas.openxmlformats.org/officeDocument/2006/relationships" ref="Q257" r:id="rId501"/>
    <hyperlink xmlns:r="http://schemas.openxmlformats.org/officeDocument/2006/relationships" ref="R257" r:id="rId502"/>
    <hyperlink xmlns:r="http://schemas.openxmlformats.org/officeDocument/2006/relationships" ref="Q258" r:id="rId503"/>
    <hyperlink xmlns:r="http://schemas.openxmlformats.org/officeDocument/2006/relationships" ref="R258" r:id="rId504"/>
    <hyperlink xmlns:r="http://schemas.openxmlformats.org/officeDocument/2006/relationships" ref="Q259" r:id="rId505"/>
    <hyperlink xmlns:r="http://schemas.openxmlformats.org/officeDocument/2006/relationships" ref="R259" r:id="rId506"/>
    <hyperlink xmlns:r="http://schemas.openxmlformats.org/officeDocument/2006/relationships" ref="Q260" r:id="rId507"/>
    <hyperlink xmlns:r="http://schemas.openxmlformats.org/officeDocument/2006/relationships" ref="R260" r:id="rId508"/>
    <hyperlink xmlns:r="http://schemas.openxmlformats.org/officeDocument/2006/relationships" ref="Q261" r:id="rId509"/>
    <hyperlink xmlns:r="http://schemas.openxmlformats.org/officeDocument/2006/relationships" ref="R261" r:id="rId510"/>
    <hyperlink xmlns:r="http://schemas.openxmlformats.org/officeDocument/2006/relationships" ref="Q262" r:id="rId511"/>
    <hyperlink xmlns:r="http://schemas.openxmlformats.org/officeDocument/2006/relationships" ref="R262" r:id="rId512"/>
    <hyperlink xmlns:r="http://schemas.openxmlformats.org/officeDocument/2006/relationships" ref="Q263" r:id="rId513"/>
    <hyperlink xmlns:r="http://schemas.openxmlformats.org/officeDocument/2006/relationships" ref="R263" r:id="rId514"/>
    <hyperlink xmlns:r="http://schemas.openxmlformats.org/officeDocument/2006/relationships" ref="Q264" r:id="rId515"/>
    <hyperlink xmlns:r="http://schemas.openxmlformats.org/officeDocument/2006/relationships" ref="R264" r:id="rId516"/>
    <hyperlink xmlns:r="http://schemas.openxmlformats.org/officeDocument/2006/relationships" ref="Q265" r:id="rId517"/>
    <hyperlink xmlns:r="http://schemas.openxmlformats.org/officeDocument/2006/relationships" ref="R265" r:id="rId518"/>
    <hyperlink xmlns:r="http://schemas.openxmlformats.org/officeDocument/2006/relationships" ref="Q266" r:id="rId519"/>
    <hyperlink xmlns:r="http://schemas.openxmlformats.org/officeDocument/2006/relationships" ref="R266" r:id="rId520"/>
    <hyperlink xmlns:r="http://schemas.openxmlformats.org/officeDocument/2006/relationships" ref="Q267" r:id="rId521"/>
    <hyperlink xmlns:r="http://schemas.openxmlformats.org/officeDocument/2006/relationships" ref="R267" r:id="rId522"/>
    <hyperlink xmlns:r="http://schemas.openxmlformats.org/officeDocument/2006/relationships" ref="Q268" r:id="rId523"/>
    <hyperlink xmlns:r="http://schemas.openxmlformats.org/officeDocument/2006/relationships" ref="R268" r:id="rId524"/>
    <hyperlink xmlns:r="http://schemas.openxmlformats.org/officeDocument/2006/relationships" ref="Q269" r:id="rId525"/>
    <hyperlink xmlns:r="http://schemas.openxmlformats.org/officeDocument/2006/relationships" ref="Q270" r:id="rId526"/>
    <hyperlink xmlns:r="http://schemas.openxmlformats.org/officeDocument/2006/relationships" ref="R270" r:id="rId527"/>
    <hyperlink xmlns:r="http://schemas.openxmlformats.org/officeDocument/2006/relationships" ref="Q271" r:id="rId528"/>
    <hyperlink xmlns:r="http://schemas.openxmlformats.org/officeDocument/2006/relationships" ref="R271" r:id="rId529"/>
    <hyperlink xmlns:r="http://schemas.openxmlformats.org/officeDocument/2006/relationships" ref="Q272" r:id="rId530"/>
    <hyperlink xmlns:r="http://schemas.openxmlformats.org/officeDocument/2006/relationships" ref="R272" r:id="rId531"/>
    <hyperlink xmlns:r="http://schemas.openxmlformats.org/officeDocument/2006/relationships" ref="Q273" r:id="rId532"/>
    <hyperlink xmlns:r="http://schemas.openxmlformats.org/officeDocument/2006/relationships" ref="R273" r:id="rId533"/>
    <hyperlink xmlns:r="http://schemas.openxmlformats.org/officeDocument/2006/relationships" ref="Q274" r:id="rId534"/>
    <hyperlink xmlns:r="http://schemas.openxmlformats.org/officeDocument/2006/relationships" ref="R274" r:id="rId535"/>
    <hyperlink xmlns:r="http://schemas.openxmlformats.org/officeDocument/2006/relationships" ref="Q275" r:id="rId536"/>
    <hyperlink xmlns:r="http://schemas.openxmlformats.org/officeDocument/2006/relationships" ref="R275" r:id="rId537"/>
    <hyperlink xmlns:r="http://schemas.openxmlformats.org/officeDocument/2006/relationships" ref="Q276" r:id="rId538"/>
    <hyperlink xmlns:r="http://schemas.openxmlformats.org/officeDocument/2006/relationships" ref="R276" r:id="rId539"/>
    <hyperlink xmlns:r="http://schemas.openxmlformats.org/officeDocument/2006/relationships" ref="Q277" r:id="rId540"/>
    <hyperlink xmlns:r="http://schemas.openxmlformats.org/officeDocument/2006/relationships" ref="R277" r:id="rId541"/>
    <hyperlink xmlns:r="http://schemas.openxmlformats.org/officeDocument/2006/relationships" ref="Q278" r:id="rId542"/>
    <hyperlink xmlns:r="http://schemas.openxmlformats.org/officeDocument/2006/relationships" ref="R278" r:id="rId543"/>
    <hyperlink xmlns:r="http://schemas.openxmlformats.org/officeDocument/2006/relationships" ref="Q279" r:id="rId544"/>
    <hyperlink xmlns:r="http://schemas.openxmlformats.org/officeDocument/2006/relationships" ref="R279" r:id="rId545"/>
    <hyperlink xmlns:r="http://schemas.openxmlformats.org/officeDocument/2006/relationships" ref="Q280" r:id="rId546"/>
    <hyperlink xmlns:r="http://schemas.openxmlformats.org/officeDocument/2006/relationships" ref="R280" r:id="rId547"/>
    <hyperlink xmlns:r="http://schemas.openxmlformats.org/officeDocument/2006/relationships" ref="Q281" r:id="rId548"/>
    <hyperlink xmlns:r="http://schemas.openxmlformats.org/officeDocument/2006/relationships" ref="R281" r:id="rId549"/>
    <hyperlink xmlns:r="http://schemas.openxmlformats.org/officeDocument/2006/relationships" ref="Q282" r:id="rId550"/>
    <hyperlink xmlns:r="http://schemas.openxmlformats.org/officeDocument/2006/relationships" ref="R282" r:id="rId551"/>
    <hyperlink xmlns:r="http://schemas.openxmlformats.org/officeDocument/2006/relationships" ref="Q283" r:id="rId552"/>
    <hyperlink xmlns:r="http://schemas.openxmlformats.org/officeDocument/2006/relationships" ref="R283" r:id="rId553"/>
    <hyperlink xmlns:r="http://schemas.openxmlformats.org/officeDocument/2006/relationships" ref="Q284" r:id="rId554"/>
    <hyperlink xmlns:r="http://schemas.openxmlformats.org/officeDocument/2006/relationships" ref="R284" r:id="rId555"/>
    <hyperlink xmlns:r="http://schemas.openxmlformats.org/officeDocument/2006/relationships" ref="Q285" r:id="rId556"/>
    <hyperlink xmlns:r="http://schemas.openxmlformats.org/officeDocument/2006/relationships" ref="R285" r:id="rId557"/>
    <hyperlink xmlns:r="http://schemas.openxmlformats.org/officeDocument/2006/relationships" ref="Q286" r:id="rId558"/>
    <hyperlink xmlns:r="http://schemas.openxmlformats.org/officeDocument/2006/relationships" ref="R286" r:id="rId559"/>
    <hyperlink xmlns:r="http://schemas.openxmlformats.org/officeDocument/2006/relationships" ref="Q287" r:id="rId560"/>
    <hyperlink xmlns:r="http://schemas.openxmlformats.org/officeDocument/2006/relationships" ref="R287" r:id="rId561"/>
    <hyperlink xmlns:r="http://schemas.openxmlformats.org/officeDocument/2006/relationships" ref="Q288" r:id="rId562"/>
    <hyperlink xmlns:r="http://schemas.openxmlformats.org/officeDocument/2006/relationships" ref="R288" r:id="rId563"/>
    <hyperlink xmlns:r="http://schemas.openxmlformats.org/officeDocument/2006/relationships" ref="Q289" r:id="rId564"/>
    <hyperlink xmlns:r="http://schemas.openxmlformats.org/officeDocument/2006/relationships" ref="R289" r:id="rId565"/>
    <hyperlink xmlns:r="http://schemas.openxmlformats.org/officeDocument/2006/relationships" ref="Q290" r:id="rId566"/>
    <hyperlink xmlns:r="http://schemas.openxmlformats.org/officeDocument/2006/relationships" ref="R290" r:id="rId567"/>
    <hyperlink xmlns:r="http://schemas.openxmlformats.org/officeDocument/2006/relationships" ref="Q291" r:id="rId568"/>
    <hyperlink xmlns:r="http://schemas.openxmlformats.org/officeDocument/2006/relationships" ref="R291" r:id="rId569"/>
    <hyperlink xmlns:r="http://schemas.openxmlformats.org/officeDocument/2006/relationships" ref="Q292" r:id="rId570"/>
    <hyperlink xmlns:r="http://schemas.openxmlformats.org/officeDocument/2006/relationships" ref="R292" r:id="rId571"/>
    <hyperlink xmlns:r="http://schemas.openxmlformats.org/officeDocument/2006/relationships" ref="Q293" r:id="rId572"/>
    <hyperlink xmlns:r="http://schemas.openxmlformats.org/officeDocument/2006/relationships" ref="R293" r:id="rId573"/>
    <hyperlink xmlns:r="http://schemas.openxmlformats.org/officeDocument/2006/relationships" ref="Q294" r:id="rId574"/>
    <hyperlink xmlns:r="http://schemas.openxmlformats.org/officeDocument/2006/relationships" ref="R294" r:id="rId575"/>
    <hyperlink xmlns:r="http://schemas.openxmlformats.org/officeDocument/2006/relationships" ref="Q295" r:id="rId576"/>
    <hyperlink xmlns:r="http://schemas.openxmlformats.org/officeDocument/2006/relationships" ref="R295" r:id="rId577"/>
    <hyperlink xmlns:r="http://schemas.openxmlformats.org/officeDocument/2006/relationships" ref="Q296" r:id="rId578"/>
    <hyperlink xmlns:r="http://schemas.openxmlformats.org/officeDocument/2006/relationships" ref="R296" r:id="rId579"/>
    <hyperlink xmlns:r="http://schemas.openxmlformats.org/officeDocument/2006/relationships" ref="Q297" r:id="rId580"/>
    <hyperlink xmlns:r="http://schemas.openxmlformats.org/officeDocument/2006/relationships" ref="R297" r:id="rId581"/>
    <hyperlink xmlns:r="http://schemas.openxmlformats.org/officeDocument/2006/relationships" ref="Q298" r:id="rId582"/>
    <hyperlink xmlns:r="http://schemas.openxmlformats.org/officeDocument/2006/relationships" ref="R298" r:id="rId583"/>
    <hyperlink xmlns:r="http://schemas.openxmlformats.org/officeDocument/2006/relationships" ref="Q299" r:id="rId584"/>
    <hyperlink xmlns:r="http://schemas.openxmlformats.org/officeDocument/2006/relationships" ref="R299" r:id="rId585"/>
    <hyperlink xmlns:r="http://schemas.openxmlformats.org/officeDocument/2006/relationships" ref="Q300" r:id="rId586"/>
    <hyperlink xmlns:r="http://schemas.openxmlformats.org/officeDocument/2006/relationships" ref="R300" r:id="rId587"/>
    <hyperlink xmlns:r="http://schemas.openxmlformats.org/officeDocument/2006/relationships" ref="Q301" r:id="rId588"/>
    <hyperlink xmlns:r="http://schemas.openxmlformats.org/officeDocument/2006/relationships" ref="R301" r:id="rId589"/>
    <hyperlink xmlns:r="http://schemas.openxmlformats.org/officeDocument/2006/relationships" ref="Q302" r:id="rId590"/>
    <hyperlink xmlns:r="http://schemas.openxmlformats.org/officeDocument/2006/relationships" ref="R302" r:id="rId591"/>
    <hyperlink xmlns:r="http://schemas.openxmlformats.org/officeDocument/2006/relationships" ref="Q303" r:id="rId592"/>
    <hyperlink xmlns:r="http://schemas.openxmlformats.org/officeDocument/2006/relationships" ref="R303" r:id="rId593"/>
    <hyperlink xmlns:r="http://schemas.openxmlformats.org/officeDocument/2006/relationships" ref="Q304" r:id="rId594"/>
    <hyperlink xmlns:r="http://schemas.openxmlformats.org/officeDocument/2006/relationships" ref="R304" r:id="rId595"/>
    <hyperlink xmlns:r="http://schemas.openxmlformats.org/officeDocument/2006/relationships" ref="Q305" r:id="rId596"/>
    <hyperlink xmlns:r="http://schemas.openxmlformats.org/officeDocument/2006/relationships" ref="R305" r:id="rId597"/>
    <hyperlink xmlns:r="http://schemas.openxmlformats.org/officeDocument/2006/relationships" ref="Q306" r:id="rId598"/>
    <hyperlink xmlns:r="http://schemas.openxmlformats.org/officeDocument/2006/relationships" ref="R306" r:id="rId599"/>
    <hyperlink xmlns:r="http://schemas.openxmlformats.org/officeDocument/2006/relationships" ref="Q307" r:id="rId600"/>
    <hyperlink xmlns:r="http://schemas.openxmlformats.org/officeDocument/2006/relationships" ref="R307" r:id="rId601"/>
    <hyperlink xmlns:r="http://schemas.openxmlformats.org/officeDocument/2006/relationships" ref="Q308" r:id="rId602"/>
    <hyperlink xmlns:r="http://schemas.openxmlformats.org/officeDocument/2006/relationships" ref="R308" r:id="rId603"/>
    <hyperlink xmlns:r="http://schemas.openxmlformats.org/officeDocument/2006/relationships" ref="Q309" r:id="rId604"/>
    <hyperlink xmlns:r="http://schemas.openxmlformats.org/officeDocument/2006/relationships" ref="R309" r:id="rId605"/>
    <hyperlink xmlns:r="http://schemas.openxmlformats.org/officeDocument/2006/relationships" ref="Q310" r:id="rId606"/>
    <hyperlink xmlns:r="http://schemas.openxmlformats.org/officeDocument/2006/relationships" ref="R310" r:id="rId607"/>
    <hyperlink xmlns:r="http://schemas.openxmlformats.org/officeDocument/2006/relationships" ref="Q311" r:id="rId608"/>
    <hyperlink xmlns:r="http://schemas.openxmlformats.org/officeDocument/2006/relationships" ref="R311" r:id="rId609"/>
    <hyperlink xmlns:r="http://schemas.openxmlformats.org/officeDocument/2006/relationships" ref="Q312" r:id="rId610"/>
    <hyperlink xmlns:r="http://schemas.openxmlformats.org/officeDocument/2006/relationships" ref="R312" r:id="rId611"/>
    <hyperlink xmlns:r="http://schemas.openxmlformats.org/officeDocument/2006/relationships" ref="Q313" r:id="rId612"/>
    <hyperlink xmlns:r="http://schemas.openxmlformats.org/officeDocument/2006/relationships" ref="R313" r:id="rId613"/>
    <hyperlink xmlns:r="http://schemas.openxmlformats.org/officeDocument/2006/relationships" ref="Q314" r:id="rId614"/>
    <hyperlink xmlns:r="http://schemas.openxmlformats.org/officeDocument/2006/relationships" ref="R314" r:id="rId615"/>
    <hyperlink xmlns:r="http://schemas.openxmlformats.org/officeDocument/2006/relationships" ref="Q315" r:id="rId616"/>
    <hyperlink xmlns:r="http://schemas.openxmlformats.org/officeDocument/2006/relationships" ref="R315" r:id="rId617"/>
    <hyperlink xmlns:r="http://schemas.openxmlformats.org/officeDocument/2006/relationships" ref="Q316" r:id="rId618"/>
    <hyperlink xmlns:r="http://schemas.openxmlformats.org/officeDocument/2006/relationships" ref="Q317" r:id="rId619"/>
    <hyperlink xmlns:r="http://schemas.openxmlformats.org/officeDocument/2006/relationships" ref="R317" r:id="rId620"/>
    <hyperlink xmlns:r="http://schemas.openxmlformats.org/officeDocument/2006/relationships" ref="Q318" r:id="rId621"/>
    <hyperlink xmlns:r="http://schemas.openxmlformats.org/officeDocument/2006/relationships" ref="R318" r:id="rId622"/>
    <hyperlink xmlns:r="http://schemas.openxmlformats.org/officeDocument/2006/relationships" ref="Q319" r:id="rId623"/>
    <hyperlink xmlns:r="http://schemas.openxmlformats.org/officeDocument/2006/relationships" ref="R319" r:id="rId624"/>
    <hyperlink xmlns:r="http://schemas.openxmlformats.org/officeDocument/2006/relationships" ref="Q320" r:id="rId625"/>
    <hyperlink xmlns:r="http://schemas.openxmlformats.org/officeDocument/2006/relationships" ref="R320" r:id="rId626"/>
    <hyperlink xmlns:r="http://schemas.openxmlformats.org/officeDocument/2006/relationships" ref="Q321" r:id="rId627"/>
    <hyperlink xmlns:r="http://schemas.openxmlformats.org/officeDocument/2006/relationships" ref="R321" r:id="rId628"/>
    <hyperlink xmlns:r="http://schemas.openxmlformats.org/officeDocument/2006/relationships" ref="Q322" r:id="rId629"/>
    <hyperlink xmlns:r="http://schemas.openxmlformats.org/officeDocument/2006/relationships" ref="R322" r:id="rId630"/>
    <hyperlink xmlns:r="http://schemas.openxmlformats.org/officeDocument/2006/relationships" ref="Q323" r:id="rId631"/>
    <hyperlink xmlns:r="http://schemas.openxmlformats.org/officeDocument/2006/relationships" ref="R323" r:id="rId632"/>
    <hyperlink xmlns:r="http://schemas.openxmlformats.org/officeDocument/2006/relationships" ref="Q324" r:id="rId633"/>
    <hyperlink xmlns:r="http://schemas.openxmlformats.org/officeDocument/2006/relationships" ref="R324" r:id="rId634"/>
    <hyperlink xmlns:r="http://schemas.openxmlformats.org/officeDocument/2006/relationships" ref="Q325" r:id="rId635"/>
    <hyperlink xmlns:r="http://schemas.openxmlformats.org/officeDocument/2006/relationships" ref="R325" r:id="rId636"/>
    <hyperlink xmlns:r="http://schemas.openxmlformats.org/officeDocument/2006/relationships" ref="Q326" r:id="rId637"/>
    <hyperlink xmlns:r="http://schemas.openxmlformats.org/officeDocument/2006/relationships" ref="Q327" r:id="rId638"/>
    <hyperlink xmlns:r="http://schemas.openxmlformats.org/officeDocument/2006/relationships" ref="R327" r:id="rId639"/>
    <hyperlink xmlns:r="http://schemas.openxmlformats.org/officeDocument/2006/relationships" ref="Q328" r:id="rId640"/>
    <hyperlink xmlns:r="http://schemas.openxmlformats.org/officeDocument/2006/relationships" ref="R328" r:id="rId641"/>
    <hyperlink xmlns:r="http://schemas.openxmlformats.org/officeDocument/2006/relationships" ref="Q329" r:id="rId642"/>
    <hyperlink xmlns:r="http://schemas.openxmlformats.org/officeDocument/2006/relationships" ref="R329" r:id="rId643"/>
    <hyperlink xmlns:r="http://schemas.openxmlformats.org/officeDocument/2006/relationships" ref="Q330" r:id="rId644"/>
    <hyperlink xmlns:r="http://schemas.openxmlformats.org/officeDocument/2006/relationships" ref="R330" r:id="rId645"/>
    <hyperlink xmlns:r="http://schemas.openxmlformats.org/officeDocument/2006/relationships" ref="Q331" r:id="rId646"/>
    <hyperlink xmlns:r="http://schemas.openxmlformats.org/officeDocument/2006/relationships" ref="R331" r:id="rId647"/>
    <hyperlink xmlns:r="http://schemas.openxmlformats.org/officeDocument/2006/relationships" ref="Q332" r:id="rId648"/>
    <hyperlink xmlns:r="http://schemas.openxmlformats.org/officeDocument/2006/relationships" ref="R332" r:id="rId649"/>
    <hyperlink xmlns:r="http://schemas.openxmlformats.org/officeDocument/2006/relationships" ref="Q333" r:id="rId650"/>
    <hyperlink xmlns:r="http://schemas.openxmlformats.org/officeDocument/2006/relationships" ref="R333" r:id="rId651"/>
    <hyperlink xmlns:r="http://schemas.openxmlformats.org/officeDocument/2006/relationships" ref="Q334" r:id="rId652"/>
    <hyperlink xmlns:r="http://schemas.openxmlformats.org/officeDocument/2006/relationships" ref="R334" r:id="rId653"/>
    <hyperlink xmlns:r="http://schemas.openxmlformats.org/officeDocument/2006/relationships" ref="Q335" r:id="rId654"/>
    <hyperlink xmlns:r="http://schemas.openxmlformats.org/officeDocument/2006/relationships" ref="R335" r:id="rId655"/>
    <hyperlink xmlns:r="http://schemas.openxmlformats.org/officeDocument/2006/relationships" ref="Q336" r:id="rId656"/>
    <hyperlink xmlns:r="http://schemas.openxmlformats.org/officeDocument/2006/relationships" ref="R336" r:id="rId657"/>
    <hyperlink xmlns:r="http://schemas.openxmlformats.org/officeDocument/2006/relationships" ref="Q337" r:id="rId658"/>
    <hyperlink xmlns:r="http://schemas.openxmlformats.org/officeDocument/2006/relationships" ref="R337" r:id="rId659"/>
    <hyperlink xmlns:r="http://schemas.openxmlformats.org/officeDocument/2006/relationships" ref="Q338" r:id="rId660"/>
    <hyperlink xmlns:r="http://schemas.openxmlformats.org/officeDocument/2006/relationships" ref="R338" r:id="rId661"/>
    <hyperlink xmlns:r="http://schemas.openxmlformats.org/officeDocument/2006/relationships" ref="Q339" r:id="rId662"/>
    <hyperlink xmlns:r="http://schemas.openxmlformats.org/officeDocument/2006/relationships" ref="R339" r:id="rId663"/>
    <hyperlink xmlns:r="http://schemas.openxmlformats.org/officeDocument/2006/relationships" ref="Q340" r:id="rId664"/>
    <hyperlink xmlns:r="http://schemas.openxmlformats.org/officeDocument/2006/relationships" ref="R340" r:id="rId665"/>
    <hyperlink xmlns:r="http://schemas.openxmlformats.org/officeDocument/2006/relationships" ref="Q341" r:id="rId666"/>
    <hyperlink xmlns:r="http://schemas.openxmlformats.org/officeDocument/2006/relationships" ref="R341" r:id="rId667"/>
    <hyperlink xmlns:r="http://schemas.openxmlformats.org/officeDocument/2006/relationships" ref="Q342" r:id="rId668"/>
    <hyperlink xmlns:r="http://schemas.openxmlformats.org/officeDocument/2006/relationships" ref="R342" r:id="rId669"/>
    <hyperlink xmlns:r="http://schemas.openxmlformats.org/officeDocument/2006/relationships" ref="Q343" r:id="rId670"/>
    <hyperlink xmlns:r="http://schemas.openxmlformats.org/officeDocument/2006/relationships" ref="R343" r:id="rId671"/>
    <hyperlink xmlns:r="http://schemas.openxmlformats.org/officeDocument/2006/relationships" ref="Q344" r:id="rId672"/>
    <hyperlink xmlns:r="http://schemas.openxmlformats.org/officeDocument/2006/relationships" ref="R344" r:id="rId673"/>
    <hyperlink xmlns:r="http://schemas.openxmlformats.org/officeDocument/2006/relationships" ref="Q345" r:id="rId674"/>
    <hyperlink xmlns:r="http://schemas.openxmlformats.org/officeDocument/2006/relationships" ref="R345" r:id="rId675"/>
    <hyperlink xmlns:r="http://schemas.openxmlformats.org/officeDocument/2006/relationships" ref="Q346" r:id="rId676"/>
    <hyperlink xmlns:r="http://schemas.openxmlformats.org/officeDocument/2006/relationships" ref="R346" r:id="rId677"/>
    <hyperlink xmlns:r="http://schemas.openxmlformats.org/officeDocument/2006/relationships" ref="Q347" r:id="rId678"/>
    <hyperlink xmlns:r="http://schemas.openxmlformats.org/officeDocument/2006/relationships" ref="R347" r:id="rId679"/>
    <hyperlink xmlns:r="http://schemas.openxmlformats.org/officeDocument/2006/relationships" ref="Q348" r:id="rId680"/>
    <hyperlink xmlns:r="http://schemas.openxmlformats.org/officeDocument/2006/relationships" ref="R348" r:id="rId681"/>
    <hyperlink xmlns:r="http://schemas.openxmlformats.org/officeDocument/2006/relationships" ref="Q349" r:id="rId682"/>
    <hyperlink xmlns:r="http://schemas.openxmlformats.org/officeDocument/2006/relationships" ref="R349" r:id="rId683"/>
    <hyperlink xmlns:r="http://schemas.openxmlformats.org/officeDocument/2006/relationships" ref="Q350" r:id="rId684"/>
    <hyperlink xmlns:r="http://schemas.openxmlformats.org/officeDocument/2006/relationships" ref="Q351" r:id="rId685"/>
    <hyperlink xmlns:r="http://schemas.openxmlformats.org/officeDocument/2006/relationships" ref="R351" r:id="rId686"/>
    <hyperlink xmlns:r="http://schemas.openxmlformats.org/officeDocument/2006/relationships" ref="Q352" r:id="rId687"/>
    <hyperlink xmlns:r="http://schemas.openxmlformats.org/officeDocument/2006/relationships" ref="R352" r:id="rId688"/>
    <hyperlink xmlns:r="http://schemas.openxmlformats.org/officeDocument/2006/relationships" ref="Q353" r:id="rId689"/>
    <hyperlink xmlns:r="http://schemas.openxmlformats.org/officeDocument/2006/relationships" ref="R353" r:id="rId690"/>
    <hyperlink xmlns:r="http://schemas.openxmlformats.org/officeDocument/2006/relationships" ref="Q354" r:id="rId691"/>
    <hyperlink xmlns:r="http://schemas.openxmlformats.org/officeDocument/2006/relationships" ref="R354" r:id="rId692"/>
    <hyperlink xmlns:r="http://schemas.openxmlformats.org/officeDocument/2006/relationships" ref="Q355" r:id="rId693"/>
    <hyperlink xmlns:r="http://schemas.openxmlformats.org/officeDocument/2006/relationships" ref="R355" r:id="rId694"/>
    <hyperlink xmlns:r="http://schemas.openxmlformats.org/officeDocument/2006/relationships" ref="Q356" r:id="rId695"/>
    <hyperlink xmlns:r="http://schemas.openxmlformats.org/officeDocument/2006/relationships" ref="R356" r:id="rId696"/>
    <hyperlink xmlns:r="http://schemas.openxmlformats.org/officeDocument/2006/relationships" ref="Q357" r:id="rId697"/>
    <hyperlink xmlns:r="http://schemas.openxmlformats.org/officeDocument/2006/relationships" ref="R357" r:id="rId698"/>
    <hyperlink xmlns:r="http://schemas.openxmlformats.org/officeDocument/2006/relationships" ref="Q358" r:id="rId699"/>
    <hyperlink xmlns:r="http://schemas.openxmlformats.org/officeDocument/2006/relationships" ref="R358" r:id="rId700"/>
    <hyperlink xmlns:r="http://schemas.openxmlformats.org/officeDocument/2006/relationships" ref="Q359" r:id="rId701"/>
    <hyperlink xmlns:r="http://schemas.openxmlformats.org/officeDocument/2006/relationships" ref="R359" r:id="rId702"/>
    <hyperlink xmlns:r="http://schemas.openxmlformats.org/officeDocument/2006/relationships" ref="Q360" r:id="rId703"/>
    <hyperlink xmlns:r="http://schemas.openxmlformats.org/officeDocument/2006/relationships" ref="R360" r:id="rId704"/>
    <hyperlink xmlns:r="http://schemas.openxmlformats.org/officeDocument/2006/relationships" ref="Q361" r:id="rId705"/>
    <hyperlink xmlns:r="http://schemas.openxmlformats.org/officeDocument/2006/relationships" ref="Q362" r:id="rId706"/>
    <hyperlink xmlns:r="http://schemas.openxmlformats.org/officeDocument/2006/relationships" ref="Q363" r:id="rId707"/>
    <hyperlink xmlns:r="http://schemas.openxmlformats.org/officeDocument/2006/relationships" ref="R363" r:id="rId708"/>
    <hyperlink xmlns:r="http://schemas.openxmlformats.org/officeDocument/2006/relationships" ref="Q364" r:id="rId709"/>
    <hyperlink xmlns:r="http://schemas.openxmlformats.org/officeDocument/2006/relationships" ref="Q365" r:id="rId710"/>
    <hyperlink xmlns:r="http://schemas.openxmlformats.org/officeDocument/2006/relationships" ref="R365" r:id="rId711"/>
    <hyperlink xmlns:r="http://schemas.openxmlformats.org/officeDocument/2006/relationships" ref="Q366" r:id="rId712"/>
    <hyperlink xmlns:r="http://schemas.openxmlformats.org/officeDocument/2006/relationships" ref="R366" r:id="rId713"/>
    <hyperlink xmlns:r="http://schemas.openxmlformats.org/officeDocument/2006/relationships" ref="Q367" r:id="rId714"/>
    <hyperlink xmlns:r="http://schemas.openxmlformats.org/officeDocument/2006/relationships" ref="R367" r:id="rId715"/>
    <hyperlink xmlns:r="http://schemas.openxmlformats.org/officeDocument/2006/relationships" ref="Q368" r:id="rId716"/>
    <hyperlink xmlns:r="http://schemas.openxmlformats.org/officeDocument/2006/relationships" ref="R368" r:id="rId717"/>
    <hyperlink xmlns:r="http://schemas.openxmlformats.org/officeDocument/2006/relationships" ref="Q369" r:id="rId718"/>
    <hyperlink xmlns:r="http://schemas.openxmlformats.org/officeDocument/2006/relationships" ref="Q370" r:id="rId719"/>
    <hyperlink xmlns:r="http://schemas.openxmlformats.org/officeDocument/2006/relationships" ref="R370" r:id="rId720"/>
    <hyperlink xmlns:r="http://schemas.openxmlformats.org/officeDocument/2006/relationships" ref="Q371" r:id="rId721"/>
    <hyperlink xmlns:r="http://schemas.openxmlformats.org/officeDocument/2006/relationships" ref="R371" r:id="rId722"/>
    <hyperlink xmlns:r="http://schemas.openxmlformats.org/officeDocument/2006/relationships" ref="Q372" r:id="rId723"/>
    <hyperlink xmlns:r="http://schemas.openxmlformats.org/officeDocument/2006/relationships" ref="R372" r:id="rId724"/>
    <hyperlink xmlns:r="http://schemas.openxmlformats.org/officeDocument/2006/relationships" ref="Q373" r:id="rId725"/>
    <hyperlink xmlns:r="http://schemas.openxmlformats.org/officeDocument/2006/relationships" ref="R373" r:id="rId726"/>
    <hyperlink xmlns:r="http://schemas.openxmlformats.org/officeDocument/2006/relationships" ref="Q374" r:id="rId727"/>
    <hyperlink xmlns:r="http://schemas.openxmlformats.org/officeDocument/2006/relationships" ref="R374" r:id="rId728"/>
    <hyperlink xmlns:r="http://schemas.openxmlformats.org/officeDocument/2006/relationships" ref="Q375" r:id="rId729"/>
    <hyperlink xmlns:r="http://schemas.openxmlformats.org/officeDocument/2006/relationships" ref="R375" r:id="rId730"/>
    <hyperlink xmlns:r="http://schemas.openxmlformats.org/officeDocument/2006/relationships" ref="Q376" r:id="rId731"/>
    <hyperlink xmlns:r="http://schemas.openxmlformats.org/officeDocument/2006/relationships" ref="R376" r:id="rId732"/>
    <hyperlink xmlns:r="http://schemas.openxmlformats.org/officeDocument/2006/relationships" ref="Q377" r:id="rId733"/>
    <hyperlink xmlns:r="http://schemas.openxmlformats.org/officeDocument/2006/relationships" ref="R377" r:id="rId734"/>
    <hyperlink xmlns:r="http://schemas.openxmlformats.org/officeDocument/2006/relationships" ref="Q378" r:id="rId735"/>
    <hyperlink xmlns:r="http://schemas.openxmlformats.org/officeDocument/2006/relationships" ref="R378" r:id="rId736"/>
    <hyperlink xmlns:r="http://schemas.openxmlformats.org/officeDocument/2006/relationships" ref="Q379" r:id="rId737"/>
    <hyperlink xmlns:r="http://schemas.openxmlformats.org/officeDocument/2006/relationships" ref="R379" r:id="rId738"/>
    <hyperlink xmlns:r="http://schemas.openxmlformats.org/officeDocument/2006/relationships" ref="Q380" r:id="rId739"/>
    <hyperlink xmlns:r="http://schemas.openxmlformats.org/officeDocument/2006/relationships" ref="R380" r:id="rId740"/>
    <hyperlink xmlns:r="http://schemas.openxmlformats.org/officeDocument/2006/relationships" ref="Q381" r:id="rId741"/>
    <hyperlink xmlns:r="http://schemas.openxmlformats.org/officeDocument/2006/relationships" ref="R381" r:id="rId742"/>
    <hyperlink xmlns:r="http://schemas.openxmlformats.org/officeDocument/2006/relationships" ref="Q382" r:id="rId743"/>
    <hyperlink xmlns:r="http://schemas.openxmlformats.org/officeDocument/2006/relationships" ref="R382" r:id="rId744"/>
    <hyperlink xmlns:r="http://schemas.openxmlformats.org/officeDocument/2006/relationships" ref="Q383" r:id="rId745"/>
    <hyperlink xmlns:r="http://schemas.openxmlformats.org/officeDocument/2006/relationships" ref="R383" r:id="rId746"/>
    <hyperlink xmlns:r="http://schemas.openxmlformats.org/officeDocument/2006/relationships" ref="Q384" r:id="rId747"/>
    <hyperlink xmlns:r="http://schemas.openxmlformats.org/officeDocument/2006/relationships" ref="R384" r:id="rId748"/>
    <hyperlink xmlns:r="http://schemas.openxmlformats.org/officeDocument/2006/relationships" ref="Q385" r:id="rId749"/>
    <hyperlink xmlns:r="http://schemas.openxmlformats.org/officeDocument/2006/relationships" ref="R385" r:id="rId750"/>
    <hyperlink xmlns:r="http://schemas.openxmlformats.org/officeDocument/2006/relationships" ref="Q386" r:id="rId751"/>
    <hyperlink xmlns:r="http://schemas.openxmlformats.org/officeDocument/2006/relationships" ref="Q387" r:id="rId752"/>
    <hyperlink xmlns:r="http://schemas.openxmlformats.org/officeDocument/2006/relationships" ref="R387" r:id="rId753"/>
    <hyperlink xmlns:r="http://schemas.openxmlformats.org/officeDocument/2006/relationships" ref="Q388" r:id="rId754"/>
    <hyperlink xmlns:r="http://schemas.openxmlformats.org/officeDocument/2006/relationships" ref="R388" r:id="rId755"/>
    <hyperlink xmlns:r="http://schemas.openxmlformats.org/officeDocument/2006/relationships" ref="Q389" r:id="rId756"/>
    <hyperlink xmlns:r="http://schemas.openxmlformats.org/officeDocument/2006/relationships" ref="R389" r:id="rId757"/>
    <hyperlink xmlns:r="http://schemas.openxmlformats.org/officeDocument/2006/relationships" ref="Q390" r:id="rId758"/>
    <hyperlink xmlns:r="http://schemas.openxmlformats.org/officeDocument/2006/relationships" ref="R390" r:id="rId759"/>
    <hyperlink xmlns:r="http://schemas.openxmlformats.org/officeDocument/2006/relationships" ref="Q391" r:id="rId760"/>
    <hyperlink xmlns:r="http://schemas.openxmlformats.org/officeDocument/2006/relationships" ref="R391" r:id="rId761"/>
    <hyperlink xmlns:r="http://schemas.openxmlformats.org/officeDocument/2006/relationships" ref="Q392" r:id="rId762"/>
    <hyperlink xmlns:r="http://schemas.openxmlformats.org/officeDocument/2006/relationships" ref="R392" r:id="rId763"/>
    <hyperlink xmlns:r="http://schemas.openxmlformats.org/officeDocument/2006/relationships" ref="Q393" r:id="rId764"/>
    <hyperlink xmlns:r="http://schemas.openxmlformats.org/officeDocument/2006/relationships" ref="R393" r:id="rId765"/>
    <hyperlink xmlns:r="http://schemas.openxmlformats.org/officeDocument/2006/relationships" ref="Q394" r:id="rId766"/>
    <hyperlink xmlns:r="http://schemas.openxmlformats.org/officeDocument/2006/relationships" ref="R394" r:id="rId767"/>
    <hyperlink xmlns:r="http://schemas.openxmlformats.org/officeDocument/2006/relationships" ref="Q395" r:id="rId768"/>
    <hyperlink xmlns:r="http://schemas.openxmlformats.org/officeDocument/2006/relationships" ref="R395" r:id="rId769"/>
    <hyperlink xmlns:r="http://schemas.openxmlformats.org/officeDocument/2006/relationships" ref="Q396" r:id="rId770"/>
    <hyperlink xmlns:r="http://schemas.openxmlformats.org/officeDocument/2006/relationships" ref="R396" r:id="rId771"/>
    <hyperlink xmlns:r="http://schemas.openxmlformats.org/officeDocument/2006/relationships" ref="Q397" r:id="rId772"/>
    <hyperlink xmlns:r="http://schemas.openxmlformats.org/officeDocument/2006/relationships" ref="R397" r:id="rId773"/>
    <hyperlink xmlns:r="http://schemas.openxmlformats.org/officeDocument/2006/relationships" ref="Q398" r:id="rId774"/>
    <hyperlink xmlns:r="http://schemas.openxmlformats.org/officeDocument/2006/relationships" ref="R398" r:id="rId775"/>
    <hyperlink xmlns:r="http://schemas.openxmlformats.org/officeDocument/2006/relationships" ref="Q399" r:id="rId776"/>
    <hyperlink xmlns:r="http://schemas.openxmlformats.org/officeDocument/2006/relationships" ref="R399" r:id="rId777"/>
    <hyperlink xmlns:r="http://schemas.openxmlformats.org/officeDocument/2006/relationships" ref="Q400" r:id="rId778"/>
    <hyperlink xmlns:r="http://schemas.openxmlformats.org/officeDocument/2006/relationships" ref="R400" r:id="rId779"/>
    <hyperlink xmlns:r="http://schemas.openxmlformats.org/officeDocument/2006/relationships" ref="Q401" r:id="rId780"/>
    <hyperlink xmlns:r="http://schemas.openxmlformats.org/officeDocument/2006/relationships" ref="R401" r:id="rId781"/>
    <hyperlink xmlns:r="http://schemas.openxmlformats.org/officeDocument/2006/relationships" ref="Q402" r:id="rId782"/>
    <hyperlink xmlns:r="http://schemas.openxmlformats.org/officeDocument/2006/relationships" ref="R402" r:id="rId783"/>
    <hyperlink xmlns:r="http://schemas.openxmlformats.org/officeDocument/2006/relationships" ref="Q403" r:id="rId784"/>
    <hyperlink xmlns:r="http://schemas.openxmlformats.org/officeDocument/2006/relationships" ref="R403" r:id="rId785"/>
    <hyperlink xmlns:r="http://schemas.openxmlformats.org/officeDocument/2006/relationships" ref="Q404" r:id="rId786"/>
    <hyperlink xmlns:r="http://schemas.openxmlformats.org/officeDocument/2006/relationships" ref="R404" r:id="rId787"/>
    <hyperlink xmlns:r="http://schemas.openxmlformats.org/officeDocument/2006/relationships" ref="Q405" r:id="rId788"/>
    <hyperlink xmlns:r="http://schemas.openxmlformats.org/officeDocument/2006/relationships" ref="R405" r:id="rId789"/>
    <hyperlink xmlns:r="http://schemas.openxmlformats.org/officeDocument/2006/relationships" ref="Q406" r:id="rId790"/>
    <hyperlink xmlns:r="http://schemas.openxmlformats.org/officeDocument/2006/relationships" ref="R406" r:id="rId791"/>
    <hyperlink xmlns:r="http://schemas.openxmlformats.org/officeDocument/2006/relationships" ref="Q407" r:id="rId792"/>
    <hyperlink xmlns:r="http://schemas.openxmlformats.org/officeDocument/2006/relationships" ref="R407" r:id="rId793"/>
    <hyperlink xmlns:r="http://schemas.openxmlformats.org/officeDocument/2006/relationships" ref="Q408" r:id="rId794"/>
    <hyperlink xmlns:r="http://schemas.openxmlformats.org/officeDocument/2006/relationships" ref="R408" r:id="rId795"/>
    <hyperlink xmlns:r="http://schemas.openxmlformats.org/officeDocument/2006/relationships" ref="Q409" r:id="rId796"/>
    <hyperlink xmlns:r="http://schemas.openxmlformats.org/officeDocument/2006/relationships" ref="R409" r:id="rId797"/>
    <hyperlink xmlns:r="http://schemas.openxmlformats.org/officeDocument/2006/relationships" ref="Q410" r:id="rId798"/>
    <hyperlink xmlns:r="http://schemas.openxmlformats.org/officeDocument/2006/relationships" ref="R410" r:id="rId799"/>
    <hyperlink xmlns:r="http://schemas.openxmlformats.org/officeDocument/2006/relationships" ref="Q411" r:id="rId800"/>
    <hyperlink xmlns:r="http://schemas.openxmlformats.org/officeDocument/2006/relationships" ref="R411" r:id="rId801"/>
    <hyperlink xmlns:r="http://schemas.openxmlformats.org/officeDocument/2006/relationships" ref="Q412" r:id="rId802"/>
    <hyperlink xmlns:r="http://schemas.openxmlformats.org/officeDocument/2006/relationships" ref="R412" r:id="rId803"/>
    <hyperlink xmlns:r="http://schemas.openxmlformats.org/officeDocument/2006/relationships" ref="Q413" r:id="rId804"/>
    <hyperlink xmlns:r="http://schemas.openxmlformats.org/officeDocument/2006/relationships" ref="R413" r:id="rId805"/>
    <hyperlink xmlns:r="http://schemas.openxmlformats.org/officeDocument/2006/relationships" ref="Q414" r:id="rId806"/>
    <hyperlink xmlns:r="http://schemas.openxmlformats.org/officeDocument/2006/relationships" ref="R414" r:id="rId807"/>
    <hyperlink xmlns:r="http://schemas.openxmlformats.org/officeDocument/2006/relationships" ref="Q415" r:id="rId808"/>
    <hyperlink xmlns:r="http://schemas.openxmlformats.org/officeDocument/2006/relationships" ref="R415" r:id="rId809"/>
    <hyperlink xmlns:r="http://schemas.openxmlformats.org/officeDocument/2006/relationships" ref="Q416" r:id="rId810"/>
    <hyperlink xmlns:r="http://schemas.openxmlformats.org/officeDocument/2006/relationships" ref="R416" r:id="rId811"/>
    <hyperlink xmlns:r="http://schemas.openxmlformats.org/officeDocument/2006/relationships" ref="Q417" r:id="rId812"/>
    <hyperlink xmlns:r="http://schemas.openxmlformats.org/officeDocument/2006/relationships" ref="R417" r:id="rId813"/>
    <hyperlink xmlns:r="http://schemas.openxmlformats.org/officeDocument/2006/relationships" ref="Q418" r:id="rId814"/>
    <hyperlink xmlns:r="http://schemas.openxmlformats.org/officeDocument/2006/relationships" ref="R418" r:id="rId815"/>
    <hyperlink xmlns:r="http://schemas.openxmlformats.org/officeDocument/2006/relationships" ref="Q419" r:id="rId816"/>
    <hyperlink xmlns:r="http://schemas.openxmlformats.org/officeDocument/2006/relationships" ref="R419" r:id="rId817"/>
    <hyperlink xmlns:r="http://schemas.openxmlformats.org/officeDocument/2006/relationships" ref="Q420" r:id="rId818"/>
    <hyperlink xmlns:r="http://schemas.openxmlformats.org/officeDocument/2006/relationships" ref="Q421" r:id="rId819"/>
    <hyperlink xmlns:r="http://schemas.openxmlformats.org/officeDocument/2006/relationships" ref="R421" r:id="rId820"/>
    <hyperlink xmlns:r="http://schemas.openxmlformats.org/officeDocument/2006/relationships" ref="Q422" r:id="rId821"/>
    <hyperlink xmlns:r="http://schemas.openxmlformats.org/officeDocument/2006/relationships" ref="R422" r:id="rId822"/>
    <hyperlink xmlns:r="http://schemas.openxmlformats.org/officeDocument/2006/relationships" ref="Q423" r:id="rId823"/>
    <hyperlink xmlns:r="http://schemas.openxmlformats.org/officeDocument/2006/relationships" ref="R423" r:id="rId824"/>
    <hyperlink xmlns:r="http://schemas.openxmlformats.org/officeDocument/2006/relationships" ref="Q424" r:id="rId825"/>
    <hyperlink xmlns:r="http://schemas.openxmlformats.org/officeDocument/2006/relationships" ref="R424" r:id="rId826"/>
    <hyperlink xmlns:r="http://schemas.openxmlformats.org/officeDocument/2006/relationships" ref="Q425" r:id="rId827"/>
    <hyperlink xmlns:r="http://schemas.openxmlformats.org/officeDocument/2006/relationships" ref="R425" r:id="rId828"/>
    <hyperlink xmlns:r="http://schemas.openxmlformats.org/officeDocument/2006/relationships" ref="Q426" r:id="rId829"/>
    <hyperlink xmlns:r="http://schemas.openxmlformats.org/officeDocument/2006/relationships" ref="R426" r:id="rId830"/>
    <hyperlink xmlns:r="http://schemas.openxmlformats.org/officeDocument/2006/relationships" ref="Q427" r:id="rId831"/>
    <hyperlink xmlns:r="http://schemas.openxmlformats.org/officeDocument/2006/relationships" ref="R427" r:id="rId832"/>
    <hyperlink xmlns:r="http://schemas.openxmlformats.org/officeDocument/2006/relationships" ref="Q428" r:id="rId833"/>
    <hyperlink xmlns:r="http://schemas.openxmlformats.org/officeDocument/2006/relationships" ref="R428" r:id="rId834"/>
    <hyperlink xmlns:r="http://schemas.openxmlformats.org/officeDocument/2006/relationships" ref="Q429" r:id="rId835"/>
    <hyperlink xmlns:r="http://schemas.openxmlformats.org/officeDocument/2006/relationships" ref="R429" r:id="rId836"/>
    <hyperlink xmlns:r="http://schemas.openxmlformats.org/officeDocument/2006/relationships" ref="Q430" r:id="rId837"/>
    <hyperlink xmlns:r="http://schemas.openxmlformats.org/officeDocument/2006/relationships" ref="R430" r:id="rId838"/>
    <hyperlink xmlns:r="http://schemas.openxmlformats.org/officeDocument/2006/relationships" ref="Q431" r:id="rId839"/>
    <hyperlink xmlns:r="http://schemas.openxmlformats.org/officeDocument/2006/relationships" ref="R431" r:id="rId840"/>
    <hyperlink xmlns:r="http://schemas.openxmlformats.org/officeDocument/2006/relationships" ref="Q432" r:id="rId841"/>
    <hyperlink xmlns:r="http://schemas.openxmlformats.org/officeDocument/2006/relationships" ref="R432" r:id="rId842"/>
    <hyperlink xmlns:r="http://schemas.openxmlformats.org/officeDocument/2006/relationships" ref="Q433" r:id="rId843"/>
    <hyperlink xmlns:r="http://schemas.openxmlformats.org/officeDocument/2006/relationships" ref="R433" r:id="rId844"/>
    <hyperlink xmlns:r="http://schemas.openxmlformats.org/officeDocument/2006/relationships" ref="Q434" r:id="rId845"/>
    <hyperlink xmlns:r="http://schemas.openxmlformats.org/officeDocument/2006/relationships" ref="R434" r:id="rId846"/>
    <hyperlink xmlns:r="http://schemas.openxmlformats.org/officeDocument/2006/relationships" ref="Q435" r:id="rId847"/>
    <hyperlink xmlns:r="http://schemas.openxmlformats.org/officeDocument/2006/relationships" ref="R435" r:id="rId848"/>
    <hyperlink xmlns:r="http://schemas.openxmlformats.org/officeDocument/2006/relationships" ref="Q436" r:id="rId849"/>
    <hyperlink xmlns:r="http://schemas.openxmlformats.org/officeDocument/2006/relationships" ref="R436" r:id="rId850"/>
    <hyperlink xmlns:r="http://schemas.openxmlformats.org/officeDocument/2006/relationships" ref="Q437" r:id="rId851"/>
    <hyperlink xmlns:r="http://schemas.openxmlformats.org/officeDocument/2006/relationships" ref="Q438" r:id="rId852"/>
    <hyperlink xmlns:r="http://schemas.openxmlformats.org/officeDocument/2006/relationships" ref="R438" r:id="rId853"/>
    <hyperlink xmlns:r="http://schemas.openxmlformats.org/officeDocument/2006/relationships" ref="Q439" r:id="rId854"/>
    <hyperlink xmlns:r="http://schemas.openxmlformats.org/officeDocument/2006/relationships" ref="R439" r:id="rId855"/>
    <hyperlink xmlns:r="http://schemas.openxmlformats.org/officeDocument/2006/relationships" ref="Q440" r:id="rId856"/>
    <hyperlink xmlns:r="http://schemas.openxmlformats.org/officeDocument/2006/relationships" ref="R440" r:id="rId857"/>
    <hyperlink xmlns:r="http://schemas.openxmlformats.org/officeDocument/2006/relationships" ref="Q441" r:id="rId858"/>
    <hyperlink xmlns:r="http://schemas.openxmlformats.org/officeDocument/2006/relationships" ref="R441" r:id="rId859"/>
    <hyperlink xmlns:r="http://schemas.openxmlformats.org/officeDocument/2006/relationships" ref="Q442" r:id="rId860"/>
    <hyperlink xmlns:r="http://schemas.openxmlformats.org/officeDocument/2006/relationships" ref="R442" r:id="rId861"/>
    <hyperlink xmlns:r="http://schemas.openxmlformats.org/officeDocument/2006/relationships" ref="Q443" r:id="rId862"/>
    <hyperlink xmlns:r="http://schemas.openxmlformats.org/officeDocument/2006/relationships" ref="R443" r:id="rId863"/>
    <hyperlink xmlns:r="http://schemas.openxmlformats.org/officeDocument/2006/relationships" ref="Q444" r:id="rId864"/>
    <hyperlink xmlns:r="http://schemas.openxmlformats.org/officeDocument/2006/relationships" ref="R444" r:id="rId865"/>
    <hyperlink xmlns:r="http://schemas.openxmlformats.org/officeDocument/2006/relationships" ref="Q445" r:id="rId866"/>
    <hyperlink xmlns:r="http://schemas.openxmlformats.org/officeDocument/2006/relationships" ref="R445" r:id="rId867"/>
    <hyperlink xmlns:r="http://schemas.openxmlformats.org/officeDocument/2006/relationships" ref="Q446" r:id="rId868"/>
    <hyperlink xmlns:r="http://schemas.openxmlformats.org/officeDocument/2006/relationships" ref="R446" r:id="rId869"/>
    <hyperlink xmlns:r="http://schemas.openxmlformats.org/officeDocument/2006/relationships" ref="Q447" r:id="rId870"/>
    <hyperlink xmlns:r="http://schemas.openxmlformats.org/officeDocument/2006/relationships" ref="R447" r:id="rId871"/>
    <hyperlink xmlns:r="http://schemas.openxmlformats.org/officeDocument/2006/relationships" ref="Q448" r:id="rId872"/>
    <hyperlink xmlns:r="http://schemas.openxmlformats.org/officeDocument/2006/relationships" ref="R448" r:id="rId873"/>
    <hyperlink xmlns:r="http://schemas.openxmlformats.org/officeDocument/2006/relationships" ref="Q449" r:id="rId874"/>
    <hyperlink xmlns:r="http://schemas.openxmlformats.org/officeDocument/2006/relationships" ref="R449" r:id="rId875"/>
    <hyperlink xmlns:r="http://schemas.openxmlformats.org/officeDocument/2006/relationships" ref="Q450" r:id="rId876"/>
    <hyperlink xmlns:r="http://schemas.openxmlformats.org/officeDocument/2006/relationships" ref="R450" r:id="rId877"/>
    <hyperlink xmlns:r="http://schemas.openxmlformats.org/officeDocument/2006/relationships" ref="Q451" r:id="rId878"/>
    <hyperlink xmlns:r="http://schemas.openxmlformats.org/officeDocument/2006/relationships" ref="R451" r:id="rId879"/>
    <hyperlink xmlns:r="http://schemas.openxmlformats.org/officeDocument/2006/relationships" ref="Q452" r:id="rId880"/>
    <hyperlink xmlns:r="http://schemas.openxmlformats.org/officeDocument/2006/relationships" ref="R452" r:id="rId881"/>
    <hyperlink xmlns:r="http://schemas.openxmlformats.org/officeDocument/2006/relationships" ref="Q453" r:id="rId882"/>
    <hyperlink xmlns:r="http://schemas.openxmlformats.org/officeDocument/2006/relationships" ref="R453" r:id="rId883"/>
    <hyperlink xmlns:r="http://schemas.openxmlformats.org/officeDocument/2006/relationships" ref="Q454" r:id="rId884"/>
    <hyperlink xmlns:r="http://schemas.openxmlformats.org/officeDocument/2006/relationships" ref="R454" r:id="rId885"/>
    <hyperlink xmlns:r="http://schemas.openxmlformats.org/officeDocument/2006/relationships" ref="Q455" r:id="rId886"/>
    <hyperlink xmlns:r="http://schemas.openxmlformats.org/officeDocument/2006/relationships" ref="R455" r:id="rId887"/>
    <hyperlink xmlns:r="http://schemas.openxmlformats.org/officeDocument/2006/relationships" ref="Q456" r:id="rId888"/>
    <hyperlink xmlns:r="http://schemas.openxmlformats.org/officeDocument/2006/relationships" ref="R456" r:id="rId889"/>
    <hyperlink xmlns:r="http://schemas.openxmlformats.org/officeDocument/2006/relationships" ref="Q457" r:id="rId890"/>
    <hyperlink xmlns:r="http://schemas.openxmlformats.org/officeDocument/2006/relationships" ref="R457" r:id="rId891"/>
    <hyperlink xmlns:r="http://schemas.openxmlformats.org/officeDocument/2006/relationships" ref="Q458" r:id="rId892"/>
    <hyperlink xmlns:r="http://schemas.openxmlformats.org/officeDocument/2006/relationships" ref="R458" r:id="rId893"/>
    <hyperlink xmlns:r="http://schemas.openxmlformats.org/officeDocument/2006/relationships" ref="Q459" r:id="rId894"/>
    <hyperlink xmlns:r="http://schemas.openxmlformats.org/officeDocument/2006/relationships" ref="R459" r:id="rId895"/>
    <hyperlink xmlns:r="http://schemas.openxmlformats.org/officeDocument/2006/relationships" ref="Q460" r:id="rId896"/>
    <hyperlink xmlns:r="http://schemas.openxmlformats.org/officeDocument/2006/relationships" ref="R460" r:id="rId897"/>
    <hyperlink xmlns:r="http://schemas.openxmlformats.org/officeDocument/2006/relationships" ref="Q461" r:id="rId898"/>
    <hyperlink xmlns:r="http://schemas.openxmlformats.org/officeDocument/2006/relationships" ref="R461" r:id="rId899"/>
    <hyperlink xmlns:r="http://schemas.openxmlformats.org/officeDocument/2006/relationships" ref="Q462" r:id="rId900"/>
    <hyperlink xmlns:r="http://schemas.openxmlformats.org/officeDocument/2006/relationships" ref="R462" r:id="rId901"/>
    <hyperlink xmlns:r="http://schemas.openxmlformats.org/officeDocument/2006/relationships" ref="Q463" r:id="rId902"/>
    <hyperlink xmlns:r="http://schemas.openxmlformats.org/officeDocument/2006/relationships" ref="R463" r:id="rId903"/>
    <hyperlink xmlns:r="http://schemas.openxmlformats.org/officeDocument/2006/relationships" ref="Q464" r:id="rId904"/>
    <hyperlink xmlns:r="http://schemas.openxmlformats.org/officeDocument/2006/relationships" ref="R464" r:id="rId905"/>
    <hyperlink xmlns:r="http://schemas.openxmlformats.org/officeDocument/2006/relationships" ref="Q465" r:id="rId906"/>
    <hyperlink xmlns:r="http://schemas.openxmlformats.org/officeDocument/2006/relationships" ref="R465" r:id="rId907"/>
    <hyperlink xmlns:r="http://schemas.openxmlformats.org/officeDocument/2006/relationships" ref="Q466" r:id="rId908"/>
    <hyperlink xmlns:r="http://schemas.openxmlformats.org/officeDocument/2006/relationships" ref="R466" r:id="rId909"/>
    <hyperlink xmlns:r="http://schemas.openxmlformats.org/officeDocument/2006/relationships" ref="Q467" r:id="rId910"/>
    <hyperlink xmlns:r="http://schemas.openxmlformats.org/officeDocument/2006/relationships" ref="R467" r:id="rId911"/>
    <hyperlink xmlns:r="http://schemas.openxmlformats.org/officeDocument/2006/relationships" ref="Q468" r:id="rId912"/>
    <hyperlink xmlns:r="http://schemas.openxmlformats.org/officeDocument/2006/relationships" ref="R468" r:id="rId913"/>
    <hyperlink xmlns:r="http://schemas.openxmlformats.org/officeDocument/2006/relationships" ref="Q469" r:id="rId914"/>
    <hyperlink xmlns:r="http://schemas.openxmlformats.org/officeDocument/2006/relationships" ref="R469" r:id="rId915"/>
    <hyperlink xmlns:r="http://schemas.openxmlformats.org/officeDocument/2006/relationships" ref="Q470" r:id="rId916"/>
    <hyperlink xmlns:r="http://schemas.openxmlformats.org/officeDocument/2006/relationships" ref="R470" r:id="rId917"/>
    <hyperlink xmlns:r="http://schemas.openxmlformats.org/officeDocument/2006/relationships" ref="Q471" r:id="rId918"/>
    <hyperlink xmlns:r="http://schemas.openxmlformats.org/officeDocument/2006/relationships" ref="R471" r:id="rId919"/>
    <hyperlink xmlns:r="http://schemas.openxmlformats.org/officeDocument/2006/relationships" ref="Q472" r:id="rId920"/>
    <hyperlink xmlns:r="http://schemas.openxmlformats.org/officeDocument/2006/relationships" ref="R472" r:id="rId921"/>
    <hyperlink xmlns:r="http://schemas.openxmlformats.org/officeDocument/2006/relationships" ref="Q473" r:id="rId922"/>
    <hyperlink xmlns:r="http://schemas.openxmlformats.org/officeDocument/2006/relationships" ref="R473" r:id="rId923"/>
    <hyperlink xmlns:r="http://schemas.openxmlformats.org/officeDocument/2006/relationships" ref="Q474" r:id="rId924"/>
    <hyperlink xmlns:r="http://schemas.openxmlformats.org/officeDocument/2006/relationships" ref="R474" r:id="rId925"/>
    <hyperlink xmlns:r="http://schemas.openxmlformats.org/officeDocument/2006/relationships" ref="Q475" r:id="rId926"/>
    <hyperlink xmlns:r="http://schemas.openxmlformats.org/officeDocument/2006/relationships" ref="R475" r:id="rId927"/>
    <hyperlink xmlns:r="http://schemas.openxmlformats.org/officeDocument/2006/relationships" ref="Q476" r:id="rId928"/>
    <hyperlink xmlns:r="http://schemas.openxmlformats.org/officeDocument/2006/relationships" ref="R476" r:id="rId929"/>
    <hyperlink xmlns:r="http://schemas.openxmlformats.org/officeDocument/2006/relationships" ref="Q477" r:id="rId930"/>
    <hyperlink xmlns:r="http://schemas.openxmlformats.org/officeDocument/2006/relationships" ref="R477" r:id="rId931"/>
    <hyperlink xmlns:r="http://schemas.openxmlformats.org/officeDocument/2006/relationships" ref="Q478" r:id="rId932"/>
    <hyperlink xmlns:r="http://schemas.openxmlformats.org/officeDocument/2006/relationships" ref="R478" r:id="rId933"/>
    <hyperlink xmlns:r="http://schemas.openxmlformats.org/officeDocument/2006/relationships" ref="Q479" r:id="rId934"/>
    <hyperlink xmlns:r="http://schemas.openxmlformats.org/officeDocument/2006/relationships" ref="R479" r:id="rId935"/>
    <hyperlink xmlns:r="http://schemas.openxmlformats.org/officeDocument/2006/relationships" ref="Q480" r:id="rId936"/>
    <hyperlink xmlns:r="http://schemas.openxmlformats.org/officeDocument/2006/relationships" ref="R480" r:id="rId937"/>
    <hyperlink xmlns:r="http://schemas.openxmlformats.org/officeDocument/2006/relationships" ref="Q481" r:id="rId938"/>
    <hyperlink xmlns:r="http://schemas.openxmlformats.org/officeDocument/2006/relationships" ref="R481" r:id="rId939"/>
    <hyperlink xmlns:r="http://schemas.openxmlformats.org/officeDocument/2006/relationships" ref="Q482" r:id="rId940"/>
    <hyperlink xmlns:r="http://schemas.openxmlformats.org/officeDocument/2006/relationships" ref="R482" r:id="rId941"/>
    <hyperlink xmlns:r="http://schemas.openxmlformats.org/officeDocument/2006/relationships" ref="Q483" r:id="rId942"/>
    <hyperlink xmlns:r="http://schemas.openxmlformats.org/officeDocument/2006/relationships" ref="R483" r:id="rId943"/>
    <hyperlink xmlns:r="http://schemas.openxmlformats.org/officeDocument/2006/relationships" ref="Q484" r:id="rId944"/>
    <hyperlink xmlns:r="http://schemas.openxmlformats.org/officeDocument/2006/relationships" ref="R484" r:id="rId945"/>
    <hyperlink xmlns:r="http://schemas.openxmlformats.org/officeDocument/2006/relationships" ref="Q485" r:id="rId946"/>
    <hyperlink xmlns:r="http://schemas.openxmlformats.org/officeDocument/2006/relationships" ref="R485" r:id="rId947"/>
    <hyperlink xmlns:r="http://schemas.openxmlformats.org/officeDocument/2006/relationships" ref="Q486" r:id="rId948"/>
    <hyperlink xmlns:r="http://schemas.openxmlformats.org/officeDocument/2006/relationships" ref="R486" r:id="rId949"/>
    <hyperlink xmlns:r="http://schemas.openxmlformats.org/officeDocument/2006/relationships" ref="Q487" r:id="rId950"/>
    <hyperlink xmlns:r="http://schemas.openxmlformats.org/officeDocument/2006/relationships" ref="R487" r:id="rId951"/>
    <hyperlink xmlns:r="http://schemas.openxmlformats.org/officeDocument/2006/relationships" ref="Q488" r:id="rId952"/>
    <hyperlink xmlns:r="http://schemas.openxmlformats.org/officeDocument/2006/relationships" ref="R488" r:id="rId953"/>
    <hyperlink xmlns:r="http://schemas.openxmlformats.org/officeDocument/2006/relationships" ref="Q489" r:id="rId954"/>
    <hyperlink xmlns:r="http://schemas.openxmlformats.org/officeDocument/2006/relationships" ref="R489" r:id="rId955"/>
    <hyperlink xmlns:r="http://schemas.openxmlformats.org/officeDocument/2006/relationships" ref="Q490" r:id="rId956"/>
    <hyperlink xmlns:r="http://schemas.openxmlformats.org/officeDocument/2006/relationships" ref="R490" r:id="rId957"/>
    <hyperlink xmlns:r="http://schemas.openxmlformats.org/officeDocument/2006/relationships" ref="Q491" r:id="rId958"/>
    <hyperlink xmlns:r="http://schemas.openxmlformats.org/officeDocument/2006/relationships" ref="R491" r:id="rId959"/>
    <hyperlink xmlns:r="http://schemas.openxmlformats.org/officeDocument/2006/relationships" ref="Q492" r:id="rId960"/>
    <hyperlink xmlns:r="http://schemas.openxmlformats.org/officeDocument/2006/relationships" ref="R492" r:id="rId961"/>
    <hyperlink xmlns:r="http://schemas.openxmlformats.org/officeDocument/2006/relationships" ref="Q493" r:id="rId962"/>
    <hyperlink xmlns:r="http://schemas.openxmlformats.org/officeDocument/2006/relationships" ref="R493" r:id="rId963"/>
    <hyperlink xmlns:r="http://schemas.openxmlformats.org/officeDocument/2006/relationships" ref="Q494" r:id="rId964"/>
    <hyperlink xmlns:r="http://schemas.openxmlformats.org/officeDocument/2006/relationships" ref="Q495" r:id="rId965"/>
    <hyperlink xmlns:r="http://schemas.openxmlformats.org/officeDocument/2006/relationships" ref="R495" r:id="rId966"/>
    <hyperlink xmlns:r="http://schemas.openxmlformats.org/officeDocument/2006/relationships" ref="Q496" r:id="rId967"/>
    <hyperlink xmlns:r="http://schemas.openxmlformats.org/officeDocument/2006/relationships" ref="R496" r:id="rId968"/>
    <hyperlink xmlns:r="http://schemas.openxmlformats.org/officeDocument/2006/relationships" ref="Q497" r:id="rId969"/>
    <hyperlink xmlns:r="http://schemas.openxmlformats.org/officeDocument/2006/relationships" ref="R497" r:id="rId970"/>
    <hyperlink xmlns:r="http://schemas.openxmlformats.org/officeDocument/2006/relationships" ref="Q498" r:id="rId971"/>
    <hyperlink xmlns:r="http://schemas.openxmlformats.org/officeDocument/2006/relationships" ref="R498" r:id="rId972"/>
    <hyperlink xmlns:r="http://schemas.openxmlformats.org/officeDocument/2006/relationships" ref="Q499" r:id="rId973"/>
    <hyperlink xmlns:r="http://schemas.openxmlformats.org/officeDocument/2006/relationships" ref="R499" r:id="rId974"/>
    <hyperlink xmlns:r="http://schemas.openxmlformats.org/officeDocument/2006/relationships" ref="Q500" r:id="rId975"/>
    <hyperlink xmlns:r="http://schemas.openxmlformats.org/officeDocument/2006/relationships" ref="R500" r:id="rId976"/>
    <hyperlink xmlns:r="http://schemas.openxmlformats.org/officeDocument/2006/relationships" ref="Q501" r:id="rId977"/>
    <hyperlink xmlns:r="http://schemas.openxmlformats.org/officeDocument/2006/relationships" ref="R501" r:id="rId978"/>
    <hyperlink xmlns:r="http://schemas.openxmlformats.org/officeDocument/2006/relationships" ref="Q502" r:id="rId979"/>
    <hyperlink xmlns:r="http://schemas.openxmlformats.org/officeDocument/2006/relationships" ref="R502" r:id="rId980"/>
    <hyperlink xmlns:r="http://schemas.openxmlformats.org/officeDocument/2006/relationships" ref="Q503" r:id="rId981"/>
    <hyperlink xmlns:r="http://schemas.openxmlformats.org/officeDocument/2006/relationships" ref="R503" r:id="rId982"/>
    <hyperlink xmlns:r="http://schemas.openxmlformats.org/officeDocument/2006/relationships" ref="Q504" r:id="rId983"/>
    <hyperlink xmlns:r="http://schemas.openxmlformats.org/officeDocument/2006/relationships" ref="R504" r:id="rId984"/>
    <hyperlink xmlns:r="http://schemas.openxmlformats.org/officeDocument/2006/relationships" ref="Q505" r:id="rId985"/>
    <hyperlink xmlns:r="http://schemas.openxmlformats.org/officeDocument/2006/relationships" ref="R505" r:id="rId986"/>
    <hyperlink xmlns:r="http://schemas.openxmlformats.org/officeDocument/2006/relationships" ref="Q506" r:id="rId987"/>
    <hyperlink xmlns:r="http://schemas.openxmlformats.org/officeDocument/2006/relationships" ref="R506" r:id="rId988"/>
    <hyperlink xmlns:r="http://schemas.openxmlformats.org/officeDocument/2006/relationships" ref="Q507" r:id="rId989"/>
    <hyperlink xmlns:r="http://schemas.openxmlformats.org/officeDocument/2006/relationships" ref="R507" r:id="rId990"/>
    <hyperlink xmlns:r="http://schemas.openxmlformats.org/officeDocument/2006/relationships" ref="Q508" r:id="rId991"/>
    <hyperlink xmlns:r="http://schemas.openxmlformats.org/officeDocument/2006/relationships" ref="R508" r:id="rId992"/>
    <hyperlink xmlns:r="http://schemas.openxmlformats.org/officeDocument/2006/relationships" ref="Q509" r:id="rId993"/>
    <hyperlink xmlns:r="http://schemas.openxmlformats.org/officeDocument/2006/relationships" ref="R509" r:id="rId994"/>
    <hyperlink xmlns:r="http://schemas.openxmlformats.org/officeDocument/2006/relationships" ref="Q510" r:id="rId995"/>
    <hyperlink xmlns:r="http://schemas.openxmlformats.org/officeDocument/2006/relationships" ref="R510" r:id="rId996"/>
    <hyperlink xmlns:r="http://schemas.openxmlformats.org/officeDocument/2006/relationships" ref="Q511" r:id="rId997"/>
    <hyperlink xmlns:r="http://schemas.openxmlformats.org/officeDocument/2006/relationships" ref="R511" r:id="rId998"/>
    <hyperlink xmlns:r="http://schemas.openxmlformats.org/officeDocument/2006/relationships" ref="Q512" r:id="rId999"/>
    <hyperlink xmlns:r="http://schemas.openxmlformats.org/officeDocument/2006/relationships" ref="R512" r:id="rId1000"/>
    <hyperlink xmlns:r="http://schemas.openxmlformats.org/officeDocument/2006/relationships" ref="Q513" r:id="rId1001"/>
    <hyperlink xmlns:r="http://schemas.openxmlformats.org/officeDocument/2006/relationships" ref="R513" r:id="rId1002"/>
    <hyperlink xmlns:r="http://schemas.openxmlformats.org/officeDocument/2006/relationships" ref="Q514" r:id="rId1003"/>
    <hyperlink xmlns:r="http://schemas.openxmlformats.org/officeDocument/2006/relationships" ref="R514" r:id="rId1004"/>
    <hyperlink xmlns:r="http://schemas.openxmlformats.org/officeDocument/2006/relationships" ref="Q515" r:id="rId1005"/>
    <hyperlink xmlns:r="http://schemas.openxmlformats.org/officeDocument/2006/relationships" ref="R515" r:id="rId1006"/>
    <hyperlink xmlns:r="http://schemas.openxmlformats.org/officeDocument/2006/relationships" ref="Q516" r:id="rId1007"/>
    <hyperlink xmlns:r="http://schemas.openxmlformats.org/officeDocument/2006/relationships" ref="R516" r:id="rId1008"/>
    <hyperlink xmlns:r="http://schemas.openxmlformats.org/officeDocument/2006/relationships" ref="Q517" r:id="rId1009"/>
    <hyperlink xmlns:r="http://schemas.openxmlformats.org/officeDocument/2006/relationships" ref="R517" r:id="rId1010"/>
    <hyperlink xmlns:r="http://schemas.openxmlformats.org/officeDocument/2006/relationships" ref="Q518" r:id="rId1011"/>
    <hyperlink xmlns:r="http://schemas.openxmlformats.org/officeDocument/2006/relationships" ref="R518" r:id="rId1012"/>
    <hyperlink xmlns:r="http://schemas.openxmlformats.org/officeDocument/2006/relationships" ref="Q519" r:id="rId1013"/>
    <hyperlink xmlns:r="http://schemas.openxmlformats.org/officeDocument/2006/relationships" ref="R519" r:id="rId1014"/>
    <hyperlink xmlns:r="http://schemas.openxmlformats.org/officeDocument/2006/relationships" ref="Q520" r:id="rId1015"/>
    <hyperlink xmlns:r="http://schemas.openxmlformats.org/officeDocument/2006/relationships" ref="Q521" r:id="rId1016"/>
    <hyperlink xmlns:r="http://schemas.openxmlformats.org/officeDocument/2006/relationships" ref="R521" r:id="rId1017"/>
    <hyperlink xmlns:r="http://schemas.openxmlformats.org/officeDocument/2006/relationships" ref="Q522" r:id="rId1018"/>
    <hyperlink xmlns:r="http://schemas.openxmlformats.org/officeDocument/2006/relationships" ref="R522" r:id="rId1019"/>
    <hyperlink xmlns:r="http://schemas.openxmlformats.org/officeDocument/2006/relationships" ref="Q523" r:id="rId1020"/>
    <hyperlink xmlns:r="http://schemas.openxmlformats.org/officeDocument/2006/relationships" ref="R523" r:id="rId1021"/>
    <hyperlink xmlns:r="http://schemas.openxmlformats.org/officeDocument/2006/relationships" ref="Q524" r:id="rId1022"/>
    <hyperlink xmlns:r="http://schemas.openxmlformats.org/officeDocument/2006/relationships" ref="R524" r:id="rId1023"/>
    <hyperlink xmlns:r="http://schemas.openxmlformats.org/officeDocument/2006/relationships" ref="Q525" r:id="rId1024"/>
    <hyperlink xmlns:r="http://schemas.openxmlformats.org/officeDocument/2006/relationships" ref="R525" r:id="rId1025"/>
    <hyperlink xmlns:r="http://schemas.openxmlformats.org/officeDocument/2006/relationships" ref="Q526" r:id="rId1026"/>
    <hyperlink xmlns:r="http://schemas.openxmlformats.org/officeDocument/2006/relationships" ref="R526" r:id="rId1027"/>
    <hyperlink xmlns:r="http://schemas.openxmlformats.org/officeDocument/2006/relationships" ref="Q527" r:id="rId1028"/>
    <hyperlink xmlns:r="http://schemas.openxmlformats.org/officeDocument/2006/relationships" ref="R527" r:id="rId1029"/>
    <hyperlink xmlns:r="http://schemas.openxmlformats.org/officeDocument/2006/relationships" ref="Q528" r:id="rId1030"/>
    <hyperlink xmlns:r="http://schemas.openxmlformats.org/officeDocument/2006/relationships" ref="R528" r:id="rId1031"/>
    <hyperlink xmlns:r="http://schemas.openxmlformats.org/officeDocument/2006/relationships" ref="Q529" r:id="rId1032"/>
    <hyperlink xmlns:r="http://schemas.openxmlformats.org/officeDocument/2006/relationships" ref="R529" r:id="rId1033"/>
    <hyperlink xmlns:r="http://schemas.openxmlformats.org/officeDocument/2006/relationships" ref="Q530" r:id="rId1034"/>
    <hyperlink xmlns:r="http://schemas.openxmlformats.org/officeDocument/2006/relationships" ref="R530" r:id="rId1035"/>
    <hyperlink xmlns:r="http://schemas.openxmlformats.org/officeDocument/2006/relationships" ref="Q531" r:id="rId1036"/>
    <hyperlink xmlns:r="http://schemas.openxmlformats.org/officeDocument/2006/relationships" ref="R531" r:id="rId1037"/>
    <hyperlink xmlns:r="http://schemas.openxmlformats.org/officeDocument/2006/relationships" ref="Q532" r:id="rId1038"/>
    <hyperlink xmlns:r="http://schemas.openxmlformats.org/officeDocument/2006/relationships" ref="R532" r:id="rId1039"/>
    <hyperlink xmlns:r="http://schemas.openxmlformats.org/officeDocument/2006/relationships" ref="Q533" r:id="rId1040"/>
    <hyperlink xmlns:r="http://schemas.openxmlformats.org/officeDocument/2006/relationships" ref="R533" r:id="rId1041"/>
    <hyperlink xmlns:r="http://schemas.openxmlformats.org/officeDocument/2006/relationships" ref="Q534" r:id="rId1042"/>
    <hyperlink xmlns:r="http://schemas.openxmlformats.org/officeDocument/2006/relationships" ref="R534" r:id="rId1043"/>
    <hyperlink xmlns:r="http://schemas.openxmlformats.org/officeDocument/2006/relationships" ref="Q535" r:id="rId1044"/>
    <hyperlink xmlns:r="http://schemas.openxmlformats.org/officeDocument/2006/relationships" ref="R535" r:id="rId1045"/>
    <hyperlink xmlns:r="http://schemas.openxmlformats.org/officeDocument/2006/relationships" ref="Q536" r:id="rId1046"/>
    <hyperlink xmlns:r="http://schemas.openxmlformats.org/officeDocument/2006/relationships" ref="R536" r:id="rId1047"/>
    <hyperlink xmlns:r="http://schemas.openxmlformats.org/officeDocument/2006/relationships" ref="Q537" r:id="rId1048"/>
    <hyperlink xmlns:r="http://schemas.openxmlformats.org/officeDocument/2006/relationships" ref="R537" r:id="rId1049"/>
    <hyperlink xmlns:r="http://schemas.openxmlformats.org/officeDocument/2006/relationships" ref="Q538" r:id="rId1050"/>
    <hyperlink xmlns:r="http://schemas.openxmlformats.org/officeDocument/2006/relationships" ref="R538" r:id="rId1051"/>
    <hyperlink xmlns:r="http://schemas.openxmlformats.org/officeDocument/2006/relationships" ref="Q539" r:id="rId1052"/>
    <hyperlink xmlns:r="http://schemas.openxmlformats.org/officeDocument/2006/relationships" ref="R539" r:id="rId1053"/>
    <hyperlink xmlns:r="http://schemas.openxmlformats.org/officeDocument/2006/relationships" ref="Q540" r:id="rId1054"/>
    <hyperlink xmlns:r="http://schemas.openxmlformats.org/officeDocument/2006/relationships" ref="R540" r:id="rId1055"/>
    <hyperlink xmlns:r="http://schemas.openxmlformats.org/officeDocument/2006/relationships" ref="Q541" r:id="rId1056"/>
    <hyperlink xmlns:r="http://schemas.openxmlformats.org/officeDocument/2006/relationships" ref="R541" r:id="rId1057"/>
    <hyperlink xmlns:r="http://schemas.openxmlformats.org/officeDocument/2006/relationships" ref="Q542" r:id="rId1058"/>
    <hyperlink xmlns:r="http://schemas.openxmlformats.org/officeDocument/2006/relationships" ref="R542" r:id="rId1059"/>
    <hyperlink xmlns:r="http://schemas.openxmlformats.org/officeDocument/2006/relationships" ref="Q543" r:id="rId1060"/>
    <hyperlink xmlns:r="http://schemas.openxmlformats.org/officeDocument/2006/relationships" ref="R543" r:id="rId1061"/>
    <hyperlink xmlns:r="http://schemas.openxmlformats.org/officeDocument/2006/relationships" ref="Q544" r:id="rId1062"/>
    <hyperlink xmlns:r="http://schemas.openxmlformats.org/officeDocument/2006/relationships" ref="R544" r:id="rId1063"/>
    <hyperlink xmlns:r="http://schemas.openxmlformats.org/officeDocument/2006/relationships" ref="Q545" r:id="rId1064"/>
    <hyperlink xmlns:r="http://schemas.openxmlformats.org/officeDocument/2006/relationships" ref="R545" r:id="rId1065"/>
    <hyperlink xmlns:r="http://schemas.openxmlformats.org/officeDocument/2006/relationships" ref="Q546" r:id="rId1066"/>
    <hyperlink xmlns:r="http://schemas.openxmlformats.org/officeDocument/2006/relationships" ref="Q547" r:id="rId1067"/>
    <hyperlink xmlns:r="http://schemas.openxmlformats.org/officeDocument/2006/relationships" ref="R547" r:id="rId1068"/>
    <hyperlink xmlns:r="http://schemas.openxmlformats.org/officeDocument/2006/relationships" ref="Q548" r:id="rId1069"/>
    <hyperlink xmlns:r="http://schemas.openxmlformats.org/officeDocument/2006/relationships" ref="R548" r:id="rId1070"/>
    <hyperlink xmlns:r="http://schemas.openxmlformats.org/officeDocument/2006/relationships" ref="Q549" r:id="rId1071"/>
    <hyperlink xmlns:r="http://schemas.openxmlformats.org/officeDocument/2006/relationships" ref="R549" r:id="rId1072"/>
    <hyperlink xmlns:r="http://schemas.openxmlformats.org/officeDocument/2006/relationships" ref="Q550" r:id="rId1073"/>
    <hyperlink xmlns:r="http://schemas.openxmlformats.org/officeDocument/2006/relationships" ref="R550" r:id="rId1074"/>
    <hyperlink xmlns:r="http://schemas.openxmlformats.org/officeDocument/2006/relationships" ref="Q551" r:id="rId1075"/>
    <hyperlink xmlns:r="http://schemas.openxmlformats.org/officeDocument/2006/relationships" ref="R551" r:id="rId1076"/>
    <hyperlink xmlns:r="http://schemas.openxmlformats.org/officeDocument/2006/relationships" ref="Q552" r:id="rId1077"/>
    <hyperlink xmlns:r="http://schemas.openxmlformats.org/officeDocument/2006/relationships" ref="R552" r:id="rId1078"/>
    <hyperlink xmlns:r="http://schemas.openxmlformats.org/officeDocument/2006/relationships" ref="Q553" r:id="rId1079"/>
    <hyperlink xmlns:r="http://schemas.openxmlformats.org/officeDocument/2006/relationships" ref="R553" r:id="rId1080"/>
    <hyperlink xmlns:r="http://schemas.openxmlformats.org/officeDocument/2006/relationships" ref="Q554" r:id="rId1081"/>
    <hyperlink xmlns:r="http://schemas.openxmlformats.org/officeDocument/2006/relationships" ref="R554" r:id="rId1082"/>
    <hyperlink xmlns:r="http://schemas.openxmlformats.org/officeDocument/2006/relationships" ref="Q555" r:id="rId1083"/>
    <hyperlink xmlns:r="http://schemas.openxmlformats.org/officeDocument/2006/relationships" ref="R555" r:id="rId1084"/>
    <hyperlink xmlns:r="http://schemas.openxmlformats.org/officeDocument/2006/relationships" ref="Q556" r:id="rId1085"/>
    <hyperlink xmlns:r="http://schemas.openxmlformats.org/officeDocument/2006/relationships" ref="R556" r:id="rId1086"/>
    <hyperlink xmlns:r="http://schemas.openxmlformats.org/officeDocument/2006/relationships" ref="Q557" r:id="rId1087"/>
    <hyperlink xmlns:r="http://schemas.openxmlformats.org/officeDocument/2006/relationships" ref="R557" r:id="rId1088"/>
    <hyperlink xmlns:r="http://schemas.openxmlformats.org/officeDocument/2006/relationships" ref="Q558" r:id="rId1089"/>
    <hyperlink xmlns:r="http://schemas.openxmlformats.org/officeDocument/2006/relationships" ref="Q559" r:id="rId1090"/>
    <hyperlink xmlns:r="http://schemas.openxmlformats.org/officeDocument/2006/relationships" ref="R559" r:id="rId1091"/>
    <hyperlink xmlns:r="http://schemas.openxmlformats.org/officeDocument/2006/relationships" ref="Q560" r:id="rId1092"/>
    <hyperlink xmlns:r="http://schemas.openxmlformats.org/officeDocument/2006/relationships" ref="R560" r:id="rId1093"/>
    <hyperlink xmlns:r="http://schemas.openxmlformats.org/officeDocument/2006/relationships" ref="Q561" r:id="rId1094"/>
    <hyperlink xmlns:r="http://schemas.openxmlformats.org/officeDocument/2006/relationships" ref="R561" r:id="rId1095"/>
    <hyperlink xmlns:r="http://schemas.openxmlformats.org/officeDocument/2006/relationships" ref="Q562" r:id="rId1096"/>
    <hyperlink xmlns:r="http://schemas.openxmlformats.org/officeDocument/2006/relationships" ref="R562" r:id="rId1097"/>
    <hyperlink xmlns:r="http://schemas.openxmlformats.org/officeDocument/2006/relationships" ref="Q563" r:id="rId1098"/>
    <hyperlink xmlns:r="http://schemas.openxmlformats.org/officeDocument/2006/relationships" ref="R563" r:id="rId1099"/>
    <hyperlink xmlns:r="http://schemas.openxmlformats.org/officeDocument/2006/relationships" ref="Q564" r:id="rId1100"/>
    <hyperlink xmlns:r="http://schemas.openxmlformats.org/officeDocument/2006/relationships" ref="R564" r:id="rId1101"/>
    <hyperlink xmlns:r="http://schemas.openxmlformats.org/officeDocument/2006/relationships" ref="Q565" r:id="rId1102"/>
    <hyperlink xmlns:r="http://schemas.openxmlformats.org/officeDocument/2006/relationships" ref="R565" r:id="rId1103"/>
    <hyperlink xmlns:r="http://schemas.openxmlformats.org/officeDocument/2006/relationships" ref="Q566" r:id="rId1104"/>
    <hyperlink xmlns:r="http://schemas.openxmlformats.org/officeDocument/2006/relationships" ref="R566" r:id="rId1105"/>
    <hyperlink xmlns:r="http://schemas.openxmlformats.org/officeDocument/2006/relationships" ref="Q567" r:id="rId1106"/>
    <hyperlink xmlns:r="http://schemas.openxmlformats.org/officeDocument/2006/relationships" ref="R567" r:id="rId1107"/>
    <hyperlink xmlns:r="http://schemas.openxmlformats.org/officeDocument/2006/relationships" ref="Q568" r:id="rId1108"/>
    <hyperlink xmlns:r="http://schemas.openxmlformats.org/officeDocument/2006/relationships" ref="R568" r:id="rId1109"/>
    <hyperlink xmlns:r="http://schemas.openxmlformats.org/officeDocument/2006/relationships" ref="Q569" r:id="rId1110"/>
    <hyperlink xmlns:r="http://schemas.openxmlformats.org/officeDocument/2006/relationships" ref="R569" r:id="rId1111"/>
    <hyperlink xmlns:r="http://schemas.openxmlformats.org/officeDocument/2006/relationships" ref="Q570" r:id="rId1112"/>
    <hyperlink xmlns:r="http://schemas.openxmlformats.org/officeDocument/2006/relationships" ref="R570" r:id="rId1113"/>
    <hyperlink xmlns:r="http://schemas.openxmlformats.org/officeDocument/2006/relationships" ref="Q571" r:id="rId1114"/>
    <hyperlink xmlns:r="http://schemas.openxmlformats.org/officeDocument/2006/relationships" ref="R571" r:id="rId1115"/>
    <hyperlink xmlns:r="http://schemas.openxmlformats.org/officeDocument/2006/relationships" ref="Q572" r:id="rId1116"/>
    <hyperlink xmlns:r="http://schemas.openxmlformats.org/officeDocument/2006/relationships" ref="R572" r:id="rId1117"/>
    <hyperlink xmlns:r="http://schemas.openxmlformats.org/officeDocument/2006/relationships" ref="Q573" r:id="rId1118"/>
    <hyperlink xmlns:r="http://schemas.openxmlformats.org/officeDocument/2006/relationships" ref="R573" r:id="rId1119"/>
    <hyperlink xmlns:r="http://schemas.openxmlformats.org/officeDocument/2006/relationships" ref="Q574" r:id="rId1120"/>
    <hyperlink xmlns:r="http://schemas.openxmlformats.org/officeDocument/2006/relationships" ref="R574" r:id="rId1121"/>
    <hyperlink xmlns:r="http://schemas.openxmlformats.org/officeDocument/2006/relationships" ref="Q575" r:id="rId1122"/>
    <hyperlink xmlns:r="http://schemas.openxmlformats.org/officeDocument/2006/relationships" ref="R575" r:id="rId1123"/>
    <hyperlink xmlns:r="http://schemas.openxmlformats.org/officeDocument/2006/relationships" ref="Q576" r:id="rId1124"/>
    <hyperlink xmlns:r="http://schemas.openxmlformats.org/officeDocument/2006/relationships" ref="R576" r:id="rId1125"/>
    <hyperlink xmlns:r="http://schemas.openxmlformats.org/officeDocument/2006/relationships" ref="Q577" r:id="rId1126"/>
    <hyperlink xmlns:r="http://schemas.openxmlformats.org/officeDocument/2006/relationships" ref="R577" r:id="rId1127"/>
    <hyperlink xmlns:r="http://schemas.openxmlformats.org/officeDocument/2006/relationships" ref="Q578" r:id="rId1128"/>
    <hyperlink xmlns:r="http://schemas.openxmlformats.org/officeDocument/2006/relationships" ref="R578" r:id="rId1129"/>
    <hyperlink xmlns:r="http://schemas.openxmlformats.org/officeDocument/2006/relationships" ref="Q579" r:id="rId1130"/>
    <hyperlink xmlns:r="http://schemas.openxmlformats.org/officeDocument/2006/relationships" ref="R579" r:id="rId1131"/>
    <hyperlink xmlns:r="http://schemas.openxmlformats.org/officeDocument/2006/relationships" ref="Q580" r:id="rId1132"/>
    <hyperlink xmlns:r="http://schemas.openxmlformats.org/officeDocument/2006/relationships" ref="R580" r:id="rId1133"/>
    <hyperlink xmlns:r="http://schemas.openxmlformats.org/officeDocument/2006/relationships" ref="Q581" r:id="rId1134"/>
    <hyperlink xmlns:r="http://schemas.openxmlformats.org/officeDocument/2006/relationships" ref="R581" r:id="rId1135"/>
    <hyperlink xmlns:r="http://schemas.openxmlformats.org/officeDocument/2006/relationships" ref="Q582" r:id="rId1136"/>
    <hyperlink xmlns:r="http://schemas.openxmlformats.org/officeDocument/2006/relationships" ref="R582" r:id="rId1137"/>
    <hyperlink xmlns:r="http://schemas.openxmlformats.org/officeDocument/2006/relationships" ref="Q583" r:id="rId1138"/>
    <hyperlink xmlns:r="http://schemas.openxmlformats.org/officeDocument/2006/relationships" ref="R583" r:id="rId1139"/>
    <hyperlink xmlns:r="http://schemas.openxmlformats.org/officeDocument/2006/relationships" ref="Q584" r:id="rId1140"/>
    <hyperlink xmlns:r="http://schemas.openxmlformats.org/officeDocument/2006/relationships" ref="R584" r:id="rId1141"/>
    <hyperlink xmlns:r="http://schemas.openxmlformats.org/officeDocument/2006/relationships" ref="Q585" r:id="rId1142"/>
    <hyperlink xmlns:r="http://schemas.openxmlformats.org/officeDocument/2006/relationships" ref="R585" r:id="rId1143"/>
    <hyperlink xmlns:r="http://schemas.openxmlformats.org/officeDocument/2006/relationships" ref="Q586" r:id="rId1144"/>
    <hyperlink xmlns:r="http://schemas.openxmlformats.org/officeDocument/2006/relationships" ref="R586" r:id="rId1145"/>
    <hyperlink xmlns:r="http://schemas.openxmlformats.org/officeDocument/2006/relationships" ref="Q587" r:id="rId1146"/>
    <hyperlink xmlns:r="http://schemas.openxmlformats.org/officeDocument/2006/relationships" ref="R587" r:id="rId1147"/>
    <hyperlink xmlns:r="http://schemas.openxmlformats.org/officeDocument/2006/relationships" ref="Q588" r:id="rId1148"/>
    <hyperlink xmlns:r="http://schemas.openxmlformats.org/officeDocument/2006/relationships" ref="R588" r:id="rId1149"/>
    <hyperlink xmlns:r="http://schemas.openxmlformats.org/officeDocument/2006/relationships" ref="Q589" r:id="rId1150"/>
    <hyperlink xmlns:r="http://schemas.openxmlformats.org/officeDocument/2006/relationships" ref="R589" r:id="rId1151"/>
    <hyperlink xmlns:r="http://schemas.openxmlformats.org/officeDocument/2006/relationships" ref="Q590" r:id="rId1152"/>
    <hyperlink xmlns:r="http://schemas.openxmlformats.org/officeDocument/2006/relationships" ref="R590" r:id="rId1153"/>
    <hyperlink xmlns:r="http://schemas.openxmlformats.org/officeDocument/2006/relationships" ref="Q591" r:id="rId1154"/>
    <hyperlink xmlns:r="http://schemas.openxmlformats.org/officeDocument/2006/relationships" ref="R591" r:id="rId1155"/>
    <hyperlink xmlns:r="http://schemas.openxmlformats.org/officeDocument/2006/relationships" ref="Q592" r:id="rId1156"/>
    <hyperlink xmlns:r="http://schemas.openxmlformats.org/officeDocument/2006/relationships" ref="R592" r:id="rId1157"/>
    <hyperlink xmlns:r="http://schemas.openxmlformats.org/officeDocument/2006/relationships" ref="Q593" r:id="rId1158"/>
    <hyperlink xmlns:r="http://schemas.openxmlformats.org/officeDocument/2006/relationships" ref="R593" r:id="rId1159"/>
    <hyperlink xmlns:r="http://schemas.openxmlformats.org/officeDocument/2006/relationships" ref="Q594" r:id="rId1160"/>
    <hyperlink xmlns:r="http://schemas.openxmlformats.org/officeDocument/2006/relationships" ref="R594" r:id="rId1161"/>
    <hyperlink xmlns:r="http://schemas.openxmlformats.org/officeDocument/2006/relationships" ref="Q595" r:id="rId1162"/>
    <hyperlink xmlns:r="http://schemas.openxmlformats.org/officeDocument/2006/relationships" ref="R595" r:id="rId1163"/>
    <hyperlink xmlns:r="http://schemas.openxmlformats.org/officeDocument/2006/relationships" ref="Q596" r:id="rId1164"/>
    <hyperlink xmlns:r="http://schemas.openxmlformats.org/officeDocument/2006/relationships" ref="R596" r:id="rId1165"/>
    <hyperlink xmlns:r="http://schemas.openxmlformats.org/officeDocument/2006/relationships" ref="Q597" r:id="rId1166"/>
    <hyperlink xmlns:r="http://schemas.openxmlformats.org/officeDocument/2006/relationships" ref="R597" r:id="rId1167"/>
    <hyperlink xmlns:r="http://schemas.openxmlformats.org/officeDocument/2006/relationships" ref="Q598" r:id="rId1168"/>
    <hyperlink xmlns:r="http://schemas.openxmlformats.org/officeDocument/2006/relationships" ref="R598" r:id="rId1169"/>
    <hyperlink xmlns:r="http://schemas.openxmlformats.org/officeDocument/2006/relationships" ref="Q599" r:id="rId1170"/>
    <hyperlink xmlns:r="http://schemas.openxmlformats.org/officeDocument/2006/relationships" ref="Q600" r:id="rId1171"/>
    <hyperlink xmlns:r="http://schemas.openxmlformats.org/officeDocument/2006/relationships" ref="R600" r:id="rId1172"/>
    <hyperlink xmlns:r="http://schemas.openxmlformats.org/officeDocument/2006/relationships" ref="Q601" r:id="rId1173"/>
    <hyperlink xmlns:r="http://schemas.openxmlformats.org/officeDocument/2006/relationships" ref="R601" r:id="rId1174"/>
    <hyperlink xmlns:r="http://schemas.openxmlformats.org/officeDocument/2006/relationships" ref="Q602" r:id="rId1175"/>
    <hyperlink xmlns:r="http://schemas.openxmlformats.org/officeDocument/2006/relationships" ref="R602" r:id="rId1176"/>
    <hyperlink xmlns:r="http://schemas.openxmlformats.org/officeDocument/2006/relationships" ref="Q603" r:id="rId1177"/>
    <hyperlink xmlns:r="http://schemas.openxmlformats.org/officeDocument/2006/relationships" ref="R603" r:id="rId1178"/>
    <hyperlink xmlns:r="http://schemas.openxmlformats.org/officeDocument/2006/relationships" ref="Q604" r:id="rId1179"/>
    <hyperlink xmlns:r="http://schemas.openxmlformats.org/officeDocument/2006/relationships" ref="R604" r:id="rId1180"/>
    <hyperlink xmlns:r="http://schemas.openxmlformats.org/officeDocument/2006/relationships" ref="Q605" r:id="rId1181"/>
    <hyperlink xmlns:r="http://schemas.openxmlformats.org/officeDocument/2006/relationships" ref="R605" r:id="rId1182"/>
    <hyperlink xmlns:r="http://schemas.openxmlformats.org/officeDocument/2006/relationships" ref="Q606" r:id="rId1183"/>
    <hyperlink xmlns:r="http://schemas.openxmlformats.org/officeDocument/2006/relationships" ref="R606" r:id="rId1184"/>
    <hyperlink xmlns:r="http://schemas.openxmlformats.org/officeDocument/2006/relationships" ref="Q607" r:id="rId1185"/>
    <hyperlink xmlns:r="http://schemas.openxmlformats.org/officeDocument/2006/relationships" ref="R607" r:id="rId1186"/>
    <hyperlink xmlns:r="http://schemas.openxmlformats.org/officeDocument/2006/relationships" ref="Q608" r:id="rId1187"/>
    <hyperlink xmlns:r="http://schemas.openxmlformats.org/officeDocument/2006/relationships" ref="R608" r:id="rId1188"/>
    <hyperlink xmlns:r="http://schemas.openxmlformats.org/officeDocument/2006/relationships" ref="Q609" r:id="rId1189"/>
    <hyperlink xmlns:r="http://schemas.openxmlformats.org/officeDocument/2006/relationships" ref="R609" r:id="rId1190"/>
    <hyperlink xmlns:r="http://schemas.openxmlformats.org/officeDocument/2006/relationships" ref="Q610" r:id="rId1191"/>
    <hyperlink xmlns:r="http://schemas.openxmlformats.org/officeDocument/2006/relationships" ref="R610" r:id="rId1192"/>
    <hyperlink xmlns:r="http://schemas.openxmlformats.org/officeDocument/2006/relationships" ref="Q611" r:id="rId1193"/>
    <hyperlink xmlns:r="http://schemas.openxmlformats.org/officeDocument/2006/relationships" ref="R611" r:id="rId1194"/>
    <hyperlink xmlns:r="http://schemas.openxmlformats.org/officeDocument/2006/relationships" ref="Q612" r:id="rId1195"/>
    <hyperlink xmlns:r="http://schemas.openxmlformats.org/officeDocument/2006/relationships" ref="R612" r:id="rId1196"/>
    <hyperlink xmlns:r="http://schemas.openxmlformats.org/officeDocument/2006/relationships" ref="Q613" r:id="rId1197"/>
    <hyperlink xmlns:r="http://schemas.openxmlformats.org/officeDocument/2006/relationships" ref="R613" r:id="rId1198"/>
    <hyperlink xmlns:r="http://schemas.openxmlformats.org/officeDocument/2006/relationships" ref="Q614" r:id="rId1199"/>
    <hyperlink xmlns:r="http://schemas.openxmlformats.org/officeDocument/2006/relationships" ref="R614" r:id="rId1200"/>
    <hyperlink xmlns:r="http://schemas.openxmlformats.org/officeDocument/2006/relationships" ref="Q615" r:id="rId1201"/>
    <hyperlink xmlns:r="http://schemas.openxmlformats.org/officeDocument/2006/relationships" ref="R615" r:id="rId1202"/>
    <hyperlink xmlns:r="http://schemas.openxmlformats.org/officeDocument/2006/relationships" ref="Q616" r:id="rId1203"/>
    <hyperlink xmlns:r="http://schemas.openxmlformats.org/officeDocument/2006/relationships" ref="R616" r:id="rId1204"/>
    <hyperlink xmlns:r="http://schemas.openxmlformats.org/officeDocument/2006/relationships" ref="Q617" r:id="rId1205"/>
    <hyperlink xmlns:r="http://schemas.openxmlformats.org/officeDocument/2006/relationships" ref="R617" r:id="rId1206"/>
    <hyperlink xmlns:r="http://schemas.openxmlformats.org/officeDocument/2006/relationships" ref="Q618" r:id="rId1207"/>
    <hyperlink xmlns:r="http://schemas.openxmlformats.org/officeDocument/2006/relationships" ref="R618" r:id="rId1208"/>
    <hyperlink xmlns:r="http://schemas.openxmlformats.org/officeDocument/2006/relationships" ref="Q619" r:id="rId1209"/>
    <hyperlink xmlns:r="http://schemas.openxmlformats.org/officeDocument/2006/relationships" ref="R619" r:id="rId1210"/>
    <hyperlink xmlns:r="http://schemas.openxmlformats.org/officeDocument/2006/relationships" ref="Q620" r:id="rId1211"/>
    <hyperlink xmlns:r="http://schemas.openxmlformats.org/officeDocument/2006/relationships" ref="R620" r:id="rId1212"/>
    <hyperlink xmlns:r="http://schemas.openxmlformats.org/officeDocument/2006/relationships" ref="Q621" r:id="rId1213"/>
    <hyperlink xmlns:r="http://schemas.openxmlformats.org/officeDocument/2006/relationships" ref="R621" r:id="rId1214"/>
    <hyperlink xmlns:r="http://schemas.openxmlformats.org/officeDocument/2006/relationships" ref="Q622" r:id="rId1215"/>
    <hyperlink xmlns:r="http://schemas.openxmlformats.org/officeDocument/2006/relationships" ref="R622" r:id="rId1216"/>
    <hyperlink xmlns:r="http://schemas.openxmlformats.org/officeDocument/2006/relationships" ref="Q623" r:id="rId1217"/>
    <hyperlink xmlns:r="http://schemas.openxmlformats.org/officeDocument/2006/relationships" ref="R623" r:id="rId1218"/>
    <hyperlink xmlns:r="http://schemas.openxmlformats.org/officeDocument/2006/relationships" ref="Q624" r:id="rId1219"/>
    <hyperlink xmlns:r="http://schemas.openxmlformats.org/officeDocument/2006/relationships" ref="R624" r:id="rId1220"/>
    <hyperlink xmlns:r="http://schemas.openxmlformats.org/officeDocument/2006/relationships" ref="Q625" r:id="rId1221"/>
    <hyperlink xmlns:r="http://schemas.openxmlformats.org/officeDocument/2006/relationships" ref="R625" r:id="rId1222"/>
    <hyperlink xmlns:r="http://schemas.openxmlformats.org/officeDocument/2006/relationships" ref="Q626" r:id="rId1223"/>
    <hyperlink xmlns:r="http://schemas.openxmlformats.org/officeDocument/2006/relationships" ref="R626" r:id="rId1224"/>
    <hyperlink xmlns:r="http://schemas.openxmlformats.org/officeDocument/2006/relationships" ref="Q627" r:id="rId1225"/>
    <hyperlink xmlns:r="http://schemas.openxmlformats.org/officeDocument/2006/relationships" ref="R627" r:id="rId1226"/>
    <hyperlink xmlns:r="http://schemas.openxmlformats.org/officeDocument/2006/relationships" ref="Q628" r:id="rId1227"/>
    <hyperlink xmlns:r="http://schemas.openxmlformats.org/officeDocument/2006/relationships" ref="R628" r:id="rId1228"/>
    <hyperlink xmlns:r="http://schemas.openxmlformats.org/officeDocument/2006/relationships" ref="Q629" r:id="rId1229"/>
    <hyperlink xmlns:r="http://schemas.openxmlformats.org/officeDocument/2006/relationships" ref="R629" r:id="rId1230"/>
    <hyperlink xmlns:r="http://schemas.openxmlformats.org/officeDocument/2006/relationships" ref="Q630" r:id="rId1231"/>
    <hyperlink xmlns:r="http://schemas.openxmlformats.org/officeDocument/2006/relationships" ref="R630" r:id="rId1232"/>
    <hyperlink xmlns:r="http://schemas.openxmlformats.org/officeDocument/2006/relationships" ref="Q631" r:id="rId1233"/>
    <hyperlink xmlns:r="http://schemas.openxmlformats.org/officeDocument/2006/relationships" ref="R631" r:id="rId1234"/>
    <hyperlink xmlns:r="http://schemas.openxmlformats.org/officeDocument/2006/relationships" ref="Q632" r:id="rId1235"/>
    <hyperlink xmlns:r="http://schemas.openxmlformats.org/officeDocument/2006/relationships" ref="R632" r:id="rId1236"/>
    <hyperlink xmlns:r="http://schemas.openxmlformats.org/officeDocument/2006/relationships" ref="Q633" r:id="rId1237"/>
    <hyperlink xmlns:r="http://schemas.openxmlformats.org/officeDocument/2006/relationships" ref="R633" r:id="rId1238"/>
    <hyperlink xmlns:r="http://schemas.openxmlformats.org/officeDocument/2006/relationships" ref="Q634" r:id="rId1239"/>
    <hyperlink xmlns:r="http://schemas.openxmlformats.org/officeDocument/2006/relationships" ref="R634" r:id="rId1240"/>
    <hyperlink xmlns:r="http://schemas.openxmlformats.org/officeDocument/2006/relationships" ref="Q635" r:id="rId1241"/>
    <hyperlink xmlns:r="http://schemas.openxmlformats.org/officeDocument/2006/relationships" ref="R635" r:id="rId1242"/>
    <hyperlink xmlns:r="http://schemas.openxmlformats.org/officeDocument/2006/relationships" ref="Q636" r:id="rId1243"/>
    <hyperlink xmlns:r="http://schemas.openxmlformats.org/officeDocument/2006/relationships" ref="R636" r:id="rId1244"/>
    <hyperlink xmlns:r="http://schemas.openxmlformats.org/officeDocument/2006/relationships" ref="Q637" r:id="rId1245"/>
    <hyperlink xmlns:r="http://schemas.openxmlformats.org/officeDocument/2006/relationships" ref="R637" r:id="rId1246"/>
    <hyperlink xmlns:r="http://schemas.openxmlformats.org/officeDocument/2006/relationships" ref="Q638" r:id="rId1247"/>
    <hyperlink xmlns:r="http://schemas.openxmlformats.org/officeDocument/2006/relationships" ref="R638" r:id="rId1248"/>
    <hyperlink xmlns:r="http://schemas.openxmlformats.org/officeDocument/2006/relationships" ref="Q639" r:id="rId1249"/>
    <hyperlink xmlns:r="http://schemas.openxmlformats.org/officeDocument/2006/relationships" ref="R639" r:id="rId1250"/>
    <hyperlink xmlns:r="http://schemas.openxmlformats.org/officeDocument/2006/relationships" ref="Q640" r:id="rId1251"/>
    <hyperlink xmlns:r="http://schemas.openxmlformats.org/officeDocument/2006/relationships" ref="R640" r:id="rId1252"/>
    <hyperlink xmlns:r="http://schemas.openxmlformats.org/officeDocument/2006/relationships" ref="Q641" r:id="rId1253"/>
    <hyperlink xmlns:r="http://schemas.openxmlformats.org/officeDocument/2006/relationships" ref="R641" r:id="rId1254"/>
    <hyperlink xmlns:r="http://schemas.openxmlformats.org/officeDocument/2006/relationships" ref="Q642" r:id="rId1255"/>
    <hyperlink xmlns:r="http://schemas.openxmlformats.org/officeDocument/2006/relationships" ref="R642" r:id="rId1256"/>
    <hyperlink xmlns:r="http://schemas.openxmlformats.org/officeDocument/2006/relationships" ref="Q643" r:id="rId1257"/>
    <hyperlink xmlns:r="http://schemas.openxmlformats.org/officeDocument/2006/relationships" ref="R643" r:id="rId1258"/>
    <hyperlink xmlns:r="http://schemas.openxmlformats.org/officeDocument/2006/relationships" ref="Q644" r:id="rId1259"/>
    <hyperlink xmlns:r="http://schemas.openxmlformats.org/officeDocument/2006/relationships" ref="R644" r:id="rId1260"/>
    <hyperlink xmlns:r="http://schemas.openxmlformats.org/officeDocument/2006/relationships" ref="Q645" r:id="rId1261"/>
    <hyperlink xmlns:r="http://schemas.openxmlformats.org/officeDocument/2006/relationships" ref="R645" r:id="rId1262"/>
    <hyperlink xmlns:r="http://schemas.openxmlformats.org/officeDocument/2006/relationships" ref="Q646" r:id="rId1263"/>
    <hyperlink xmlns:r="http://schemas.openxmlformats.org/officeDocument/2006/relationships" ref="R646" r:id="rId1264"/>
    <hyperlink xmlns:r="http://schemas.openxmlformats.org/officeDocument/2006/relationships" ref="Q647" r:id="rId1265"/>
    <hyperlink xmlns:r="http://schemas.openxmlformats.org/officeDocument/2006/relationships" ref="R647" r:id="rId1266"/>
    <hyperlink xmlns:r="http://schemas.openxmlformats.org/officeDocument/2006/relationships" ref="Q648" r:id="rId1267"/>
    <hyperlink xmlns:r="http://schemas.openxmlformats.org/officeDocument/2006/relationships" ref="R648" r:id="rId1268"/>
    <hyperlink xmlns:r="http://schemas.openxmlformats.org/officeDocument/2006/relationships" ref="Q649" r:id="rId1269"/>
    <hyperlink xmlns:r="http://schemas.openxmlformats.org/officeDocument/2006/relationships" ref="R649" r:id="rId1270"/>
    <hyperlink xmlns:r="http://schemas.openxmlformats.org/officeDocument/2006/relationships" ref="Q650" r:id="rId1271"/>
    <hyperlink xmlns:r="http://schemas.openxmlformats.org/officeDocument/2006/relationships" ref="R650" r:id="rId1272"/>
    <hyperlink xmlns:r="http://schemas.openxmlformats.org/officeDocument/2006/relationships" ref="Q651" r:id="rId1273"/>
    <hyperlink xmlns:r="http://schemas.openxmlformats.org/officeDocument/2006/relationships" ref="R651" r:id="rId1274"/>
    <hyperlink xmlns:r="http://schemas.openxmlformats.org/officeDocument/2006/relationships" ref="Q652" r:id="rId1275"/>
    <hyperlink xmlns:r="http://schemas.openxmlformats.org/officeDocument/2006/relationships" ref="R652" r:id="rId1276"/>
    <hyperlink xmlns:r="http://schemas.openxmlformats.org/officeDocument/2006/relationships" ref="Q653" r:id="rId1277"/>
    <hyperlink xmlns:r="http://schemas.openxmlformats.org/officeDocument/2006/relationships" ref="R653" r:id="rId1278"/>
    <hyperlink xmlns:r="http://schemas.openxmlformats.org/officeDocument/2006/relationships" ref="Q654" r:id="rId1279"/>
    <hyperlink xmlns:r="http://schemas.openxmlformats.org/officeDocument/2006/relationships" ref="R654" r:id="rId1280"/>
    <hyperlink xmlns:r="http://schemas.openxmlformats.org/officeDocument/2006/relationships" ref="Q655" r:id="rId1281"/>
    <hyperlink xmlns:r="http://schemas.openxmlformats.org/officeDocument/2006/relationships" ref="R655" r:id="rId1282"/>
    <hyperlink xmlns:r="http://schemas.openxmlformats.org/officeDocument/2006/relationships" ref="Q656" r:id="rId1283"/>
    <hyperlink xmlns:r="http://schemas.openxmlformats.org/officeDocument/2006/relationships" ref="R656" r:id="rId1284"/>
    <hyperlink xmlns:r="http://schemas.openxmlformats.org/officeDocument/2006/relationships" ref="Q657" r:id="rId1285"/>
    <hyperlink xmlns:r="http://schemas.openxmlformats.org/officeDocument/2006/relationships" ref="R657" r:id="rId1286"/>
    <hyperlink xmlns:r="http://schemas.openxmlformats.org/officeDocument/2006/relationships" ref="Q658" r:id="rId1287"/>
    <hyperlink xmlns:r="http://schemas.openxmlformats.org/officeDocument/2006/relationships" ref="R658" r:id="rId1288"/>
    <hyperlink xmlns:r="http://schemas.openxmlformats.org/officeDocument/2006/relationships" ref="Q659" r:id="rId1289"/>
    <hyperlink xmlns:r="http://schemas.openxmlformats.org/officeDocument/2006/relationships" ref="R659" r:id="rId1290"/>
    <hyperlink xmlns:r="http://schemas.openxmlformats.org/officeDocument/2006/relationships" ref="Q660" r:id="rId1291"/>
    <hyperlink xmlns:r="http://schemas.openxmlformats.org/officeDocument/2006/relationships" ref="R660" r:id="rId1292"/>
    <hyperlink xmlns:r="http://schemas.openxmlformats.org/officeDocument/2006/relationships" ref="Q661" r:id="rId1293"/>
    <hyperlink xmlns:r="http://schemas.openxmlformats.org/officeDocument/2006/relationships" ref="R661" r:id="rId1294"/>
    <hyperlink xmlns:r="http://schemas.openxmlformats.org/officeDocument/2006/relationships" ref="Q662" r:id="rId1295"/>
    <hyperlink xmlns:r="http://schemas.openxmlformats.org/officeDocument/2006/relationships" ref="R662" r:id="rId1296"/>
    <hyperlink xmlns:r="http://schemas.openxmlformats.org/officeDocument/2006/relationships" ref="Q663" r:id="rId1297"/>
    <hyperlink xmlns:r="http://schemas.openxmlformats.org/officeDocument/2006/relationships" ref="R663" r:id="rId1298"/>
    <hyperlink xmlns:r="http://schemas.openxmlformats.org/officeDocument/2006/relationships" ref="Q664" r:id="rId1299"/>
    <hyperlink xmlns:r="http://schemas.openxmlformats.org/officeDocument/2006/relationships" ref="R664" r:id="rId1300"/>
    <hyperlink xmlns:r="http://schemas.openxmlformats.org/officeDocument/2006/relationships" ref="Q665" r:id="rId1301"/>
    <hyperlink xmlns:r="http://schemas.openxmlformats.org/officeDocument/2006/relationships" ref="R665" r:id="rId1302"/>
    <hyperlink xmlns:r="http://schemas.openxmlformats.org/officeDocument/2006/relationships" ref="Q666" r:id="rId1303"/>
    <hyperlink xmlns:r="http://schemas.openxmlformats.org/officeDocument/2006/relationships" ref="R666" r:id="rId1304"/>
    <hyperlink xmlns:r="http://schemas.openxmlformats.org/officeDocument/2006/relationships" ref="Q667" r:id="rId1305"/>
    <hyperlink xmlns:r="http://schemas.openxmlformats.org/officeDocument/2006/relationships" ref="R667" r:id="rId1306"/>
    <hyperlink xmlns:r="http://schemas.openxmlformats.org/officeDocument/2006/relationships" ref="Q668" r:id="rId1307"/>
    <hyperlink xmlns:r="http://schemas.openxmlformats.org/officeDocument/2006/relationships" ref="R668" r:id="rId1308"/>
    <hyperlink xmlns:r="http://schemas.openxmlformats.org/officeDocument/2006/relationships" ref="Q669" r:id="rId1309"/>
    <hyperlink xmlns:r="http://schemas.openxmlformats.org/officeDocument/2006/relationships" ref="R669" r:id="rId1310"/>
    <hyperlink xmlns:r="http://schemas.openxmlformats.org/officeDocument/2006/relationships" ref="Q670" r:id="rId1311"/>
    <hyperlink xmlns:r="http://schemas.openxmlformats.org/officeDocument/2006/relationships" ref="R670" r:id="rId1312"/>
    <hyperlink xmlns:r="http://schemas.openxmlformats.org/officeDocument/2006/relationships" ref="Q671" r:id="rId1313"/>
    <hyperlink xmlns:r="http://schemas.openxmlformats.org/officeDocument/2006/relationships" ref="R671" r:id="rId1314"/>
    <hyperlink xmlns:r="http://schemas.openxmlformats.org/officeDocument/2006/relationships" ref="Q672" r:id="rId1315"/>
    <hyperlink xmlns:r="http://schemas.openxmlformats.org/officeDocument/2006/relationships" ref="R672" r:id="rId1316"/>
    <hyperlink xmlns:r="http://schemas.openxmlformats.org/officeDocument/2006/relationships" ref="Q673" r:id="rId1317"/>
    <hyperlink xmlns:r="http://schemas.openxmlformats.org/officeDocument/2006/relationships" ref="R673" r:id="rId1318"/>
    <hyperlink xmlns:r="http://schemas.openxmlformats.org/officeDocument/2006/relationships" ref="Q674" r:id="rId1319"/>
    <hyperlink xmlns:r="http://schemas.openxmlformats.org/officeDocument/2006/relationships" ref="R674" r:id="rId1320"/>
    <hyperlink xmlns:r="http://schemas.openxmlformats.org/officeDocument/2006/relationships" ref="Q675" r:id="rId1321"/>
    <hyperlink xmlns:r="http://schemas.openxmlformats.org/officeDocument/2006/relationships" ref="R675" r:id="rId1322"/>
    <hyperlink xmlns:r="http://schemas.openxmlformats.org/officeDocument/2006/relationships" ref="Q676" r:id="rId1323"/>
    <hyperlink xmlns:r="http://schemas.openxmlformats.org/officeDocument/2006/relationships" ref="R676" r:id="rId1324"/>
    <hyperlink xmlns:r="http://schemas.openxmlformats.org/officeDocument/2006/relationships" ref="Q677" r:id="rId1325"/>
    <hyperlink xmlns:r="http://schemas.openxmlformats.org/officeDocument/2006/relationships" ref="R677" r:id="rId1326"/>
    <hyperlink xmlns:r="http://schemas.openxmlformats.org/officeDocument/2006/relationships" ref="Q678" r:id="rId1327"/>
    <hyperlink xmlns:r="http://schemas.openxmlformats.org/officeDocument/2006/relationships" ref="R678" r:id="rId1328"/>
    <hyperlink xmlns:r="http://schemas.openxmlformats.org/officeDocument/2006/relationships" ref="Q679" r:id="rId1329"/>
    <hyperlink xmlns:r="http://schemas.openxmlformats.org/officeDocument/2006/relationships" ref="R679" r:id="rId1330"/>
    <hyperlink xmlns:r="http://schemas.openxmlformats.org/officeDocument/2006/relationships" ref="Q680" r:id="rId1331"/>
    <hyperlink xmlns:r="http://schemas.openxmlformats.org/officeDocument/2006/relationships" ref="R680" r:id="rId1332"/>
    <hyperlink xmlns:r="http://schemas.openxmlformats.org/officeDocument/2006/relationships" ref="Q681" r:id="rId1333"/>
    <hyperlink xmlns:r="http://schemas.openxmlformats.org/officeDocument/2006/relationships" ref="R681" r:id="rId1334"/>
    <hyperlink xmlns:r="http://schemas.openxmlformats.org/officeDocument/2006/relationships" ref="Q682" r:id="rId1335"/>
    <hyperlink xmlns:r="http://schemas.openxmlformats.org/officeDocument/2006/relationships" ref="R682" r:id="rId1336"/>
    <hyperlink xmlns:r="http://schemas.openxmlformats.org/officeDocument/2006/relationships" ref="Q683" r:id="rId1337"/>
    <hyperlink xmlns:r="http://schemas.openxmlformats.org/officeDocument/2006/relationships" ref="R683" r:id="rId1338"/>
    <hyperlink xmlns:r="http://schemas.openxmlformats.org/officeDocument/2006/relationships" ref="Q684" r:id="rId1339"/>
    <hyperlink xmlns:r="http://schemas.openxmlformats.org/officeDocument/2006/relationships" ref="R684" r:id="rId1340"/>
    <hyperlink xmlns:r="http://schemas.openxmlformats.org/officeDocument/2006/relationships" ref="Q685" r:id="rId1341"/>
    <hyperlink xmlns:r="http://schemas.openxmlformats.org/officeDocument/2006/relationships" ref="R685" r:id="rId1342"/>
    <hyperlink xmlns:r="http://schemas.openxmlformats.org/officeDocument/2006/relationships" ref="Q686" r:id="rId1343"/>
    <hyperlink xmlns:r="http://schemas.openxmlformats.org/officeDocument/2006/relationships" ref="R686" r:id="rId1344"/>
    <hyperlink xmlns:r="http://schemas.openxmlformats.org/officeDocument/2006/relationships" ref="Q687" r:id="rId1345"/>
    <hyperlink xmlns:r="http://schemas.openxmlformats.org/officeDocument/2006/relationships" ref="R687" r:id="rId1346"/>
    <hyperlink xmlns:r="http://schemas.openxmlformats.org/officeDocument/2006/relationships" ref="Q688" r:id="rId1347"/>
    <hyperlink xmlns:r="http://schemas.openxmlformats.org/officeDocument/2006/relationships" ref="R688" r:id="rId1348"/>
    <hyperlink xmlns:r="http://schemas.openxmlformats.org/officeDocument/2006/relationships" ref="Q689" r:id="rId1349"/>
    <hyperlink xmlns:r="http://schemas.openxmlformats.org/officeDocument/2006/relationships" ref="R689" r:id="rId1350"/>
    <hyperlink xmlns:r="http://schemas.openxmlformats.org/officeDocument/2006/relationships" ref="Q690" r:id="rId1351"/>
    <hyperlink xmlns:r="http://schemas.openxmlformats.org/officeDocument/2006/relationships" ref="R690" r:id="rId1352"/>
    <hyperlink xmlns:r="http://schemas.openxmlformats.org/officeDocument/2006/relationships" ref="Q691" r:id="rId1353"/>
    <hyperlink xmlns:r="http://schemas.openxmlformats.org/officeDocument/2006/relationships" ref="R691" r:id="rId1354"/>
    <hyperlink xmlns:r="http://schemas.openxmlformats.org/officeDocument/2006/relationships" ref="Q692" r:id="rId1355"/>
    <hyperlink xmlns:r="http://schemas.openxmlformats.org/officeDocument/2006/relationships" ref="R692" r:id="rId1356"/>
    <hyperlink xmlns:r="http://schemas.openxmlformats.org/officeDocument/2006/relationships" ref="Q693" r:id="rId1357"/>
    <hyperlink xmlns:r="http://schemas.openxmlformats.org/officeDocument/2006/relationships" ref="R693" r:id="rId1358"/>
    <hyperlink xmlns:r="http://schemas.openxmlformats.org/officeDocument/2006/relationships" ref="Q694" r:id="rId1359"/>
    <hyperlink xmlns:r="http://schemas.openxmlformats.org/officeDocument/2006/relationships" ref="R694" r:id="rId1360"/>
    <hyperlink xmlns:r="http://schemas.openxmlformats.org/officeDocument/2006/relationships" ref="Q695" r:id="rId1361"/>
    <hyperlink xmlns:r="http://schemas.openxmlformats.org/officeDocument/2006/relationships" ref="R695" r:id="rId1362"/>
    <hyperlink xmlns:r="http://schemas.openxmlformats.org/officeDocument/2006/relationships" ref="Q696" r:id="rId1363"/>
    <hyperlink xmlns:r="http://schemas.openxmlformats.org/officeDocument/2006/relationships" ref="R696" r:id="rId1364"/>
    <hyperlink xmlns:r="http://schemas.openxmlformats.org/officeDocument/2006/relationships" ref="Q697" r:id="rId1365"/>
    <hyperlink xmlns:r="http://schemas.openxmlformats.org/officeDocument/2006/relationships" ref="R697" r:id="rId1366"/>
    <hyperlink xmlns:r="http://schemas.openxmlformats.org/officeDocument/2006/relationships" ref="Q698" r:id="rId1367"/>
    <hyperlink xmlns:r="http://schemas.openxmlformats.org/officeDocument/2006/relationships" ref="R698" r:id="rId1368"/>
    <hyperlink xmlns:r="http://schemas.openxmlformats.org/officeDocument/2006/relationships" ref="Q699" r:id="rId1369"/>
    <hyperlink xmlns:r="http://schemas.openxmlformats.org/officeDocument/2006/relationships" ref="R699" r:id="rId1370"/>
    <hyperlink xmlns:r="http://schemas.openxmlformats.org/officeDocument/2006/relationships" ref="Q700" r:id="rId1371"/>
    <hyperlink xmlns:r="http://schemas.openxmlformats.org/officeDocument/2006/relationships" ref="R700" r:id="rId1372"/>
    <hyperlink xmlns:r="http://schemas.openxmlformats.org/officeDocument/2006/relationships" ref="Q701" r:id="rId1373"/>
    <hyperlink xmlns:r="http://schemas.openxmlformats.org/officeDocument/2006/relationships" ref="R701" r:id="rId1374"/>
    <hyperlink xmlns:r="http://schemas.openxmlformats.org/officeDocument/2006/relationships" ref="Q702" r:id="rId1375"/>
    <hyperlink xmlns:r="http://schemas.openxmlformats.org/officeDocument/2006/relationships" ref="R702" r:id="rId1376"/>
    <hyperlink xmlns:r="http://schemas.openxmlformats.org/officeDocument/2006/relationships" ref="Q703" r:id="rId1377"/>
    <hyperlink xmlns:r="http://schemas.openxmlformats.org/officeDocument/2006/relationships" ref="R703" r:id="rId1378"/>
    <hyperlink xmlns:r="http://schemas.openxmlformats.org/officeDocument/2006/relationships" ref="Q704" r:id="rId1379"/>
    <hyperlink xmlns:r="http://schemas.openxmlformats.org/officeDocument/2006/relationships" ref="R704" r:id="rId1380"/>
    <hyperlink xmlns:r="http://schemas.openxmlformats.org/officeDocument/2006/relationships" ref="Q705" r:id="rId1381"/>
    <hyperlink xmlns:r="http://schemas.openxmlformats.org/officeDocument/2006/relationships" ref="R705" r:id="rId1382"/>
    <hyperlink xmlns:r="http://schemas.openxmlformats.org/officeDocument/2006/relationships" ref="Q706" r:id="rId1383"/>
    <hyperlink xmlns:r="http://schemas.openxmlformats.org/officeDocument/2006/relationships" ref="R706" r:id="rId1384"/>
    <hyperlink xmlns:r="http://schemas.openxmlformats.org/officeDocument/2006/relationships" ref="Q707" r:id="rId1385"/>
    <hyperlink xmlns:r="http://schemas.openxmlformats.org/officeDocument/2006/relationships" ref="R707" r:id="rId1386"/>
    <hyperlink xmlns:r="http://schemas.openxmlformats.org/officeDocument/2006/relationships" ref="Q708" r:id="rId1387"/>
    <hyperlink xmlns:r="http://schemas.openxmlformats.org/officeDocument/2006/relationships" ref="R708" r:id="rId1388"/>
    <hyperlink xmlns:r="http://schemas.openxmlformats.org/officeDocument/2006/relationships" ref="Q709" r:id="rId1389"/>
    <hyperlink xmlns:r="http://schemas.openxmlformats.org/officeDocument/2006/relationships" ref="R709" r:id="rId1390"/>
    <hyperlink xmlns:r="http://schemas.openxmlformats.org/officeDocument/2006/relationships" ref="Q710" r:id="rId1391"/>
    <hyperlink xmlns:r="http://schemas.openxmlformats.org/officeDocument/2006/relationships" ref="R710" r:id="rId1392"/>
    <hyperlink xmlns:r="http://schemas.openxmlformats.org/officeDocument/2006/relationships" ref="Q711" r:id="rId1393"/>
    <hyperlink xmlns:r="http://schemas.openxmlformats.org/officeDocument/2006/relationships" ref="R711" r:id="rId1394"/>
    <hyperlink xmlns:r="http://schemas.openxmlformats.org/officeDocument/2006/relationships" ref="Q712" r:id="rId1395"/>
    <hyperlink xmlns:r="http://schemas.openxmlformats.org/officeDocument/2006/relationships" ref="R712" r:id="rId1396"/>
    <hyperlink xmlns:r="http://schemas.openxmlformats.org/officeDocument/2006/relationships" ref="Q713" r:id="rId1397"/>
    <hyperlink xmlns:r="http://schemas.openxmlformats.org/officeDocument/2006/relationships" ref="R713" r:id="rId1398"/>
    <hyperlink xmlns:r="http://schemas.openxmlformats.org/officeDocument/2006/relationships" ref="Q714" r:id="rId1399"/>
    <hyperlink xmlns:r="http://schemas.openxmlformats.org/officeDocument/2006/relationships" ref="R714" r:id="rId1400"/>
    <hyperlink xmlns:r="http://schemas.openxmlformats.org/officeDocument/2006/relationships" ref="Q715" r:id="rId1401"/>
    <hyperlink xmlns:r="http://schemas.openxmlformats.org/officeDocument/2006/relationships" ref="R715" r:id="rId1402"/>
    <hyperlink xmlns:r="http://schemas.openxmlformats.org/officeDocument/2006/relationships" ref="Q716" r:id="rId1403"/>
    <hyperlink xmlns:r="http://schemas.openxmlformats.org/officeDocument/2006/relationships" ref="R716" r:id="rId1404"/>
    <hyperlink xmlns:r="http://schemas.openxmlformats.org/officeDocument/2006/relationships" ref="Q717" r:id="rId1405"/>
    <hyperlink xmlns:r="http://schemas.openxmlformats.org/officeDocument/2006/relationships" ref="R717" r:id="rId1406"/>
    <hyperlink xmlns:r="http://schemas.openxmlformats.org/officeDocument/2006/relationships" ref="Q718" r:id="rId1407"/>
    <hyperlink xmlns:r="http://schemas.openxmlformats.org/officeDocument/2006/relationships" ref="R718" r:id="rId1408"/>
    <hyperlink xmlns:r="http://schemas.openxmlformats.org/officeDocument/2006/relationships" ref="Q719" r:id="rId1409"/>
    <hyperlink xmlns:r="http://schemas.openxmlformats.org/officeDocument/2006/relationships" ref="R719" r:id="rId1410"/>
    <hyperlink xmlns:r="http://schemas.openxmlformats.org/officeDocument/2006/relationships" ref="Q720" r:id="rId1411"/>
    <hyperlink xmlns:r="http://schemas.openxmlformats.org/officeDocument/2006/relationships" ref="R720" r:id="rId1412"/>
    <hyperlink xmlns:r="http://schemas.openxmlformats.org/officeDocument/2006/relationships" ref="Q721" r:id="rId1413"/>
    <hyperlink xmlns:r="http://schemas.openxmlformats.org/officeDocument/2006/relationships" ref="R721" r:id="rId1414"/>
    <hyperlink xmlns:r="http://schemas.openxmlformats.org/officeDocument/2006/relationships" ref="Q722" r:id="rId1415"/>
    <hyperlink xmlns:r="http://schemas.openxmlformats.org/officeDocument/2006/relationships" ref="R722" r:id="rId1416"/>
    <hyperlink xmlns:r="http://schemas.openxmlformats.org/officeDocument/2006/relationships" ref="Q723" r:id="rId1417"/>
    <hyperlink xmlns:r="http://schemas.openxmlformats.org/officeDocument/2006/relationships" ref="R723" r:id="rId1418"/>
    <hyperlink xmlns:r="http://schemas.openxmlformats.org/officeDocument/2006/relationships" ref="Q724" r:id="rId1419"/>
    <hyperlink xmlns:r="http://schemas.openxmlformats.org/officeDocument/2006/relationships" ref="R724" r:id="rId1420"/>
    <hyperlink xmlns:r="http://schemas.openxmlformats.org/officeDocument/2006/relationships" ref="Q725" r:id="rId1421"/>
    <hyperlink xmlns:r="http://schemas.openxmlformats.org/officeDocument/2006/relationships" ref="R725" r:id="rId1422"/>
    <hyperlink xmlns:r="http://schemas.openxmlformats.org/officeDocument/2006/relationships" ref="Q726" r:id="rId1423"/>
    <hyperlink xmlns:r="http://schemas.openxmlformats.org/officeDocument/2006/relationships" ref="R726" r:id="rId1424"/>
    <hyperlink xmlns:r="http://schemas.openxmlformats.org/officeDocument/2006/relationships" ref="Q727" r:id="rId1425"/>
    <hyperlink xmlns:r="http://schemas.openxmlformats.org/officeDocument/2006/relationships" ref="R727" r:id="rId1426"/>
    <hyperlink xmlns:r="http://schemas.openxmlformats.org/officeDocument/2006/relationships" ref="Q728" r:id="rId1427"/>
    <hyperlink xmlns:r="http://schemas.openxmlformats.org/officeDocument/2006/relationships" ref="R728" r:id="rId1428"/>
    <hyperlink xmlns:r="http://schemas.openxmlformats.org/officeDocument/2006/relationships" ref="Q729" r:id="rId1429"/>
    <hyperlink xmlns:r="http://schemas.openxmlformats.org/officeDocument/2006/relationships" ref="R729" r:id="rId1430"/>
    <hyperlink xmlns:r="http://schemas.openxmlformats.org/officeDocument/2006/relationships" ref="Q730" r:id="rId1431"/>
    <hyperlink xmlns:r="http://schemas.openxmlformats.org/officeDocument/2006/relationships" ref="Q731" r:id="rId1432"/>
    <hyperlink xmlns:r="http://schemas.openxmlformats.org/officeDocument/2006/relationships" ref="R731" r:id="rId1433"/>
    <hyperlink xmlns:r="http://schemas.openxmlformats.org/officeDocument/2006/relationships" ref="Q732" r:id="rId1434"/>
    <hyperlink xmlns:r="http://schemas.openxmlformats.org/officeDocument/2006/relationships" ref="Q733" r:id="rId1435"/>
    <hyperlink xmlns:r="http://schemas.openxmlformats.org/officeDocument/2006/relationships" ref="Q734" r:id="rId1436"/>
    <hyperlink xmlns:r="http://schemas.openxmlformats.org/officeDocument/2006/relationships" ref="R734" r:id="rId1437"/>
    <hyperlink xmlns:r="http://schemas.openxmlformats.org/officeDocument/2006/relationships" ref="Q735" r:id="rId1438"/>
    <hyperlink xmlns:r="http://schemas.openxmlformats.org/officeDocument/2006/relationships" ref="Q736" r:id="rId1439"/>
    <hyperlink xmlns:r="http://schemas.openxmlformats.org/officeDocument/2006/relationships" ref="R736" r:id="rId1440"/>
    <hyperlink xmlns:r="http://schemas.openxmlformats.org/officeDocument/2006/relationships" ref="Q737" r:id="rId1441"/>
    <hyperlink xmlns:r="http://schemas.openxmlformats.org/officeDocument/2006/relationships" ref="R737" r:id="rId1442"/>
    <hyperlink xmlns:r="http://schemas.openxmlformats.org/officeDocument/2006/relationships" ref="Q738" r:id="rId1443"/>
    <hyperlink xmlns:r="http://schemas.openxmlformats.org/officeDocument/2006/relationships" ref="Q739" r:id="rId1444"/>
    <hyperlink xmlns:r="http://schemas.openxmlformats.org/officeDocument/2006/relationships" ref="R739" r:id="rId1445"/>
    <hyperlink xmlns:r="http://schemas.openxmlformats.org/officeDocument/2006/relationships" ref="Q740" r:id="rId1446"/>
    <hyperlink xmlns:r="http://schemas.openxmlformats.org/officeDocument/2006/relationships" ref="R740" r:id="rId1447"/>
    <hyperlink xmlns:r="http://schemas.openxmlformats.org/officeDocument/2006/relationships" ref="Q741" r:id="rId1448"/>
    <hyperlink xmlns:r="http://schemas.openxmlformats.org/officeDocument/2006/relationships" ref="Q742" r:id="rId1449"/>
    <hyperlink xmlns:r="http://schemas.openxmlformats.org/officeDocument/2006/relationships" ref="R742" r:id="rId1450"/>
    <hyperlink xmlns:r="http://schemas.openxmlformats.org/officeDocument/2006/relationships" ref="Q743" r:id="rId1451"/>
    <hyperlink xmlns:r="http://schemas.openxmlformats.org/officeDocument/2006/relationships" ref="R743" r:id="rId1452"/>
    <hyperlink xmlns:r="http://schemas.openxmlformats.org/officeDocument/2006/relationships" ref="Q744" r:id="rId1453"/>
    <hyperlink xmlns:r="http://schemas.openxmlformats.org/officeDocument/2006/relationships" ref="R744" r:id="rId1454"/>
    <hyperlink xmlns:r="http://schemas.openxmlformats.org/officeDocument/2006/relationships" ref="Q745" r:id="rId1455"/>
    <hyperlink xmlns:r="http://schemas.openxmlformats.org/officeDocument/2006/relationships" ref="Q746" r:id="rId1456"/>
    <hyperlink xmlns:r="http://schemas.openxmlformats.org/officeDocument/2006/relationships" ref="R746" r:id="rId1457"/>
    <hyperlink xmlns:r="http://schemas.openxmlformats.org/officeDocument/2006/relationships" ref="Q747" r:id="rId1458"/>
    <hyperlink xmlns:r="http://schemas.openxmlformats.org/officeDocument/2006/relationships" ref="R747" r:id="rId1459"/>
    <hyperlink xmlns:r="http://schemas.openxmlformats.org/officeDocument/2006/relationships" ref="Q748" r:id="rId1460"/>
    <hyperlink xmlns:r="http://schemas.openxmlformats.org/officeDocument/2006/relationships" ref="R748" r:id="rId1461"/>
    <hyperlink xmlns:r="http://schemas.openxmlformats.org/officeDocument/2006/relationships" ref="Q749" r:id="rId1462"/>
    <hyperlink xmlns:r="http://schemas.openxmlformats.org/officeDocument/2006/relationships" ref="R749" r:id="rId1463"/>
    <hyperlink xmlns:r="http://schemas.openxmlformats.org/officeDocument/2006/relationships" ref="Q750" r:id="rId1464"/>
    <hyperlink xmlns:r="http://schemas.openxmlformats.org/officeDocument/2006/relationships" ref="R750" r:id="rId1465"/>
    <hyperlink xmlns:r="http://schemas.openxmlformats.org/officeDocument/2006/relationships" ref="Q751" r:id="rId1466"/>
    <hyperlink xmlns:r="http://schemas.openxmlformats.org/officeDocument/2006/relationships" ref="R751" r:id="rId1467"/>
    <hyperlink xmlns:r="http://schemas.openxmlformats.org/officeDocument/2006/relationships" ref="Q752" r:id="rId1468"/>
    <hyperlink xmlns:r="http://schemas.openxmlformats.org/officeDocument/2006/relationships" ref="R752" r:id="rId1469"/>
    <hyperlink xmlns:r="http://schemas.openxmlformats.org/officeDocument/2006/relationships" ref="Q753" r:id="rId1470"/>
    <hyperlink xmlns:r="http://schemas.openxmlformats.org/officeDocument/2006/relationships" ref="R753" r:id="rId1471"/>
    <hyperlink xmlns:r="http://schemas.openxmlformats.org/officeDocument/2006/relationships" ref="Q754" r:id="rId1472"/>
    <hyperlink xmlns:r="http://schemas.openxmlformats.org/officeDocument/2006/relationships" ref="R754" r:id="rId1473"/>
    <hyperlink xmlns:r="http://schemas.openxmlformats.org/officeDocument/2006/relationships" ref="Q755" r:id="rId1474"/>
    <hyperlink xmlns:r="http://schemas.openxmlformats.org/officeDocument/2006/relationships" ref="R755" r:id="rId1475"/>
    <hyperlink xmlns:r="http://schemas.openxmlformats.org/officeDocument/2006/relationships" ref="Q756" r:id="rId1476"/>
    <hyperlink xmlns:r="http://schemas.openxmlformats.org/officeDocument/2006/relationships" ref="R756" r:id="rId1477"/>
    <hyperlink xmlns:r="http://schemas.openxmlformats.org/officeDocument/2006/relationships" ref="Q757" r:id="rId1478"/>
    <hyperlink xmlns:r="http://schemas.openxmlformats.org/officeDocument/2006/relationships" ref="R757" r:id="rId1479"/>
    <hyperlink xmlns:r="http://schemas.openxmlformats.org/officeDocument/2006/relationships" ref="Q758" r:id="rId1480"/>
    <hyperlink xmlns:r="http://schemas.openxmlformats.org/officeDocument/2006/relationships" ref="R758" r:id="rId1481"/>
    <hyperlink xmlns:r="http://schemas.openxmlformats.org/officeDocument/2006/relationships" ref="Q759" r:id="rId1482"/>
    <hyperlink xmlns:r="http://schemas.openxmlformats.org/officeDocument/2006/relationships" ref="R759" r:id="rId1483"/>
    <hyperlink xmlns:r="http://schemas.openxmlformats.org/officeDocument/2006/relationships" ref="Q760" r:id="rId1484"/>
    <hyperlink xmlns:r="http://schemas.openxmlformats.org/officeDocument/2006/relationships" ref="R760" r:id="rId1485"/>
    <hyperlink xmlns:r="http://schemas.openxmlformats.org/officeDocument/2006/relationships" ref="Q761" r:id="rId1486"/>
    <hyperlink xmlns:r="http://schemas.openxmlformats.org/officeDocument/2006/relationships" ref="R761" r:id="rId1487"/>
    <hyperlink xmlns:r="http://schemas.openxmlformats.org/officeDocument/2006/relationships" ref="Q762" r:id="rId1488"/>
    <hyperlink xmlns:r="http://schemas.openxmlformats.org/officeDocument/2006/relationships" ref="R762" r:id="rId1489"/>
    <hyperlink xmlns:r="http://schemas.openxmlformats.org/officeDocument/2006/relationships" ref="Q763" r:id="rId1490"/>
    <hyperlink xmlns:r="http://schemas.openxmlformats.org/officeDocument/2006/relationships" ref="R763" r:id="rId1491"/>
    <hyperlink xmlns:r="http://schemas.openxmlformats.org/officeDocument/2006/relationships" ref="Q764" r:id="rId1492"/>
    <hyperlink xmlns:r="http://schemas.openxmlformats.org/officeDocument/2006/relationships" ref="R764" r:id="rId1493"/>
    <hyperlink xmlns:r="http://schemas.openxmlformats.org/officeDocument/2006/relationships" ref="Q765" r:id="rId1494"/>
    <hyperlink xmlns:r="http://schemas.openxmlformats.org/officeDocument/2006/relationships" ref="R765" r:id="rId1495"/>
    <hyperlink xmlns:r="http://schemas.openxmlformats.org/officeDocument/2006/relationships" ref="Q766" r:id="rId1496"/>
    <hyperlink xmlns:r="http://schemas.openxmlformats.org/officeDocument/2006/relationships" ref="R766" r:id="rId1497"/>
    <hyperlink xmlns:r="http://schemas.openxmlformats.org/officeDocument/2006/relationships" ref="Q767" r:id="rId1498"/>
    <hyperlink xmlns:r="http://schemas.openxmlformats.org/officeDocument/2006/relationships" ref="R767" r:id="rId1499"/>
    <hyperlink xmlns:r="http://schemas.openxmlformats.org/officeDocument/2006/relationships" ref="Q768" r:id="rId1500"/>
    <hyperlink xmlns:r="http://schemas.openxmlformats.org/officeDocument/2006/relationships" ref="R768" r:id="rId1501"/>
    <hyperlink xmlns:r="http://schemas.openxmlformats.org/officeDocument/2006/relationships" ref="Q769" r:id="rId1502"/>
    <hyperlink xmlns:r="http://schemas.openxmlformats.org/officeDocument/2006/relationships" ref="R769" r:id="rId1503"/>
    <hyperlink xmlns:r="http://schemas.openxmlformats.org/officeDocument/2006/relationships" ref="Q770" r:id="rId1504"/>
    <hyperlink xmlns:r="http://schemas.openxmlformats.org/officeDocument/2006/relationships" ref="R770" r:id="rId1505"/>
    <hyperlink xmlns:r="http://schemas.openxmlformats.org/officeDocument/2006/relationships" ref="Q771" r:id="rId1506"/>
    <hyperlink xmlns:r="http://schemas.openxmlformats.org/officeDocument/2006/relationships" ref="R771" r:id="rId1507"/>
    <hyperlink xmlns:r="http://schemas.openxmlformats.org/officeDocument/2006/relationships" ref="Q772" r:id="rId1508"/>
    <hyperlink xmlns:r="http://schemas.openxmlformats.org/officeDocument/2006/relationships" ref="R772" r:id="rId1509"/>
    <hyperlink xmlns:r="http://schemas.openxmlformats.org/officeDocument/2006/relationships" ref="Q773" r:id="rId1510"/>
    <hyperlink xmlns:r="http://schemas.openxmlformats.org/officeDocument/2006/relationships" ref="R773" r:id="rId1511"/>
    <hyperlink xmlns:r="http://schemas.openxmlformats.org/officeDocument/2006/relationships" ref="Q774" r:id="rId1512"/>
    <hyperlink xmlns:r="http://schemas.openxmlformats.org/officeDocument/2006/relationships" ref="R774" r:id="rId1513"/>
    <hyperlink xmlns:r="http://schemas.openxmlformats.org/officeDocument/2006/relationships" ref="Q775" r:id="rId1514"/>
    <hyperlink xmlns:r="http://schemas.openxmlformats.org/officeDocument/2006/relationships" ref="R775" r:id="rId1515"/>
    <hyperlink xmlns:r="http://schemas.openxmlformats.org/officeDocument/2006/relationships" ref="Q776" r:id="rId1516"/>
    <hyperlink xmlns:r="http://schemas.openxmlformats.org/officeDocument/2006/relationships" ref="R776" r:id="rId1517"/>
    <hyperlink xmlns:r="http://schemas.openxmlformats.org/officeDocument/2006/relationships" ref="Q777" r:id="rId1518"/>
    <hyperlink xmlns:r="http://schemas.openxmlformats.org/officeDocument/2006/relationships" ref="R777" r:id="rId1519"/>
    <hyperlink xmlns:r="http://schemas.openxmlformats.org/officeDocument/2006/relationships" ref="Q778" r:id="rId1520"/>
    <hyperlink xmlns:r="http://schemas.openxmlformats.org/officeDocument/2006/relationships" ref="R778" r:id="rId1521"/>
    <hyperlink xmlns:r="http://schemas.openxmlformats.org/officeDocument/2006/relationships" ref="Q779" r:id="rId1522"/>
    <hyperlink xmlns:r="http://schemas.openxmlformats.org/officeDocument/2006/relationships" ref="R779" r:id="rId1523"/>
    <hyperlink xmlns:r="http://schemas.openxmlformats.org/officeDocument/2006/relationships" ref="Q780" r:id="rId1524"/>
    <hyperlink xmlns:r="http://schemas.openxmlformats.org/officeDocument/2006/relationships" ref="R780" r:id="rId1525"/>
    <hyperlink xmlns:r="http://schemas.openxmlformats.org/officeDocument/2006/relationships" ref="Q781" r:id="rId1526"/>
    <hyperlink xmlns:r="http://schemas.openxmlformats.org/officeDocument/2006/relationships" ref="R781" r:id="rId1527"/>
    <hyperlink xmlns:r="http://schemas.openxmlformats.org/officeDocument/2006/relationships" ref="Q782" r:id="rId1528"/>
    <hyperlink xmlns:r="http://schemas.openxmlformats.org/officeDocument/2006/relationships" ref="R782" r:id="rId1529"/>
    <hyperlink xmlns:r="http://schemas.openxmlformats.org/officeDocument/2006/relationships" ref="Q783" r:id="rId1530"/>
    <hyperlink xmlns:r="http://schemas.openxmlformats.org/officeDocument/2006/relationships" ref="R783" r:id="rId1531"/>
    <hyperlink xmlns:r="http://schemas.openxmlformats.org/officeDocument/2006/relationships" ref="Q784" r:id="rId1532"/>
    <hyperlink xmlns:r="http://schemas.openxmlformats.org/officeDocument/2006/relationships" ref="R784" r:id="rId1533"/>
    <hyperlink xmlns:r="http://schemas.openxmlformats.org/officeDocument/2006/relationships" ref="Q785" r:id="rId1534"/>
    <hyperlink xmlns:r="http://schemas.openxmlformats.org/officeDocument/2006/relationships" ref="R785" r:id="rId1535"/>
    <hyperlink xmlns:r="http://schemas.openxmlformats.org/officeDocument/2006/relationships" ref="Q786" r:id="rId1536"/>
    <hyperlink xmlns:r="http://schemas.openxmlformats.org/officeDocument/2006/relationships" ref="R786" r:id="rId1537"/>
    <hyperlink xmlns:r="http://schemas.openxmlformats.org/officeDocument/2006/relationships" ref="Q787" r:id="rId1538"/>
    <hyperlink xmlns:r="http://schemas.openxmlformats.org/officeDocument/2006/relationships" ref="R787" r:id="rId1539"/>
    <hyperlink xmlns:r="http://schemas.openxmlformats.org/officeDocument/2006/relationships" ref="Q788" r:id="rId1540"/>
    <hyperlink xmlns:r="http://schemas.openxmlformats.org/officeDocument/2006/relationships" ref="R788" r:id="rId1541"/>
    <hyperlink xmlns:r="http://schemas.openxmlformats.org/officeDocument/2006/relationships" ref="Q789" r:id="rId1542"/>
    <hyperlink xmlns:r="http://schemas.openxmlformats.org/officeDocument/2006/relationships" ref="R789" r:id="rId1543"/>
    <hyperlink xmlns:r="http://schemas.openxmlformats.org/officeDocument/2006/relationships" ref="Q790" r:id="rId1544"/>
    <hyperlink xmlns:r="http://schemas.openxmlformats.org/officeDocument/2006/relationships" ref="R790" r:id="rId1545"/>
    <hyperlink xmlns:r="http://schemas.openxmlformats.org/officeDocument/2006/relationships" ref="Q791" r:id="rId1546"/>
    <hyperlink xmlns:r="http://schemas.openxmlformats.org/officeDocument/2006/relationships" ref="R791" r:id="rId1547"/>
    <hyperlink xmlns:r="http://schemas.openxmlformats.org/officeDocument/2006/relationships" ref="Q792" r:id="rId1548"/>
    <hyperlink xmlns:r="http://schemas.openxmlformats.org/officeDocument/2006/relationships" ref="R792" r:id="rId1549"/>
    <hyperlink xmlns:r="http://schemas.openxmlformats.org/officeDocument/2006/relationships" ref="Q793" r:id="rId1550"/>
    <hyperlink xmlns:r="http://schemas.openxmlformats.org/officeDocument/2006/relationships" ref="R793" r:id="rId1551"/>
    <hyperlink xmlns:r="http://schemas.openxmlformats.org/officeDocument/2006/relationships" ref="Q794" r:id="rId1552"/>
    <hyperlink xmlns:r="http://schemas.openxmlformats.org/officeDocument/2006/relationships" ref="Q795" r:id="rId1553"/>
    <hyperlink xmlns:r="http://schemas.openxmlformats.org/officeDocument/2006/relationships" ref="R795" r:id="rId1554"/>
    <hyperlink xmlns:r="http://schemas.openxmlformats.org/officeDocument/2006/relationships" ref="Q796" r:id="rId1555"/>
    <hyperlink xmlns:r="http://schemas.openxmlformats.org/officeDocument/2006/relationships" ref="Q797" r:id="rId1556"/>
    <hyperlink xmlns:r="http://schemas.openxmlformats.org/officeDocument/2006/relationships" ref="R797" r:id="rId1557"/>
    <hyperlink xmlns:r="http://schemas.openxmlformats.org/officeDocument/2006/relationships" ref="Q798" r:id="rId1558"/>
    <hyperlink xmlns:r="http://schemas.openxmlformats.org/officeDocument/2006/relationships" ref="R798" r:id="rId1559"/>
    <hyperlink xmlns:r="http://schemas.openxmlformats.org/officeDocument/2006/relationships" ref="Q799" r:id="rId1560"/>
    <hyperlink xmlns:r="http://schemas.openxmlformats.org/officeDocument/2006/relationships" ref="R799" r:id="rId1561"/>
    <hyperlink xmlns:r="http://schemas.openxmlformats.org/officeDocument/2006/relationships" ref="Q800" r:id="rId1562"/>
    <hyperlink xmlns:r="http://schemas.openxmlformats.org/officeDocument/2006/relationships" ref="R800" r:id="rId1563"/>
    <hyperlink xmlns:r="http://schemas.openxmlformats.org/officeDocument/2006/relationships" ref="Q801" r:id="rId1564"/>
    <hyperlink xmlns:r="http://schemas.openxmlformats.org/officeDocument/2006/relationships" ref="R801" r:id="rId1565"/>
    <hyperlink xmlns:r="http://schemas.openxmlformats.org/officeDocument/2006/relationships" ref="Q802" r:id="rId1566"/>
    <hyperlink xmlns:r="http://schemas.openxmlformats.org/officeDocument/2006/relationships" ref="R802" r:id="rId1567"/>
    <hyperlink xmlns:r="http://schemas.openxmlformats.org/officeDocument/2006/relationships" ref="Q803" r:id="rId1568"/>
    <hyperlink xmlns:r="http://schemas.openxmlformats.org/officeDocument/2006/relationships" ref="R803" r:id="rId1569"/>
    <hyperlink xmlns:r="http://schemas.openxmlformats.org/officeDocument/2006/relationships" ref="Q804" r:id="rId1570"/>
    <hyperlink xmlns:r="http://schemas.openxmlformats.org/officeDocument/2006/relationships" ref="R804" r:id="rId1571"/>
    <hyperlink xmlns:r="http://schemas.openxmlformats.org/officeDocument/2006/relationships" ref="Q805" r:id="rId1572"/>
    <hyperlink xmlns:r="http://schemas.openxmlformats.org/officeDocument/2006/relationships" ref="R805" r:id="rId1573"/>
    <hyperlink xmlns:r="http://schemas.openxmlformats.org/officeDocument/2006/relationships" ref="Q806" r:id="rId1574"/>
    <hyperlink xmlns:r="http://schemas.openxmlformats.org/officeDocument/2006/relationships" ref="R806" r:id="rId1575"/>
    <hyperlink xmlns:r="http://schemas.openxmlformats.org/officeDocument/2006/relationships" ref="Q807" r:id="rId1576"/>
    <hyperlink xmlns:r="http://schemas.openxmlformats.org/officeDocument/2006/relationships" ref="R807" r:id="rId1577"/>
    <hyperlink xmlns:r="http://schemas.openxmlformats.org/officeDocument/2006/relationships" ref="Q808" r:id="rId1578"/>
    <hyperlink xmlns:r="http://schemas.openxmlformats.org/officeDocument/2006/relationships" ref="R808" r:id="rId1579"/>
    <hyperlink xmlns:r="http://schemas.openxmlformats.org/officeDocument/2006/relationships" ref="Q809" r:id="rId1580"/>
    <hyperlink xmlns:r="http://schemas.openxmlformats.org/officeDocument/2006/relationships" ref="R809" r:id="rId1581"/>
    <hyperlink xmlns:r="http://schemas.openxmlformats.org/officeDocument/2006/relationships" ref="Q810" r:id="rId1582"/>
    <hyperlink xmlns:r="http://schemas.openxmlformats.org/officeDocument/2006/relationships" ref="R810" r:id="rId1583"/>
    <hyperlink xmlns:r="http://schemas.openxmlformats.org/officeDocument/2006/relationships" ref="Q811" r:id="rId1584"/>
    <hyperlink xmlns:r="http://schemas.openxmlformats.org/officeDocument/2006/relationships" ref="R811" r:id="rId1585"/>
    <hyperlink xmlns:r="http://schemas.openxmlformats.org/officeDocument/2006/relationships" ref="Q812" r:id="rId1586"/>
    <hyperlink xmlns:r="http://schemas.openxmlformats.org/officeDocument/2006/relationships" ref="R812" r:id="rId1587"/>
    <hyperlink xmlns:r="http://schemas.openxmlformats.org/officeDocument/2006/relationships" ref="Q813" r:id="rId1588"/>
    <hyperlink xmlns:r="http://schemas.openxmlformats.org/officeDocument/2006/relationships" ref="R813" r:id="rId1589"/>
    <hyperlink xmlns:r="http://schemas.openxmlformats.org/officeDocument/2006/relationships" ref="Q814" r:id="rId1590"/>
    <hyperlink xmlns:r="http://schemas.openxmlformats.org/officeDocument/2006/relationships" ref="R814" r:id="rId1591"/>
    <hyperlink xmlns:r="http://schemas.openxmlformats.org/officeDocument/2006/relationships" ref="Q815" r:id="rId1592"/>
    <hyperlink xmlns:r="http://schemas.openxmlformats.org/officeDocument/2006/relationships" ref="R815" r:id="rId1593"/>
    <hyperlink xmlns:r="http://schemas.openxmlformats.org/officeDocument/2006/relationships" ref="Q816" r:id="rId1594"/>
    <hyperlink xmlns:r="http://schemas.openxmlformats.org/officeDocument/2006/relationships" ref="R816" r:id="rId1595"/>
    <hyperlink xmlns:r="http://schemas.openxmlformats.org/officeDocument/2006/relationships" ref="Q817" r:id="rId1596"/>
    <hyperlink xmlns:r="http://schemas.openxmlformats.org/officeDocument/2006/relationships" ref="R817" r:id="rId1597"/>
    <hyperlink xmlns:r="http://schemas.openxmlformats.org/officeDocument/2006/relationships" ref="Q818" r:id="rId1598"/>
    <hyperlink xmlns:r="http://schemas.openxmlformats.org/officeDocument/2006/relationships" ref="R818" r:id="rId1599"/>
    <hyperlink xmlns:r="http://schemas.openxmlformats.org/officeDocument/2006/relationships" ref="Q819" r:id="rId1600"/>
    <hyperlink xmlns:r="http://schemas.openxmlformats.org/officeDocument/2006/relationships" ref="R819" r:id="rId1601"/>
    <hyperlink xmlns:r="http://schemas.openxmlformats.org/officeDocument/2006/relationships" ref="Q820" r:id="rId1602"/>
    <hyperlink xmlns:r="http://schemas.openxmlformats.org/officeDocument/2006/relationships" ref="R820" r:id="rId1603"/>
    <hyperlink xmlns:r="http://schemas.openxmlformats.org/officeDocument/2006/relationships" ref="Q821" r:id="rId1604"/>
    <hyperlink xmlns:r="http://schemas.openxmlformats.org/officeDocument/2006/relationships" ref="R821" r:id="rId1605"/>
    <hyperlink xmlns:r="http://schemas.openxmlformats.org/officeDocument/2006/relationships" ref="Q822" r:id="rId1606"/>
    <hyperlink xmlns:r="http://schemas.openxmlformats.org/officeDocument/2006/relationships" ref="R822" r:id="rId1607"/>
    <hyperlink xmlns:r="http://schemas.openxmlformats.org/officeDocument/2006/relationships" ref="Q823" r:id="rId1608"/>
    <hyperlink xmlns:r="http://schemas.openxmlformats.org/officeDocument/2006/relationships" ref="R823" r:id="rId1609"/>
    <hyperlink xmlns:r="http://schemas.openxmlformats.org/officeDocument/2006/relationships" ref="Q824" r:id="rId1610"/>
    <hyperlink xmlns:r="http://schemas.openxmlformats.org/officeDocument/2006/relationships" ref="R824" r:id="rId1611"/>
    <hyperlink xmlns:r="http://schemas.openxmlformats.org/officeDocument/2006/relationships" ref="Q825" r:id="rId1612"/>
    <hyperlink xmlns:r="http://schemas.openxmlformats.org/officeDocument/2006/relationships" ref="R825" r:id="rId1613"/>
    <hyperlink xmlns:r="http://schemas.openxmlformats.org/officeDocument/2006/relationships" ref="Q826" r:id="rId1614"/>
    <hyperlink xmlns:r="http://schemas.openxmlformats.org/officeDocument/2006/relationships" ref="R826" r:id="rId1615"/>
    <hyperlink xmlns:r="http://schemas.openxmlformats.org/officeDocument/2006/relationships" ref="Q827" r:id="rId1616"/>
    <hyperlink xmlns:r="http://schemas.openxmlformats.org/officeDocument/2006/relationships" ref="R827" r:id="rId1617"/>
    <hyperlink xmlns:r="http://schemas.openxmlformats.org/officeDocument/2006/relationships" ref="Q828" r:id="rId1618"/>
    <hyperlink xmlns:r="http://schemas.openxmlformats.org/officeDocument/2006/relationships" ref="R828" r:id="rId1619"/>
    <hyperlink xmlns:r="http://schemas.openxmlformats.org/officeDocument/2006/relationships" ref="Q829" r:id="rId1620"/>
    <hyperlink xmlns:r="http://schemas.openxmlformats.org/officeDocument/2006/relationships" ref="R829" r:id="rId1621"/>
    <hyperlink xmlns:r="http://schemas.openxmlformats.org/officeDocument/2006/relationships" ref="Q830" r:id="rId1622"/>
    <hyperlink xmlns:r="http://schemas.openxmlformats.org/officeDocument/2006/relationships" ref="R830" r:id="rId1623"/>
    <hyperlink xmlns:r="http://schemas.openxmlformats.org/officeDocument/2006/relationships" ref="Q831" r:id="rId1624"/>
    <hyperlink xmlns:r="http://schemas.openxmlformats.org/officeDocument/2006/relationships" ref="R831" r:id="rId1625"/>
    <hyperlink xmlns:r="http://schemas.openxmlformats.org/officeDocument/2006/relationships" ref="Q832" r:id="rId1626"/>
    <hyperlink xmlns:r="http://schemas.openxmlformats.org/officeDocument/2006/relationships" ref="R832" r:id="rId1627"/>
    <hyperlink xmlns:r="http://schemas.openxmlformats.org/officeDocument/2006/relationships" ref="Q833" r:id="rId1628"/>
    <hyperlink xmlns:r="http://schemas.openxmlformats.org/officeDocument/2006/relationships" ref="R833" r:id="rId1629"/>
    <hyperlink xmlns:r="http://schemas.openxmlformats.org/officeDocument/2006/relationships" ref="Q834" r:id="rId1630"/>
    <hyperlink xmlns:r="http://schemas.openxmlformats.org/officeDocument/2006/relationships" ref="R834" r:id="rId1631"/>
    <hyperlink xmlns:r="http://schemas.openxmlformats.org/officeDocument/2006/relationships" ref="Q835" r:id="rId1632"/>
    <hyperlink xmlns:r="http://schemas.openxmlformats.org/officeDocument/2006/relationships" ref="R835" r:id="rId1633"/>
    <hyperlink xmlns:r="http://schemas.openxmlformats.org/officeDocument/2006/relationships" ref="Q836" r:id="rId1634"/>
    <hyperlink xmlns:r="http://schemas.openxmlformats.org/officeDocument/2006/relationships" ref="R836" r:id="rId1635"/>
    <hyperlink xmlns:r="http://schemas.openxmlformats.org/officeDocument/2006/relationships" ref="Q837" r:id="rId1636"/>
    <hyperlink xmlns:r="http://schemas.openxmlformats.org/officeDocument/2006/relationships" ref="R837" r:id="rId1637"/>
    <hyperlink xmlns:r="http://schemas.openxmlformats.org/officeDocument/2006/relationships" ref="Q838" r:id="rId1638"/>
    <hyperlink xmlns:r="http://schemas.openxmlformats.org/officeDocument/2006/relationships" ref="R838" r:id="rId1639"/>
    <hyperlink xmlns:r="http://schemas.openxmlformats.org/officeDocument/2006/relationships" ref="Q839" r:id="rId1640"/>
    <hyperlink xmlns:r="http://schemas.openxmlformats.org/officeDocument/2006/relationships" ref="R839" r:id="rId1641"/>
    <hyperlink xmlns:r="http://schemas.openxmlformats.org/officeDocument/2006/relationships" ref="Q840" r:id="rId1642"/>
    <hyperlink xmlns:r="http://schemas.openxmlformats.org/officeDocument/2006/relationships" ref="R840" r:id="rId1643"/>
    <hyperlink xmlns:r="http://schemas.openxmlformats.org/officeDocument/2006/relationships" ref="Q841" r:id="rId1644"/>
    <hyperlink xmlns:r="http://schemas.openxmlformats.org/officeDocument/2006/relationships" ref="R841" r:id="rId1645"/>
    <hyperlink xmlns:r="http://schemas.openxmlformats.org/officeDocument/2006/relationships" ref="Q842" r:id="rId1646"/>
    <hyperlink xmlns:r="http://schemas.openxmlformats.org/officeDocument/2006/relationships" ref="R842" r:id="rId1647"/>
    <hyperlink xmlns:r="http://schemas.openxmlformats.org/officeDocument/2006/relationships" ref="Q843" r:id="rId1648"/>
    <hyperlink xmlns:r="http://schemas.openxmlformats.org/officeDocument/2006/relationships" ref="R843" r:id="rId1649"/>
    <hyperlink xmlns:r="http://schemas.openxmlformats.org/officeDocument/2006/relationships" ref="Q844" r:id="rId1650"/>
    <hyperlink xmlns:r="http://schemas.openxmlformats.org/officeDocument/2006/relationships" ref="R844" r:id="rId1651"/>
    <hyperlink xmlns:r="http://schemas.openxmlformats.org/officeDocument/2006/relationships" ref="Q845" r:id="rId1652"/>
    <hyperlink xmlns:r="http://schemas.openxmlformats.org/officeDocument/2006/relationships" ref="R845" r:id="rId1653"/>
    <hyperlink xmlns:r="http://schemas.openxmlformats.org/officeDocument/2006/relationships" ref="Q846" r:id="rId1654"/>
    <hyperlink xmlns:r="http://schemas.openxmlformats.org/officeDocument/2006/relationships" ref="R846" r:id="rId1655"/>
    <hyperlink xmlns:r="http://schemas.openxmlformats.org/officeDocument/2006/relationships" ref="Q847" r:id="rId1656"/>
    <hyperlink xmlns:r="http://schemas.openxmlformats.org/officeDocument/2006/relationships" ref="R847" r:id="rId1657"/>
    <hyperlink xmlns:r="http://schemas.openxmlformats.org/officeDocument/2006/relationships" ref="Q848" r:id="rId1658"/>
    <hyperlink xmlns:r="http://schemas.openxmlformats.org/officeDocument/2006/relationships" ref="R848" r:id="rId1659"/>
    <hyperlink xmlns:r="http://schemas.openxmlformats.org/officeDocument/2006/relationships" ref="Q849" r:id="rId1660"/>
    <hyperlink xmlns:r="http://schemas.openxmlformats.org/officeDocument/2006/relationships" ref="R849" r:id="rId1661"/>
    <hyperlink xmlns:r="http://schemas.openxmlformats.org/officeDocument/2006/relationships" ref="Q850" r:id="rId1662"/>
    <hyperlink xmlns:r="http://schemas.openxmlformats.org/officeDocument/2006/relationships" ref="Q851" r:id="rId1663"/>
    <hyperlink xmlns:r="http://schemas.openxmlformats.org/officeDocument/2006/relationships" ref="Q852" r:id="rId1664"/>
    <hyperlink xmlns:r="http://schemas.openxmlformats.org/officeDocument/2006/relationships" ref="R852" r:id="rId1665"/>
    <hyperlink xmlns:r="http://schemas.openxmlformats.org/officeDocument/2006/relationships" ref="Q853" r:id="rId1666"/>
    <hyperlink xmlns:r="http://schemas.openxmlformats.org/officeDocument/2006/relationships" ref="R853" r:id="rId1667"/>
    <hyperlink xmlns:r="http://schemas.openxmlformats.org/officeDocument/2006/relationships" ref="Q854" r:id="rId1668"/>
    <hyperlink xmlns:r="http://schemas.openxmlformats.org/officeDocument/2006/relationships" ref="R854" r:id="rId1669"/>
    <hyperlink xmlns:r="http://schemas.openxmlformats.org/officeDocument/2006/relationships" ref="Q855" r:id="rId1670"/>
    <hyperlink xmlns:r="http://schemas.openxmlformats.org/officeDocument/2006/relationships" ref="R855" r:id="rId1671"/>
    <hyperlink xmlns:r="http://schemas.openxmlformats.org/officeDocument/2006/relationships" ref="Q856" r:id="rId1672"/>
    <hyperlink xmlns:r="http://schemas.openxmlformats.org/officeDocument/2006/relationships" ref="R856" r:id="rId1673"/>
    <hyperlink xmlns:r="http://schemas.openxmlformats.org/officeDocument/2006/relationships" ref="Q857" r:id="rId1674"/>
    <hyperlink xmlns:r="http://schemas.openxmlformats.org/officeDocument/2006/relationships" ref="R857" r:id="rId1675"/>
    <hyperlink xmlns:r="http://schemas.openxmlformats.org/officeDocument/2006/relationships" ref="Q858" r:id="rId1676"/>
    <hyperlink xmlns:r="http://schemas.openxmlformats.org/officeDocument/2006/relationships" ref="R858" r:id="rId1677"/>
    <hyperlink xmlns:r="http://schemas.openxmlformats.org/officeDocument/2006/relationships" ref="Q859" r:id="rId1678"/>
    <hyperlink xmlns:r="http://schemas.openxmlformats.org/officeDocument/2006/relationships" ref="R859" r:id="rId1679"/>
    <hyperlink xmlns:r="http://schemas.openxmlformats.org/officeDocument/2006/relationships" ref="Q860" r:id="rId1680"/>
    <hyperlink xmlns:r="http://schemas.openxmlformats.org/officeDocument/2006/relationships" ref="R860" r:id="rId1681"/>
    <hyperlink xmlns:r="http://schemas.openxmlformats.org/officeDocument/2006/relationships" ref="Q861" r:id="rId1682"/>
    <hyperlink xmlns:r="http://schemas.openxmlformats.org/officeDocument/2006/relationships" ref="R861" r:id="rId1683"/>
    <hyperlink xmlns:r="http://schemas.openxmlformats.org/officeDocument/2006/relationships" ref="Q862" r:id="rId1684"/>
    <hyperlink xmlns:r="http://schemas.openxmlformats.org/officeDocument/2006/relationships" ref="R862" r:id="rId1685"/>
    <hyperlink xmlns:r="http://schemas.openxmlformats.org/officeDocument/2006/relationships" ref="Q863" r:id="rId1686"/>
    <hyperlink xmlns:r="http://schemas.openxmlformats.org/officeDocument/2006/relationships" ref="R863" r:id="rId1687"/>
    <hyperlink xmlns:r="http://schemas.openxmlformats.org/officeDocument/2006/relationships" ref="Q864" r:id="rId1688"/>
    <hyperlink xmlns:r="http://schemas.openxmlformats.org/officeDocument/2006/relationships" ref="R864" r:id="rId1689"/>
    <hyperlink xmlns:r="http://schemas.openxmlformats.org/officeDocument/2006/relationships" ref="Q865" r:id="rId1690"/>
    <hyperlink xmlns:r="http://schemas.openxmlformats.org/officeDocument/2006/relationships" ref="R865" r:id="rId1691"/>
    <hyperlink xmlns:r="http://schemas.openxmlformats.org/officeDocument/2006/relationships" ref="Q866" r:id="rId1692"/>
    <hyperlink xmlns:r="http://schemas.openxmlformats.org/officeDocument/2006/relationships" ref="R866" r:id="rId1693"/>
    <hyperlink xmlns:r="http://schemas.openxmlformats.org/officeDocument/2006/relationships" ref="Q867" r:id="rId1694"/>
    <hyperlink xmlns:r="http://schemas.openxmlformats.org/officeDocument/2006/relationships" ref="R867" r:id="rId1695"/>
    <hyperlink xmlns:r="http://schemas.openxmlformats.org/officeDocument/2006/relationships" ref="Q868" r:id="rId1696"/>
    <hyperlink xmlns:r="http://schemas.openxmlformats.org/officeDocument/2006/relationships" ref="R868" r:id="rId1697"/>
    <hyperlink xmlns:r="http://schemas.openxmlformats.org/officeDocument/2006/relationships" ref="Q869" r:id="rId1698"/>
    <hyperlink xmlns:r="http://schemas.openxmlformats.org/officeDocument/2006/relationships" ref="R869" r:id="rId1699"/>
    <hyperlink xmlns:r="http://schemas.openxmlformats.org/officeDocument/2006/relationships" ref="Q870" r:id="rId1700"/>
    <hyperlink xmlns:r="http://schemas.openxmlformats.org/officeDocument/2006/relationships" ref="R870" r:id="rId1701"/>
    <hyperlink xmlns:r="http://schemas.openxmlformats.org/officeDocument/2006/relationships" ref="Q871" r:id="rId1702"/>
    <hyperlink xmlns:r="http://schemas.openxmlformats.org/officeDocument/2006/relationships" ref="R871" r:id="rId1703"/>
    <hyperlink xmlns:r="http://schemas.openxmlformats.org/officeDocument/2006/relationships" ref="Q872" r:id="rId1704"/>
    <hyperlink xmlns:r="http://schemas.openxmlformats.org/officeDocument/2006/relationships" ref="R872" r:id="rId1705"/>
    <hyperlink xmlns:r="http://schemas.openxmlformats.org/officeDocument/2006/relationships" ref="Q873" r:id="rId1706"/>
    <hyperlink xmlns:r="http://schemas.openxmlformats.org/officeDocument/2006/relationships" ref="R873" r:id="rId1707"/>
    <hyperlink xmlns:r="http://schemas.openxmlformats.org/officeDocument/2006/relationships" ref="Q874" r:id="rId1708"/>
    <hyperlink xmlns:r="http://schemas.openxmlformats.org/officeDocument/2006/relationships" ref="R874" r:id="rId1709"/>
    <hyperlink xmlns:r="http://schemas.openxmlformats.org/officeDocument/2006/relationships" ref="Q875" r:id="rId1710"/>
    <hyperlink xmlns:r="http://schemas.openxmlformats.org/officeDocument/2006/relationships" ref="R875" r:id="rId1711"/>
    <hyperlink xmlns:r="http://schemas.openxmlformats.org/officeDocument/2006/relationships" ref="Q876" r:id="rId1712"/>
    <hyperlink xmlns:r="http://schemas.openxmlformats.org/officeDocument/2006/relationships" ref="R876" r:id="rId1713"/>
    <hyperlink xmlns:r="http://schemas.openxmlformats.org/officeDocument/2006/relationships" ref="Q877" r:id="rId1714"/>
    <hyperlink xmlns:r="http://schemas.openxmlformats.org/officeDocument/2006/relationships" ref="R877" r:id="rId1715"/>
    <hyperlink xmlns:r="http://schemas.openxmlformats.org/officeDocument/2006/relationships" ref="Q878" r:id="rId1716"/>
    <hyperlink xmlns:r="http://schemas.openxmlformats.org/officeDocument/2006/relationships" ref="R878" r:id="rId1717"/>
    <hyperlink xmlns:r="http://schemas.openxmlformats.org/officeDocument/2006/relationships" ref="Q879" r:id="rId1718"/>
    <hyperlink xmlns:r="http://schemas.openxmlformats.org/officeDocument/2006/relationships" ref="R879" r:id="rId1719"/>
    <hyperlink xmlns:r="http://schemas.openxmlformats.org/officeDocument/2006/relationships" ref="Q880" r:id="rId1720"/>
    <hyperlink xmlns:r="http://schemas.openxmlformats.org/officeDocument/2006/relationships" ref="R880" r:id="rId1721"/>
    <hyperlink xmlns:r="http://schemas.openxmlformats.org/officeDocument/2006/relationships" ref="Q881" r:id="rId1722"/>
    <hyperlink xmlns:r="http://schemas.openxmlformats.org/officeDocument/2006/relationships" ref="R881" r:id="rId1723"/>
    <hyperlink xmlns:r="http://schemas.openxmlformats.org/officeDocument/2006/relationships" ref="Q882" r:id="rId1724"/>
    <hyperlink xmlns:r="http://schemas.openxmlformats.org/officeDocument/2006/relationships" ref="R882" r:id="rId1725"/>
    <hyperlink xmlns:r="http://schemas.openxmlformats.org/officeDocument/2006/relationships" ref="Q883" r:id="rId1726"/>
    <hyperlink xmlns:r="http://schemas.openxmlformats.org/officeDocument/2006/relationships" ref="R883" r:id="rId1727"/>
    <hyperlink xmlns:r="http://schemas.openxmlformats.org/officeDocument/2006/relationships" ref="Q884" r:id="rId1728"/>
    <hyperlink xmlns:r="http://schemas.openxmlformats.org/officeDocument/2006/relationships" ref="R884" r:id="rId1729"/>
    <hyperlink xmlns:r="http://schemas.openxmlformats.org/officeDocument/2006/relationships" ref="Q885" r:id="rId1730"/>
    <hyperlink xmlns:r="http://schemas.openxmlformats.org/officeDocument/2006/relationships" ref="R885" r:id="rId1731"/>
    <hyperlink xmlns:r="http://schemas.openxmlformats.org/officeDocument/2006/relationships" ref="Q886" r:id="rId1732"/>
    <hyperlink xmlns:r="http://schemas.openxmlformats.org/officeDocument/2006/relationships" ref="R886" r:id="rId1733"/>
    <hyperlink xmlns:r="http://schemas.openxmlformats.org/officeDocument/2006/relationships" ref="Q887" r:id="rId1734"/>
    <hyperlink xmlns:r="http://schemas.openxmlformats.org/officeDocument/2006/relationships" ref="R887" r:id="rId1735"/>
    <hyperlink xmlns:r="http://schemas.openxmlformats.org/officeDocument/2006/relationships" ref="Q888" r:id="rId1736"/>
    <hyperlink xmlns:r="http://schemas.openxmlformats.org/officeDocument/2006/relationships" ref="R888" r:id="rId1737"/>
    <hyperlink xmlns:r="http://schemas.openxmlformats.org/officeDocument/2006/relationships" ref="Q889" r:id="rId1738"/>
    <hyperlink xmlns:r="http://schemas.openxmlformats.org/officeDocument/2006/relationships" ref="R889" r:id="rId1739"/>
    <hyperlink xmlns:r="http://schemas.openxmlformats.org/officeDocument/2006/relationships" ref="Q890" r:id="rId1740"/>
    <hyperlink xmlns:r="http://schemas.openxmlformats.org/officeDocument/2006/relationships" ref="R890" r:id="rId1741"/>
    <hyperlink xmlns:r="http://schemas.openxmlformats.org/officeDocument/2006/relationships" ref="Q891" r:id="rId1742"/>
    <hyperlink xmlns:r="http://schemas.openxmlformats.org/officeDocument/2006/relationships" ref="R891" r:id="rId1743"/>
    <hyperlink xmlns:r="http://schemas.openxmlformats.org/officeDocument/2006/relationships" ref="Q892" r:id="rId1744"/>
    <hyperlink xmlns:r="http://schemas.openxmlformats.org/officeDocument/2006/relationships" ref="R892" r:id="rId1745"/>
    <hyperlink xmlns:r="http://schemas.openxmlformats.org/officeDocument/2006/relationships" ref="Q893" r:id="rId1746"/>
    <hyperlink xmlns:r="http://schemas.openxmlformats.org/officeDocument/2006/relationships" ref="R893" r:id="rId1747"/>
    <hyperlink xmlns:r="http://schemas.openxmlformats.org/officeDocument/2006/relationships" ref="Q894" r:id="rId1748"/>
    <hyperlink xmlns:r="http://schemas.openxmlformats.org/officeDocument/2006/relationships" ref="R894" r:id="rId1749"/>
    <hyperlink xmlns:r="http://schemas.openxmlformats.org/officeDocument/2006/relationships" ref="Q895" r:id="rId1750"/>
    <hyperlink xmlns:r="http://schemas.openxmlformats.org/officeDocument/2006/relationships" ref="R895" r:id="rId1751"/>
    <hyperlink xmlns:r="http://schemas.openxmlformats.org/officeDocument/2006/relationships" ref="Q896" r:id="rId1752"/>
    <hyperlink xmlns:r="http://schemas.openxmlformats.org/officeDocument/2006/relationships" ref="R896" r:id="rId1753"/>
    <hyperlink xmlns:r="http://schemas.openxmlformats.org/officeDocument/2006/relationships" ref="Q897" r:id="rId1754"/>
    <hyperlink xmlns:r="http://schemas.openxmlformats.org/officeDocument/2006/relationships" ref="R897" r:id="rId1755"/>
    <hyperlink xmlns:r="http://schemas.openxmlformats.org/officeDocument/2006/relationships" ref="Q898" r:id="rId1756"/>
    <hyperlink xmlns:r="http://schemas.openxmlformats.org/officeDocument/2006/relationships" ref="R898" r:id="rId1757"/>
    <hyperlink xmlns:r="http://schemas.openxmlformats.org/officeDocument/2006/relationships" ref="Q899" r:id="rId1758"/>
    <hyperlink xmlns:r="http://schemas.openxmlformats.org/officeDocument/2006/relationships" ref="R899" r:id="rId1759"/>
    <hyperlink xmlns:r="http://schemas.openxmlformats.org/officeDocument/2006/relationships" ref="Q900" r:id="rId1760"/>
    <hyperlink xmlns:r="http://schemas.openxmlformats.org/officeDocument/2006/relationships" ref="R900" r:id="rId1761"/>
    <hyperlink xmlns:r="http://schemas.openxmlformats.org/officeDocument/2006/relationships" ref="Q901" r:id="rId1762"/>
    <hyperlink xmlns:r="http://schemas.openxmlformats.org/officeDocument/2006/relationships" ref="Q902" r:id="rId1763"/>
    <hyperlink xmlns:r="http://schemas.openxmlformats.org/officeDocument/2006/relationships" ref="R902" r:id="rId1764"/>
    <hyperlink xmlns:r="http://schemas.openxmlformats.org/officeDocument/2006/relationships" ref="Q903" r:id="rId1765"/>
    <hyperlink xmlns:r="http://schemas.openxmlformats.org/officeDocument/2006/relationships" ref="Q904" r:id="rId1766"/>
    <hyperlink xmlns:r="http://schemas.openxmlformats.org/officeDocument/2006/relationships" ref="R904" r:id="rId1767"/>
    <hyperlink xmlns:r="http://schemas.openxmlformats.org/officeDocument/2006/relationships" ref="Q905" r:id="rId1768"/>
    <hyperlink xmlns:r="http://schemas.openxmlformats.org/officeDocument/2006/relationships" ref="R905" r:id="rId1769"/>
    <hyperlink xmlns:r="http://schemas.openxmlformats.org/officeDocument/2006/relationships" ref="Q906" r:id="rId1770"/>
    <hyperlink xmlns:r="http://schemas.openxmlformats.org/officeDocument/2006/relationships" ref="Q907" r:id="rId1771"/>
    <hyperlink xmlns:r="http://schemas.openxmlformats.org/officeDocument/2006/relationships" ref="R907" r:id="rId1772"/>
    <hyperlink xmlns:r="http://schemas.openxmlformats.org/officeDocument/2006/relationships" ref="Q908" r:id="rId1773"/>
    <hyperlink xmlns:r="http://schemas.openxmlformats.org/officeDocument/2006/relationships" ref="R908" r:id="rId1774"/>
    <hyperlink xmlns:r="http://schemas.openxmlformats.org/officeDocument/2006/relationships" ref="Q909" r:id="rId1775"/>
    <hyperlink xmlns:r="http://schemas.openxmlformats.org/officeDocument/2006/relationships" ref="R909" r:id="rId1776"/>
    <hyperlink xmlns:r="http://schemas.openxmlformats.org/officeDocument/2006/relationships" ref="Q910" r:id="rId1777"/>
    <hyperlink xmlns:r="http://schemas.openxmlformats.org/officeDocument/2006/relationships" ref="R910" r:id="rId1778"/>
    <hyperlink xmlns:r="http://schemas.openxmlformats.org/officeDocument/2006/relationships" ref="Q911" r:id="rId1779"/>
    <hyperlink xmlns:r="http://schemas.openxmlformats.org/officeDocument/2006/relationships" ref="R911" r:id="rId1780"/>
    <hyperlink xmlns:r="http://schemas.openxmlformats.org/officeDocument/2006/relationships" ref="Q912" r:id="rId1781"/>
    <hyperlink xmlns:r="http://schemas.openxmlformats.org/officeDocument/2006/relationships" ref="R912" r:id="rId1782"/>
    <hyperlink xmlns:r="http://schemas.openxmlformats.org/officeDocument/2006/relationships" ref="Q913" r:id="rId1783"/>
    <hyperlink xmlns:r="http://schemas.openxmlformats.org/officeDocument/2006/relationships" ref="R913" r:id="rId1784"/>
    <hyperlink xmlns:r="http://schemas.openxmlformats.org/officeDocument/2006/relationships" ref="Q914" r:id="rId1785"/>
    <hyperlink xmlns:r="http://schemas.openxmlformats.org/officeDocument/2006/relationships" ref="R914" r:id="rId1786"/>
    <hyperlink xmlns:r="http://schemas.openxmlformats.org/officeDocument/2006/relationships" ref="Q915" r:id="rId1787"/>
    <hyperlink xmlns:r="http://schemas.openxmlformats.org/officeDocument/2006/relationships" ref="R915" r:id="rId1788"/>
    <hyperlink xmlns:r="http://schemas.openxmlformats.org/officeDocument/2006/relationships" ref="Q916" r:id="rId1789"/>
    <hyperlink xmlns:r="http://schemas.openxmlformats.org/officeDocument/2006/relationships" ref="R916" r:id="rId1790"/>
    <hyperlink xmlns:r="http://schemas.openxmlformats.org/officeDocument/2006/relationships" ref="Q917" r:id="rId1791"/>
    <hyperlink xmlns:r="http://schemas.openxmlformats.org/officeDocument/2006/relationships" ref="R917" r:id="rId1792"/>
    <hyperlink xmlns:r="http://schemas.openxmlformats.org/officeDocument/2006/relationships" ref="Q918" r:id="rId1793"/>
    <hyperlink xmlns:r="http://schemas.openxmlformats.org/officeDocument/2006/relationships" ref="R918" r:id="rId1794"/>
    <hyperlink xmlns:r="http://schemas.openxmlformats.org/officeDocument/2006/relationships" ref="Q919" r:id="rId1795"/>
    <hyperlink xmlns:r="http://schemas.openxmlformats.org/officeDocument/2006/relationships" ref="R919" r:id="rId1796"/>
    <hyperlink xmlns:r="http://schemas.openxmlformats.org/officeDocument/2006/relationships" ref="Q920" r:id="rId1797"/>
    <hyperlink xmlns:r="http://schemas.openxmlformats.org/officeDocument/2006/relationships" ref="R920" r:id="rId1798"/>
    <hyperlink xmlns:r="http://schemas.openxmlformats.org/officeDocument/2006/relationships" ref="Q921" r:id="rId1799"/>
    <hyperlink xmlns:r="http://schemas.openxmlformats.org/officeDocument/2006/relationships" ref="R921" r:id="rId1800"/>
    <hyperlink xmlns:r="http://schemas.openxmlformats.org/officeDocument/2006/relationships" ref="Q922" r:id="rId1801"/>
    <hyperlink xmlns:r="http://schemas.openxmlformats.org/officeDocument/2006/relationships" ref="R922" r:id="rId1802"/>
    <hyperlink xmlns:r="http://schemas.openxmlformats.org/officeDocument/2006/relationships" ref="Q923" r:id="rId1803"/>
    <hyperlink xmlns:r="http://schemas.openxmlformats.org/officeDocument/2006/relationships" ref="R923" r:id="rId1804"/>
    <hyperlink xmlns:r="http://schemas.openxmlformats.org/officeDocument/2006/relationships" ref="Q924" r:id="rId1805"/>
    <hyperlink xmlns:r="http://schemas.openxmlformats.org/officeDocument/2006/relationships" ref="R924" r:id="rId1806"/>
    <hyperlink xmlns:r="http://schemas.openxmlformats.org/officeDocument/2006/relationships" ref="Q925" r:id="rId1807"/>
    <hyperlink xmlns:r="http://schemas.openxmlformats.org/officeDocument/2006/relationships" ref="R925" r:id="rId1808"/>
    <hyperlink xmlns:r="http://schemas.openxmlformats.org/officeDocument/2006/relationships" ref="Q926" r:id="rId1809"/>
    <hyperlink xmlns:r="http://schemas.openxmlformats.org/officeDocument/2006/relationships" ref="R926" r:id="rId1810"/>
    <hyperlink xmlns:r="http://schemas.openxmlformats.org/officeDocument/2006/relationships" ref="Q927" r:id="rId1811"/>
    <hyperlink xmlns:r="http://schemas.openxmlformats.org/officeDocument/2006/relationships" ref="R927" r:id="rId1812"/>
    <hyperlink xmlns:r="http://schemas.openxmlformats.org/officeDocument/2006/relationships" ref="Q928" r:id="rId1813"/>
    <hyperlink xmlns:r="http://schemas.openxmlformats.org/officeDocument/2006/relationships" ref="R928" r:id="rId1814"/>
    <hyperlink xmlns:r="http://schemas.openxmlformats.org/officeDocument/2006/relationships" ref="Q929" r:id="rId1815"/>
    <hyperlink xmlns:r="http://schemas.openxmlformats.org/officeDocument/2006/relationships" ref="R929" r:id="rId1816"/>
    <hyperlink xmlns:r="http://schemas.openxmlformats.org/officeDocument/2006/relationships" ref="Q930" r:id="rId1817"/>
    <hyperlink xmlns:r="http://schemas.openxmlformats.org/officeDocument/2006/relationships" ref="R930" r:id="rId1818"/>
    <hyperlink xmlns:r="http://schemas.openxmlformats.org/officeDocument/2006/relationships" ref="Q931" r:id="rId1819"/>
    <hyperlink xmlns:r="http://schemas.openxmlformats.org/officeDocument/2006/relationships" ref="R931" r:id="rId1820"/>
    <hyperlink xmlns:r="http://schemas.openxmlformats.org/officeDocument/2006/relationships" ref="Q932" r:id="rId1821"/>
    <hyperlink xmlns:r="http://schemas.openxmlformats.org/officeDocument/2006/relationships" ref="R932" r:id="rId1822"/>
    <hyperlink xmlns:r="http://schemas.openxmlformats.org/officeDocument/2006/relationships" ref="Q933" r:id="rId1823"/>
    <hyperlink xmlns:r="http://schemas.openxmlformats.org/officeDocument/2006/relationships" ref="R933" r:id="rId1824"/>
    <hyperlink xmlns:r="http://schemas.openxmlformats.org/officeDocument/2006/relationships" ref="Q934" r:id="rId1825"/>
    <hyperlink xmlns:r="http://schemas.openxmlformats.org/officeDocument/2006/relationships" ref="R934" r:id="rId1826"/>
    <hyperlink xmlns:r="http://schemas.openxmlformats.org/officeDocument/2006/relationships" ref="Q935" r:id="rId1827"/>
    <hyperlink xmlns:r="http://schemas.openxmlformats.org/officeDocument/2006/relationships" ref="R935" r:id="rId1828"/>
    <hyperlink xmlns:r="http://schemas.openxmlformats.org/officeDocument/2006/relationships" ref="Q936" r:id="rId1829"/>
    <hyperlink xmlns:r="http://schemas.openxmlformats.org/officeDocument/2006/relationships" ref="R936" r:id="rId1830"/>
    <hyperlink xmlns:r="http://schemas.openxmlformats.org/officeDocument/2006/relationships" ref="Q937" r:id="rId1831"/>
    <hyperlink xmlns:r="http://schemas.openxmlformats.org/officeDocument/2006/relationships" ref="R937" r:id="rId1832"/>
    <hyperlink xmlns:r="http://schemas.openxmlformats.org/officeDocument/2006/relationships" ref="Q938" r:id="rId1833"/>
    <hyperlink xmlns:r="http://schemas.openxmlformats.org/officeDocument/2006/relationships" ref="Q939" r:id="rId1834"/>
    <hyperlink xmlns:r="http://schemas.openxmlformats.org/officeDocument/2006/relationships" ref="R939" r:id="rId1835"/>
    <hyperlink xmlns:r="http://schemas.openxmlformats.org/officeDocument/2006/relationships" ref="Q940" r:id="rId1836"/>
    <hyperlink xmlns:r="http://schemas.openxmlformats.org/officeDocument/2006/relationships" ref="R940" r:id="rId1837"/>
    <hyperlink xmlns:r="http://schemas.openxmlformats.org/officeDocument/2006/relationships" ref="Q941" r:id="rId1838"/>
    <hyperlink xmlns:r="http://schemas.openxmlformats.org/officeDocument/2006/relationships" ref="R941" r:id="rId1839"/>
    <hyperlink xmlns:r="http://schemas.openxmlformats.org/officeDocument/2006/relationships" ref="Q942" r:id="rId1840"/>
    <hyperlink xmlns:r="http://schemas.openxmlformats.org/officeDocument/2006/relationships" ref="R942" r:id="rId1841"/>
    <hyperlink xmlns:r="http://schemas.openxmlformats.org/officeDocument/2006/relationships" ref="Q943" r:id="rId1842"/>
    <hyperlink xmlns:r="http://schemas.openxmlformats.org/officeDocument/2006/relationships" ref="R943" r:id="rId1843"/>
    <hyperlink xmlns:r="http://schemas.openxmlformats.org/officeDocument/2006/relationships" ref="Q944" r:id="rId1844"/>
    <hyperlink xmlns:r="http://schemas.openxmlformats.org/officeDocument/2006/relationships" ref="R944" r:id="rId1845"/>
    <hyperlink xmlns:r="http://schemas.openxmlformats.org/officeDocument/2006/relationships" ref="Q945" r:id="rId1846"/>
    <hyperlink xmlns:r="http://schemas.openxmlformats.org/officeDocument/2006/relationships" ref="R945" r:id="rId1847"/>
    <hyperlink xmlns:r="http://schemas.openxmlformats.org/officeDocument/2006/relationships" ref="Q946" r:id="rId1848"/>
    <hyperlink xmlns:r="http://schemas.openxmlformats.org/officeDocument/2006/relationships" ref="R946" r:id="rId1849"/>
    <hyperlink xmlns:r="http://schemas.openxmlformats.org/officeDocument/2006/relationships" ref="Q947" r:id="rId1850"/>
    <hyperlink xmlns:r="http://schemas.openxmlformats.org/officeDocument/2006/relationships" ref="R947" r:id="rId1851"/>
    <hyperlink xmlns:r="http://schemas.openxmlformats.org/officeDocument/2006/relationships" ref="Q948" r:id="rId1852"/>
    <hyperlink xmlns:r="http://schemas.openxmlformats.org/officeDocument/2006/relationships" ref="R948" r:id="rId1853"/>
    <hyperlink xmlns:r="http://schemas.openxmlformats.org/officeDocument/2006/relationships" ref="Q949" r:id="rId1854"/>
    <hyperlink xmlns:r="http://schemas.openxmlformats.org/officeDocument/2006/relationships" ref="R949" r:id="rId1855"/>
    <hyperlink xmlns:r="http://schemas.openxmlformats.org/officeDocument/2006/relationships" ref="Q950" r:id="rId1856"/>
    <hyperlink xmlns:r="http://schemas.openxmlformats.org/officeDocument/2006/relationships" ref="R950" r:id="rId1857"/>
    <hyperlink xmlns:r="http://schemas.openxmlformats.org/officeDocument/2006/relationships" ref="Q951" r:id="rId1858"/>
    <hyperlink xmlns:r="http://schemas.openxmlformats.org/officeDocument/2006/relationships" ref="R951" r:id="rId1859"/>
    <hyperlink xmlns:r="http://schemas.openxmlformats.org/officeDocument/2006/relationships" ref="Q952" r:id="rId1860"/>
    <hyperlink xmlns:r="http://schemas.openxmlformats.org/officeDocument/2006/relationships" ref="R952" r:id="rId1861"/>
    <hyperlink xmlns:r="http://schemas.openxmlformats.org/officeDocument/2006/relationships" ref="Q953" r:id="rId1862"/>
    <hyperlink xmlns:r="http://schemas.openxmlformats.org/officeDocument/2006/relationships" ref="R953" r:id="rId1863"/>
    <hyperlink xmlns:r="http://schemas.openxmlformats.org/officeDocument/2006/relationships" ref="Q954" r:id="rId1864"/>
    <hyperlink xmlns:r="http://schemas.openxmlformats.org/officeDocument/2006/relationships" ref="R954" r:id="rId1865"/>
    <hyperlink xmlns:r="http://schemas.openxmlformats.org/officeDocument/2006/relationships" ref="Q955" r:id="rId1866"/>
    <hyperlink xmlns:r="http://schemas.openxmlformats.org/officeDocument/2006/relationships" ref="R955" r:id="rId1867"/>
    <hyperlink xmlns:r="http://schemas.openxmlformats.org/officeDocument/2006/relationships" ref="Q956" r:id="rId1868"/>
    <hyperlink xmlns:r="http://schemas.openxmlformats.org/officeDocument/2006/relationships" ref="R956" r:id="rId1869"/>
    <hyperlink xmlns:r="http://schemas.openxmlformats.org/officeDocument/2006/relationships" ref="Q957" r:id="rId1870"/>
    <hyperlink xmlns:r="http://schemas.openxmlformats.org/officeDocument/2006/relationships" ref="R957" r:id="rId1871"/>
    <hyperlink xmlns:r="http://schemas.openxmlformats.org/officeDocument/2006/relationships" ref="Q958" r:id="rId1872"/>
    <hyperlink xmlns:r="http://schemas.openxmlformats.org/officeDocument/2006/relationships" ref="R958" r:id="rId1873"/>
    <hyperlink xmlns:r="http://schemas.openxmlformats.org/officeDocument/2006/relationships" ref="Q959" r:id="rId1874"/>
    <hyperlink xmlns:r="http://schemas.openxmlformats.org/officeDocument/2006/relationships" ref="R959" r:id="rId1875"/>
    <hyperlink xmlns:r="http://schemas.openxmlformats.org/officeDocument/2006/relationships" ref="Q960" r:id="rId1876"/>
    <hyperlink xmlns:r="http://schemas.openxmlformats.org/officeDocument/2006/relationships" ref="R960" r:id="rId1877"/>
    <hyperlink xmlns:r="http://schemas.openxmlformats.org/officeDocument/2006/relationships" ref="Q961" r:id="rId1878"/>
    <hyperlink xmlns:r="http://schemas.openxmlformats.org/officeDocument/2006/relationships" ref="R961" r:id="rId1879"/>
    <hyperlink xmlns:r="http://schemas.openxmlformats.org/officeDocument/2006/relationships" ref="Q962" r:id="rId1880"/>
    <hyperlink xmlns:r="http://schemas.openxmlformats.org/officeDocument/2006/relationships" ref="R962" r:id="rId1881"/>
    <hyperlink xmlns:r="http://schemas.openxmlformats.org/officeDocument/2006/relationships" ref="Q963" r:id="rId1882"/>
    <hyperlink xmlns:r="http://schemas.openxmlformats.org/officeDocument/2006/relationships" ref="R963" r:id="rId1883"/>
    <hyperlink xmlns:r="http://schemas.openxmlformats.org/officeDocument/2006/relationships" ref="Q964" r:id="rId1884"/>
    <hyperlink xmlns:r="http://schemas.openxmlformats.org/officeDocument/2006/relationships" ref="R964" r:id="rId1885"/>
    <hyperlink xmlns:r="http://schemas.openxmlformats.org/officeDocument/2006/relationships" ref="Q965" r:id="rId1886"/>
    <hyperlink xmlns:r="http://schemas.openxmlformats.org/officeDocument/2006/relationships" ref="R965" r:id="rId1887"/>
    <hyperlink xmlns:r="http://schemas.openxmlformats.org/officeDocument/2006/relationships" ref="Q966" r:id="rId1888"/>
    <hyperlink xmlns:r="http://schemas.openxmlformats.org/officeDocument/2006/relationships" ref="R966" r:id="rId1889"/>
    <hyperlink xmlns:r="http://schemas.openxmlformats.org/officeDocument/2006/relationships" ref="Q967" r:id="rId1890"/>
    <hyperlink xmlns:r="http://schemas.openxmlformats.org/officeDocument/2006/relationships" ref="R967" r:id="rId1891"/>
    <hyperlink xmlns:r="http://schemas.openxmlformats.org/officeDocument/2006/relationships" ref="Q968" r:id="rId1892"/>
    <hyperlink xmlns:r="http://schemas.openxmlformats.org/officeDocument/2006/relationships" ref="R968" r:id="rId1893"/>
    <hyperlink xmlns:r="http://schemas.openxmlformats.org/officeDocument/2006/relationships" ref="Q969" r:id="rId1894"/>
    <hyperlink xmlns:r="http://schemas.openxmlformats.org/officeDocument/2006/relationships" ref="R969" r:id="rId1895"/>
    <hyperlink xmlns:r="http://schemas.openxmlformats.org/officeDocument/2006/relationships" ref="Q970" r:id="rId1896"/>
    <hyperlink xmlns:r="http://schemas.openxmlformats.org/officeDocument/2006/relationships" ref="R970" r:id="rId1897"/>
    <hyperlink xmlns:r="http://schemas.openxmlformats.org/officeDocument/2006/relationships" ref="Q971" r:id="rId1898"/>
    <hyperlink xmlns:r="http://schemas.openxmlformats.org/officeDocument/2006/relationships" ref="R971" r:id="rId1899"/>
    <hyperlink xmlns:r="http://schemas.openxmlformats.org/officeDocument/2006/relationships" ref="Q972" r:id="rId1900"/>
    <hyperlink xmlns:r="http://schemas.openxmlformats.org/officeDocument/2006/relationships" ref="R972" r:id="rId1901"/>
    <hyperlink xmlns:r="http://schemas.openxmlformats.org/officeDocument/2006/relationships" ref="Q973" r:id="rId1902"/>
    <hyperlink xmlns:r="http://schemas.openxmlformats.org/officeDocument/2006/relationships" ref="R973" r:id="rId1903"/>
    <hyperlink xmlns:r="http://schemas.openxmlformats.org/officeDocument/2006/relationships" ref="Q974" r:id="rId1904"/>
    <hyperlink xmlns:r="http://schemas.openxmlformats.org/officeDocument/2006/relationships" ref="R974" r:id="rId1905"/>
    <hyperlink xmlns:r="http://schemas.openxmlformats.org/officeDocument/2006/relationships" ref="Q975" r:id="rId1906"/>
    <hyperlink xmlns:r="http://schemas.openxmlformats.org/officeDocument/2006/relationships" ref="R975" r:id="rId1907"/>
    <hyperlink xmlns:r="http://schemas.openxmlformats.org/officeDocument/2006/relationships" ref="Q976" r:id="rId1908"/>
    <hyperlink xmlns:r="http://schemas.openxmlformats.org/officeDocument/2006/relationships" ref="R976" r:id="rId1909"/>
    <hyperlink xmlns:r="http://schemas.openxmlformats.org/officeDocument/2006/relationships" ref="Q977" r:id="rId1910"/>
    <hyperlink xmlns:r="http://schemas.openxmlformats.org/officeDocument/2006/relationships" ref="R977" r:id="rId1911"/>
    <hyperlink xmlns:r="http://schemas.openxmlformats.org/officeDocument/2006/relationships" ref="Q978" r:id="rId1912"/>
    <hyperlink xmlns:r="http://schemas.openxmlformats.org/officeDocument/2006/relationships" ref="R978" r:id="rId1913"/>
    <hyperlink xmlns:r="http://schemas.openxmlformats.org/officeDocument/2006/relationships" ref="Q979" r:id="rId1914"/>
    <hyperlink xmlns:r="http://schemas.openxmlformats.org/officeDocument/2006/relationships" ref="R979" r:id="rId1915"/>
    <hyperlink xmlns:r="http://schemas.openxmlformats.org/officeDocument/2006/relationships" ref="Q980" r:id="rId1916"/>
    <hyperlink xmlns:r="http://schemas.openxmlformats.org/officeDocument/2006/relationships" ref="R980" r:id="rId1917"/>
    <hyperlink xmlns:r="http://schemas.openxmlformats.org/officeDocument/2006/relationships" ref="Q981" r:id="rId1918"/>
    <hyperlink xmlns:r="http://schemas.openxmlformats.org/officeDocument/2006/relationships" ref="R981" r:id="rId1919"/>
    <hyperlink xmlns:r="http://schemas.openxmlformats.org/officeDocument/2006/relationships" ref="Q982" r:id="rId1920"/>
    <hyperlink xmlns:r="http://schemas.openxmlformats.org/officeDocument/2006/relationships" ref="R982" r:id="rId1921"/>
    <hyperlink xmlns:r="http://schemas.openxmlformats.org/officeDocument/2006/relationships" ref="Q983" r:id="rId1922"/>
    <hyperlink xmlns:r="http://schemas.openxmlformats.org/officeDocument/2006/relationships" ref="R983" r:id="rId1923"/>
    <hyperlink xmlns:r="http://schemas.openxmlformats.org/officeDocument/2006/relationships" ref="Q984" r:id="rId1924"/>
    <hyperlink xmlns:r="http://schemas.openxmlformats.org/officeDocument/2006/relationships" ref="R984" r:id="rId1925"/>
    <hyperlink xmlns:r="http://schemas.openxmlformats.org/officeDocument/2006/relationships" ref="Q985" r:id="rId1926"/>
    <hyperlink xmlns:r="http://schemas.openxmlformats.org/officeDocument/2006/relationships" ref="R985" r:id="rId1927"/>
    <hyperlink xmlns:r="http://schemas.openxmlformats.org/officeDocument/2006/relationships" ref="Q986" r:id="rId1928"/>
    <hyperlink xmlns:r="http://schemas.openxmlformats.org/officeDocument/2006/relationships" ref="R986" r:id="rId1929"/>
    <hyperlink xmlns:r="http://schemas.openxmlformats.org/officeDocument/2006/relationships" ref="Q987" r:id="rId1930"/>
    <hyperlink xmlns:r="http://schemas.openxmlformats.org/officeDocument/2006/relationships" ref="R987" r:id="rId1931"/>
    <hyperlink xmlns:r="http://schemas.openxmlformats.org/officeDocument/2006/relationships" ref="Q988" r:id="rId1932"/>
    <hyperlink xmlns:r="http://schemas.openxmlformats.org/officeDocument/2006/relationships" ref="Q989" r:id="rId1933"/>
    <hyperlink xmlns:r="http://schemas.openxmlformats.org/officeDocument/2006/relationships" ref="R989" r:id="rId1934"/>
    <hyperlink xmlns:r="http://schemas.openxmlformats.org/officeDocument/2006/relationships" ref="Q990" r:id="rId1935"/>
    <hyperlink xmlns:r="http://schemas.openxmlformats.org/officeDocument/2006/relationships" ref="R990" r:id="rId1936"/>
    <hyperlink xmlns:r="http://schemas.openxmlformats.org/officeDocument/2006/relationships" ref="Q991" r:id="rId1937"/>
    <hyperlink xmlns:r="http://schemas.openxmlformats.org/officeDocument/2006/relationships" ref="R991" r:id="rId1938"/>
    <hyperlink xmlns:r="http://schemas.openxmlformats.org/officeDocument/2006/relationships" ref="Q992" r:id="rId1939"/>
    <hyperlink xmlns:r="http://schemas.openxmlformats.org/officeDocument/2006/relationships" ref="R992" r:id="rId1940"/>
    <hyperlink xmlns:r="http://schemas.openxmlformats.org/officeDocument/2006/relationships" ref="Q993" r:id="rId1941"/>
    <hyperlink xmlns:r="http://schemas.openxmlformats.org/officeDocument/2006/relationships" ref="R993" r:id="rId1942"/>
    <hyperlink xmlns:r="http://schemas.openxmlformats.org/officeDocument/2006/relationships" ref="Q994" r:id="rId1943"/>
    <hyperlink xmlns:r="http://schemas.openxmlformats.org/officeDocument/2006/relationships" ref="R994" r:id="rId1944"/>
    <hyperlink xmlns:r="http://schemas.openxmlformats.org/officeDocument/2006/relationships" ref="Q995" r:id="rId1945"/>
    <hyperlink xmlns:r="http://schemas.openxmlformats.org/officeDocument/2006/relationships" ref="R995" r:id="rId1946"/>
    <hyperlink xmlns:r="http://schemas.openxmlformats.org/officeDocument/2006/relationships" ref="Q996" r:id="rId1947"/>
    <hyperlink xmlns:r="http://schemas.openxmlformats.org/officeDocument/2006/relationships" ref="R996" r:id="rId1948"/>
    <hyperlink xmlns:r="http://schemas.openxmlformats.org/officeDocument/2006/relationships" ref="Q997" r:id="rId1949"/>
    <hyperlink xmlns:r="http://schemas.openxmlformats.org/officeDocument/2006/relationships" ref="Q998" r:id="rId1950"/>
    <hyperlink xmlns:r="http://schemas.openxmlformats.org/officeDocument/2006/relationships" ref="Q999" r:id="rId1951"/>
    <hyperlink xmlns:r="http://schemas.openxmlformats.org/officeDocument/2006/relationships" ref="R999" r:id="rId1952"/>
    <hyperlink xmlns:r="http://schemas.openxmlformats.org/officeDocument/2006/relationships" ref="Q1000" r:id="rId1953"/>
    <hyperlink xmlns:r="http://schemas.openxmlformats.org/officeDocument/2006/relationships" ref="R1000" r:id="rId1954"/>
    <hyperlink xmlns:r="http://schemas.openxmlformats.org/officeDocument/2006/relationships" ref="Q1001" r:id="rId1955"/>
    <hyperlink xmlns:r="http://schemas.openxmlformats.org/officeDocument/2006/relationships" ref="R1001" r:id="rId1956"/>
    <hyperlink xmlns:r="http://schemas.openxmlformats.org/officeDocument/2006/relationships" ref="Q1002" r:id="rId1957"/>
    <hyperlink xmlns:r="http://schemas.openxmlformats.org/officeDocument/2006/relationships" ref="R1002" r:id="rId1958"/>
    <hyperlink xmlns:r="http://schemas.openxmlformats.org/officeDocument/2006/relationships" ref="Q1003" r:id="rId1959"/>
    <hyperlink xmlns:r="http://schemas.openxmlformats.org/officeDocument/2006/relationships" ref="R1003" r:id="rId1960"/>
    <hyperlink xmlns:r="http://schemas.openxmlformats.org/officeDocument/2006/relationships" ref="Q1004" r:id="rId1961"/>
    <hyperlink xmlns:r="http://schemas.openxmlformats.org/officeDocument/2006/relationships" ref="R1004" r:id="rId1962"/>
    <hyperlink xmlns:r="http://schemas.openxmlformats.org/officeDocument/2006/relationships" ref="Q1005" r:id="rId1963"/>
    <hyperlink xmlns:r="http://schemas.openxmlformats.org/officeDocument/2006/relationships" ref="R1005" r:id="rId1964"/>
    <hyperlink xmlns:r="http://schemas.openxmlformats.org/officeDocument/2006/relationships" ref="Q1006" r:id="rId1965"/>
    <hyperlink xmlns:r="http://schemas.openxmlformats.org/officeDocument/2006/relationships" ref="R1006" r:id="rId1966"/>
    <hyperlink xmlns:r="http://schemas.openxmlformats.org/officeDocument/2006/relationships" ref="Q1007" r:id="rId1967"/>
    <hyperlink xmlns:r="http://schemas.openxmlformats.org/officeDocument/2006/relationships" ref="R1007" r:id="rId1968"/>
    <hyperlink xmlns:r="http://schemas.openxmlformats.org/officeDocument/2006/relationships" ref="Q1008" r:id="rId1969"/>
    <hyperlink xmlns:r="http://schemas.openxmlformats.org/officeDocument/2006/relationships" ref="R1008" r:id="rId1970"/>
    <hyperlink xmlns:r="http://schemas.openxmlformats.org/officeDocument/2006/relationships" ref="Q1009" r:id="rId1971"/>
    <hyperlink xmlns:r="http://schemas.openxmlformats.org/officeDocument/2006/relationships" ref="R1009" r:id="rId1972"/>
    <hyperlink xmlns:r="http://schemas.openxmlformats.org/officeDocument/2006/relationships" ref="Q1010" r:id="rId1973"/>
    <hyperlink xmlns:r="http://schemas.openxmlformats.org/officeDocument/2006/relationships" ref="R1010" r:id="rId1974"/>
    <hyperlink xmlns:r="http://schemas.openxmlformats.org/officeDocument/2006/relationships" ref="Q1011" r:id="rId1975"/>
    <hyperlink xmlns:r="http://schemas.openxmlformats.org/officeDocument/2006/relationships" ref="R1011" r:id="rId1976"/>
    <hyperlink xmlns:r="http://schemas.openxmlformats.org/officeDocument/2006/relationships" ref="Q1012" r:id="rId1977"/>
    <hyperlink xmlns:r="http://schemas.openxmlformats.org/officeDocument/2006/relationships" ref="R1012" r:id="rId1978"/>
    <hyperlink xmlns:r="http://schemas.openxmlformats.org/officeDocument/2006/relationships" ref="Q1013" r:id="rId1979"/>
    <hyperlink xmlns:r="http://schemas.openxmlformats.org/officeDocument/2006/relationships" ref="R1013" r:id="rId1980"/>
    <hyperlink xmlns:r="http://schemas.openxmlformats.org/officeDocument/2006/relationships" ref="Q1014" r:id="rId1981"/>
    <hyperlink xmlns:r="http://schemas.openxmlformats.org/officeDocument/2006/relationships" ref="R1014" r:id="rId1982"/>
    <hyperlink xmlns:r="http://schemas.openxmlformats.org/officeDocument/2006/relationships" ref="Q1015" r:id="rId1983"/>
    <hyperlink xmlns:r="http://schemas.openxmlformats.org/officeDocument/2006/relationships" ref="R1015" r:id="rId1984"/>
    <hyperlink xmlns:r="http://schemas.openxmlformats.org/officeDocument/2006/relationships" ref="Q1016" r:id="rId1985"/>
    <hyperlink xmlns:r="http://schemas.openxmlformats.org/officeDocument/2006/relationships" ref="R1016" r:id="rId1986"/>
    <hyperlink xmlns:r="http://schemas.openxmlformats.org/officeDocument/2006/relationships" ref="Q1017" r:id="rId1987"/>
    <hyperlink xmlns:r="http://schemas.openxmlformats.org/officeDocument/2006/relationships" ref="R1017" r:id="rId1988"/>
    <hyperlink xmlns:r="http://schemas.openxmlformats.org/officeDocument/2006/relationships" ref="Q1018" r:id="rId1989"/>
    <hyperlink xmlns:r="http://schemas.openxmlformats.org/officeDocument/2006/relationships" ref="R1018" r:id="rId1990"/>
    <hyperlink xmlns:r="http://schemas.openxmlformats.org/officeDocument/2006/relationships" ref="Q1019" r:id="rId1991"/>
    <hyperlink xmlns:r="http://schemas.openxmlformats.org/officeDocument/2006/relationships" ref="R1019" r:id="rId1992"/>
    <hyperlink xmlns:r="http://schemas.openxmlformats.org/officeDocument/2006/relationships" ref="Q1020" r:id="rId1993"/>
    <hyperlink xmlns:r="http://schemas.openxmlformats.org/officeDocument/2006/relationships" ref="R1020" r:id="rId1994"/>
    <hyperlink xmlns:r="http://schemas.openxmlformats.org/officeDocument/2006/relationships" ref="Q1021" r:id="rId1995"/>
    <hyperlink xmlns:r="http://schemas.openxmlformats.org/officeDocument/2006/relationships" ref="R1021" r:id="rId1996"/>
    <hyperlink xmlns:r="http://schemas.openxmlformats.org/officeDocument/2006/relationships" ref="Q1022" r:id="rId1997"/>
    <hyperlink xmlns:r="http://schemas.openxmlformats.org/officeDocument/2006/relationships" ref="Q1023" r:id="rId1998"/>
    <hyperlink xmlns:r="http://schemas.openxmlformats.org/officeDocument/2006/relationships" ref="R1023" r:id="rId1999"/>
    <hyperlink xmlns:r="http://schemas.openxmlformats.org/officeDocument/2006/relationships" ref="Q1024" r:id="rId2000"/>
    <hyperlink xmlns:r="http://schemas.openxmlformats.org/officeDocument/2006/relationships" ref="R1024" r:id="rId2001"/>
    <hyperlink xmlns:r="http://schemas.openxmlformats.org/officeDocument/2006/relationships" ref="Q1025" r:id="rId2002"/>
    <hyperlink xmlns:r="http://schemas.openxmlformats.org/officeDocument/2006/relationships" ref="R1025" r:id="rId2003"/>
    <hyperlink xmlns:r="http://schemas.openxmlformats.org/officeDocument/2006/relationships" ref="Q1026" r:id="rId2004"/>
    <hyperlink xmlns:r="http://schemas.openxmlformats.org/officeDocument/2006/relationships" ref="R1026" r:id="rId2005"/>
    <hyperlink xmlns:r="http://schemas.openxmlformats.org/officeDocument/2006/relationships" ref="Q1027" r:id="rId2006"/>
    <hyperlink xmlns:r="http://schemas.openxmlformats.org/officeDocument/2006/relationships" ref="R1027" r:id="rId2007"/>
    <hyperlink xmlns:r="http://schemas.openxmlformats.org/officeDocument/2006/relationships" ref="Q1028" r:id="rId2008"/>
    <hyperlink xmlns:r="http://schemas.openxmlformats.org/officeDocument/2006/relationships" ref="R1028" r:id="rId2009"/>
    <hyperlink xmlns:r="http://schemas.openxmlformats.org/officeDocument/2006/relationships" ref="Q1029" r:id="rId2010"/>
    <hyperlink xmlns:r="http://schemas.openxmlformats.org/officeDocument/2006/relationships" ref="R1029" r:id="rId2011"/>
    <hyperlink xmlns:r="http://schemas.openxmlformats.org/officeDocument/2006/relationships" ref="Q1030" r:id="rId2012"/>
    <hyperlink xmlns:r="http://schemas.openxmlformats.org/officeDocument/2006/relationships" ref="R1030" r:id="rId2013"/>
    <hyperlink xmlns:r="http://schemas.openxmlformats.org/officeDocument/2006/relationships" ref="Q1031" r:id="rId2014"/>
    <hyperlink xmlns:r="http://schemas.openxmlformats.org/officeDocument/2006/relationships" ref="R1031" r:id="rId2015"/>
    <hyperlink xmlns:r="http://schemas.openxmlformats.org/officeDocument/2006/relationships" ref="Q1032" r:id="rId2016"/>
    <hyperlink xmlns:r="http://schemas.openxmlformats.org/officeDocument/2006/relationships" ref="R1032" r:id="rId2017"/>
    <hyperlink xmlns:r="http://schemas.openxmlformats.org/officeDocument/2006/relationships" ref="Q1033" r:id="rId2018"/>
    <hyperlink xmlns:r="http://schemas.openxmlformats.org/officeDocument/2006/relationships" ref="R1033" r:id="rId2019"/>
    <hyperlink xmlns:r="http://schemas.openxmlformats.org/officeDocument/2006/relationships" ref="Q1034" r:id="rId2020"/>
    <hyperlink xmlns:r="http://schemas.openxmlformats.org/officeDocument/2006/relationships" ref="R1034" r:id="rId2021"/>
    <hyperlink xmlns:r="http://schemas.openxmlformats.org/officeDocument/2006/relationships" ref="Q1035" r:id="rId2022"/>
    <hyperlink xmlns:r="http://schemas.openxmlformats.org/officeDocument/2006/relationships" ref="R1035" r:id="rId2023"/>
    <hyperlink xmlns:r="http://schemas.openxmlformats.org/officeDocument/2006/relationships" ref="Q1036" r:id="rId2024"/>
    <hyperlink xmlns:r="http://schemas.openxmlformats.org/officeDocument/2006/relationships" ref="R1036" r:id="rId2025"/>
    <hyperlink xmlns:r="http://schemas.openxmlformats.org/officeDocument/2006/relationships" ref="Q1037" r:id="rId2026"/>
    <hyperlink xmlns:r="http://schemas.openxmlformats.org/officeDocument/2006/relationships" ref="R1037" r:id="rId2027"/>
    <hyperlink xmlns:r="http://schemas.openxmlformats.org/officeDocument/2006/relationships" ref="Q1038" r:id="rId2028"/>
    <hyperlink xmlns:r="http://schemas.openxmlformats.org/officeDocument/2006/relationships" ref="R1038" r:id="rId2029"/>
    <hyperlink xmlns:r="http://schemas.openxmlformats.org/officeDocument/2006/relationships" ref="Q1039" r:id="rId2030"/>
    <hyperlink xmlns:r="http://schemas.openxmlformats.org/officeDocument/2006/relationships" ref="R1039" r:id="rId2031"/>
    <hyperlink xmlns:r="http://schemas.openxmlformats.org/officeDocument/2006/relationships" ref="Q1040" r:id="rId2032"/>
    <hyperlink xmlns:r="http://schemas.openxmlformats.org/officeDocument/2006/relationships" ref="R1040" r:id="rId2033"/>
    <hyperlink xmlns:r="http://schemas.openxmlformats.org/officeDocument/2006/relationships" ref="Q1041" r:id="rId2034"/>
    <hyperlink xmlns:r="http://schemas.openxmlformats.org/officeDocument/2006/relationships" ref="R1041" r:id="rId2035"/>
    <hyperlink xmlns:r="http://schemas.openxmlformats.org/officeDocument/2006/relationships" ref="Q1042" r:id="rId2036"/>
    <hyperlink xmlns:r="http://schemas.openxmlformats.org/officeDocument/2006/relationships" ref="R1042" r:id="rId2037"/>
    <hyperlink xmlns:r="http://schemas.openxmlformats.org/officeDocument/2006/relationships" ref="Q1043" r:id="rId2038"/>
    <hyperlink xmlns:r="http://schemas.openxmlformats.org/officeDocument/2006/relationships" ref="R1043" r:id="rId2039"/>
    <hyperlink xmlns:r="http://schemas.openxmlformats.org/officeDocument/2006/relationships" ref="Q1044" r:id="rId2040"/>
    <hyperlink xmlns:r="http://schemas.openxmlformats.org/officeDocument/2006/relationships" ref="R1044" r:id="rId2041"/>
    <hyperlink xmlns:r="http://schemas.openxmlformats.org/officeDocument/2006/relationships" ref="Q1045" r:id="rId2042"/>
    <hyperlink xmlns:r="http://schemas.openxmlformats.org/officeDocument/2006/relationships" ref="R1045" r:id="rId2043"/>
    <hyperlink xmlns:r="http://schemas.openxmlformats.org/officeDocument/2006/relationships" ref="Q1046" r:id="rId2044"/>
    <hyperlink xmlns:r="http://schemas.openxmlformats.org/officeDocument/2006/relationships" ref="R1046" r:id="rId2045"/>
    <hyperlink xmlns:r="http://schemas.openxmlformats.org/officeDocument/2006/relationships" ref="Q1047" r:id="rId2046"/>
    <hyperlink xmlns:r="http://schemas.openxmlformats.org/officeDocument/2006/relationships" ref="R1047" r:id="rId2047"/>
    <hyperlink xmlns:r="http://schemas.openxmlformats.org/officeDocument/2006/relationships" ref="Q1048" r:id="rId2048"/>
    <hyperlink xmlns:r="http://schemas.openxmlformats.org/officeDocument/2006/relationships" ref="R1048" r:id="rId2049"/>
    <hyperlink xmlns:r="http://schemas.openxmlformats.org/officeDocument/2006/relationships" ref="Q1049" r:id="rId2050"/>
    <hyperlink xmlns:r="http://schemas.openxmlformats.org/officeDocument/2006/relationships" ref="R1049" r:id="rId2051"/>
    <hyperlink xmlns:r="http://schemas.openxmlformats.org/officeDocument/2006/relationships" ref="Q1050" r:id="rId2052"/>
    <hyperlink xmlns:r="http://schemas.openxmlformats.org/officeDocument/2006/relationships" ref="R1050" r:id="rId2053"/>
    <hyperlink xmlns:r="http://schemas.openxmlformats.org/officeDocument/2006/relationships" ref="Q1051" r:id="rId2054"/>
    <hyperlink xmlns:r="http://schemas.openxmlformats.org/officeDocument/2006/relationships" ref="R1051" r:id="rId2055"/>
    <hyperlink xmlns:r="http://schemas.openxmlformats.org/officeDocument/2006/relationships" ref="Q1052" r:id="rId2056"/>
    <hyperlink xmlns:r="http://schemas.openxmlformats.org/officeDocument/2006/relationships" ref="R1052" r:id="rId2057"/>
    <hyperlink xmlns:r="http://schemas.openxmlformats.org/officeDocument/2006/relationships" ref="Q1053" r:id="rId2058"/>
    <hyperlink xmlns:r="http://schemas.openxmlformats.org/officeDocument/2006/relationships" ref="R1053" r:id="rId2059"/>
    <hyperlink xmlns:r="http://schemas.openxmlformats.org/officeDocument/2006/relationships" ref="Q1054" r:id="rId2060"/>
    <hyperlink xmlns:r="http://schemas.openxmlformats.org/officeDocument/2006/relationships" ref="R1054" r:id="rId2061"/>
    <hyperlink xmlns:r="http://schemas.openxmlformats.org/officeDocument/2006/relationships" ref="Q1055" r:id="rId2062"/>
    <hyperlink xmlns:r="http://schemas.openxmlformats.org/officeDocument/2006/relationships" ref="R1055" r:id="rId2063"/>
    <hyperlink xmlns:r="http://schemas.openxmlformats.org/officeDocument/2006/relationships" ref="Q1056" r:id="rId2064"/>
    <hyperlink xmlns:r="http://schemas.openxmlformats.org/officeDocument/2006/relationships" ref="R1056" r:id="rId2065"/>
    <hyperlink xmlns:r="http://schemas.openxmlformats.org/officeDocument/2006/relationships" ref="Q1057" r:id="rId2066"/>
    <hyperlink xmlns:r="http://schemas.openxmlformats.org/officeDocument/2006/relationships" ref="R1057" r:id="rId2067"/>
    <hyperlink xmlns:r="http://schemas.openxmlformats.org/officeDocument/2006/relationships" ref="Q1058" r:id="rId2068"/>
    <hyperlink xmlns:r="http://schemas.openxmlformats.org/officeDocument/2006/relationships" ref="R1058" r:id="rId2069"/>
    <hyperlink xmlns:r="http://schemas.openxmlformats.org/officeDocument/2006/relationships" ref="Q1059" r:id="rId2070"/>
    <hyperlink xmlns:r="http://schemas.openxmlformats.org/officeDocument/2006/relationships" ref="R1059" r:id="rId2071"/>
    <hyperlink xmlns:r="http://schemas.openxmlformats.org/officeDocument/2006/relationships" ref="Q1060" r:id="rId2072"/>
    <hyperlink xmlns:r="http://schemas.openxmlformats.org/officeDocument/2006/relationships" ref="R1060" r:id="rId2073"/>
    <hyperlink xmlns:r="http://schemas.openxmlformats.org/officeDocument/2006/relationships" ref="Q1061" r:id="rId2074"/>
    <hyperlink xmlns:r="http://schemas.openxmlformats.org/officeDocument/2006/relationships" ref="R1061" r:id="rId2075"/>
    <hyperlink xmlns:r="http://schemas.openxmlformats.org/officeDocument/2006/relationships" ref="Q1062" r:id="rId2076"/>
    <hyperlink xmlns:r="http://schemas.openxmlformats.org/officeDocument/2006/relationships" ref="R1062" r:id="rId2077"/>
    <hyperlink xmlns:r="http://schemas.openxmlformats.org/officeDocument/2006/relationships" ref="Q1063" r:id="rId2078"/>
    <hyperlink xmlns:r="http://schemas.openxmlformats.org/officeDocument/2006/relationships" ref="R1063" r:id="rId2079"/>
    <hyperlink xmlns:r="http://schemas.openxmlformats.org/officeDocument/2006/relationships" ref="Q1064" r:id="rId2080"/>
    <hyperlink xmlns:r="http://schemas.openxmlformats.org/officeDocument/2006/relationships" ref="R1064" r:id="rId2081"/>
    <hyperlink xmlns:r="http://schemas.openxmlformats.org/officeDocument/2006/relationships" ref="Q1065" r:id="rId2082"/>
    <hyperlink xmlns:r="http://schemas.openxmlformats.org/officeDocument/2006/relationships" ref="R1065" r:id="rId2083"/>
    <hyperlink xmlns:r="http://schemas.openxmlformats.org/officeDocument/2006/relationships" ref="Q1066" r:id="rId2084"/>
    <hyperlink xmlns:r="http://schemas.openxmlformats.org/officeDocument/2006/relationships" ref="R1066" r:id="rId2085"/>
    <hyperlink xmlns:r="http://schemas.openxmlformats.org/officeDocument/2006/relationships" ref="Q1067" r:id="rId2086"/>
    <hyperlink xmlns:r="http://schemas.openxmlformats.org/officeDocument/2006/relationships" ref="R1067" r:id="rId2087"/>
    <hyperlink xmlns:r="http://schemas.openxmlformats.org/officeDocument/2006/relationships" ref="Q1068" r:id="rId2088"/>
    <hyperlink xmlns:r="http://schemas.openxmlformats.org/officeDocument/2006/relationships" ref="R1068" r:id="rId2089"/>
    <hyperlink xmlns:r="http://schemas.openxmlformats.org/officeDocument/2006/relationships" ref="Q1069" r:id="rId2090"/>
    <hyperlink xmlns:r="http://schemas.openxmlformats.org/officeDocument/2006/relationships" ref="R1069" r:id="rId2091"/>
    <hyperlink xmlns:r="http://schemas.openxmlformats.org/officeDocument/2006/relationships" ref="Q1070" r:id="rId2092"/>
    <hyperlink xmlns:r="http://schemas.openxmlformats.org/officeDocument/2006/relationships" ref="R1070" r:id="rId2093"/>
    <hyperlink xmlns:r="http://schemas.openxmlformats.org/officeDocument/2006/relationships" ref="Q1071" r:id="rId2094"/>
    <hyperlink xmlns:r="http://schemas.openxmlformats.org/officeDocument/2006/relationships" ref="R1071" r:id="rId2095"/>
    <hyperlink xmlns:r="http://schemas.openxmlformats.org/officeDocument/2006/relationships" ref="Q1072" r:id="rId2096"/>
    <hyperlink xmlns:r="http://schemas.openxmlformats.org/officeDocument/2006/relationships" ref="R1072" r:id="rId2097"/>
    <hyperlink xmlns:r="http://schemas.openxmlformats.org/officeDocument/2006/relationships" ref="Q1073" r:id="rId2098"/>
    <hyperlink xmlns:r="http://schemas.openxmlformats.org/officeDocument/2006/relationships" ref="R1073" r:id="rId2099"/>
    <hyperlink xmlns:r="http://schemas.openxmlformats.org/officeDocument/2006/relationships" ref="Q1074" r:id="rId2100"/>
    <hyperlink xmlns:r="http://schemas.openxmlformats.org/officeDocument/2006/relationships" ref="R1074" r:id="rId2101"/>
    <hyperlink xmlns:r="http://schemas.openxmlformats.org/officeDocument/2006/relationships" ref="Q1075" r:id="rId2102"/>
    <hyperlink xmlns:r="http://schemas.openxmlformats.org/officeDocument/2006/relationships" ref="R1075" r:id="rId2103"/>
    <hyperlink xmlns:r="http://schemas.openxmlformats.org/officeDocument/2006/relationships" ref="Q1076" r:id="rId2104"/>
    <hyperlink xmlns:r="http://schemas.openxmlformats.org/officeDocument/2006/relationships" ref="R1076" r:id="rId2105"/>
    <hyperlink xmlns:r="http://schemas.openxmlformats.org/officeDocument/2006/relationships" ref="Q1077" r:id="rId2106"/>
    <hyperlink xmlns:r="http://schemas.openxmlformats.org/officeDocument/2006/relationships" ref="R1077" r:id="rId2107"/>
    <hyperlink xmlns:r="http://schemas.openxmlformats.org/officeDocument/2006/relationships" ref="Q1078" r:id="rId2108"/>
    <hyperlink xmlns:r="http://schemas.openxmlformats.org/officeDocument/2006/relationships" ref="R1078" r:id="rId2109"/>
    <hyperlink xmlns:r="http://schemas.openxmlformats.org/officeDocument/2006/relationships" ref="Q1079" r:id="rId2110"/>
    <hyperlink xmlns:r="http://schemas.openxmlformats.org/officeDocument/2006/relationships" ref="R1079" r:id="rId2111"/>
    <hyperlink xmlns:r="http://schemas.openxmlformats.org/officeDocument/2006/relationships" ref="Q1080" r:id="rId2112"/>
    <hyperlink xmlns:r="http://schemas.openxmlformats.org/officeDocument/2006/relationships" ref="R1080" r:id="rId2113"/>
    <hyperlink xmlns:r="http://schemas.openxmlformats.org/officeDocument/2006/relationships" ref="Q1081" r:id="rId2114"/>
    <hyperlink xmlns:r="http://schemas.openxmlformats.org/officeDocument/2006/relationships" ref="R1081" r:id="rId2115"/>
    <hyperlink xmlns:r="http://schemas.openxmlformats.org/officeDocument/2006/relationships" ref="Q1082" r:id="rId2116"/>
    <hyperlink xmlns:r="http://schemas.openxmlformats.org/officeDocument/2006/relationships" ref="R1082" r:id="rId2117"/>
    <hyperlink xmlns:r="http://schemas.openxmlformats.org/officeDocument/2006/relationships" ref="Q1083" r:id="rId2118"/>
    <hyperlink xmlns:r="http://schemas.openxmlformats.org/officeDocument/2006/relationships" ref="R1083" r:id="rId2119"/>
    <hyperlink xmlns:r="http://schemas.openxmlformats.org/officeDocument/2006/relationships" ref="Q1084" r:id="rId2120"/>
    <hyperlink xmlns:r="http://schemas.openxmlformats.org/officeDocument/2006/relationships" ref="R1084" r:id="rId2121"/>
    <hyperlink xmlns:r="http://schemas.openxmlformats.org/officeDocument/2006/relationships" ref="Q1085" r:id="rId2122"/>
    <hyperlink xmlns:r="http://schemas.openxmlformats.org/officeDocument/2006/relationships" ref="R1085" r:id="rId2123"/>
    <hyperlink xmlns:r="http://schemas.openxmlformats.org/officeDocument/2006/relationships" ref="Q1086" r:id="rId2124"/>
    <hyperlink xmlns:r="http://schemas.openxmlformats.org/officeDocument/2006/relationships" ref="R1086" r:id="rId2125"/>
    <hyperlink xmlns:r="http://schemas.openxmlformats.org/officeDocument/2006/relationships" ref="Q1087" r:id="rId2126"/>
    <hyperlink xmlns:r="http://schemas.openxmlformats.org/officeDocument/2006/relationships" ref="R1087" r:id="rId2127"/>
    <hyperlink xmlns:r="http://schemas.openxmlformats.org/officeDocument/2006/relationships" ref="Q1088" r:id="rId2128"/>
    <hyperlink xmlns:r="http://schemas.openxmlformats.org/officeDocument/2006/relationships" ref="R1088" r:id="rId2129"/>
    <hyperlink xmlns:r="http://schemas.openxmlformats.org/officeDocument/2006/relationships" ref="Q1089" r:id="rId2130"/>
    <hyperlink xmlns:r="http://schemas.openxmlformats.org/officeDocument/2006/relationships" ref="R1089" r:id="rId2131"/>
    <hyperlink xmlns:r="http://schemas.openxmlformats.org/officeDocument/2006/relationships" ref="Q1090" r:id="rId2132"/>
    <hyperlink xmlns:r="http://schemas.openxmlformats.org/officeDocument/2006/relationships" ref="R1090" r:id="rId2133"/>
    <hyperlink xmlns:r="http://schemas.openxmlformats.org/officeDocument/2006/relationships" ref="Q1091" r:id="rId2134"/>
    <hyperlink xmlns:r="http://schemas.openxmlformats.org/officeDocument/2006/relationships" ref="R1091" r:id="rId2135"/>
    <hyperlink xmlns:r="http://schemas.openxmlformats.org/officeDocument/2006/relationships" ref="Q1092" r:id="rId2136"/>
    <hyperlink xmlns:r="http://schemas.openxmlformats.org/officeDocument/2006/relationships" ref="R1092" r:id="rId2137"/>
    <hyperlink xmlns:r="http://schemas.openxmlformats.org/officeDocument/2006/relationships" ref="Q1093" r:id="rId2138"/>
    <hyperlink xmlns:r="http://schemas.openxmlformats.org/officeDocument/2006/relationships" ref="R1093" r:id="rId2139"/>
    <hyperlink xmlns:r="http://schemas.openxmlformats.org/officeDocument/2006/relationships" ref="Q1094" r:id="rId2140"/>
    <hyperlink xmlns:r="http://schemas.openxmlformats.org/officeDocument/2006/relationships" ref="R1094" r:id="rId2141"/>
    <hyperlink xmlns:r="http://schemas.openxmlformats.org/officeDocument/2006/relationships" ref="Q1095" r:id="rId2142"/>
    <hyperlink xmlns:r="http://schemas.openxmlformats.org/officeDocument/2006/relationships" ref="R1095" r:id="rId2143"/>
    <hyperlink xmlns:r="http://schemas.openxmlformats.org/officeDocument/2006/relationships" ref="Q1096" r:id="rId2144"/>
    <hyperlink xmlns:r="http://schemas.openxmlformats.org/officeDocument/2006/relationships" ref="R1096" r:id="rId2145"/>
    <hyperlink xmlns:r="http://schemas.openxmlformats.org/officeDocument/2006/relationships" ref="Q1097" r:id="rId2146"/>
    <hyperlink xmlns:r="http://schemas.openxmlformats.org/officeDocument/2006/relationships" ref="R1097" r:id="rId2147"/>
    <hyperlink xmlns:r="http://schemas.openxmlformats.org/officeDocument/2006/relationships" ref="Q1098" r:id="rId2148"/>
    <hyperlink xmlns:r="http://schemas.openxmlformats.org/officeDocument/2006/relationships" ref="R1098" r:id="rId2149"/>
    <hyperlink xmlns:r="http://schemas.openxmlformats.org/officeDocument/2006/relationships" ref="Q1099" r:id="rId2150"/>
    <hyperlink xmlns:r="http://schemas.openxmlformats.org/officeDocument/2006/relationships" ref="R1099" r:id="rId2151"/>
    <hyperlink xmlns:r="http://schemas.openxmlformats.org/officeDocument/2006/relationships" ref="Q1100" r:id="rId2152"/>
    <hyperlink xmlns:r="http://schemas.openxmlformats.org/officeDocument/2006/relationships" ref="R1100" r:id="rId2153"/>
    <hyperlink xmlns:r="http://schemas.openxmlformats.org/officeDocument/2006/relationships" ref="Q1101" r:id="rId2154"/>
    <hyperlink xmlns:r="http://schemas.openxmlformats.org/officeDocument/2006/relationships" ref="R1101" r:id="rId2155"/>
    <hyperlink xmlns:r="http://schemas.openxmlformats.org/officeDocument/2006/relationships" ref="Q1102" r:id="rId2156"/>
    <hyperlink xmlns:r="http://schemas.openxmlformats.org/officeDocument/2006/relationships" ref="R1102" r:id="rId2157"/>
    <hyperlink xmlns:r="http://schemas.openxmlformats.org/officeDocument/2006/relationships" ref="Q1103" r:id="rId2158"/>
    <hyperlink xmlns:r="http://schemas.openxmlformats.org/officeDocument/2006/relationships" ref="R1103" r:id="rId2159"/>
    <hyperlink xmlns:r="http://schemas.openxmlformats.org/officeDocument/2006/relationships" ref="Q1104" r:id="rId2160"/>
    <hyperlink xmlns:r="http://schemas.openxmlformats.org/officeDocument/2006/relationships" ref="R1104" r:id="rId2161"/>
    <hyperlink xmlns:r="http://schemas.openxmlformats.org/officeDocument/2006/relationships" ref="Q1105" r:id="rId2162"/>
    <hyperlink xmlns:r="http://schemas.openxmlformats.org/officeDocument/2006/relationships" ref="R1105" r:id="rId2163"/>
    <hyperlink xmlns:r="http://schemas.openxmlformats.org/officeDocument/2006/relationships" ref="Q1106" r:id="rId2164"/>
    <hyperlink xmlns:r="http://schemas.openxmlformats.org/officeDocument/2006/relationships" ref="R1106" r:id="rId2165"/>
    <hyperlink xmlns:r="http://schemas.openxmlformats.org/officeDocument/2006/relationships" ref="Q1107" r:id="rId2166"/>
    <hyperlink xmlns:r="http://schemas.openxmlformats.org/officeDocument/2006/relationships" ref="R1107" r:id="rId2167"/>
    <hyperlink xmlns:r="http://schemas.openxmlformats.org/officeDocument/2006/relationships" ref="Q1108" r:id="rId2168"/>
    <hyperlink xmlns:r="http://schemas.openxmlformats.org/officeDocument/2006/relationships" ref="R1108" r:id="rId2169"/>
    <hyperlink xmlns:r="http://schemas.openxmlformats.org/officeDocument/2006/relationships" ref="Q1109" r:id="rId2170"/>
    <hyperlink xmlns:r="http://schemas.openxmlformats.org/officeDocument/2006/relationships" ref="R1109" r:id="rId2171"/>
    <hyperlink xmlns:r="http://schemas.openxmlformats.org/officeDocument/2006/relationships" ref="Q1110" r:id="rId2172"/>
    <hyperlink xmlns:r="http://schemas.openxmlformats.org/officeDocument/2006/relationships" ref="R1110" r:id="rId2173"/>
    <hyperlink xmlns:r="http://schemas.openxmlformats.org/officeDocument/2006/relationships" ref="Q1111" r:id="rId2174"/>
    <hyperlink xmlns:r="http://schemas.openxmlformats.org/officeDocument/2006/relationships" ref="R1111" r:id="rId2175"/>
    <hyperlink xmlns:r="http://schemas.openxmlformats.org/officeDocument/2006/relationships" ref="Q1112" r:id="rId2176"/>
    <hyperlink xmlns:r="http://schemas.openxmlformats.org/officeDocument/2006/relationships" ref="R1112" r:id="rId2177"/>
    <hyperlink xmlns:r="http://schemas.openxmlformats.org/officeDocument/2006/relationships" ref="Q1113" r:id="rId2178"/>
    <hyperlink xmlns:r="http://schemas.openxmlformats.org/officeDocument/2006/relationships" ref="R1113" r:id="rId2179"/>
    <hyperlink xmlns:r="http://schemas.openxmlformats.org/officeDocument/2006/relationships" ref="Q1114" r:id="rId2180"/>
    <hyperlink xmlns:r="http://schemas.openxmlformats.org/officeDocument/2006/relationships" ref="R1114" r:id="rId2181"/>
    <hyperlink xmlns:r="http://schemas.openxmlformats.org/officeDocument/2006/relationships" ref="Q1115" r:id="rId2182"/>
    <hyperlink xmlns:r="http://schemas.openxmlformats.org/officeDocument/2006/relationships" ref="R1115" r:id="rId2183"/>
    <hyperlink xmlns:r="http://schemas.openxmlformats.org/officeDocument/2006/relationships" ref="Q1116" r:id="rId2184"/>
    <hyperlink xmlns:r="http://schemas.openxmlformats.org/officeDocument/2006/relationships" ref="R1116" r:id="rId2185"/>
    <hyperlink xmlns:r="http://schemas.openxmlformats.org/officeDocument/2006/relationships" ref="Q1117" r:id="rId2186"/>
    <hyperlink xmlns:r="http://schemas.openxmlformats.org/officeDocument/2006/relationships" ref="R1117" r:id="rId2187"/>
    <hyperlink xmlns:r="http://schemas.openxmlformats.org/officeDocument/2006/relationships" ref="Q1118" r:id="rId2188"/>
    <hyperlink xmlns:r="http://schemas.openxmlformats.org/officeDocument/2006/relationships" ref="R1118" r:id="rId2189"/>
    <hyperlink xmlns:r="http://schemas.openxmlformats.org/officeDocument/2006/relationships" ref="Q1119" r:id="rId2190"/>
    <hyperlink xmlns:r="http://schemas.openxmlformats.org/officeDocument/2006/relationships" ref="R1119" r:id="rId2191"/>
    <hyperlink xmlns:r="http://schemas.openxmlformats.org/officeDocument/2006/relationships" ref="Q1120" r:id="rId2192"/>
    <hyperlink xmlns:r="http://schemas.openxmlformats.org/officeDocument/2006/relationships" ref="R1120" r:id="rId2193"/>
    <hyperlink xmlns:r="http://schemas.openxmlformats.org/officeDocument/2006/relationships" ref="Q1121" r:id="rId2194"/>
    <hyperlink xmlns:r="http://schemas.openxmlformats.org/officeDocument/2006/relationships" ref="R1121" r:id="rId2195"/>
    <hyperlink xmlns:r="http://schemas.openxmlformats.org/officeDocument/2006/relationships" ref="Q1122" r:id="rId2196"/>
    <hyperlink xmlns:r="http://schemas.openxmlformats.org/officeDocument/2006/relationships" ref="R1122" r:id="rId2197"/>
    <hyperlink xmlns:r="http://schemas.openxmlformats.org/officeDocument/2006/relationships" ref="Q1123" r:id="rId2198"/>
    <hyperlink xmlns:r="http://schemas.openxmlformats.org/officeDocument/2006/relationships" ref="R1123" r:id="rId2199"/>
    <hyperlink xmlns:r="http://schemas.openxmlformats.org/officeDocument/2006/relationships" ref="Q1124" r:id="rId2200"/>
    <hyperlink xmlns:r="http://schemas.openxmlformats.org/officeDocument/2006/relationships" ref="R1124" r:id="rId2201"/>
    <hyperlink xmlns:r="http://schemas.openxmlformats.org/officeDocument/2006/relationships" ref="Q1125" r:id="rId2202"/>
    <hyperlink xmlns:r="http://schemas.openxmlformats.org/officeDocument/2006/relationships" ref="R1125" r:id="rId2203"/>
    <hyperlink xmlns:r="http://schemas.openxmlformats.org/officeDocument/2006/relationships" ref="Q1126" r:id="rId2204"/>
    <hyperlink xmlns:r="http://schemas.openxmlformats.org/officeDocument/2006/relationships" ref="R1126" r:id="rId2205"/>
    <hyperlink xmlns:r="http://schemas.openxmlformats.org/officeDocument/2006/relationships" ref="Q1127" r:id="rId2206"/>
    <hyperlink xmlns:r="http://schemas.openxmlformats.org/officeDocument/2006/relationships" ref="R1127" r:id="rId2207"/>
    <hyperlink xmlns:r="http://schemas.openxmlformats.org/officeDocument/2006/relationships" ref="Q1128" r:id="rId2208"/>
    <hyperlink xmlns:r="http://schemas.openxmlformats.org/officeDocument/2006/relationships" ref="R1128" r:id="rId2209"/>
    <hyperlink xmlns:r="http://schemas.openxmlformats.org/officeDocument/2006/relationships" ref="Q1129" r:id="rId2210"/>
    <hyperlink xmlns:r="http://schemas.openxmlformats.org/officeDocument/2006/relationships" ref="R1129" r:id="rId2211"/>
    <hyperlink xmlns:r="http://schemas.openxmlformats.org/officeDocument/2006/relationships" ref="Q1130" r:id="rId2212"/>
    <hyperlink xmlns:r="http://schemas.openxmlformats.org/officeDocument/2006/relationships" ref="R1130" r:id="rId2213"/>
    <hyperlink xmlns:r="http://schemas.openxmlformats.org/officeDocument/2006/relationships" ref="Q1131" r:id="rId2214"/>
    <hyperlink xmlns:r="http://schemas.openxmlformats.org/officeDocument/2006/relationships" ref="R1131" r:id="rId2215"/>
    <hyperlink xmlns:r="http://schemas.openxmlformats.org/officeDocument/2006/relationships" ref="Q1132" r:id="rId2216"/>
    <hyperlink xmlns:r="http://schemas.openxmlformats.org/officeDocument/2006/relationships" ref="R1132" r:id="rId2217"/>
    <hyperlink xmlns:r="http://schemas.openxmlformats.org/officeDocument/2006/relationships" ref="Q1133" r:id="rId2218"/>
    <hyperlink xmlns:r="http://schemas.openxmlformats.org/officeDocument/2006/relationships" ref="R1133" r:id="rId2219"/>
    <hyperlink xmlns:r="http://schemas.openxmlformats.org/officeDocument/2006/relationships" ref="Q1134" r:id="rId2220"/>
    <hyperlink xmlns:r="http://schemas.openxmlformats.org/officeDocument/2006/relationships" ref="R1134" r:id="rId2221"/>
    <hyperlink xmlns:r="http://schemas.openxmlformats.org/officeDocument/2006/relationships" ref="Q1135" r:id="rId2222"/>
    <hyperlink xmlns:r="http://schemas.openxmlformats.org/officeDocument/2006/relationships" ref="R1135" r:id="rId2223"/>
    <hyperlink xmlns:r="http://schemas.openxmlformats.org/officeDocument/2006/relationships" ref="Q1136" r:id="rId2224"/>
    <hyperlink xmlns:r="http://schemas.openxmlformats.org/officeDocument/2006/relationships" ref="R1136" r:id="rId2225"/>
    <hyperlink xmlns:r="http://schemas.openxmlformats.org/officeDocument/2006/relationships" ref="Q1137" r:id="rId2226"/>
    <hyperlink xmlns:r="http://schemas.openxmlformats.org/officeDocument/2006/relationships" ref="R1137" r:id="rId2227"/>
    <hyperlink xmlns:r="http://schemas.openxmlformats.org/officeDocument/2006/relationships" ref="Q1138" r:id="rId2228"/>
    <hyperlink xmlns:r="http://schemas.openxmlformats.org/officeDocument/2006/relationships" ref="R1138" r:id="rId2229"/>
    <hyperlink xmlns:r="http://schemas.openxmlformats.org/officeDocument/2006/relationships" ref="Q1139" r:id="rId2230"/>
    <hyperlink xmlns:r="http://schemas.openxmlformats.org/officeDocument/2006/relationships" ref="R1139" r:id="rId2231"/>
    <hyperlink xmlns:r="http://schemas.openxmlformats.org/officeDocument/2006/relationships" ref="Q1140" r:id="rId2232"/>
    <hyperlink xmlns:r="http://schemas.openxmlformats.org/officeDocument/2006/relationships" ref="R1140" r:id="rId2233"/>
    <hyperlink xmlns:r="http://schemas.openxmlformats.org/officeDocument/2006/relationships" ref="Q1141" r:id="rId2234"/>
    <hyperlink xmlns:r="http://schemas.openxmlformats.org/officeDocument/2006/relationships" ref="R1141" r:id="rId2235"/>
    <hyperlink xmlns:r="http://schemas.openxmlformats.org/officeDocument/2006/relationships" ref="Q1142" r:id="rId2236"/>
    <hyperlink xmlns:r="http://schemas.openxmlformats.org/officeDocument/2006/relationships" ref="R1142" r:id="rId2237"/>
    <hyperlink xmlns:r="http://schemas.openxmlformats.org/officeDocument/2006/relationships" ref="Q1143" r:id="rId2238"/>
    <hyperlink xmlns:r="http://schemas.openxmlformats.org/officeDocument/2006/relationships" ref="R1143" r:id="rId2239"/>
    <hyperlink xmlns:r="http://schemas.openxmlformats.org/officeDocument/2006/relationships" ref="Q1144" r:id="rId2240"/>
    <hyperlink xmlns:r="http://schemas.openxmlformats.org/officeDocument/2006/relationships" ref="R1144" r:id="rId2241"/>
    <hyperlink xmlns:r="http://schemas.openxmlformats.org/officeDocument/2006/relationships" ref="Q1145" r:id="rId2242"/>
    <hyperlink xmlns:r="http://schemas.openxmlformats.org/officeDocument/2006/relationships" ref="R1145" r:id="rId2243"/>
    <hyperlink xmlns:r="http://schemas.openxmlformats.org/officeDocument/2006/relationships" ref="Q1146" r:id="rId2244"/>
    <hyperlink xmlns:r="http://schemas.openxmlformats.org/officeDocument/2006/relationships" ref="R1146" r:id="rId2245"/>
    <hyperlink xmlns:r="http://schemas.openxmlformats.org/officeDocument/2006/relationships" ref="Q1147" r:id="rId2246"/>
    <hyperlink xmlns:r="http://schemas.openxmlformats.org/officeDocument/2006/relationships" ref="R1147" r:id="rId2247"/>
    <hyperlink xmlns:r="http://schemas.openxmlformats.org/officeDocument/2006/relationships" ref="Q1148" r:id="rId2248"/>
    <hyperlink xmlns:r="http://schemas.openxmlformats.org/officeDocument/2006/relationships" ref="R1148" r:id="rId2249"/>
    <hyperlink xmlns:r="http://schemas.openxmlformats.org/officeDocument/2006/relationships" ref="Q1149" r:id="rId2250"/>
    <hyperlink xmlns:r="http://schemas.openxmlformats.org/officeDocument/2006/relationships" ref="R1149" r:id="rId2251"/>
    <hyperlink xmlns:r="http://schemas.openxmlformats.org/officeDocument/2006/relationships" ref="Q1150" r:id="rId2252"/>
    <hyperlink xmlns:r="http://schemas.openxmlformats.org/officeDocument/2006/relationships" ref="R1150" r:id="rId2253"/>
    <hyperlink xmlns:r="http://schemas.openxmlformats.org/officeDocument/2006/relationships" ref="Q1151" r:id="rId2254"/>
    <hyperlink xmlns:r="http://schemas.openxmlformats.org/officeDocument/2006/relationships" ref="R1151" r:id="rId2255"/>
    <hyperlink xmlns:r="http://schemas.openxmlformats.org/officeDocument/2006/relationships" ref="Q1152" r:id="rId2256"/>
    <hyperlink xmlns:r="http://schemas.openxmlformats.org/officeDocument/2006/relationships" ref="R1152" r:id="rId2257"/>
    <hyperlink xmlns:r="http://schemas.openxmlformats.org/officeDocument/2006/relationships" ref="Q1153" r:id="rId2258"/>
    <hyperlink xmlns:r="http://schemas.openxmlformats.org/officeDocument/2006/relationships" ref="R1153" r:id="rId2259"/>
    <hyperlink xmlns:r="http://schemas.openxmlformats.org/officeDocument/2006/relationships" ref="Q1154" r:id="rId2260"/>
    <hyperlink xmlns:r="http://schemas.openxmlformats.org/officeDocument/2006/relationships" ref="R1154" r:id="rId2261"/>
    <hyperlink xmlns:r="http://schemas.openxmlformats.org/officeDocument/2006/relationships" ref="Q1155" r:id="rId2262"/>
    <hyperlink xmlns:r="http://schemas.openxmlformats.org/officeDocument/2006/relationships" ref="R1155" r:id="rId2263"/>
    <hyperlink xmlns:r="http://schemas.openxmlformats.org/officeDocument/2006/relationships" ref="Q1156" r:id="rId2264"/>
    <hyperlink xmlns:r="http://schemas.openxmlformats.org/officeDocument/2006/relationships" ref="R1156" r:id="rId2265"/>
    <hyperlink xmlns:r="http://schemas.openxmlformats.org/officeDocument/2006/relationships" ref="Q1157" r:id="rId2266"/>
    <hyperlink xmlns:r="http://schemas.openxmlformats.org/officeDocument/2006/relationships" ref="R1157" r:id="rId2267"/>
    <hyperlink xmlns:r="http://schemas.openxmlformats.org/officeDocument/2006/relationships" ref="Q1158" r:id="rId2268"/>
    <hyperlink xmlns:r="http://schemas.openxmlformats.org/officeDocument/2006/relationships" ref="R1158" r:id="rId2269"/>
    <hyperlink xmlns:r="http://schemas.openxmlformats.org/officeDocument/2006/relationships" ref="Q1159" r:id="rId2270"/>
    <hyperlink xmlns:r="http://schemas.openxmlformats.org/officeDocument/2006/relationships" ref="R1159" r:id="rId2271"/>
    <hyperlink xmlns:r="http://schemas.openxmlformats.org/officeDocument/2006/relationships" ref="Q1160" r:id="rId2272"/>
    <hyperlink xmlns:r="http://schemas.openxmlformats.org/officeDocument/2006/relationships" ref="R1160" r:id="rId2273"/>
    <hyperlink xmlns:r="http://schemas.openxmlformats.org/officeDocument/2006/relationships" ref="Q1161" r:id="rId2274"/>
    <hyperlink xmlns:r="http://schemas.openxmlformats.org/officeDocument/2006/relationships" ref="R1161" r:id="rId2275"/>
    <hyperlink xmlns:r="http://schemas.openxmlformats.org/officeDocument/2006/relationships" ref="Q1162" r:id="rId2276"/>
    <hyperlink xmlns:r="http://schemas.openxmlformats.org/officeDocument/2006/relationships" ref="R1162" r:id="rId2277"/>
    <hyperlink xmlns:r="http://schemas.openxmlformats.org/officeDocument/2006/relationships" ref="Q1163" r:id="rId2278"/>
    <hyperlink xmlns:r="http://schemas.openxmlformats.org/officeDocument/2006/relationships" ref="R1163" r:id="rId2279"/>
    <hyperlink xmlns:r="http://schemas.openxmlformats.org/officeDocument/2006/relationships" ref="Q1164" r:id="rId2280"/>
    <hyperlink xmlns:r="http://schemas.openxmlformats.org/officeDocument/2006/relationships" ref="R1164" r:id="rId2281"/>
    <hyperlink xmlns:r="http://schemas.openxmlformats.org/officeDocument/2006/relationships" ref="Q1165" r:id="rId2282"/>
    <hyperlink xmlns:r="http://schemas.openxmlformats.org/officeDocument/2006/relationships" ref="R1165" r:id="rId2283"/>
    <hyperlink xmlns:r="http://schemas.openxmlformats.org/officeDocument/2006/relationships" ref="Q1166" r:id="rId2284"/>
    <hyperlink xmlns:r="http://schemas.openxmlformats.org/officeDocument/2006/relationships" ref="Q1167" r:id="rId2285"/>
    <hyperlink xmlns:r="http://schemas.openxmlformats.org/officeDocument/2006/relationships" ref="R1167" r:id="rId2286"/>
    <hyperlink xmlns:r="http://schemas.openxmlformats.org/officeDocument/2006/relationships" ref="Q1168" r:id="rId2287"/>
    <hyperlink xmlns:r="http://schemas.openxmlformats.org/officeDocument/2006/relationships" ref="R1168" r:id="rId2288"/>
    <hyperlink xmlns:r="http://schemas.openxmlformats.org/officeDocument/2006/relationships" ref="Q1169" r:id="rId2289"/>
    <hyperlink xmlns:r="http://schemas.openxmlformats.org/officeDocument/2006/relationships" ref="R1169" r:id="rId2290"/>
    <hyperlink xmlns:r="http://schemas.openxmlformats.org/officeDocument/2006/relationships" ref="Q1170" r:id="rId2291"/>
    <hyperlink xmlns:r="http://schemas.openxmlformats.org/officeDocument/2006/relationships" ref="R1170" r:id="rId2292"/>
    <hyperlink xmlns:r="http://schemas.openxmlformats.org/officeDocument/2006/relationships" ref="Q1171" r:id="rId2293"/>
    <hyperlink xmlns:r="http://schemas.openxmlformats.org/officeDocument/2006/relationships" ref="R1171" r:id="rId2294"/>
    <hyperlink xmlns:r="http://schemas.openxmlformats.org/officeDocument/2006/relationships" ref="Q1172" r:id="rId2295"/>
    <hyperlink xmlns:r="http://schemas.openxmlformats.org/officeDocument/2006/relationships" ref="R1172" r:id="rId2296"/>
    <hyperlink xmlns:r="http://schemas.openxmlformats.org/officeDocument/2006/relationships" ref="Q1173" r:id="rId2297"/>
    <hyperlink xmlns:r="http://schemas.openxmlformats.org/officeDocument/2006/relationships" ref="R1173" r:id="rId2298"/>
    <hyperlink xmlns:r="http://schemas.openxmlformats.org/officeDocument/2006/relationships" ref="Q1174" r:id="rId2299"/>
    <hyperlink xmlns:r="http://schemas.openxmlformats.org/officeDocument/2006/relationships" ref="R1174" r:id="rId2300"/>
    <hyperlink xmlns:r="http://schemas.openxmlformats.org/officeDocument/2006/relationships" ref="Q1175" r:id="rId2301"/>
    <hyperlink xmlns:r="http://schemas.openxmlformats.org/officeDocument/2006/relationships" ref="R1175" r:id="rId2302"/>
    <hyperlink xmlns:r="http://schemas.openxmlformats.org/officeDocument/2006/relationships" ref="Q1176" r:id="rId2303"/>
    <hyperlink xmlns:r="http://schemas.openxmlformats.org/officeDocument/2006/relationships" ref="R1176" r:id="rId2304"/>
    <hyperlink xmlns:r="http://schemas.openxmlformats.org/officeDocument/2006/relationships" ref="Q1177" r:id="rId2305"/>
    <hyperlink xmlns:r="http://schemas.openxmlformats.org/officeDocument/2006/relationships" ref="R1177" r:id="rId2306"/>
    <hyperlink xmlns:r="http://schemas.openxmlformats.org/officeDocument/2006/relationships" ref="Q1178" r:id="rId2307"/>
    <hyperlink xmlns:r="http://schemas.openxmlformats.org/officeDocument/2006/relationships" ref="R1178" r:id="rId2308"/>
    <hyperlink xmlns:r="http://schemas.openxmlformats.org/officeDocument/2006/relationships" ref="Q1179" r:id="rId2309"/>
    <hyperlink xmlns:r="http://schemas.openxmlformats.org/officeDocument/2006/relationships" ref="R1179" r:id="rId2310"/>
    <hyperlink xmlns:r="http://schemas.openxmlformats.org/officeDocument/2006/relationships" ref="Q1180" r:id="rId2311"/>
    <hyperlink xmlns:r="http://schemas.openxmlformats.org/officeDocument/2006/relationships" ref="R1180" r:id="rId2312"/>
    <hyperlink xmlns:r="http://schemas.openxmlformats.org/officeDocument/2006/relationships" ref="Q1181" r:id="rId2313"/>
    <hyperlink xmlns:r="http://schemas.openxmlformats.org/officeDocument/2006/relationships" ref="R1181" r:id="rId2314"/>
    <hyperlink xmlns:r="http://schemas.openxmlformats.org/officeDocument/2006/relationships" ref="Q1182" r:id="rId2315"/>
    <hyperlink xmlns:r="http://schemas.openxmlformats.org/officeDocument/2006/relationships" ref="R1182" r:id="rId2316"/>
    <hyperlink xmlns:r="http://schemas.openxmlformats.org/officeDocument/2006/relationships" ref="Q1183" r:id="rId2317"/>
    <hyperlink xmlns:r="http://schemas.openxmlformats.org/officeDocument/2006/relationships" ref="R1183" r:id="rId2318"/>
    <hyperlink xmlns:r="http://schemas.openxmlformats.org/officeDocument/2006/relationships" ref="Q1184" r:id="rId2319"/>
    <hyperlink xmlns:r="http://schemas.openxmlformats.org/officeDocument/2006/relationships" ref="R1184" r:id="rId2320"/>
    <hyperlink xmlns:r="http://schemas.openxmlformats.org/officeDocument/2006/relationships" ref="Q1185" r:id="rId2321"/>
    <hyperlink xmlns:r="http://schemas.openxmlformats.org/officeDocument/2006/relationships" ref="R1185" r:id="rId2322"/>
    <hyperlink xmlns:r="http://schemas.openxmlformats.org/officeDocument/2006/relationships" ref="Q1186" r:id="rId2323"/>
    <hyperlink xmlns:r="http://schemas.openxmlformats.org/officeDocument/2006/relationships" ref="R1186" r:id="rId2324"/>
    <hyperlink xmlns:r="http://schemas.openxmlformats.org/officeDocument/2006/relationships" ref="Q1187" r:id="rId2325"/>
    <hyperlink xmlns:r="http://schemas.openxmlformats.org/officeDocument/2006/relationships" ref="R1187" r:id="rId2326"/>
    <hyperlink xmlns:r="http://schemas.openxmlformats.org/officeDocument/2006/relationships" ref="Q1188" r:id="rId2327"/>
    <hyperlink xmlns:r="http://schemas.openxmlformats.org/officeDocument/2006/relationships" ref="R1188" r:id="rId2328"/>
    <hyperlink xmlns:r="http://schemas.openxmlformats.org/officeDocument/2006/relationships" ref="Q1189" r:id="rId2329"/>
    <hyperlink xmlns:r="http://schemas.openxmlformats.org/officeDocument/2006/relationships" ref="R1189" r:id="rId2330"/>
    <hyperlink xmlns:r="http://schemas.openxmlformats.org/officeDocument/2006/relationships" ref="Q1190" r:id="rId2331"/>
    <hyperlink xmlns:r="http://schemas.openxmlformats.org/officeDocument/2006/relationships" ref="R1190" r:id="rId2332"/>
    <hyperlink xmlns:r="http://schemas.openxmlformats.org/officeDocument/2006/relationships" ref="Q1191" r:id="rId2333"/>
    <hyperlink xmlns:r="http://schemas.openxmlformats.org/officeDocument/2006/relationships" ref="R1191" r:id="rId2334"/>
    <hyperlink xmlns:r="http://schemas.openxmlformats.org/officeDocument/2006/relationships" ref="Q1192" r:id="rId2335"/>
    <hyperlink xmlns:r="http://schemas.openxmlformats.org/officeDocument/2006/relationships" ref="R1192" r:id="rId2336"/>
    <hyperlink xmlns:r="http://schemas.openxmlformats.org/officeDocument/2006/relationships" ref="Q1193" r:id="rId2337"/>
    <hyperlink xmlns:r="http://schemas.openxmlformats.org/officeDocument/2006/relationships" ref="R1193" r:id="rId2338"/>
    <hyperlink xmlns:r="http://schemas.openxmlformats.org/officeDocument/2006/relationships" ref="Q1194" r:id="rId2339"/>
    <hyperlink xmlns:r="http://schemas.openxmlformats.org/officeDocument/2006/relationships" ref="R1194" r:id="rId2340"/>
    <hyperlink xmlns:r="http://schemas.openxmlformats.org/officeDocument/2006/relationships" ref="Q1195" r:id="rId2341"/>
    <hyperlink xmlns:r="http://schemas.openxmlformats.org/officeDocument/2006/relationships" ref="R1195" r:id="rId2342"/>
    <hyperlink xmlns:r="http://schemas.openxmlformats.org/officeDocument/2006/relationships" ref="Q1196" r:id="rId2343"/>
    <hyperlink xmlns:r="http://schemas.openxmlformats.org/officeDocument/2006/relationships" ref="R1196" r:id="rId2344"/>
    <hyperlink xmlns:r="http://schemas.openxmlformats.org/officeDocument/2006/relationships" ref="Q1197" r:id="rId2345"/>
    <hyperlink xmlns:r="http://schemas.openxmlformats.org/officeDocument/2006/relationships" ref="Q1198" r:id="rId2346"/>
    <hyperlink xmlns:r="http://schemas.openxmlformats.org/officeDocument/2006/relationships" ref="R1198" r:id="rId2347"/>
    <hyperlink xmlns:r="http://schemas.openxmlformats.org/officeDocument/2006/relationships" ref="Q1199" r:id="rId2348"/>
    <hyperlink xmlns:r="http://schemas.openxmlformats.org/officeDocument/2006/relationships" ref="R1199" r:id="rId2349"/>
    <hyperlink xmlns:r="http://schemas.openxmlformats.org/officeDocument/2006/relationships" ref="Q1200" r:id="rId2350"/>
    <hyperlink xmlns:r="http://schemas.openxmlformats.org/officeDocument/2006/relationships" ref="R1200" r:id="rId2351"/>
    <hyperlink xmlns:r="http://schemas.openxmlformats.org/officeDocument/2006/relationships" ref="Q1201" r:id="rId2352"/>
    <hyperlink xmlns:r="http://schemas.openxmlformats.org/officeDocument/2006/relationships" ref="Q1202" r:id="rId2353"/>
    <hyperlink xmlns:r="http://schemas.openxmlformats.org/officeDocument/2006/relationships" ref="R1202" r:id="rId2354"/>
    <hyperlink xmlns:r="http://schemas.openxmlformats.org/officeDocument/2006/relationships" ref="Q1203" r:id="rId2355"/>
    <hyperlink xmlns:r="http://schemas.openxmlformats.org/officeDocument/2006/relationships" ref="R1203" r:id="rId2356"/>
    <hyperlink xmlns:r="http://schemas.openxmlformats.org/officeDocument/2006/relationships" ref="Q1204" r:id="rId2357"/>
    <hyperlink xmlns:r="http://schemas.openxmlformats.org/officeDocument/2006/relationships" ref="R1204" r:id="rId2358"/>
    <hyperlink xmlns:r="http://schemas.openxmlformats.org/officeDocument/2006/relationships" ref="Q1205" r:id="rId2359"/>
    <hyperlink xmlns:r="http://schemas.openxmlformats.org/officeDocument/2006/relationships" ref="R1205" r:id="rId2360"/>
    <hyperlink xmlns:r="http://schemas.openxmlformats.org/officeDocument/2006/relationships" ref="Q1206" r:id="rId2361"/>
    <hyperlink xmlns:r="http://schemas.openxmlformats.org/officeDocument/2006/relationships" ref="R1206" r:id="rId2362"/>
    <hyperlink xmlns:r="http://schemas.openxmlformats.org/officeDocument/2006/relationships" ref="Q1207" r:id="rId2363"/>
    <hyperlink xmlns:r="http://schemas.openxmlformats.org/officeDocument/2006/relationships" ref="R1207" r:id="rId2364"/>
    <hyperlink xmlns:r="http://schemas.openxmlformats.org/officeDocument/2006/relationships" ref="Q1208" r:id="rId2365"/>
    <hyperlink xmlns:r="http://schemas.openxmlformats.org/officeDocument/2006/relationships" ref="R1208" r:id="rId2366"/>
    <hyperlink xmlns:r="http://schemas.openxmlformats.org/officeDocument/2006/relationships" ref="Q1209" r:id="rId2367"/>
    <hyperlink xmlns:r="http://schemas.openxmlformats.org/officeDocument/2006/relationships" ref="R1209" r:id="rId2368"/>
    <hyperlink xmlns:r="http://schemas.openxmlformats.org/officeDocument/2006/relationships" ref="Q1210" r:id="rId2369"/>
    <hyperlink xmlns:r="http://schemas.openxmlformats.org/officeDocument/2006/relationships" ref="R1210" r:id="rId2370"/>
    <hyperlink xmlns:r="http://schemas.openxmlformats.org/officeDocument/2006/relationships" ref="Q1211" r:id="rId2371"/>
    <hyperlink xmlns:r="http://schemas.openxmlformats.org/officeDocument/2006/relationships" ref="R1211" r:id="rId2372"/>
    <hyperlink xmlns:r="http://schemas.openxmlformats.org/officeDocument/2006/relationships" ref="Q1212" r:id="rId2373"/>
    <hyperlink xmlns:r="http://schemas.openxmlformats.org/officeDocument/2006/relationships" ref="R1212" r:id="rId2374"/>
    <hyperlink xmlns:r="http://schemas.openxmlformats.org/officeDocument/2006/relationships" ref="Q1213" r:id="rId2375"/>
    <hyperlink xmlns:r="http://schemas.openxmlformats.org/officeDocument/2006/relationships" ref="R1213" r:id="rId2376"/>
    <hyperlink xmlns:r="http://schemas.openxmlformats.org/officeDocument/2006/relationships" ref="Q1214" r:id="rId2377"/>
    <hyperlink xmlns:r="http://schemas.openxmlformats.org/officeDocument/2006/relationships" ref="R1214" r:id="rId2378"/>
    <hyperlink xmlns:r="http://schemas.openxmlformats.org/officeDocument/2006/relationships" ref="Q1215" r:id="rId2379"/>
    <hyperlink xmlns:r="http://schemas.openxmlformats.org/officeDocument/2006/relationships" ref="R1215" r:id="rId2380"/>
    <hyperlink xmlns:r="http://schemas.openxmlformats.org/officeDocument/2006/relationships" ref="Q1216" r:id="rId2381"/>
    <hyperlink xmlns:r="http://schemas.openxmlformats.org/officeDocument/2006/relationships" ref="R1216" r:id="rId2382"/>
    <hyperlink xmlns:r="http://schemas.openxmlformats.org/officeDocument/2006/relationships" ref="Q1217" r:id="rId2383"/>
    <hyperlink xmlns:r="http://schemas.openxmlformats.org/officeDocument/2006/relationships" ref="R1217" r:id="rId2384"/>
    <hyperlink xmlns:r="http://schemas.openxmlformats.org/officeDocument/2006/relationships" ref="Q1218" r:id="rId2385"/>
    <hyperlink xmlns:r="http://schemas.openxmlformats.org/officeDocument/2006/relationships" ref="R1218" r:id="rId2386"/>
    <hyperlink xmlns:r="http://schemas.openxmlformats.org/officeDocument/2006/relationships" ref="Q1219" r:id="rId2387"/>
    <hyperlink xmlns:r="http://schemas.openxmlformats.org/officeDocument/2006/relationships" ref="R1219" r:id="rId2388"/>
    <hyperlink xmlns:r="http://schemas.openxmlformats.org/officeDocument/2006/relationships" ref="Q1220" r:id="rId2389"/>
    <hyperlink xmlns:r="http://schemas.openxmlformats.org/officeDocument/2006/relationships" ref="R1220" r:id="rId2390"/>
    <hyperlink xmlns:r="http://schemas.openxmlformats.org/officeDocument/2006/relationships" ref="Q1221" r:id="rId2391"/>
    <hyperlink xmlns:r="http://schemas.openxmlformats.org/officeDocument/2006/relationships" ref="R1221" r:id="rId2392"/>
    <hyperlink xmlns:r="http://schemas.openxmlformats.org/officeDocument/2006/relationships" ref="Q1222" r:id="rId2393"/>
    <hyperlink xmlns:r="http://schemas.openxmlformats.org/officeDocument/2006/relationships" ref="R1222" r:id="rId2394"/>
    <hyperlink xmlns:r="http://schemas.openxmlformats.org/officeDocument/2006/relationships" ref="Q1223" r:id="rId2395"/>
    <hyperlink xmlns:r="http://schemas.openxmlformats.org/officeDocument/2006/relationships" ref="R1223" r:id="rId2396"/>
    <hyperlink xmlns:r="http://schemas.openxmlformats.org/officeDocument/2006/relationships" ref="Q1224" r:id="rId2397"/>
    <hyperlink xmlns:r="http://schemas.openxmlformats.org/officeDocument/2006/relationships" ref="R1224" r:id="rId2398"/>
    <hyperlink xmlns:r="http://schemas.openxmlformats.org/officeDocument/2006/relationships" ref="Q1225" r:id="rId2399"/>
    <hyperlink xmlns:r="http://schemas.openxmlformats.org/officeDocument/2006/relationships" ref="R1225" r:id="rId2400"/>
    <hyperlink xmlns:r="http://schemas.openxmlformats.org/officeDocument/2006/relationships" ref="Q1226" r:id="rId2401"/>
    <hyperlink xmlns:r="http://schemas.openxmlformats.org/officeDocument/2006/relationships" ref="R1226" r:id="rId2402"/>
    <hyperlink xmlns:r="http://schemas.openxmlformats.org/officeDocument/2006/relationships" ref="Q1227" r:id="rId2403"/>
    <hyperlink xmlns:r="http://schemas.openxmlformats.org/officeDocument/2006/relationships" ref="R1227" r:id="rId2404"/>
    <hyperlink xmlns:r="http://schemas.openxmlformats.org/officeDocument/2006/relationships" ref="Q1228" r:id="rId2405"/>
    <hyperlink xmlns:r="http://schemas.openxmlformats.org/officeDocument/2006/relationships" ref="R1228" r:id="rId2406"/>
    <hyperlink xmlns:r="http://schemas.openxmlformats.org/officeDocument/2006/relationships" ref="Q1229" r:id="rId2407"/>
    <hyperlink xmlns:r="http://schemas.openxmlformats.org/officeDocument/2006/relationships" ref="R1229" r:id="rId2408"/>
    <hyperlink xmlns:r="http://schemas.openxmlformats.org/officeDocument/2006/relationships" ref="Q1230" r:id="rId2409"/>
    <hyperlink xmlns:r="http://schemas.openxmlformats.org/officeDocument/2006/relationships" ref="R1230" r:id="rId2410"/>
    <hyperlink xmlns:r="http://schemas.openxmlformats.org/officeDocument/2006/relationships" ref="Q1231" r:id="rId2411"/>
    <hyperlink xmlns:r="http://schemas.openxmlformats.org/officeDocument/2006/relationships" ref="R1231" r:id="rId2412"/>
    <hyperlink xmlns:r="http://schemas.openxmlformats.org/officeDocument/2006/relationships" ref="Q1232" r:id="rId2413"/>
    <hyperlink xmlns:r="http://schemas.openxmlformats.org/officeDocument/2006/relationships" ref="R1232" r:id="rId2414"/>
    <hyperlink xmlns:r="http://schemas.openxmlformats.org/officeDocument/2006/relationships" ref="Q1233" r:id="rId2415"/>
    <hyperlink xmlns:r="http://schemas.openxmlformats.org/officeDocument/2006/relationships" ref="R1233" r:id="rId2416"/>
    <hyperlink xmlns:r="http://schemas.openxmlformats.org/officeDocument/2006/relationships" ref="Q1234" r:id="rId2417"/>
    <hyperlink xmlns:r="http://schemas.openxmlformats.org/officeDocument/2006/relationships" ref="R1234" r:id="rId2418"/>
    <hyperlink xmlns:r="http://schemas.openxmlformats.org/officeDocument/2006/relationships" ref="Q1235" r:id="rId2419"/>
    <hyperlink xmlns:r="http://schemas.openxmlformats.org/officeDocument/2006/relationships" ref="R1235" r:id="rId2420"/>
    <hyperlink xmlns:r="http://schemas.openxmlformats.org/officeDocument/2006/relationships" ref="Q1236" r:id="rId2421"/>
    <hyperlink xmlns:r="http://schemas.openxmlformats.org/officeDocument/2006/relationships" ref="R1236" r:id="rId2422"/>
    <hyperlink xmlns:r="http://schemas.openxmlformats.org/officeDocument/2006/relationships" ref="Q1237" r:id="rId2423"/>
    <hyperlink xmlns:r="http://schemas.openxmlformats.org/officeDocument/2006/relationships" ref="R1237" r:id="rId2424"/>
    <hyperlink xmlns:r="http://schemas.openxmlformats.org/officeDocument/2006/relationships" ref="Q1238" r:id="rId2425"/>
    <hyperlink xmlns:r="http://schemas.openxmlformats.org/officeDocument/2006/relationships" ref="R1238" r:id="rId2426"/>
    <hyperlink xmlns:r="http://schemas.openxmlformats.org/officeDocument/2006/relationships" ref="Q1239" r:id="rId2427"/>
    <hyperlink xmlns:r="http://schemas.openxmlformats.org/officeDocument/2006/relationships" ref="R1239" r:id="rId2428"/>
    <hyperlink xmlns:r="http://schemas.openxmlformats.org/officeDocument/2006/relationships" ref="Q1240" r:id="rId2429"/>
    <hyperlink xmlns:r="http://schemas.openxmlformats.org/officeDocument/2006/relationships" ref="R1240" r:id="rId2430"/>
    <hyperlink xmlns:r="http://schemas.openxmlformats.org/officeDocument/2006/relationships" ref="Q1241" r:id="rId2431"/>
    <hyperlink xmlns:r="http://schemas.openxmlformats.org/officeDocument/2006/relationships" ref="R1241" r:id="rId2432"/>
    <hyperlink xmlns:r="http://schemas.openxmlformats.org/officeDocument/2006/relationships" ref="Q1242" r:id="rId2433"/>
    <hyperlink xmlns:r="http://schemas.openxmlformats.org/officeDocument/2006/relationships" ref="R1242" r:id="rId2434"/>
    <hyperlink xmlns:r="http://schemas.openxmlformats.org/officeDocument/2006/relationships" ref="Q1243" r:id="rId2435"/>
    <hyperlink xmlns:r="http://schemas.openxmlformats.org/officeDocument/2006/relationships" ref="R1243" r:id="rId2436"/>
    <hyperlink xmlns:r="http://schemas.openxmlformats.org/officeDocument/2006/relationships" ref="Q1244" r:id="rId2437"/>
    <hyperlink xmlns:r="http://schemas.openxmlformats.org/officeDocument/2006/relationships" ref="R1244" r:id="rId2438"/>
    <hyperlink xmlns:r="http://schemas.openxmlformats.org/officeDocument/2006/relationships" ref="Q1245" r:id="rId2439"/>
    <hyperlink xmlns:r="http://schemas.openxmlformats.org/officeDocument/2006/relationships" ref="R1245" r:id="rId2440"/>
    <hyperlink xmlns:r="http://schemas.openxmlformats.org/officeDocument/2006/relationships" ref="Q1246" r:id="rId2441"/>
    <hyperlink xmlns:r="http://schemas.openxmlformats.org/officeDocument/2006/relationships" ref="R1246" r:id="rId2442"/>
    <hyperlink xmlns:r="http://schemas.openxmlformats.org/officeDocument/2006/relationships" ref="Q1247" r:id="rId2443"/>
    <hyperlink xmlns:r="http://schemas.openxmlformats.org/officeDocument/2006/relationships" ref="R1247" r:id="rId2444"/>
    <hyperlink xmlns:r="http://schemas.openxmlformats.org/officeDocument/2006/relationships" ref="Q1248" r:id="rId2445"/>
    <hyperlink xmlns:r="http://schemas.openxmlformats.org/officeDocument/2006/relationships" ref="R1248" r:id="rId2446"/>
    <hyperlink xmlns:r="http://schemas.openxmlformats.org/officeDocument/2006/relationships" ref="Q1249" r:id="rId2447"/>
    <hyperlink xmlns:r="http://schemas.openxmlformats.org/officeDocument/2006/relationships" ref="R1249" r:id="rId2448"/>
    <hyperlink xmlns:r="http://schemas.openxmlformats.org/officeDocument/2006/relationships" ref="Q1250" r:id="rId2449"/>
    <hyperlink xmlns:r="http://schemas.openxmlformats.org/officeDocument/2006/relationships" ref="R1250" r:id="rId2450"/>
    <hyperlink xmlns:r="http://schemas.openxmlformats.org/officeDocument/2006/relationships" ref="Q1251" r:id="rId2451"/>
    <hyperlink xmlns:r="http://schemas.openxmlformats.org/officeDocument/2006/relationships" ref="R1251" r:id="rId2452"/>
    <hyperlink xmlns:r="http://schemas.openxmlformats.org/officeDocument/2006/relationships" ref="Q1252" r:id="rId2453"/>
    <hyperlink xmlns:r="http://schemas.openxmlformats.org/officeDocument/2006/relationships" ref="R1252" r:id="rId2454"/>
    <hyperlink xmlns:r="http://schemas.openxmlformats.org/officeDocument/2006/relationships" ref="Q1253" r:id="rId2455"/>
    <hyperlink xmlns:r="http://schemas.openxmlformats.org/officeDocument/2006/relationships" ref="R1253" r:id="rId2456"/>
    <hyperlink xmlns:r="http://schemas.openxmlformats.org/officeDocument/2006/relationships" ref="Q1254" r:id="rId2457"/>
    <hyperlink xmlns:r="http://schemas.openxmlformats.org/officeDocument/2006/relationships" ref="R1254" r:id="rId2458"/>
    <hyperlink xmlns:r="http://schemas.openxmlformats.org/officeDocument/2006/relationships" ref="Q1255" r:id="rId2459"/>
    <hyperlink xmlns:r="http://schemas.openxmlformats.org/officeDocument/2006/relationships" ref="R1255" r:id="rId2460"/>
    <hyperlink xmlns:r="http://schemas.openxmlformats.org/officeDocument/2006/relationships" ref="Q1256" r:id="rId2461"/>
    <hyperlink xmlns:r="http://schemas.openxmlformats.org/officeDocument/2006/relationships" ref="R1256" r:id="rId2462"/>
    <hyperlink xmlns:r="http://schemas.openxmlformats.org/officeDocument/2006/relationships" ref="Q1257" r:id="rId2463"/>
    <hyperlink xmlns:r="http://schemas.openxmlformats.org/officeDocument/2006/relationships" ref="R1257" r:id="rId2464"/>
    <hyperlink xmlns:r="http://schemas.openxmlformats.org/officeDocument/2006/relationships" ref="Q1258" r:id="rId2465"/>
    <hyperlink xmlns:r="http://schemas.openxmlformats.org/officeDocument/2006/relationships" ref="R1258" r:id="rId2466"/>
    <hyperlink xmlns:r="http://schemas.openxmlformats.org/officeDocument/2006/relationships" ref="Q1259" r:id="rId2467"/>
    <hyperlink xmlns:r="http://schemas.openxmlformats.org/officeDocument/2006/relationships" ref="R1259" r:id="rId2468"/>
    <hyperlink xmlns:r="http://schemas.openxmlformats.org/officeDocument/2006/relationships" ref="Q1260" r:id="rId2469"/>
    <hyperlink xmlns:r="http://schemas.openxmlformats.org/officeDocument/2006/relationships" ref="R1260" r:id="rId2470"/>
    <hyperlink xmlns:r="http://schemas.openxmlformats.org/officeDocument/2006/relationships" ref="Q1261" r:id="rId2471"/>
    <hyperlink xmlns:r="http://schemas.openxmlformats.org/officeDocument/2006/relationships" ref="R1261" r:id="rId2472"/>
    <hyperlink xmlns:r="http://schemas.openxmlformats.org/officeDocument/2006/relationships" ref="Q1262" r:id="rId2473"/>
    <hyperlink xmlns:r="http://schemas.openxmlformats.org/officeDocument/2006/relationships" ref="R1262" r:id="rId2474"/>
    <hyperlink xmlns:r="http://schemas.openxmlformats.org/officeDocument/2006/relationships" ref="Q1263" r:id="rId2475"/>
    <hyperlink xmlns:r="http://schemas.openxmlformats.org/officeDocument/2006/relationships" ref="R1263" r:id="rId2476"/>
    <hyperlink xmlns:r="http://schemas.openxmlformats.org/officeDocument/2006/relationships" ref="Q1264" r:id="rId2477"/>
    <hyperlink xmlns:r="http://schemas.openxmlformats.org/officeDocument/2006/relationships" ref="R1264" r:id="rId2478"/>
    <hyperlink xmlns:r="http://schemas.openxmlformats.org/officeDocument/2006/relationships" ref="Q1265" r:id="rId2479"/>
    <hyperlink xmlns:r="http://schemas.openxmlformats.org/officeDocument/2006/relationships" ref="Q1266" r:id="rId2480"/>
    <hyperlink xmlns:r="http://schemas.openxmlformats.org/officeDocument/2006/relationships" ref="R1266" r:id="rId2481"/>
    <hyperlink xmlns:r="http://schemas.openxmlformats.org/officeDocument/2006/relationships" ref="Q1267" r:id="rId2482"/>
    <hyperlink xmlns:r="http://schemas.openxmlformats.org/officeDocument/2006/relationships" ref="R1267" r:id="rId2483"/>
    <hyperlink xmlns:r="http://schemas.openxmlformats.org/officeDocument/2006/relationships" ref="Q1268" r:id="rId2484"/>
    <hyperlink xmlns:r="http://schemas.openxmlformats.org/officeDocument/2006/relationships" ref="R1268" r:id="rId2485"/>
    <hyperlink xmlns:r="http://schemas.openxmlformats.org/officeDocument/2006/relationships" ref="Q1269" r:id="rId2486"/>
    <hyperlink xmlns:r="http://schemas.openxmlformats.org/officeDocument/2006/relationships" ref="R1269" r:id="rId2487"/>
    <hyperlink xmlns:r="http://schemas.openxmlformats.org/officeDocument/2006/relationships" ref="Q1270" r:id="rId2488"/>
    <hyperlink xmlns:r="http://schemas.openxmlformats.org/officeDocument/2006/relationships" ref="R1270" r:id="rId2489"/>
    <hyperlink xmlns:r="http://schemas.openxmlformats.org/officeDocument/2006/relationships" ref="Q1271" r:id="rId2490"/>
    <hyperlink xmlns:r="http://schemas.openxmlformats.org/officeDocument/2006/relationships" ref="R1271" r:id="rId2491"/>
    <hyperlink xmlns:r="http://schemas.openxmlformats.org/officeDocument/2006/relationships" ref="Q1272" r:id="rId2492"/>
    <hyperlink xmlns:r="http://schemas.openxmlformats.org/officeDocument/2006/relationships" ref="R1272" r:id="rId2493"/>
    <hyperlink xmlns:r="http://schemas.openxmlformats.org/officeDocument/2006/relationships" ref="Q1273" r:id="rId2494"/>
    <hyperlink xmlns:r="http://schemas.openxmlformats.org/officeDocument/2006/relationships" ref="R1273" r:id="rId2495"/>
    <hyperlink xmlns:r="http://schemas.openxmlformats.org/officeDocument/2006/relationships" ref="Q1274" r:id="rId2496"/>
    <hyperlink xmlns:r="http://schemas.openxmlformats.org/officeDocument/2006/relationships" ref="R1274" r:id="rId2497"/>
    <hyperlink xmlns:r="http://schemas.openxmlformats.org/officeDocument/2006/relationships" ref="Q1275" r:id="rId2498"/>
    <hyperlink xmlns:r="http://schemas.openxmlformats.org/officeDocument/2006/relationships" ref="R1275" r:id="rId2499"/>
    <hyperlink xmlns:r="http://schemas.openxmlformats.org/officeDocument/2006/relationships" ref="Q1276" r:id="rId2500"/>
    <hyperlink xmlns:r="http://schemas.openxmlformats.org/officeDocument/2006/relationships" ref="R1276" r:id="rId2501"/>
    <hyperlink xmlns:r="http://schemas.openxmlformats.org/officeDocument/2006/relationships" ref="Q1277" r:id="rId2502"/>
    <hyperlink xmlns:r="http://schemas.openxmlformats.org/officeDocument/2006/relationships" ref="R1277" r:id="rId2503"/>
    <hyperlink xmlns:r="http://schemas.openxmlformats.org/officeDocument/2006/relationships" ref="Q1278" r:id="rId2504"/>
    <hyperlink xmlns:r="http://schemas.openxmlformats.org/officeDocument/2006/relationships" ref="R1278" r:id="rId2505"/>
    <hyperlink xmlns:r="http://schemas.openxmlformats.org/officeDocument/2006/relationships" ref="Q1279" r:id="rId2506"/>
    <hyperlink xmlns:r="http://schemas.openxmlformats.org/officeDocument/2006/relationships" ref="R1279" r:id="rId2507"/>
    <hyperlink xmlns:r="http://schemas.openxmlformats.org/officeDocument/2006/relationships" ref="Q1280" r:id="rId2508"/>
    <hyperlink xmlns:r="http://schemas.openxmlformats.org/officeDocument/2006/relationships" ref="R1280" r:id="rId2509"/>
    <hyperlink xmlns:r="http://schemas.openxmlformats.org/officeDocument/2006/relationships" ref="Q1281" r:id="rId2510"/>
    <hyperlink xmlns:r="http://schemas.openxmlformats.org/officeDocument/2006/relationships" ref="R1281" r:id="rId2511"/>
    <hyperlink xmlns:r="http://schemas.openxmlformats.org/officeDocument/2006/relationships" ref="Q1282" r:id="rId2512"/>
    <hyperlink xmlns:r="http://schemas.openxmlformats.org/officeDocument/2006/relationships" ref="R1282" r:id="rId2513"/>
    <hyperlink xmlns:r="http://schemas.openxmlformats.org/officeDocument/2006/relationships" ref="Q1283" r:id="rId2514"/>
    <hyperlink xmlns:r="http://schemas.openxmlformats.org/officeDocument/2006/relationships" ref="R1283" r:id="rId2515"/>
    <hyperlink xmlns:r="http://schemas.openxmlformats.org/officeDocument/2006/relationships" ref="Q1284" r:id="rId2516"/>
    <hyperlink xmlns:r="http://schemas.openxmlformats.org/officeDocument/2006/relationships" ref="R1284" r:id="rId2517"/>
    <hyperlink xmlns:r="http://schemas.openxmlformats.org/officeDocument/2006/relationships" ref="Q1285" r:id="rId2518"/>
    <hyperlink xmlns:r="http://schemas.openxmlformats.org/officeDocument/2006/relationships" ref="R1285" r:id="rId2519"/>
    <hyperlink xmlns:r="http://schemas.openxmlformats.org/officeDocument/2006/relationships" ref="Q1286" r:id="rId2520"/>
    <hyperlink xmlns:r="http://schemas.openxmlformats.org/officeDocument/2006/relationships" ref="R1286" r:id="rId2521"/>
    <hyperlink xmlns:r="http://schemas.openxmlformats.org/officeDocument/2006/relationships" ref="Q1287" r:id="rId2522"/>
    <hyperlink xmlns:r="http://schemas.openxmlformats.org/officeDocument/2006/relationships" ref="R1287" r:id="rId2523"/>
    <hyperlink xmlns:r="http://schemas.openxmlformats.org/officeDocument/2006/relationships" ref="Q1288" r:id="rId2524"/>
    <hyperlink xmlns:r="http://schemas.openxmlformats.org/officeDocument/2006/relationships" ref="R1288" r:id="rId2525"/>
    <hyperlink xmlns:r="http://schemas.openxmlformats.org/officeDocument/2006/relationships" ref="Q1289" r:id="rId2526"/>
    <hyperlink xmlns:r="http://schemas.openxmlformats.org/officeDocument/2006/relationships" ref="Q1290" r:id="rId2527"/>
    <hyperlink xmlns:r="http://schemas.openxmlformats.org/officeDocument/2006/relationships" ref="R1290" r:id="rId2528"/>
    <hyperlink xmlns:r="http://schemas.openxmlformats.org/officeDocument/2006/relationships" ref="Q1291" r:id="rId2529"/>
    <hyperlink xmlns:r="http://schemas.openxmlformats.org/officeDocument/2006/relationships" ref="R1291" r:id="rId2530"/>
    <hyperlink xmlns:r="http://schemas.openxmlformats.org/officeDocument/2006/relationships" ref="Q1292" r:id="rId2531"/>
    <hyperlink xmlns:r="http://schemas.openxmlformats.org/officeDocument/2006/relationships" ref="R1292" r:id="rId2532"/>
    <hyperlink xmlns:r="http://schemas.openxmlformats.org/officeDocument/2006/relationships" ref="Q1293" r:id="rId2533"/>
    <hyperlink xmlns:r="http://schemas.openxmlformats.org/officeDocument/2006/relationships" ref="R1293" r:id="rId2534"/>
    <hyperlink xmlns:r="http://schemas.openxmlformats.org/officeDocument/2006/relationships" ref="Q1294" r:id="rId2535"/>
    <hyperlink xmlns:r="http://schemas.openxmlformats.org/officeDocument/2006/relationships" ref="R1294" r:id="rId2536"/>
    <hyperlink xmlns:r="http://schemas.openxmlformats.org/officeDocument/2006/relationships" ref="Q1295" r:id="rId2537"/>
    <hyperlink xmlns:r="http://schemas.openxmlformats.org/officeDocument/2006/relationships" ref="R1295" r:id="rId2538"/>
    <hyperlink xmlns:r="http://schemas.openxmlformats.org/officeDocument/2006/relationships" ref="Q1296" r:id="rId2539"/>
    <hyperlink xmlns:r="http://schemas.openxmlformats.org/officeDocument/2006/relationships" ref="R1296" r:id="rId2540"/>
    <hyperlink xmlns:r="http://schemas.openxmlformats.org/officeDocument/2006/relationships" ref="Q1297" r:id="rId2541"/>
    <hyperlink xmlns:r="http://schemas.openxmlformats.org/officeDocument/2006/relationships" ref="R1297" r:id="rId2542"/>
    <hyperlink xmlns:r="http://schemas.openxmlformats.org/officeDocument/2006/relationships" ref="Q1298" r:id="rId2543"/>
    <hyperlink xmlns:r="http://schemas.openxmlformats.org/officeDocument/2006/relationships" ref="R1298" r:id="rId2544"/>
    <hyperlink xmlns:r="http://schemas.openxmlformats.org/officeDocument/2006/relationships" ref="Q1299" r:id="rId2545"/>
    <hyperlink xmlns:r="http://schemas.openxmlformats.org/officeDocument/2006/relationships" ref="R1299" r:id="rId2546"/>
    <hyperlink xmlns:r="http://schemas.openxmlformats.org/officeDocument/2006/relationships" ref="Q1300" r:id="rId2547"/>
    <hyperlink xmlns:r="http://schemas.openxmlformats.org/officeDocument/2006/relationships" ref="R1300" r:id="rId2548"/>
    <hyperlink xmlns:r="http://schemas.openxmlformats.org/officeDocument/2006/relationships" ref="Q1301" r:id="rId2549"/>
    <hyperlink xmlns:r="http://schemas.openxmlformats.org/officeDocument/2006/relationships" ref="Q1302" r:id="rId2550"/>
    <hyperlink xmlns:r="http://schemas.openxmlformats.org/officeDocument/2006/relationships" ref="R1302" r:id="rId2551"/>
    <hyperlink xmlns:r="http://schemas.openxmlformats.org/officeDocument/2006/relationships" ref="Q1303" r:id="rId2552"/>
    <hyperlink xmlns:r="http://schemas.openxmlformats.org/officeDocument/2006/relationships" ref="R1303" r:id="rId2553"/>
    <hyperlink xmlns:r="http://schemas.openxmlformats.org/officeDocument/2006/relationships" ref="Q1304" r:id="rId2554"/>
    <hyperlink xmlns:r="http://schemas.openxmlformats.org/officeDocument/2006/relationships" ref="R1304" r:id="rId2555"/>
    <hyperlink xmlns:r="http://schemas.openxmlformats.org/officeDocument/2006/relationships" ref="Q1305" r:id="rId2556"/>
    <hyperlink xmlns:r="http://schemas.openxmlformats.org/officeDocument/2006/relationships" ref="R1305" r:id="rId2557"/>
    <hyperlink xmlns:r="http://schemas.openxmlformats.org/officeDocument/2006/relationships" ref="Q1306" r:id="rId2558"/>
    <hyperlink xmlns:r="http://schemas.openxmlformats.org/officeDocument/2006/relationships" ref="R1306" r:id="rId2559"/>
    <hyperlink xmlns:r="http://schemas.openxmlformats.org/officeDocument/2006/relationships" ref="Q1307" r:id="rId2560"/>
    <hyperlink xmlns:r="http://schemas.openxmlformats.org/officeDocument/2006/relationships" ref="R1307" r:id="rId2561"/>
    <hyperlink xmlns:r="http://schemas.openxmlformats.org/officeDocument/2006/relationships" ref="Q1308" r:id="rId2562"/>
    <hyperlink xmlns:r="http://schemas.openxmlformats.org/officeDocument/2006/relationships" ref="R1308" r:id="rId2563"/>
    <hyperlink xmlns:r="http://schemas.openxmlformats.org/officeDocument/2006/relationships" ref="Q1309" r:id="rId2564"/>
    <hyperlink xmlns:r="http://schemas.openxmlformats.org/officeDocument/2006/relationships" ref="R1309" r:id="rId2565"/>
    <hyperlink xmlns:r="http://schemas.openxmlformats.org/officeDocument/2006/relationships" ref="Q1310" r:id="rId2566"/>
    <hyperlink xmlns:r="http://schemas.openxmlformats.org/officeDocument/2006/relationships" ref="R1310" r:id="rId2567"/>
    <hyperlink xmlns:r="http://schemas.openxmlformats.org/officeDocument/2006/relationships" ref="Q1311" r:id="rId2568"/>
    <hyperlink xmlns:r="http://schemas.openxmlformats.org/officeDocument/2006/relationships" ref="R1311" r:id="rId2569"/>
    <hyperlink xmlns:r="http://schemas.openxmlformats.org/officeDocument/2006/relationships" ref="Q1312" r:id="rId2570"/>
    <hyperlink xmlns:r="http://schemas.openxmlformats.org/officeDocument/2006/relationships" ref="R1312" r:id="rId2571"/>
    <hyperlink xmlns:r="http://schemas.openxmlformats.org/officeDocument/2006/relationships" ref="Q1313" r:id="rId2572"/>
    <hyperlink xmlns:r="http://schemas.openxmlformats.org/officeDocument/2006/relationships" ref="R1313" r:id="rId2573"/>
    <hyperlink xmlns:r="http://schemas.openxmlformats.org/officeDocument/2006/relationships" ref="Q1314" r:id="rId2574"/>
    <hyperlink xmlns:r="http://schemas.openxmlformats.org/officeDocument/2006/relationships" ref="R1314" r:id="rId2575"/>
    <hyperlink xmlns:r="http://schemas.openxmlformats.org/officeDocument/2006/relationships" ref="Q1315" r:id="rId2576"/>
    <hyperlink xmlns:r="http://schemas.openxmlformats.org/officeDocument/2006/relationships" ref="R1315" r:id="rId2577"/>
    <hyperlink xmlns:r="http://schemas.openxmlformats.org/officeDocument/2006/relationships" ref="Q1316" r:id="rId2578"/>
    <hyperlink xmlns:r="http://schemas.openxmlformats.org/officeDocument/2006/relationships" ref="R1316" r:id="rId2579"/>
    <hyperlink xmlns:r="http://schemas.openxmlformats.org/officeDocument/2006/relationships" ref="Q1317" r:id="rId2580"/>
    <hyperlink xmlns:r="http://schemas.openxmlformats.org/officeDocument/2006/relationships" ref="R1317" r:id="rId2581"/>
    <hyperlink xmlns:r="http://schemas.openxmlformats.org/officeDocument/2006/relationships" ref="Q1318" r:id="rId2582"/>
    <hyperlink xmlns:r="http://schemas.openxmlformats.org/officeDocument/2006/relationships" ref="R1318" r:id="rId2583"/>
    <hyperlink xmlns:r="http://schemas.openxmlformats.org/officeDocument/2006/relationships" ref="Q1319" r:id="rId2584"/>
    <hyperlink xmlns:r="http://schemas.openxmlformats.org/officeDocument/2006/relationships" ref="R1319" r:id="rId2585"/>
    <hyperlink xmlns:r="http://schemas.openxmlformats.org/officeDocument/2006/relationships" ref="Q1320" r:id="rId2586"/>
    <hyperlink xmlns:r="http://schemas.openxmlformats.org/officeDocument/2006/relationships" ref="R1320" r:id="rId2587"/>
    <hyperlink xmlns:r="http://schemas.openxmlformats.org/officeDocument/2006/relationships" ref="Q1321" r:id="rId2588"/>
    <hyperlink xmlns:r="http://schemas.openxmlformats.org/officeDocument/2006/relationships" ref="R1321" r:id="rId2589"/>
    <hyperlink xmlns:r="http://schemas.openxmlformats.org/officeDocument/2006/relationships" ref="Q1322" r:id="rId2590"/>
    <hyperlink xmlns:r="http://schemas.openxmlformats.org/officeDocument/2006/relationships" ref="R1322" r:id="rId2591"/>
    <hyperlink xmlns:r="http://schemas.openxmlformats.org/officeDocument/2006/relationships" ref="Q1323" r:id="rId2592"/>
    <hyperlink xmlns:r="http://schemas.openxmlformats.org/officeDocument/2006/relationships" ref="R1323" r:id="rId2593"/>
    <hyperlink xmlns:r="http://schemas.openxmlformats.org/officeDocument/2006/relationships" ref="Q1324" r:id="rId2594"/>
    <hyperlink xmlns:r="http://schemas.openxmlformats.org/officeDocument/2006/relationships" ref="R1324" r:id="rId2595"/>
    <hyperlink xmlns:r="http://schemas.openxmlformats.org/officeDocument/2006/relationships" ref="Q1325" r:id="rId2596"/>
    <hyperlink xmlns:r="http://schemas.openxmlformats.org/officeDocument/2006/relationships" ref="R1325" r:id="rId2597"/>
    <hyperlink xmlns:r="http://schemas.openxmlformats.org/officeDocument/2006/relationships" ref="Q1326" r:id="rId2598"/>
    <hyperlink xmlns:r="http://schemas.openxmlformats.org/officeDocument/2006/relationships" ref="R1326" r:id="rId2599"/>
    <hyperlink xmlns:r="http://schemas.openxmlformats.org/officeDocument/2006/relationships" ref="Q1327" r:id="rId2600"/>
    <hyperlink xmlns:r="http://schemas.openxmlformats.org/officeDocument/2006/relationships" ref="R1327" r:id="rId2601"/>
    <hyperlink xmlns:r="http://schemas.openxmlformats.org/officeDocument/2006/relationships" ref="Q1328" r:id="rId2602"/>
    <hyperlink xmlns:r="http://schemas.openxmlformats.org/officeDocument/2006/relationships" ref="R1328" r:id="rId2603"/>
    <hyperlink xmlns:r="http://schemas.openxmlformats.org/officeDocument/2006/relationships" ref="Q1329" r:id="rId2604"/>
    <hyperlink xmlns:r="http://schemas.openxmlformats.org/officeDocument/2006/relationships" ref="R1329" r:id="rId2605"/>
    <hyperlink xmlns:r="http://schemas.openxmlformats.org/officeDocument/2006/relationships" ref="Q1330" r:id="rId2606"/>
    <hyperlink xmlns:r="http://schemas.openxmlformats.org/officeDocument/2006/relationships" ref="R1330" r:id="rId2607"/>
    <hyperlink xmlns:r="http://schemas.openxmlformats.org/officeDocument/2006/relationships" ref="Q1331" r:id="rId2608"/>
    <hyperlink xmlns:r="http://schemas.openxmlformats.org/officeDocument/2006/relationships" ref="R1331" r:id="rId2609"/>
    <hyperlink xmlns:r="http://schemas.openxmlformats.org/officeDocument/2006/relationships" ref="Q1332" r:id="rId2610"/>
    <hyperlink xmlns:r="http://schemas.openxmlformats.org/officeDocument/2006/relationships" ref="R1332" r:id="rId2611"/>
    <hyperlink xmlns:r="http://schemas.openxmlformats.org/officeDocument/2006/relationships" ref="Q1333" r:id="rId2612"/>
    <hyperlink xmlns:r="http://schemas.openxmlformats.org/officeDocument/2006/relationships" ref="R1333" r:id="rId2613"/>
    <hyperlink xmlns:r="http://schemas.openxmlformats.org/officeDocument/2006/relationships" ref="Q1334" r:id="rId2614"/>
    <hyperlink xmlns:r="http://schemas.openxmlformats.org/officeDocument/2006/relationships" ref="R1334" r:id="rId2615"/>
    <hyperlink xmlns:r="http://schemas.openxmlformats.org/officeDocument/2006/relationships" ref="Q1335" r:id="rId2616"/>
    <hyperlink xmlns:r="http://schemas.openxmlformats.org/officeDocument/2006/relationships" ref="R1335" r:id="rId2617"/>
    <hyperlink xmlns:r="http://schemas.openxmlformats.org/officeDocument/2006/relationships" ref="Q1336" r:id="rId2618"/>
    <hyperlink xmlns:r="http://schemas.openxmlformats.org/officeDocument/2006/relationships" ref="R1336" r:id="rId2619"/>
    <hyperlink xmlns:r="http://schemas.openxmlformats.org/officeDocument/2006/relationships" ref="Q1337" r:id="rId2620"/>
    <hyperlink xmlns:r="http://schemas.openxmlformats.org/officeDocument/2006/relationships" ref="R1337" r:id="rId2621"/>
    <hyperlink xmlns:r="http://schemas.openxmlformats.org/officeDocument/2006/relationships" ref="Q1338" r:id="rId2622"/>
    <hyperlink xmlns:r="http://schemas.openxmlformats.org/officeDocument/2006/relationships" ref="R1338" r:id="rId2623"/>
    <hyperlink xmlns:r="http://schemas.openxmlformats.org/officeDocument/2006/relationships" ref="Q1339" r:id="rId2624"/>
    <hyperlink xmlns:r="http://schemas.openxmlformats.org/officeDocument/2006/relationships" ref="R1339" r:id="rId2625"/>
    <hyperlink xmlns:r="http://schemas.openxmlformats.org/officeDocument/2006/relationships" ref="Q1340" r:id="rId2626"/>
    <hyperlink xmlns:r="http://schemas.openxmlformats.org/officeDocument/2006/relationships" ref="R1340" r:id="rId2627"/>
    <hyperlink xmlns:r="http://schemas.openxmlformats.org/officeDocument/2006/relationships" ref="Q1341" r:id="rId2628"/>
    <hyperlink xmlns:r="http://schemas.openxmlformats.org/officeDocument/2006/relationships" ref="R1341" r:id="rId2629"/>
    <hyperlink xmlns:r="http://schemas.openxmlformats.org/officeDocument/2006/relationships" ref="Q1342" r:id="rId2630"/>
    <hyperlink xmlns:r="http://schemas.openxmlformats.org/officeDocument/2006/relationships" ref="R1342" r:id="rId2631"/>
    <hyperlink xmlns:r="http://schemas.openxmlformats.org/officeDocument/2006/relationships" ref="Q1343" r:id="rId2632"/>
    <hyperlink xmlns:r="http://schemas.openxmlformats.org/officeDocument/2006/relationships" ref="R1343" r:id="rId2633"/>
    <hyperlink xmlns:r="http://schemas.openxmlformats.org/officeDocument/2006/relationships" ref="Q1344" r:id="rId2634"/>
    <hyperlink xmlns:r="http://schemas.openxmlformats.org/officeDocument/2006/relationships" ref="R1344" r:id="rId2635"/>
    <hyperlink xmlns:r="http://schemas.openxmlformats.org/officeDocument/2006/relationships" ref="Q1345" r:id="rId2636"/>
    <hyperlink xmlns:r="http://schemas.openxmlformats.org/officeDocument/2006/relationships" ref="R1345" r:id="rId2637"/>
    <hyperlink xmlns:r="http://schemas.openxmlformats.org/officeDocument/2006/relationships" ref="Q1346" r:id="rId2638"/>
    <hyperlink xmlns:r="http://schemas.openxmlformats.org/officeDocument/2006/relationships" ref="Q1347" r:id="rId2639"/>
    <hyperlink xmlns:r="http://schemas.openxmlformats.org/officeDocument/2006/relationships" ref="Q1348" r:id="rId2640"/>
    <hyperlink xmlns:r="http://schemas.openxmlformats.org/officeDocument/2006/relationships" ref="R1348" r:id="rId2641"/>
    <hyperlink xmlns:r="http://schemas.openxmlformats.org/officeDocument/2006/relationships" ref="Q1349" r:id="rId2642"/>
    <hyperlink xmlns:r="http://schemas.openxmlformats.org/officeDocument/2006/relationships" ref="R1349" r:id="rId2643"/>
    <hyperlink xmlns:r="http://schemas.openxmlformats.org/officeDocument/2006/relationships" ref="Q1350" r:id="rId2644"/>
    <hyperlink xmlns:r="http://schemas.openxmlformats.org/officeDocument/2006/relationships" ref="Q1351" r:id="rId2645"/>
    <hyperlink xmlns:r="http://schemas.openxmlformats.org/officeDocument/2006/relationships" ref="R1351" r:id="rId2646"/>
    <hyperlink xmlns:r="http://schemas.openxmlformats.org/officeDocument/2006/relationships" ref="Q1352" r:id="rId2647"/>
    <hyperlink xmlns:r="http://schemas.openxmlformats.org/officeDocument/2006/relationships" ref="R1352" r:id="rId2648"/>
    <hyperlink xmlns:r="http://schemas.openxmlformats.org/officeDocument/2006/relationships" ref="Q1353" r:id="rId2649"/>
    <hyperlink xmlns:r="http://schemas.openxmlformats.org/officeDocument/2006/relationships" ref="R1353" r:id="rId2650"/>
    <hyperlink xmlns:r="http://schemas.openxmlformats.org/officeDocument/2006/relationships" ref="Q1354" r:id="rId2651"/>
    <hyperlink xmlns:r="http://schemas.openxmlformats.org/officeDocument/2006/relationships" ref="R1354" r:id="rId2652"/>
    <hyperlink xmlns:r="http://schemas.openxmlformats.org/officeDocument/2006/relationships" ref="Q1355" r:id="rId2653"/>
    <hyperlink xmlns:r="http://schemas.openxmlformats.org/officeDocument/2006/relationships" ref="R1355" r:id="rId2654"/>
    <hyperlink xmlns:r="http://schemas.openxmlformats.org/officeDocument/2006/relationships" ref="Q1356" r:id="rId2655"/>
    <hyperlink xmlns:r="http://schemas.openxmlformats.org/officeDocument/2006/relationships" ref="R1356" r:id="rId2656"/>
    <hyperlink xmlns:r="http://schemas.openxmlformats.org/officeDocument/2006/relationships" ref="Q1357" r:id="rId2657"/>
    <hyperlink xmlns:r="http://schemas.openxmlformats.org/officeDocument/2006/relationships" ref="R1357" r:id="rId2658"/>
    <hyperlink xmlns:r="http://schemas.openxmlformats.org/officeDocument/2006/relationships" ref="Q1358" r:id="rId2659"/>
    <hyperlink xmlns:r="http://schemas.openxmlformats.org/officeDocument/2006/relationships" ref="R1358" r:id="rId2660"/>
    <hyperlink xmlns:r="http://schemas.openxmlformats.org/officeDocument/2006/relationships" ref="Q1359" r:id="rId2661"/>
    <hyperlink xmlns:r="http://schemas.openxmlformats.org/officeDocument/2006/relationships" ref="R1359" r:id="rId2662"/>
    <hyperlink xmlns:r="http://schemas.openxmlformats.org/officeDocument/2006/relationships" ref="Q1360" r:id="rId2663"/>
    <hyperlink xmlns:r="http://schemas.openxmlformats.org/officeDocument/2006/relationships" ref="Q1361" r:id="rId2664"/>
    <hyperlink xmlns:r="http://schemas.openxmlformats.org/officeDocument/2006/relationships" ref="R1361" r:id="rId2665"/>
    <hyperlink xmlns:r="http://schemas.openxmlformats.org/officeDocument/2006/relationships" ref="Q1362" r:id="rId2666"/>
    <hyperlink xmlns:r="http://schemas.openxmlformats.org/officeDocument/2006/relationships" ref="R1362" r:id="rId2667"/>
    <hyperlink xmlns:r="http://schemas.openxmlformats.org/officeDocument/2006/relationships" ref="Q1363" r:id="rId2668"/>
    <hyperlink xmlns:r="http://schemas.openxmlformats.org/officeDocument/2006/relationships" ref="R1363" r:id="rId2669"/>
    <hyperlink xmlns:r="http://schemas.openxmlformats.org/officeDocument/2006/relationships" ref="Q1364" r:id="rId2670"/>
    <hyperlink xmlns:r="http://schemas.openxmlformats.org/officeDocument/2006/relationships" ref="R1364" r:id="rId2671"/>
    <hyperlink xmlns:r="http://schemas.openxmlformats.org/officeDocument/2006/relationships" ref="Q1365" r:id="rId2672"/>
    <hyperlink xmlns:r="http://schemas.openxmlformats.org/officeDocument/2006/relationships" ref="R1365" r:id="rId2673"/>
    <hyperlink xmlns:r="http://schemas.openxmlformats.org/officeDocument/2006/relationships" ref="Q1366" r:id="rId2674"/>
    <hyperlink xmlns:r="http://schemas.openxmlformats.org/officeDocument/2006/relationships" ref="R1366" r:id="rId2675"/>
    <hyperlink xmlns:r="http://schemas.openxmlformats.org/officeDocument/2006/relationships" ref="Q1367" r:id="rId2676"/>
    <hyperlink xmlns:r="http://schemas.openxmlformats.org/officeDocument/2006/relationships" ref="R1367" r:id="rId2677"/>
    <hyperlink xmlns:r="http://schemas.openxmlformats.org/officeDocument/2006/relationships" ref="Q1368" r:id="rId2678"/>
    <hyperlink xmlns:r="http://schemas.openxmlformats.org/officeDocument/2006/relationships" ref="R1368" r:id="rId2679"/>
    <hyperlink xmlns:r="http://schemas.openxmlformats.org/officeDocument/2006/relationships" ref="Q1369" r:id="rId2680"/>
    <hyperlink xmlns:r="http://schemas.openxmlformats.org/officeDocument/2006/relationships" ref="R1369" r:id="rId2681"/>
    <hyperlink xmlns:r="http://schemas.openxmlformats.org/officeDocument/2006/relationships" ref="Q1370" r:id="rId2682"/>
    <hyperlink xmlns:r="http://schemas.openxmlformats.org/officeDocument/2006/relationships" ref="R1370" r:id="rId2683"/>
    <hyperlink xmlns:r="http://schemas.openxmlformats.org/officeDocument/2006/relationships" ref="Q1371" r:id="rId2684"/>
    <hyperlink xmlns:r="http://schemas.openxmlformats.org/officeDocument/2006/relationships" ref="R1371" r:id="rId2685"/>
    <hyperlink xmlns:r="http://schemas.openxmlformats.org/officeDocument/2006/relationships" ref="Q1372" r:id="rId2686"/>
    <hyperlink xmlns:r="http://schemas.openxmlformats.org/officeDocument/2006/relationships" ref="R1372" r:id="rId2687"/>
    <hyperlink xmlns:r="http://schemas.openxmlformats.org/officeDocument/2006/relationships" ref="Q1373" r:id="rId2688"/>
    <hyperlink xmlns:r="http://schemas.openxmlformats.org/officeDocument/2006/relationships" ref="R1373" r:id="rId2689"/>
    <hyperlink xmlns:r="http://schemas.openxmlformats.org/officeDocument/2006/relationships" ref="Q1374" r:id="rId2690"/>
    <hyperlink xmlns:r="http://schemas.openxmlformats.org/officeDocument/2006/relationships" ref="R1374" r:id="rId2691"/>
    <hyperlink xmlns:r="http://schemas.openxmlformats.org/officeDocument/2006/relationships" ref="Q1375" r:id="rId2692"/>
    <hyperlink xmlns:r="http://schemas.openxmlformats.org/officeDocument/2006/relationships" ref="R1375" r:id="rId2693"/>
    <hyperlink xmlns:r="http://schemas.openxmlformats.org/officeDocument/2006/relationships" ref="Q1376" r:id="rId2694"/>
    <hyperlink xmlns:r="http://schemas.openxmlformats.org/officeDocument/2006/relationships" ref="R1376" r:id="rId2695"/>
    <hyperlink xmlns:r="http://schemas.openxmlformats.org/officeDocument/2006/relationships" ref="Q1377" r:id="rId2696"/>
    <hyperlink xmlns:r="http://schemas.openxmlformats.org/officeDocument/2006/relationships" ref="R1377" r:id="rId2697"/>
    <hyperlink xmlns:r="http://schemas.openxmlformats.org/officeDocument/2006/relationships" ref="Q1378" r:id="rId2698"/>
    <hyperlink xmlns:r="http://schemas.openxmlformats.org/officeDocument/2006/relationships" ref="R1378" r:id="rId2699"/>
    <hyperlink xmlns:r="http://schemas.openxmlformats.org/officeDocument/2006/relationships" ref="Q1379" r:id="rId2700"/>
    <hyperlink xmlns:r="http://schemas.openxmlformats.org/officeDocument/2006/relationships" ref="R1379" r:id="rId2701"/>
    <hyperlink xmlns:r="http://schemas.openxmlformats.org/officeDocument/2006/relationships" ref="Q1380" r:id="rId2702"/>
    <hyperlink xmlns:r="http://schemas.openxmlformats.org/officeDocument/2006/relationships" ref="R1380" r:id="rId2703"/>
    <hyperlink xmlns:r="http://schemas.openxmlformats.org/officeDocument/2006/relationships" ref="Q1381" r:id="rId2704"/>
    <hyperlink xmlns:r="http://schemas.openxmlformats.org/officeDocument/2006/relationships" ref="R1381" r:id="rId2705"/>
    <hyperlink xmlns:r="http://schemas.openxmlformats.org/officeDocument/2006/relationships" ref="Q1382" r:id="rId2706"/>
    <hyperlink xmlns:r="http://schemas.openxmlformats.org/officeDocument/2006/relationships" ref="Q1383" r:id="rId2707"/>
    <hyperlink xmlns:r="http://schemas.openxmlformats.org/officeDocument/2006/relationships" ref="R1383" r:id="rId2708"/>
    <hyperlink xmlns:r="http://schemas.openxmlformats.org/officeDocument/2006/relationships" ref="Q1384" r:id="rId2709"/>
    <hyperlink xmlns:r="http://schemas.openxmlformats.org/officeDocument/2006/relationships" ref="R1384" r:id="rId2710"/>
    <hyperlink xmlns:r="http://schemas.openxmlformats.org/officeDocument/2006/relationships" ref="Q1385" r:id="rId2711"/>
    <hyperlink xmlns:r="http://schemas.openxmlformats.org/officeDocument/2006/relationships" ref="R1385" r:id="rId2712"/>
    <hyperlink xmlns:r="http://schemas.openxmlformats.org/officeDocument/2006/relationships" ref="Q1386" r:id="rId2713"/>
    <hyperlink xmlns:r="http://schemas.openxmlformats.org/officeDocument/2006/relationships" ref="R1386" r:id="rId2714"/>
    <hyperlink xmlns:r="http://schemas.openxmlformats.org/officeDocument/2006/relationships" ref="Q1387" r:id="rId2715"/>
    <hyperlink xmlns:r="http://schemas.openxmlformats.org/officeDocument/2006/relationships" ref="R1387" r:id="rId2716"/>
    <hyperlink xmlns:r="http://schemas.openxmlformats.org/officeDocument/2006/relationships" ref="Q1388" r:id="rId2717"/>
    <hyperlink xmlns:r="http://schemas.openxmlformats.org/officeDocument/2006/relationships" ref="R1388" r:id="rId2718"/>
    <hyperlink xmlns:r="http://schemas.openxmlformats.org/officeDocument/2006/relationships" ref="Q1389" r:id="rId2719"/>
    <hyperlink xmlns:r="http://schemas.openxmlformats.org/officeDocument/2006/relationships" ref="R1389" r:id="rId2720"/>
    <hyperlink xmlns:r="http://schemas.openxmlformats.org/officeDocument/2006/relationships" ref="Q1390" r:id="rId2721"/>
    <hyperlink xmlns:r="http://schemas.openxmlformats.org/officeDocument/2006/relationships" ref="R1390" r:id="rId2722"/>
    <hyperlink xmlns:r="http://schemas.openxmlformats.org/officeDocument/2006/relationships" ref="Q1391" r:id="rId2723"/>
    <hyperlink xmlns:r="http://schemas.openxmlformats.org/officeDocument/2006/relationships" ref="R1391" r:id="rId2724"/>
    <hyperlink xmlns:r="http://schemas.openxmlformats.org/officeDocument/2006/relationships" ref="Q1392" r:id="rId2725"/>
    <hyperlink xmlns:r="http://schemas.openxmlformats.org/officeDocument/2006/relationships" ref="R1392" r:id="rId2726"/>
    <hyperlink xmlns:r="http://schemas.openxmlformats.org/officeDocument/2006/relationships" ref="Q1393" r:id="rId2727"/>
    <hyperlink xmlns:r="http://schemas.openxmlformats.org/officeDocument/2006/relationships" ref="R1393" r:id="rId2728"/>
    <hyperlink xmlns:r="http://schemas.openxmlformats.org/officeDocument/2006/relationships" ref="Q1394" r:id="rId2729"/>
    <hyperlink xmlns:r="http://schemas.openxmlformats.org/officeDocument/2006/relationships" ref="R1394" r:id="rId2730"/>
    <hyperlink xmlns:r="http://schemas.openxmlformats.org/officeDocument/2006/relationships" ref="Q1395" r:id="rId2731"/>
    <hyperlink xmlns:r="http://schemas.openxmlformats.org/officeDocument/2006/relationships" ref="R1395" r:id="rId2732"/>
    <hyperlink xmlns:r="http://schemas.openxmlformats.org/officeDocument/2006/relationships" ref="Q1396" r:id="rId2733"/>
    <hyperlink xmlns:r="http://schemas.openxmlformats.org/officeDocument/2006/relationships" ref="R1396" r:id="rId2734"/>
    <hyperlink xmlns:r="http://schemas.openxmlformats.org/officeDocument/2006/relationships" ref="Q1397" r:id="rId2735"/>
    <hyperlink xmlns:r="http://schemas.openxmlformats.org/officeDocument/2006/relationships" ref="R1397" r:id="rId2736"/>
    <hyperlink xmlns:r="http://schemas.openxmlformats.org/officeDocument/2006/relationships" ref="Q1398" r:id="rId2737"/>
    <hyperlink xmlns:r="http://schemas.openxmlformats.org/officeDocument/2006/relationships" ref="R1398" r:id="rId2738"/>
    <hyperlink xmlns:r="http://schemas.openxmlformats.org/officeDocument/2006/relationships" ref="Q1399" r:id="rId2739"/>
    <hyperlink xmlns:r="http://schemas.openxmlformats.org/officeDocument/2006/relationships" ref="R1399" r:id="rId2740"/>
    <hyperlink xmlns:r="http://schemas.openxmlformats.org/officeDocument/2006/relationships" ref="Q1400" r:id="rId2741"/>
    <hyperlink xmlns:r="http://schemas.openxmlformats.org/officeDocument/2006/relationships" ref="R1400" r:id="rId2742"/>
    <hyperlink xmlns:r="http://schemas.openxmlformats.org/officeDocument/2006/relationships" ref="Q1401" r:id="rId2743"/>
    <hyperlink xmlns:r="http://schemas.openxmlformats.org/officeDocument/2006/relationships" ref="R1401" r:id="rId2744"/>
    <hyperlink xmlns:r="http://schemas.openxmlformats.org/officeDocument/2006/relationships" ref="Q1402" r:id="rId2745"/>
    <hyperlink xmlns:r="http://schemas.openxmlformats.org/officeDocument/2006/relationships" ref="R1402" r:id="rId2746"/>
    <hyperlink xmlns:r="http://schemas.openxmlformats.org/officeDocument/2006/relationships" ref="Q1403" r:id="rId2747"/>
    <hyperlink xmlns:r="http://schemas.openxmlformats.org/officeDocument/2006/relationships" ref="R1403" r:id="rId2748"/>
    <hyperlink xmlns:r="http://schemas.openxmlformats.org/officeDocument/2006/relationships" ref="Q1404" r:id="rId2749"/>
    <hyperlink xmlns:r="http://schemas.openxmlformats.org/officeDocument/2006/relationships" ref="R1404" r:id="rId2750"/>
    <hyperlink xmlns:r="http://schemas.openxmlformats.org/officeDocument/2006/relationships" ref="Q1405" r:id="rId2751"/>
    <hyperlink xmlns:r="http://schemas.openxmlformats.org/officeDocument/2006/relationships" ref="R1405" r:id="rId2752"/>
    <hyperlink xmlns:r="http://schemas.openxmlformats.org/officeDocument/2006/relationships" ref="Q1406" r:id="rId2753"/>
    <hyperlink xmlns:r="http://schemas.openxmlformats.org/officeDocument/2006/relationships" ref="R1406" r:id="rId2754"/>
    <hyperlink xmlns:r="http://schemas.openxmlformats.org/officeDocument/2006/relationships" ref="Q1407" r:id="rId2755"/>
    <hyperlink xmlns:r="http://schemas.openxmlformats.org/officeDocument/2006/relationships" ref="R1407" r:id="rId2756"/>
    <hyperlink xmlns:r="http://schemas.openxmlformats.org/officeDocument/2006/relationships" ref="Q1408" r:id="rId2757"/>
    <hyperlink xmlns:r="http://schemas.openxmlformats.org/officeDocument/2006/relationships" ref="R1408" r:id="rId2758"/>
    <hyperlink xmlns:r="http://schemas.openxmlformats.org/officeDocument/2006/relationships" ref="Q1409" r:id="rId2759"/>
    <hyperlink xmlns:r="http://schemas.openxmlformats.org/officeDocument/2006/relationships" ref="R1409" r:id="rId2760"/>
    <hyperlink xmlns:r="http://schemas.openxmlformats.org/officeDocument/2006/relationships" ref="Q1410" r:id="rId2761"/>
    <hyperlink xmlns:r="http://schemas.openxmlformats.org/officeDocument/2006/relationships" ref="R1410" r:id="rId2762"/>
    <hyperlink xmlns:r="http://schemas.openxmlformats.org/officeDocument/2006/relationships" ref="Q1411" r:id="rId2763"/>
    <hyperlink xmlns:r="http://schemas.openxmlformats.org/officeDocument/2006/relationships" ref="R1411" r:id="rId2764"/>
    <hyperlink xmlns:r="http://schemas.openxmlformats.org/officeDocument/2006/relationships" ref="Q1412" r:id="rId2765"/>
    <hyperlink xmlns:r="http://schemas.openxmlformats.org/officeDocument/2006/relationships" ref="R1412" r:id="rId2766"/>
    <hyperlink xmlns:r="http://schemas.openxmlformats.org/officeDocument/2006/relationships" ref="Q1413" r:id="rId2767"/>
    <hyperlink xmlns:r="http://schemas.openxmlformats.org/officeDocument/2006/relationships" ref="R1413" r:id="rId2768"/>
    <hyperlink xmlns:r="http://schemas.openxmlformats.org/officeDocument/2006/relationships" ref="Q1414" r:id="rId2769"/>
    <hyperlink xmlns:r="http://schemas.openxmlformats.org/officeDocument/2006/relationships" ref="R1414" r:id="rId2770"/>
    <hyperlink xmlns:r="http://schemas.openxmlformats.org/officeDocument/2006/relationships" ref="Q1415" r:id="rId2771"/>
    <hyperlink xmlns:r="http://schemas.openxmlformats.org/officeDocument/2006/relationships" ref="R1415" r:id="rId2772"/>
    <hyperlink xmlns:r="http://schemas.openxmlformats.org/officeDocument/2006/relationships" ref="Q1416" r:id="rId2773"/>
    <hyperlink xmlns:r="http://schemas.openxmlformats.org/officeDocument/2006/relationships" ref="R1416" r:id="rId2774"/>
    <hyperlink xmlns:r="http://schemas.openxmlformats.org/officeDocument/2006/relationships" ref="Q1417" r:id="rId2775"/>
    <hyperlink xmlns:r="http://schemas.openxmlformats.org/officeDocument/2006/relationships" ref="R1417" r:id="rId2776"/>
    <hyperlink xmlns:r="http://schemas.openxmlformats.org/officeDocument/2006/relationships" ref="Q1418" r:id="rId2777"/>
    <hyperlink xmlns:r="http://schemas.openxmlformats.org/officeDocument/2006/relationships" ref="R1418" r:id="rId2778"/>
    <hyperlink xmlns:r="http://schemas.openxmlformats.org/officeDocument/2006/relationships" ref="Q1419" r:id="rId2779"/>
    <hyperlink xmlns:r="http://schemas.openxmlformats.org/officeDocument/2006/relationships" ref="R1419" r:id="rId2780"/>
    <hyperlink xmlns:r="http://schemas.openxmlformats.org/officeDocument/2006/relationships" ref="Q1420" r:id="rId2781"/>
    <hyperlink xmlns:r="http://schemas.openxmlformats.org/officeDocument/2006/relationships" ref="R1420" r:id="rId2782"/>
    <hyperlink xmlns:r="http://schemas.openxmlformats.org/officeDocument/2006/relationships" ref="Q1421" r:id="rId2783"/>
    <hyperlink xmlns:r="http://schemas.openxmlformats.org/officeDocument/2006/relationships" ref="R1421" r:id="rId2784"/>
    <hyperlink xmlns:r="http://schemas.openxmlformats.org/officeDocument/2006/relationships" ref="Q1422" r:id="rId2785"/>
    <hyperlink xmlns:r="http://schemas.openxmlformats.org/officeDocument/2006/relationships" ref="R1422" r:id="rId2786"/>
    <hyperlink xmlns:r="http://schemas.openxmlformats.org/officeDocument/2006/relationships" ref="Q1423" r:id="rId2787"/>
    <hyperlink xmlns:r="http://schemas.openxmlformats.org/officeDocument/2006/relationships" ref="R1423" r:id="rId2788"/>
    <hyperlink xmlns:r="http://schemas.openxmlformats.org/officeDocument/2006/relationships" ref="Q1424" r:id="rId2789"/>
    <hyperlink xmlns:r="http://schemas.openxmlformats.org/officeDocument/2006/relationships" ref="R1424" r:id="rId2790"/>
    <hyperlink xmlns:r="http://schemas.openxmlformats.org/officeDocument/2006/relationships" ref="Q1425" r:id="rId2791"/>
    <hyperlink xmlns:r="http://schemas.openxmlformats.org/officeDocument/2006/relationships" ref="R1425" r:id="rId2792"/>
    <hyperlink xmlns:r="http://schemas.openxmlformats.org/officeDocument/2006/relationships" ref="Q1426" r:id="rId2793"/>
    <hyperlink xmlns:r="http://schemas.openxmlformats.org/officeDocument/2006/relationships" ref="R1426" r:id="rId2794"/>
    <hyperlink xmlns:r="http://schemas.openxmlformats.org/officeDocument/2006/relationships" ref="Q1427" r:id="rId2795"/>
    <hyperlink xmlns:r="http://schemas.openxmlformats.org/officeDocument/2006/relationships" ref="R1427" r:id="rId2796"/>
    <hyperlink xmlns:r="http://schemas.openxmlformats.org/officeDocument/2006/relationships" ref="Q1428" r:id="rId2797"/>
    <hyperlink xmlns:r="http://schemas.openxmlformats.org/officeDocument/2006/relationships" ref="R1428" r:id="rId2798"/>
    <hyperlink xmlns:r="http://schemas.openxmlformats.org/officeDocument/2006/relationships" ref="Q1429" r:id="rId2799"/>
    <hyperlink xmlns:r="http://schemas.openxmlformats.org/officeDocument/2006/relationships" ref="R1429" r:id="rId2800"/>
    <hyperlink xmlns:r="http://schemas.openxmlformats.org/officeDocument/2006/relationships" ref="Q1430" r:id="rId2801"/>
    <hyperlink xmlns:r="http://schemas.openxmlformats.org/officeDocument/2006/relationships" ref="R1430" r:id="rId2802"/>
    <hyperlink xmlns:r="http://schemas.openxmlformats.org/officeDocument/2006/relationships" ref="Q1431" r:id="rId2803"/>
    <hyperlink xmlns:r="http://schemas.openxmlformats.org/officeDocument/2006/relationships" ref="R1431" r:id="rId2804"/>
    <hyperlink xmlns:r="http://schemas.openxmlformats.org/officeDocument/2006/relationships" ref="Q1432" r:id="rId2805"/>
    <hyperlink xmlns:r="http://schemas.openxmlformats.org/officeDocument/2006/relationships" ref="R1432" r:id="rId2806"/>
    <hyperlink xmlns:r="http://schemas.openxmlformats.org/officeDocument/2006/relationships" ref="Q1433" r:id="rId2807"/>
    <hyperlink xmlns:r="http://schemas.openxmlformats.org/officeDocument/2006/relationships" ref="R1433" r:id="rId2808"/>
    <hyperlink xmlns:r="http://schemas.openxmlformats.org/officeDocument/2006/relationships" ref="Q1434" r:id="rId2809"/>
    <hyperlink xmlns:r="http://schemas.openxmlformats.org/officeDocument/2006/relationships" ref="R1434" r:id="rId2810"/>
    <hyperlink xmlns:r="http://schemas.openxmlformats.org/officeDocument/2006/relationships" ref="Q1435" r:id="rId2811"/>
    <hyperlink xmlns:r="http://schemas.openxmlformats.org/officeDocument/2006/relationships" ref="R1435" r:id="rId2812"/>
    <hyperlink xmlns:r="http://schemas.openxmlformats.org/officeDocument/2006/relationships" ref="Q1436" r:id="rId2813"/>
    <hyperlink xmlns:r="http://schemas.openxmlformats.org/officeDocument/2006/relationships" ref="R1436" r:id="rId2814"/>
    <hyperlink xmlns:r="http://schemas.openxmlformats.org/officeDocument/2006/relationships" ref="Q1437" r:id="rId2815"/>
    <hyperlink xmlns:r="http://schemas.openxmlformats.org/officeDocument/2006/relationships" ref="R1437" r:id="rId2816"/>
    <hyperlink xmlns:r="http://schemas.openxmlformats.org/officeDocument/2006/relationships" ref="Q1438" r:id="rId2817"/>
    <hyperlink xmlns:r="http://schemas.openxmlformats.org/officeDocument/2006/relationships" ref="Q1439" r:id="rId2818"/>
    <hyperlink xmlns:r="http://schemas.openxmlformats.org/officeDocument/2006/relationships" ref="R1439" r:id="rId2819"/>
    <hyperlink xmlns:r="http://schemas.openxmlformats.org/officeDocument/2006/relationships" ref="Q1440" r:id="rId2820"/>
    <hyperlink xmlns:r="http://schemas.openxmlformats.org/officeDocument/2006/relationships" ref="R1440" r:id="rId2821"/>
    <hyperlink xmlns:r="http://schemas.openxmlformats.org/officeDocument/2006/relationships" ref="Q1441" r:id="rId2822"/>
    <hyperlink xmlns:r="http://schemas.openxmlformats.org/officeDocument/2006/relationships" ref="R1441" r:id="rId2823"/>
    <hyperlink xmlns:r="http://schemas.openxmlformats.org/officeDocument/2006/relationships" ref="Q1442" r:id="rId2824"/>
    <hyperlink xmlns:r="http://schemas.openxmlformats.org/officeDocument/2006/relationships" ref="R1442" r:id="rId2825"/>
    <hyperlink xmlns:r="http://schemas.openxmlformats.org/officeDocument/2006/relationships" ref="Q1443" r:id="rId2826"/>
    <hyperlink xmlns:r="http://schemas.openxmlformats.org/officeDocument/2006/relationships" ref="R1443" r:id="rId2827"/>
    <hyperlink xmlns:r="http://schemas.openxmlformats.org/officeDocument/2006/relationships" ref="Q1444" r:id="rId2828"/>
    <hyperlink xmlns:r="http://schemas.openxmlformats.org/officeDocument/2006/relationships" ref="R1444" r:id="rId2829"/>
    <hyperlink xmlns:r="http://schemas.openxmlformats.org/officeDocument/2006/relationships" ref="Q1445" r:id="rId2830"/>
    <hyperlink xmlns:r="http://schemas.openxmlformats.org/officeDocument/2006/relationships" ref="R1445" r:id="rId2831"/>
    <hyperlink xmlns:r="http://schemas.openxmlformats.org/officeDocument/2006/relationships" ref="Q1446" r:id="rId2832"/>
    <hyperlink xmlns:r="http://schemas.openxmlformats.org/officeDocument/2006/relationships" ref="R1446" r:id="rId2833"/>
    <hyperlink xmlns:r="http://schemas.openxmlformats.org/officeDocument/2006/relationships" ref="Q1447" r:id="rId2834"/>
    <hyperlink xmlns:r="http://schemas.openxmlformats.org/officeDocument/2006/relationships" ref="Q1448" r:id="rId2835"/>
    <hyperlink xmlns:r="http://schemas.openxmlformats.org/officeDocument/2006/relationships" ref="R1448" r:id="rId2836"/>
    <hyperlink xmlns:r="http://schemas.openxmlformats.org/officeDocument/2006/relationships" ref="Q1449" r:id="rId2837"/>
    <hyperlink xmlns:r="http://schemas.openxmlformats.org/officeDocument/2006/relationships" ref="R1449" r:id="rId2838"/>
    <hyperlink xmlns:r="http://schemas.openxmlformats.org/officeDocument/2006/relationships" ref="Q1450" r:id="rId2839"/>
    <hyperlink xmlns:r="http://schemas.openxmlformats.org/officeDocument/2006/relationships" ref="R1450" r:id="rId2840"/>
    <hyperlink xmlns:r="http://schemas.openxmlformats.org/officeDocument/2006/relationships" ref="Q1451" r:id="rId2841"/>
    <hyperlink xmlns:r="http://schemas.openxmlformats.org/officeDocument/2006/relationships" ref="R1451" r:id="rId2842"/>
    <hyperlink xmlns:r="http://schemas.openxmlformats.org/officeDocument/2006/relationships" ref="Q1452" r:id="rId2843"/>
    <hyperlink xmlns:r="http://schemas.openxmlformats.org/officeDocument/2006/relationships" ref="R1452" r:id="rId2844"/>
    <hyperlink xmlns:r="http://schemas.openxmlformats.org/officeDocument/2006/relationships" ref="Q1453" r:id="rId2845"/>
    <hyperlink xmlns:r="http://schemas.openxmlformats.org/officeDocument/2006/relationships" ref="R1453" r:id="rId2846"/>
    <hyperlink xmlns:r="http://schemas.openxmlformats.org/officeDocument/2006/relationships" ref="Q1454" r:id="rId2847"/>
    <hyperlink xmlns:r="http://schemas.openxmlformats.org/officeDocument/2006/relationships" ref="R1454" r:id="rId2848"/>
    <hyperlink xmlns:r="http://schemas.openxmlformats.org/officeDocument/2006/relationships" ref="Q1455" r:id="rId2849"/>
    <hyperlink xmlns:r="http://schemas.openxmlformats.org/officeDocument/2006/relationships" ref="R1455" r:id="rId2850"/>
    <hyperlink xmlns:r="http://schemas.openxmlformats.org/officeDocument/2006/relationships" ref="Q1456" r:id="rId2851"/>
    <hyperlink xmlns:r="http://schemas.openxmlformats.org/officeDocument/2006/relationships" ref="R1456" r:id="rId2852"/>
    <hyperlink xmlns:r="http://schemas.openxmlformats.org/officeDocument/2006/relationships" ref="Q1457" r:id="rId2853"/>
    <hyperlink xmlns:r="http://schemas.openxmlformats.org/officeDocument/2006/relationships" ref="R1457" r:id="rId2854"/>
    <hyperlink xmlns:r="http://schemas.openxmlformats.org/officeDocument/2006/relationships" ref="Q1458" r:id="rId2855"/>
    <hyperlink xmlns:r="http://schemas.openxmlformats.org/officeDocument/2006/relationships" ref="R1458" r:id="rId2856"/>
    <hyperlink xmlns:r="http://schemas.openxmlformats.org/officeDocument/2006/relationships" ref="Q1459" r:id="rId2857"/>
    <hyperlink xmlns:r="http://schemas.openxmlformats.org/officeDocument/2006/relationships" ref="R1459" r:id="rId2858"/>
    <hyperlink xmlns:r="http://schemas.openxmlformats.org/officeDocument/2006/relationships" ref="Q1460" r:id="rId2859"/>
    <hyperlink xmlns:r="http://schemas.openxmlformats.org/officeDocument/2006/relationships" ref="R1460" r:id="rId2860"/>
    <hyperlink xmlns:r="http://schemas.openxmlformats.org/officeDocument/2006/relationships" ref="Q1461" r:id="rId2861"/>
    <hyperlink xmlns:r="http://schemas.openxmlformats.org/officeDocument/2006/relationships" ref="R1461" r:id="rId2862"/>
    <hyperlink xmlns:r="http://schemas.openxmlformats.org/officeDocument/2006/relationships" ref="Q1462" r:id="rId2863"/>
    <hyperlink xmlns:r="http://schemas.openxmlformats.org/officeDocument/2006/relationships" ref="Q1463" r:id="rId2864"/>
    <hyperlink xmlns:r="http://schemas.openxmlformats.org/officeDocument/2006/relationships" ref="R1463" r:id="rId2865"/>
    <hyperlink xmlns:r="http://schemas.openxmlformats.org/officeDocument/2006/relationships" ref="Q1464" r:id="rId2866"/>
    <hyperlink xmlns:r="http://schemas.openxmlformats.org/officeDocument/2006/relationships" ref="R1464" r:id="rId2867"/>
    <hyperlink xmlns:r="http://schemas.openxmlformats.org/officeDocument/2006/relationships" ref="Q1465" r:id="rId2868"/>
    <hyperlink xmlns:r="http://schemas.openxmlformats.org/officeDocument/2006/relationships" ref="Q1466" r:id="rId2869"/>
    <hyperlink xmlns:r="http://schemas.openxmlformats.org/officeDocument/2006/relationships" ref="R1466" r:id="rId2870"/>
    <hyperlink xmlns:r="http://schemas.openxmlformats.org/officeDocument/2006/relationships" ref="Q1467" r:id="rId2871"/>
    <hyperlink xmlns:r="http://schemas.openxmlformats.org/officeDocument/2006/relationships" ref="R1467" r:id="rId2872"/>
    <hyperlink xmlns:r="http://schemas.openxmlformats.org/officeDocument/2006/relationships" ref="Q1468" r:id="rId2873"/>
    <hyperlink xmlns:r="http://schemas.openxmlformats.org/officeDocument/2006/relationships" ref="R1468" r:id="rId2874"/>
    <hyperlink xmlns:r="http://schemas.openxmlformats.org/officeDocument/2006/relationships" ref="Q1469" r:id="rId2875"/>
    <hyperlink xmlns:r="http://schemas.openxmlformats.org/officeDocument/2006/relationships" ref="R1469" r:id="rId2876"/>
    <hyperlink xmlns:r="http://schemas.openxmlformats.org/officeDocument/2006/relationships" ref="Q1470" r:id="rId2877"/>
    <hyperlink xmlns:r="http://schemas.openxmlformats.org/officeDocument/2006/relationships" ref="R1470" r:id="rId2878"/>
    <hyperlink xmlns:r="http://schemas.openxmlformats.org/officeDocument/2006/relationships" ref="Q1471" r:id="rId2879"/>
    <hyperlink xmlns:r="http://schemas.openxmlformats.org/officeDocument/2006/relationships" ref="R1471" r:id="rId2880"/>
    <hyperlink xmlns:r="http://schemas.openxmlformats.org/officeDocument/2006/relationships" ref="Q1472" r:id="rId2881"/>
    <hyperlink xmlns:r="http://schemas.openxmlformats.org/officeDocument/2006/relationships" ref="R1472" r:id="rId2882"/>
    <hyperlink xmlns:r="http://schemas.openxmlformats.org/officeDocument/2006/relationships" ref="Q1473" r:id="rId2883"/>
    <hyperlink xmlns:r="http://schemas.openxmlformats.org/officeDocument/2006/relationships" ref="R1473" r:id="rId2884"/>
    <hyperlink xmlns:r="http://schemas.openxmlformats.org/officeDocument/2006/relationships" ref="Q1474" r:id="rId2885"/>
    <hyperlink xmlns:r="http://schemas.openxmlformats.org/officeDocument/2006/relationships" ref="R1474" r:id="rId2886"/>
    <hyperlink xmlns:r="http://schemas.openxmlformats.org/officeDocument/2006/relationships" ref="Q1475" r:id="rId2887"/>
    <hyperlink xmlns:r="http://schemas.openxmlformats.org/officeDocument/2006/relationships" ref="R1475" r:id="rId2888"/>
    <hyperlink xmlns:r="http://schemas.openxmlformats.org/officeDocument/2006/relationships" ref="Q1476" r:id="rId2889"/>
    <hyperlink xmlns:r="http://schemas.openxmlformats.org/officeDocument/2006/relationships" ref="Q1477" r:id="rId2890"/>
    <hyperlink xmlns:r="http://schemas.openxmlformats.org/officeDocument/2006/relationships" ref="R1477" r:id="rId2891"/>
    <hyperlink xmlns:r="http://schemas.openxmlformats.org/officeDocument/2006/relationships" ref="Q1478" r:id="rId2892"/>
    <hyperlink xmlns:r="http://schemas.openxmlformats.org/officeDocument/2006/relationships" ref="R1478" r:id="rId2893"/>
    <hyperlink xmlns:r="http://schemas.openxmlformats.org/officeDocument/2006/relationships" ref="Q1479" r:id="rId2894"/>
    <hyperlink xmlns:r="http://schemas.openxmlformats.org/officeDocument/2006/relationships" ref="R1479" r:id="rId2895"/>
    <hyperlink xmlns:r="http://schemas.openxmlformats.org/officeDocument/2006/relationships" ref="Q1480" r:id="rId2896"/>
    <hyperlink xmlns:r="http://schemas.openxmlformats.org/officeDocument/2006/relationships" ref="R1480" r:id="rId2897"/>
    <hyperlink xmlns:r="http://schemas.openxmlformats.org/officeDocument/2006/relationships" ref="Q1481" r:id="rId2898"/>
    <hyperlink xmlns:r="http://schemas.openxmlformats.org/officeDocument/2006/relationships" ref="R1481" r:id="rId2899"/>
    <hyperlink xmlns:r="http://schemas.openxmlformats.org/officeDocument/2006/relationships" ref="Q1482" r:id="rId2900"/>
    <hyperlink xmlns:r="http://schemas.openxmlformats.org/officeDocument/2006/relationships" ref="R1482" r:id="rId2901"/>
    <hyperlink xmlns:r="http://schemas.openxmlformats.org/officeDocument/2006/relationships" ref="Q1483" r:id="rId2902"/>
    <hyperlink xmlns:r="http://schemas.openxmlformats.org/officeDocument/2006/relationships" ref="R1483" r:id="rId2903"/>
    <hyperlink xmlns:r="http://schemas.openxmlformats.org/officeDocument/2006/relationships" ref="Q1484" r:id="rId2904"/>
    <hyperlink xmlns:r="http://schemas.openxmlformats.org/officeDocument/2006/relationships" ref="R1484" r:id="rId2905"/>
    <hyperlink xmlns:r="http://schemas.openxmlformats.org/officeDocument/2006/relationships" ref="Q1485" r:id="rId2906"/>
    <hyperlink xmlns:r="http://schemas.openxmlformats.org/officeDocument/2006/relationships" ref="R1485" r:id="rId2907"/>
    <hyperlink xmlns:r="http://schemas.openxmlformats.org/officeDocument/2006/relationships" ref="Q1486" r:id="rId2908"/>
    <hyperlink xmlns:r="http://schemas.openxmlformats.org/officeDocument/2006/relationships" ref="R1486" r:id="rId2909"/>
    <hyperlink xmlns:r="http://schemas.openxmlformats.org/officeDocument/2006/relationships" ref="Q1487" r:id="rId2910"/>
    <hyperlink xmlns:r="http://schemas.openxmlformats.org/officeDocument/2006/relationships" ref="R1487" r:id="rId2911"/>
    <hyperlink xmlns:r="http://schemas.openxmlformats.org/officeDocument/2006/relationships" ref="Q1488" r:id="rId2912"/>
    <hyperlink xmlns:r="http://schemas.openxmlformats.org/officeDocument/2006/relationships" ref="R1488" r:id="rId2913"/>
    <hyperlink xmlns:r="http://schemas.openxmlformats.org/officeDocument/2006/relationships" ref="Q1489" r:id="rId2914"/>
    <hyperlink xmlns:r="http://schemas.openxmlformats.org/officeDocument/2006/relationships" ref="R1489" r:id="rId2915"/>
    <hyperlink xmlns:r="http://schemas.openxmlformats.org/officeDocument/2006/relationships" ref="Q1490" r:id="rId2916"/>
    <hyperlink xmlns:r="http://schemas.openxmlformats.org/officeDocument/2006/relationships" ref="R1490" r:id="rId2917"/>
    <hyperlink xmlns:r="http://schemas.openxmlformats.org/officeDocument/2006/relationships" ref="Q1491" r:id="rId2918"/>
    <hyperlink xmlns:r="http://schemas.openxmlformats.org/officeDocument/2006/relationships" ref="R1491" r:id="rId2919"/>
    <hyperlink xmlns:r="http://schemas.openxmlformats.org/officeDocument/2006/relationships" ref="Q1492" r:id="rId2920"/>
    <hyperlink xmlns:r="http://schemas.openxmlformats.org/officeDocument/2006/relationships" ref="R1492" r:id="rId2921"/>
    <hyperlink xmlns:r="http://schemas.openxmlformats.org/officeDocument/2006/relationships" ref="Q1493" r:id="rId2922"/>
    <hyperlink xmlns:r="http://schemas.openxmlformats.org/officeDocument/2006/relationships" ref="R1493" r:id="rId2923"/>
    <hyperlink xmlns:r="http://schemas.openxmlformats.org/officeDocument/2006/relationships" ref="Q1494" r:id="rId2924"/>
    <hyperlink xmlns:r="http://schemas.openxmlformats.org/officeDocument/2006/relationships" ref="R1494" r:id="rId2925"/>
    <hyperlink xmlns:r="http://schemas.openxmlformats.org/officeDocument/2006/relationships" ref="Q1495" r:id="rId2926"/>
    <hyperlink xmlns:r="http://schemas.openxmlformats.org/officeDocument/2006/relationships" ref="R1495" r:id="rId2927"/>
    <hyperlink xmlns:r="http://schemas.openxmlformats.org/officeDocument/2006/relationships" ref="Q1496" r:id="rId2928"/>
    <hyperlink xmlns:r="http://schemas.openxmlformats.org/officeDocument/2006/relationships" ref="R1496" r:id="rId2929"/>
    <hyperlink xmlns:r="http://schemas.openxmlformats.org/officeDocument/2006/relationships" ref="Q1497" r:id="rId2930"/>
    <hyperlink xmlns:r="http://schemas.openxmlformats.org/officeDocument/2006/relationships" ref="R1497" r:id="rId2931"/>
    <hyperlink xmlns:r="http://schemas.openxmlformats.org/officeDocument/2006/relationships" ref="Q1498" r:id="rId2932"/>
    <hyperlink xmlns:r="http://schemas.openxmlformats.org/officeDocument/2006/relationships" ref="R1498" r:id="rId2933"/>
    <hyperlink xmlns:r="http://schemas.openxmlformats.org/officeDocument/2006/relationships" ref="Q1499" r:id="rId2934"/>
    <hyperlink xmlns:r="http://schemas.openxmlformats.org/officeDocument/2006/relationships" ref="R1499" r:id="rId2935"/>
    <hyperlink xmlns:r="http://schemas.openxmlformats.org/officeDocument/2006/relationships" ref="Q1500" r:id="rId2936"/>
    <hyperlink xmlns:r="http://schemas.openxmlformats.org/officeDocument/2006/relationships" ref="R1500" r:id="rId2937"/>
    <hyperlink xmlns:r="http://schemas.openxmlformats.org/officeDocument/2006/relationships" ref="Q1501" r:id="rId2938"/>
    <hyperlink xmlns:r="http://schemas.openxmlformats.org/officeDocument/2006/relationships" ref="R1501" r:id="rId2939"/>
    <hyperlink xmlns:r="http://schemas.openxmlformats.org/officeDocument/2006/relationships" ref="Q1502" r:id="rId2940"/>
    <hyperlink xmlns:r="http://schemas.openxmlformats.org/officeDocument/2006/relationships" ref="R1502" r:id="rId2941"/>
    <hyperlink xmlns:r="http://schemas.openxmlformats.org/officeDocument/2006/relationships" ref="Q1503" r:id="rId2942"/>
    <hyperlink xmlns:r="http://schemas.openxmlformats.org/officeDocument/2006/relationships" ref="R1503" r:id="rId2943"/>
    <hyperlink xmlns:r="http://schemas.openxmlformats.org/officeDocument/2006/relationships" ref="Q1504" r:id="rId2944"/>
    <hyperlink xmlns:r="http://schemas.openxmlformats.org/officeDocument/2006/relationships" ref="R1504" r:id="rId2945"/>
    <hyperlink xmlns:r="http://schemas.openxmlformats.org/officeDocument/2006/relationships" ref="Q1505" r:id="rId2946"/>
    <hyperlink xmlns:r="http://schemas.openxmlformats.org/officeDocument/2006/relationships" ref="R1505" r:id="rId2947"/>
    <hyperlink xmlns:r="http://schemas.openxmlformats.org/officeDocument/2006/relationships" ref="Q1506" r:id="rId2948"/>
    <hyperlink xmlns:r="http://schemas.openxmlformats.org/officeDocument/2006/relationships" ref="R1506" r:id="rId2949"/>
    <hyperlink xmlns:r="http://schemas.openxmlformats.org/officeDocument/2006/relationships" ref="Q1507" r:id="rId2950"/>
    <hyperlink xmlns:r="http://schemas.openxmlformats.org/officeDocument/2006/relationships" ref="R1507" r:id="rId2951"/>
    <hyperlink xmlns:r="http://schemas.openxmlformats.org/officeDocument/2006/relationships" ref="Q1508" r:id="rId2952"/>
    <hyperlink xmlns:r="http://schemas.openxmlformats.org/officeDocument/2006/relationships" ref="R1508" r:id="rId2953"/>
    <hyperlink xmlns:r="http://schemas.openxmlformats.org/officeDocument/2006/relationships" ref="Q1509" r:id="rId2954"/>
    <hyperlink xmlns:r="http://schemas.openxmlformats.org/officeDocument/2006/relationships" ref="R1509" r:id="rId2955"/>
    <hyperlink xmlns:r="http://schemas.openxmlformats.org/officeDocument/2006/relationships" ref="Q1510" r:id="rId2956"/>
    <hyperlink xmlns:r="http://schemas.openxmlformats.org/officeDocument/2006/relationships" ref="R1510" r:id="rId2957"/>
    <hyperlink xmlns:r="http://schemas.openxmlformats.org/officeDocument/2006/relationships" ref="Q1511" r:id="rId2958"/>
    <hyperlink xmlns:r="http://schemas.openxmlformats.org/officeDocument/2006/relationships" ref="R1511" r:id="rId2959"/>
    <hyperlink xmlns:r="http://schemas.openxmlformats.org/officeDocument/2006/relationships" ref="Q1512" r:id="rId2960"/>
    <hyperlink xmlns:r="http://schemas.openxmlformats.org/officeDocument/2006/relationships" ref="R1512" r:id="rId2961"/>
    <hyperlink xmlns:r="http://schemas.openxmlformats.org/officeDocument/2006/relationships" ref="Q1513" r:id="rId2962"/>
    <hyperlink xmlns:r="http://schemas.openxmlformats.org/officeDocument/2006/relationships" ref="R1513" r:id="rId2963"/>
    <hyperlink xmlns:r="http://schemas.openxmlformats.org/officeDocument/2006/relationships" ref="Q1514" r:id="rId2964"/>
    <hyperlink xmlns:r="http://schemas.openxmlformats.org/officeDocument/2006/relationships" ref="R1514" r:id="rId2965"/>
    <hyperlink xmlns:r="http://schemas.openxmlformats.org/officeDocument/2006/relationships" ref="Q1515" r:id="rId2966"/>
    <hyperlink xmlns:r="http://schemas.openxmlformats.org/officeDocument/2006/relationships" ref="R1515" r:id="rId2967"/>
    <hyperlink xmlns:r="http://schemas.openxmlformats.org/officeDocument/2006/relationships" ref="Q1516" r:id="rId2968"/>
    <hyperlink xmlns:r="http://schemas.openxmlformats.org/officeDocument/2006/relationships" ref="R1516" r:id="rId2969"/>
    <hyperlink xmlns:r="http://schemas.openxmlformats.org/officeDocument/2006/relationships" ref="Q1517" r:id="rId2970"/>
    <hyperlink xmlns:r="http://schemas.openxmlformats.org/officeDocument/2006/relationships" ref="R1517" r:id="rId2971"/>
    <hyperlink xmlns:r="http://schemas.openxmlformats.org/officeDocument/2006/relationships" ref="Q1518" r:id="rId2972"/>
    <hyperlink xmlns:r="http://schemas.openxmlformats.org/officeDocument/2006/relationships" ref="R1518" r:id="rId2973"/>
    <hyperlink xmlns:r="http://schemas.openxmlformats.org/officeDocument/2006/relationships" ref="Q1519" r:id="rId2974"/>
    <hyperlink xmlns:r="http://schemas.openxmlformats.org/officeDocument/2006/relationships" ref="R1519" r:id="rId2975"/>
    <hyperlink xmlns:r="http://schemas.openxmlformats.org/officeDocument/2006/relationships" ref="Q1520" r:id="rId2976"/>
    <hyperlink xmlns:r="http://schemas.openxmlformats.org/officeDocument/2006/relationships" ref="R1520" r:id="rId2977"/>
    <hyperlink xmlns:r="http://schemas.openxmlformats.org/officeDocument/2006/relationships" ref="Q1521" r:id="rId2978"/>
    <hyperlink xmlns:r="http://schemas.openxmlformats.org/officeDocument/2006/relationships" ref="R1521" r:id="rId2979"/>
    <hyperlink xmlns:r="http://schemas.openxmlformats.org/officeDocument/2006/relationships" ref="Q1522" r:id="rId2980"/>
    <hyperlink xmlns:r="http://schemas.openxmlformats.org/officeDocument/2006/relationships" ref="R1522" r:id="rId2981"/>
    <hyperlink xmlns:r="http://schemas.openxmlformats.org/officeDocument/2006/relationships" ref="Q1523" r:id="rId2982"/>
    <hyperlink xmlns:r="http://schemas.openxmlformats.org/officeDocument/2006/relationships" ref="R1523" r:id="rId2983"/>
    <hyperlink xmlns:r="http://schemas.openxmlformats.org/officeDocument/2006/relationships" ref="Q1524" r:id="rId2984"/>
    <hyperlink xmlns:r="http://schemas.openxmlformats.org/officeDocument/2006/relationships" ref="R1524" r:id="rId2985"/>
    <hyperlink xmlns:r="http://schemas.openxmlformats.org/officeDocument/2006/relationships" ref="Q1525" r:id="rId2986"/>
    <hyperlink xmlns:r="http://schemas.openxmlformats.org/officeDocument/2006/relationships" ref="R1525" r:id="rId2987"/>
    <hyperlink xmlns:r="http://schemas.openxmlformats.org/officeDocument/2006/relationships" ref="Q1526" r:id="rId2988"/>
    <hyperlink xmlns:r="http://schemas.openxmlformats.org/officeDocument/2006/relationships" ref="R1526" r:id="rId2989"/>
    <hyperlink xmlns:r="http://schemas.openxmlformats.org/officeDocument/2006/relationships" ref="Q1527" r:id="rId2990"/>
    <hyperlink xmlns:r="http://schemas.openxmlformats.org/officeDocument/2006/relationships" ref="R1527" r:id="rId2991"/>
    <hyperlink xmlns:r="http://schemas.openxmlformats.org/officeDocument/2006/relationships" ref="Q1528" r:id="rId2992"/>
    <hyperlink xmlns:r="http://schemas.openxmlformats.org/officeDocument/2006/relationships" ref="R1528" r:id="rId2993"/>
    <hyperlink xmlns:r="http://schemas.openxmlformats.org/officeDocument/2006/relationships" ref="Q1529" r:id="rId2994"/>
    <hyperlink xmlns:r="http://schemas.openxmlformats.org/officeDocument/2006/relationships" ref="R1529" r:id="rId2995"/>
    <hyperlink xmlns:r="http://schemas.openxmlformats.org/officeDocument/2006/relationships" ref="Q1530" r:id="rId2996"/>
    <hyperlink xmlns:r="http://schemas.openxmlformats.org/officeDocument/2006/relationships" ref="R1530" r:id="rId2997"/>
    <hyperlink xmlns:r="http://schemas.openxmlformats.org/officeDocument/2006/relationships" ref="Q1531" r:id="rId2998"/>
    <hyperlink xmlns:r="http://schemas.openxmlformats.org/officeDocument/2006/relationships" ref="R1531" r:id="rId2999"/>
    <hyperlink xmlns:r="http://schemas.openxmlformats.org/officeDocument/2006/relationships" ref="Q1532" r:id="rId3000"/>
    <hyperlink xmlns:r="http://schemas.openxmlformats.org/officeDocument/2006/relationships" ref="R1532" r:id="rId3001"/>
    <hyperlink xmlns:r="http://schemas.openxmlformats.org/officeDocument/2006/relationships" ref="Q1533" r:id="rId3002"/>
    <hyperlink xmlns:r="http://schemas.openxmlformats.org/officeDocument/2006/relationships" ref="R1533" r:id="rId3003"/>
    <hyperlink xmlns:r="http://schemas.openxmlformats.org/officeDocument/2006/relationships" ref="Q1534" r:id="rId3004"/>
    <hyperlink xmlns:r="http://schemas.openxmlformats.org/officeDocument/2006/relationships" ref="R1534" r:id="rId3005"/>
    <hyperlink xmlns:r="http://schemas.openxmlformats.org/officeDocument/2006/relationships" ref="Q1535" r:id="rId3006"/>
    <hyperlink xmlns:r="http://schemas.openxmlformats.org/officeDocument/2006/relationships" ref="R1535" r:id="rId3007"/>
    <hyperlink xmlns:r="http://schemas.openxmlformats.org/officeDocument/2006/relationships" ref="Q1536" r:id="rId3008"/>
    <hyperlink xmlns:r="http://schemas.openxmlformats.org/officeDocument/2006/relationships" ref="R1536" r:id="rId3009"/>
    <hyperlink xmlns:r="http://schemas.openxmlformats.org/officeDocument/2006/relationships" ref="Q1537" r:id="rId3010"/>
    <hyperlink xmlns:r="http://schemas.openxmlformats.org/officeDocument/2006/relationships" ref="R1537" r:id="rId3011"/>
    <hyperlink xmlns:r="http://schemas.openxmlformats.org/officeDocument/2006/relationships" ref="Q1538" r:id="rId3012"/>
    <hyperlink xmlns:r="http://schemas.openxmlformats.org/officeDocument/2006/relationships" ref="R1538" r:id="rId3013"/>
    <hyperlink xmlns:r="http://schemas.openxmlformats.org/officeDocument/2006/relationships" ref="Q1539" r:id="rId3014"/>
    <hyperlink xmlns:r="http://schemas.openxmlformats.org/officeDocument/2006/relationships" ref="R1539" r:id="rId3015"/>
    <hyperlink xmlns:r="http://schemas.openxmlformats.org/officeDocument/2006/relationships" ref="Q1540" r:id="rId3016"/>
    <hyperlink xmlns:r="http://schemas.openxmlformats.org/officeDocument/2006/relationships" ref="Q1541" r:id="rId3017"/>
    <hyperlink xmlns:r="http://schemas.openxmlformats.org/officeDocument/2006/relationships" ref="R1541" r:id="rId3018"/>
    <hyperlink xmlns:r="http://schemas.openxmlformats.org/officeDocument/2006/relationships" ref="Q1542" r:id="rId3019"/>
    <hyperlink xmlns:r="http://schemas.openxmlformats.org/officeDocument/2006/relationships" ref="R1542" r:id="rId3020"/>
    <hyperlink xmlns:r="http://schemas.openxmlformats.org/officeDocument/2006/relationships" ref="Q1543" r:id="rId3021"/>
    <hyperlink xmlns:r="http://schemas.openxmlformats.org/officeDocument/2006/relationships" ref="R1543" r:id="rId3022"/>
    <hyperlink xmlns:r="http://schemas.openxmlformats.org/officeDocument/2006/relationships" ref="Q1544" r:id="rId3023"/>
    <hyperlink xmlns:r="http://schemas.openxmlformats.org/officeDocument/2006/relationships" ref="R1544" r:id="rId3024"/>
    <hyperlink xmlns:r="http://schemas.openxmlformats.org/officeDocument/2006/relationships" ref="Q1545" r:id="rId3025"/>
    <hyperlink xmlns:r="http://schemas.openxmlformats.org/officeDocument/2006/relationships" ref="R1545" r:id="rId3026"/>
    <hyperlink xmlns:r="http://schemas.openxmlformats.org/officeDocument/2006/relationships" ref="Q1546" r:id="rId3027"/>
    <hyperlink xmlns:r="http://schemas.openxmlformats.org/officeDocument/2006/relationships" ref="R1546" r:id="rId3028"/>
    <hyperlink xmlns:r="http://schemas.openxmlformats.org/officeDocument/2006/relationships" ref="Q1547" r:id="rId3029"/>
    <hyperlink xmlns:r="http://schemas.openxmlformats.org/officeDocument/2006/relationships" ref="R1547" r:id="rId3030"/>
    <hyperlink xmlns:r="http://schemas.openxmlformats.org/officeDocument/2006/relationships" ref="Q1548" r:id="rId3031"/>
    <hyperlink xmlns:r="http://schemas.openxmlformats.org/officeDocument/2006/relationships" ref="R1548" r:id="rId3032"/>
    <hyperlink xmlns:r="http://schemas.openxmlformats.org/officeDocument/2006/relationships" ref="Q1549" r:id="rId3033"/>
    <hyperlink xmlns:r="http://schemas.openxmlformats.org/officeDocument/2006/relationships" ref="R1549" r:id="rId3034"/>
    <hyperlink xmlns:r="http://schemas.openxmlformats.org/officeDocument/2006/relationships" ref="Q1550" r:id="rId3035"/>
    <hyperlink xmlns:r="http://schemas.openxmlformats.org/officeDocument/2006/relationships" ref="R1550" r:id="rId3036"/>
    <hyperlink xmlns:r="http://schemas.openxmlformats.org/officeDocument/2006/relationships" ref="Q1551" r:id="rId3037"/>
    <hyperlink xmlns:r="http://schemas.openxmlformats.org/officeDocument/2006/relationships" ref="R1551" r:id="rId3038"/>
    <hyperlink xmlns:r="http://schemas.openxmlformats.org/officeDocument/2006/relationships" ref="Q1552" r:id="rId3039"/>
    <hyperlink xmlns:r="http://schemas.openxmlformats.org/officeDocument/2006/relationships" ref="R1552" r:id="rId3040"/>
    <hyperlink xmlns:r="http://schemas.openxmlformats.org/officeDocument/2006/relationships" ref="Q1553" r:id="rId3041"/>
    <hyperlink xmlns:r="http://schemas.openxmlformats.org/officeDocument/2006/relationships" ref="R1553" r:id="rId3042"/>
    <hyperlink xmlns:r="http://schemas.openxmlformats.org/officeDocument/2006/relationships" ref="Q1554" r:id="rId3043"/>
    <hyperlink xmlns:r="http://schemas.openxmlformats.org/officeDocument/2006/relationships" ref="R1554" r:id="rId3044"/>
    <hyperlink xmlns:r="http://schemas.openxmlformats.org/officeDocument/2006/relationships" ref="Q1555" r:id="rId3045"/>
    <hyperlink xmlns:r="http://schemas.openxmlformats.org/officeDocument/2006/relationships" ref="R1555" r:id="rId3046"/>
    <hyperlink xmlns:r="http://schemas.openxmlformats.org/officeDocument/2006/relationships" ref="Q1556" r:id="rId3047"/>
    <hyperlink xmlns:r="http://schemas.openxmlformats.org/officeDocument/2006/relationships" ref="R1556" r:id="rId3048"/>
    <hyperlink xmlns:r="http://schemas.openxmlformats.org/officeDocument/2006/relationships" ref="Q1557" r:id="rId3049"/>
    <hyperlink xmlns:r="http://schemas.openxmlformats.org/officeDocument/2006/relationships" ref="R1557" r:id="rId3050"/>
    <hyperlink xmlns:r="http://schemas.openxmlformats.org/officeDocument/2006/relationships" ref="Q1558" r:id="rId3051"/>
    <hyperlink xmlns:r="http://schemas.openxmlformats.org/officeDocument/2006/relationships" ref="R1558" r:id="rId3052"/>
    <hyperlink xmlns:r="http://schemas.openxmlformats.org/officeDocument/2006/relationships" ref="Q1559" r:id="rId3053"/>
    <hyperlink xmlns:r="http://schemas.openxmlformats.org/officeDocument/2006/relationships" ref="R1559" r:id="rId3054"/>
    <hyperlink xmlns:r="http://schemas.openxmlformats.org/officeDocument/2006/relationships" ref="Q1560" r:id="rId3055"/>
    <hyperlink xmlns:r="http://schemas.openxmlformats.org/officeDocument/2006/relationships" ref="R1560" r:id="rId3056"/>
    <hyperlink xmlns:r="http://schemas.openxmlformats.org/officeDocument/2006/relationships" ref="Q1561" r:id="rId3057"/>
    <hyperlink xmlns:r="http://schemas.openxmlformats.org/officeDocument/2006/relationships" ref="R1561" r:id="rId3058"/>
    <hyperlink xmlns:r="http://schemas.openxmlformats.org/officeDocument/2006/relationships" ref="Q1562" r:id="rId3059"/>
    <hyperlink xmlns:r="http://schemas.openxmlformats.org/officeDocument/2006/relationships" ref="R1562" r:id="rId3060"/>
    <hyperlink xmlns:r="http://schemas.openxmlformats.org/officeDocument/2006/relationships" ref="Q1563" r:id="rId3061"/>
    <hyperlink xmlns:r="http://schemas.openxmlformats.org/officeDocument/2006/relationships" ref="R1563" r:id="rId3062"/>
    <hyperlink xmlns:r="http://schemas.openxmlformats.org/officeDocument/2006/relationships" ref="Q1564" r:id="rId3063"/>
    <hyperlink xmlns:r="http://schemas.openxmlformats.org/officeDocument/2006/relationships" ref="R1564" r:id="rId3064"/>
    <hyperlink xmlns:r="http://schemas.openxmlformats.org/officeDocument/2006/relationships" ref="Q1565" r:id="rId3065"/>
    <hyperlink xmlns:r="http://schemas.openxmlformats.org/officeDocument/2006/relationships" ref="R1565" r:id="rId3066"/>
    <hyperlink xmlns:r="http://schemas.openxmlformats.org/officeDocument/2006/relationships" ref="Q1566" r:id="rId3067"/>
    <hyperlink xmlns:r="http://schemas.openxmlformats.org/officeDocument/2006/relationships" ref="R1566" r:id="rId3068"/>
    <hyperlink xmlns:r="http://schemas.openxmlformats.org/officeDocument/2006/relationships" ref="Q1567" r:id="rId3069"/>
    <hyperlink xmlns:r="http://schemas.openxmlformats.org/officeDocument/2006/relationships" ref="R1567" r:id="rId3070"/>
    <hyperlink xmlns:r="http://schemas.openxmlformats.org/officeDocument/2006/relationships" ref="Q1568" r:id="rId3071"/>
    <hyperlink xmlns:r="http://schemas.openxmlformats.org/officeDocument/2006/relationships" ref="R1568" r:id="rId3072"/>
    <hyperlink xmlns:r="http://schemas.openxmlformats.org/officeDocument/2006/relationships" ref="Q1569" r:id="rId3073"/>
    <hyperlink xmlns:r="http://schemas.openxmlformats.org/officeDocument/2006/relationships" ref="R1569" r:id="rId3074"/>
    <hyperlink xmlns:r="http://schemas.openxmlformats.org/officeDocument/2006/relationships" ref="Q1570" r:id="rId3075"/>
    <hyperlink xmlns:r="http://schemas.openxmlformats.org/officeDocument/2006/relationships" ref="R1570" r:id="rId3076"/>
    <hyperlink xmlns:r="http://schemas.openxmlformats.org/officeDocument/2006/relationships" ref="Q1571" r:id="rId3077"/>
    <hyperlink xmlns:r="http://schemas.openxmlformats.org/officeDocument/2006/relationships" ref="R1571" r:id="rId3078"/>
    <hyperlink xmlns:r="http://schemas.openxmlformats.org/officeDocument/2006/relationships" ref="Q1572" r:id="rId3079"/>
    <hyperlink xmlns:r="http://schemas.openxmlformats.org/officeDocument/2006/relationships" ref="R1572" r:id="rId3080"/>
    <hyperlink xmlns:r="http://schemas.openxmlformats.org/officeDocument/2006/relationships" ref="Q1573" r:id="rId3081"/>
    <hyperlink xmlns:r="http://schemas.openxmlformats.org/officeDocument/2006/relationships" ref="R1573" r:id="rId3082"/>
    <hyperlink xmlns:r="http://schemas.openxmlformats.org/officeDocument/2006/relationships" ref="Q1574" r:id="rId3083"/>
    <hyperlink xmlns:r="http://schemas.openxmlformats.org/officeDocument/2006/relationships" ref="R1574" r:id="rId3084"/>
    <hyperlink xmlns:r="http://schemas.openxmlformats.org/officeDocument/2006/relationships" ref="Q1575" r:id="rId3085"/>
    <hyperlink xmlns:r="http://schemas.openxmlformats.org/officeDocument/2006/relationships" ref="R1575" r:id="rId3086"/>
    <hyperlink xmlns:r="http://schemas.openxmlformats.org/officeDocument/2006/relationships" ref="Q1576" r:id="rId3087"/>
    <hyperlink xmlns:r="http://schemas.openxmlformats.org/officeDocument/2006/relationships" ref="R1576" r:id="rId3088"/>
    <hyperlink xmlns:r="http://schemas.openxmlformats.org/officeDocument/2006/relationships" ref="Q1577" r:id="rId3089"/>
    <hyperlink xmlns:r="http://schemas.openxmlformats.org/officeDocument/2006/relationships" ref="R1577" r:id="rId3090"/>
    <hyperlink xmlns:r="http://schemas.openxmlformats.org/officeDocument/2006/relationships" ref="Q1578" r:id="rId3091"/>
    <hyperlink xmlns:r="http://schemas.openxmlformats.org/officeDocument/2006/relationships" ref="R1578" r:id="rId3092"/>
    <hyperlink xmlns:r="http://schemas.openxmlformats.org/officeDocument/2006/relationships" ref="Q1579" r:id="rId3093"/>
    <hyperlink xmlns:r="http://schemas.openxmlformats.org/officeDocument/2006/relationships" ref="R1579" r:id="rId3094"/>
    <hyperlink xmlns:r="http://schemas.openxmlformats.org/officeDocument/2006/relationships" ref="Q1580" r:id="rId3095"/>
    <hyperlink xmlns:r="http://schemas.openxmlformats.org/officeDocument/2006/relationships" ref="R1580" r:id="rId3096"/>
    <hyperlink xmlns:r="http://schemas.openxmlformats.org/officeDocument/2006/relationships" ref="Q1581" r:id="rId3097"/>
    <hyperlink xmlns:r="http://schemas.openxmlformats.org/officeDocument/2006/relationships" ref="R1581" r:id="rId3098"/>
    <hyperlink xmlns:r="http://schemas.openxmlformats.org/officeDocument/2006/relationships" ref="Q1582" r:id="rId3099"/>
    <hyperlink xmlns:r="http://schemas.openxmlformats.org/officeDocument/2006/relationships" ref="R1582" r:id="rId3100"/>
    <hyperlink xmlns:r="http://schemas.openxmlformats.org/officeDocument/2006/relationships" ref="Q1583" r:id="rId3101"/>
    <hyperlink xmlns:r="http://schemas.openxmlformats.org/officeDocument/2006/relationships" ref="R1583" r:id="rId3102"/>
    <hyperlink xmlns:r="http://schemas.openxmlformats.org/officeDocument/2006/relationships" ref="Q1584" r:id="rId3103"/>
    <hyperlink xmlns:r="http://schemas.openxmlformats.org/officeDocument/2006/relationships" ref="R1584" r:id="rId3104"/>
    <hyperlink xmlns:r="http://schemas.openxmlformats.org/officeDocument/2006/relationships" ref="Q1585" r:id="rId3105"/>
    <hyperlink xmlns:r="http://schemas.openxmlformats.org/officeDocument/2006/relationships" ref="R1585" r:id="rId3106"/>
    <hyperlink xmlns:r="http://schemas.openxmlformats.org/officeDocument/2006/relationships" ref="Q1586" r:id="rId3107"/>
    <hyperlink xmlns:r="http://schemas.openxmlformats.org/officeDocument/2006/relationships" ref="R1586" r:id="rId3108"/>
    <hyperlink xmlns:r="http://schemas.openxmlformats.org/officeDocument/2006/relationships" ref="Q1587" r:id="rId3109"/>
    <hyperlink xmlns:r="http://schemas.openxmlformats.org/officeDocument/2006/relationships" ref="R1587" r:id="rId3110"/>
    <hyperlink xmlns:r="http://schemas.openxmlformats.org/officeDocument/2006/relationships" ref="Q1588" r:id="rId3111"/>
    <hyperlink xmlns:r="http://schemas.openxmlformats.org/officeDocument/2006/relationships" ref="R1588" r:id="rId3112"/>
    <hyperlink xmlns:r="http://schemas.openxmlformats.org/officeDocument/2006/relationships" ref="Q1589" r:id="rId3113"/>
    <hyperlink xmlns:r="http://schemas.openxmlformats.org/officeDocument/2006/relationships" ref="R1589" r:id="rId3114"/>
    <hyperlink xmlns:r="http://schemas.openxmlformats.org/officeDocument/2006/relationships" ref="Q1590" r:id="rId3115"/>
    <hyperlink xmlns:r="http://schemas.openxmlformats.org/officeDocument/2006/relationships" ref="R1590" r:id="rId3116"/>
    <hyperlink xmlns:r="http://schemas.openxmlformats.org/officeDocument/2006/relationships" ref="Q1591" r:id="rId3117"/>
    <hyperlink xmlns:r="http://schemas.openxmlformats.org/officeDocument/2006/relationships" ref="R1591" r:id="rId3118"/>
    <hyperlink xmlns:r="http://schemas.openxmlformats.org/officeDocument/2006/relationships" ref="Q1592" r:id="rId3119"/>
    <hyperlink xmlns:r="http://schemas.openxmlformats.org/officeDocument/2006/relationships" ref="R1592" r:id="rId3120"/>
    <hyperlink xmlns:r="http://schemas.openxmlformats.org/officeDocument/2006/relationships" ref="Q1593" r:id="rId3121"/>
    <hyperlink xmlns:r="http://schemas.openxmlformats.org/officeDocument/2006/relationships" ref="R1593" r:id="rId3122"/>
    <hyperlink xmlns:r="http://schemas.openxmlformats.org/officeDocument/2006/relationships" ref="Q1594" r:id="rId3123"/>
    <hyperlink xmlns:r="http://schemas.openxmlformats.org/officeDocument/2006/relationships" ref="R1594" r:id="rId3124"/>
    <hyperlink xmlns:r="http://schemas.openxmlformats.org/officeDocument/2006/relationships" ref="Q1595" r:id="rId3125"/>
    <hyperlink xmlns:r="http://schemas.openxmlformats.org/officeDocument/2006/relationships" ref="R1595" r:id="rId3126"/>
    <hyperlink xmlns:r="http://schemas.openxmlformats.org/officeDocument/2006/relationships" ref="Q1596" r:id="rId3127"/>
    <hyperlink xmlns:r="http://schemas.openxmlformats.org/officeDocument/2006/relationships" ref="R1596" r:id="rId3128"/>
    <hyperlink xmlns:r="http://schemas.openxmlformats.org/officeDocument/2006/relationships" ref="Q1597" r:id="rId3129"/>
    <hyperlink xmlns:r="http://schemas.openxmlformats.org/officeDocument/2006/relationships" ref="R1597" r:id="rId3130"/>
    <hyperlink xmlns:r="http://schemas.openxmlformats.org/officeDocument/2006/relationships" ref="Q1598" r:id="rId3131"/>
    <hyperlink xmlns:r="http://schemas.openxmlformats.org/officeDocument/2006/relationships" ref="R1598" r:id="rId3132"/>
    <hyperlink xmlns:r="http://schemas.openxmlformats.org/officeDocument/2006/relationships" ref="Q1599" r:id="rId3133"/>
    <hyperlink xmlns:r="http://schemas.openxmlformats.org/officeDocument/2006/relationships" ref="R1599" r:id="rId3134"/>
    <hyperlink xmlns:r="http://schemas.openxmlformats.org/officeDocument/2006/relationships" ref="Q1600" r:id="rId3135"/>
    <hyperlink xmlns:r="http://schemas.openxmlformats.org/officeDocument/2006/relationships" ref="R1600" r:id="rId3136"/>
    <hyperlink xmlns:r="http://schemas.openxmlformats.org/officeDocument/2006/relationships" ref="Q1601" r:id="rId3137"/>
    <hyperlink xmlns:r="http://schemas.openxmlformats.org/officeDocument/2006/relationships" ref="R1601" r:id="rId3138"/>
    <hyperlink xmlns:r="http://schemas.openxmlformats.org/officeDocument/2006/relationships" ref="Q1602" r:id="rId3139"/>
    <hyperlink xmlns:r="http://schemas.openxmlformats.org/officeDocument/2006/relationships" ref="R1602" r:id="rId3140"/>
    <hyperlink xmlns:r="http://schemas.openxmlformats.org/officeDocument/2006/relationships" ref="Q1603" r:id="rId3141"/>
    <hyperlink xmlns:r="http://schemas.openxmlformats.org/officeDocument/2006/relationships" ref="R1603" r:id="rId3142"/>
    <hyperlink xmlns:r="http://schemas.openxmlformats.org/officeDocument/2006/relationships" ref="Q1604" r:id="rId3143"/>
    <hyperlink xmlns:r="http://schemas.openxmlformats.org/officeDocument/2006/relationships" ref="R1604" r:id="rId3144"/>
    <hyperlink xmlns:r="http://schemas.openxmlformats.org/officeDocument/2006/relationships" ref="Q1605" r:id="rId3145"/>
    <hyperlink xmlns:r="http://schemas.openxmlformats.org/officeDocument/2006/relationships" ref="R1605" r:id="rId3146"/>
    <hyperlink xmlns:r="http://schemas.openxmlformats.org/officeDocument/2006/relationships" ref="Q1606" r:id="rId3147"/>
    <hyperlink xmlns:r="http://schemas.openxmlformats.org/officeDocument/2006/relationships" ref="R1606" r:id="rId3148"/>
    <hyperlink xmlns:r="http://schemas.openxmlformats.org/officeDocument/2006/relationships" ref="Q1607" r:id="rId3149"/>
    <hyperlink xmlns:r="http://schemas.openxmlformats.org/officeDocument/2006/relationships" ref="R1607" r:id="rId3150"/>
    <hyperlink xmlns:r="http://schemas.openxmlformats.org/officeDocument/2006/relationships" ref="Q1608" r:id="rId3151"/>
    <hyperlink xmlns:r="http://schemas.openxmlformats.org/officeDocument/2006/relationships" ref="R1608" r:id="rId3152"/>
    <hyperlink xmlns:r="http://schemas.openxmlformats.org/officeDocument/2006/relationships" ref="Q1609" r:id="rId3153"/>
    <hyperlink xmlns:r="http://schemas.openxmlformats.org/officeDocument/2006/relationships" ref="R1609" r:id="rId3154"/>
    <hyperlink xmlns:r="http://schemas.openxmlformats.org/officeDocument/2006/relationships" ref="Q1610" r:id="rId3155"/>
    <hyperlink xmlns:r="http://schemas.openxmlformats.org/officeDocument/2006/relationships" ref="R1610" r:id="rId3156"/>
    <hyperlink xmlns:r="http://schemas.openxmlformats.org/officeDocument/2006/relationships" ref="Q1611" r:id="rId3157"/>
    <hyperlink xmlns:r="http://schemas.openxmlformats.org/officeDocument/2006/relationships" ref="Q1612" r:id="rId3158"/>
    <hyperlink xmlns:r="http://schemas.openxmlformats.org/officeDocument/2006/relationships" ref="R1612" r:id="rId3159"/>
    <hyperlink xmlns:r="http://schemas.openxmlformats.org/officeDocument/2006/relationships" ref="Q1613" r:id="rId3160"/>
    <hyperlink xmlns:r="http://schemas.openxmlformats.org/officeDocument/2006/relationships" ref="R1613" r:id="rId3161"/>
    <hyperlink xmlns:r="http://schemas.openxmlformats.org/officeDocument/2006/relationships" ref="Q1614" r:id="rId3162"/>
    <hyperlink xmlns:r="http://schemas.openxmlformats.org/officeDocument/2006/relationships" ref="R1614" r:id="rId3163"/>
    <hyperlink xmlns:r="http://schemas.openxmlformats.org/officeDocument/2006/relationships" ref="Q1615" r:id="rId3164"/>
    <hyperlink xmlns:r="http://schemas.openxmlformats.org/officeDocument/2006/relationships" ref="R1615" r:id="rId3165"/>
    <hyperlink xmlns:r="http://schemas.openxmlformats.org/officeDocument/2006/relationships" ref="Q1616" r:id="rId3166"/>
    <hyperlink xmlns:r="http://schemas.openxmlformats.org/officeDocument/2006/relationships" ref="R1616" r:id="rId3167"/>
    <hyperlink xmlns:r="http://schemas.openxmlformats.org/officeDocument/2006/relationships" ref="Q1617" r:id="rId3168"/>
    <hyperlink xmlns:r="http://schemas.openxmlformats.org/officeDocument/2006/relationships" ref="R1617" r:id="rId3169"/>
    <hyperlink xmlns:r="http://schemas.openxmlformats.org/officeDocument/2006/relationships" ref="Q1618" r:id="rId3170"/>
    <hyperlink xmlns:r="http://schemas.openxmlformats.org/officeDocument/2006/relationships" ref="R1618" r:id="rId3171"/>
    <hyperlink xmlns:r="http://schemas.openxmlformats.org/officeDocument/2006/relationships" ref="Q1619" r:id="rId3172"/>
    <hyperlink xmlns:r="http://schemas.openxmlformats.org/officeDocument/2006/relationships" ref="R1619" r:id="rId3173"/>
    <hyperlink xmlns:r="http://schemas.openxmlformats.org/officeDocument/2006/relationships" ref="Q1620" r:id="rId3174"/>
    <hyperlink xmlns:r="http://schemas.openxmlformats.org/officeDocument/2006/relationships" ref="R1620" r:id="rId3175"/>
    <hyperlink xmlns:r="http://schemas.openxmlformats.org/officeDocument/2006/relationships" ref="Q1621" r:id="rId3176"/>
    <hyperlink xmlns:r="http://schemas.openxmlformats.org/officeDocument/2006/relationships" ref="R1621" r:id="rId3177"/>
    <hyperlink xmlns:r="http://schemas.openxmlformats.org/officeDocument/2006/relationships" ref="Q1622" r:id="rId3178"/>
    <hyperlink xmlns:r="http://schemas.openxmlformats.org/officeDocument/2006/relationships" ref="R1622" r:id="rId3179"/>
    <hyperlink xmlns:r="http://schemas.openxmlformats.org/officeDocument/2006/relationships" ref="Q1623" r:id="rId3180"/>
    <hyperlink xmlns:r="http://schemas.openxmlformats.org/officeDocument/2006/relationships" ref="R1623" r:id="rId3181"/>
    <hyperlink xmlns:r="http://schemas.openxmlformats.org/officeDocument/2006/relationships" ref="Q1624" r:id="rId3182"/>
    <hyperlink xmlns:r="http://schemas.openxmlformats.org/officeDocument/2006/relationships" ref="R1624" r:id="rId3183"/>
    <hyperlink xmlns:r="http://schemas.openxmlformats.org/officeDocument/2006/relationships" ref="Q1625" r:id="rId3184"/>
    <hyperlink xmlns:r="http://schemas.openxmlformats.org/officeDocument/2006/relationships" ref="R1625" r:id="rId3185"/>
    <hyperlink xmlns:r="http://schemas.openxmlformats.org/officeDocument/2006/relationships" ref="Q1626" r:id="rId3186"/>
    <hyperlink xmlns:r="http://schemas.openxmlformats.org/officeDocument/2006/relationships" ref="R1626" r:id="rId3187"/>
    <hyperlink xmlns:r="http://schemas.openxmlformats.org/officeDocument/2006/relationships" ref="Q1627" r:id="rId3188"/>
    <hyperlink xmlns:r="http://schemas.openxmlformats.org/officeDocument/2006/relationships" ref="R1627" r:id="rId3189"/>
    <hyperlink xmlns:r="http://schemas.openxmlformats.org/officeDocument/2006/relationships" ref="Q1628" r:id="rId3190"/>
    <hyperlink xmlns:r="http://schemas.openxmlformats.org/officeDocument/2006/relationships" ref="R1628" r:id="rId3191"/>
    <hyperlink xmlns:r="http://schemas.openxmlformats.org/officeDocument/2006/relationships" ref="Q1629" r:id="rId3192"/>
    <hyperlink xmlns:r="http://schemas.openxmlformats.org/officeDocument/2006/relationships" ref="R1629" r:id="rId3193"/>
    <hyperlink xmlns:r="http://schemas.openxmlformats.org/officeDocument/2006/relationships" ref="Q1630" r:id="rId3194"/>
    <hyperlink xmlns:r="http://schemas.openxmlformats.org/officeDocument/2006/relationships" ref="R1630" r:id="rId3195"/>
    <hyperlink xmlns:r="http://schemas.openxmlformats.org/officeDocument/2006/relationships" ref="Q1631" r:id="rId3196"/>
    <hyperlink xmlns:r="http://schemas.openxmlformats.org/officeDocument/2006/relationships" ref="R1631" r:id="rId3197"/>
    <hyperlink xmlns:r="http://schemas.openxmlformats.org/officeDocument/2006/relationships" ref="Q1632" r:id="rId3198"/>
    <hyperlink xmlns:r="http://schemas.openxmlformats.org/officeDocument/2006/relationships" ref="R1632" r:id="rId3199"/>
    <hyperlink xmlns:r="http://schemas.openxmlformats.org/officeDocument/2006/relationships" ref="Q1633" r:id="rId3200"/>
    <hyperlink xmlns:r="http://schemas.openxmlformats.org/officeDocument/2006/relationships" ref="R1633" r:id="rId3201"/>
    <hyperlink xmlns:r="http://schemas.openxmlformats.org/officeDocument/2006/relationships" ref="Q1634" r:id="rId3202"/>
    <hyperlink xmlns:r="http://schemas.openxmlformats.org/officeDocument/2006/relationships" ref="R1634" r:id="rId3203"/>
    <hyperlink xmlns:r="http://schemas.openxmlformats.org/officeDocument/2006/relationships" ref="Q1635" r:id="rId3204"/>
    <hyperlink xmlns:r="http://schemas.openxmlformats.org/officeDocument/2006/relationships" ref="R1635" r:id="rId3205"/>
    <hyperlink xmlns:r="http://schemas.openxmlformats.org/officeDocument/2006/relationships" ref="Q1636" r:id="rId3206"/>
    <hyperlink xmlns:r="http://schemas.openxmlformats.org/officeDocument/2006/relationships" ref="R1636" r:id="rId3207"/>
    <hyperlink xmlns:r="http://schemas.openxmlformats.org/officeDocument/2006/relationships" ref="Q1637" r:id="rId3208"/>
    <hyperlink xmlns:r="http://schemas.openxmlformats.org/officeDocument/2006/relationships" ref="R1637" r:id="rId3209"/>
    <hyperlink xmlns:r="http://schemas.openxmlformats.org/officeDocument/2006/relationships" ref="Q1638" r:id="rId3210"/>
    <hyperlink xmlns:r="http://schemas.openxmlformats.org/officeDocument/2006/relationships" ref="R1638" r:id="rId3211"/>
    <hyperlink xmlns:r="http://schemas.openxmlformats.org/officeDocument/2006/relationships" ref="Q1639" r:id="rId3212"/>
    <hyperlink xmlns:r="http://schemas.openxmlformats.org/officeDocument/2006/relationships" ref="R1639" r:id="rId3213"/>
    <hyperlink xmlns:r="http://schemas.openxmlformats.org/officeDocument/2006/relationships" ref="Q1640" r:id="rId3214"/>
    <hyperlink xmlns:r="http://schemas.openxmlformats.org/officeDocument/2006/relationships" ref="R1640" r:id="rId3215"/>
    <hyperlink xmlns:r="http://schemas.openxmlformats.org/officeDocument/2006/relationships" ref="Q1641" r:id="rId3216"/>
    <hyperlink xmlns:r="http://schemas.openxmlformats.org/officeDocument/2006/relationships" ref="R1641" r:id="rId3217"/>
    <hyperlink xmlns:r="http://schemas.openxmlformats.org/officeDocument/2006/relationships" ref="Q1642" r:id="rId3218"/>
    <hyperlink xmlns:r="http://schemas.openxmlformats.org/officeDocument/2006/relationships" ref="R1642" r:id="rId3219"/>
    <hyperlink xmlns:r="http://schemas.openxmlformats.org/officeDocument/2006/relationships" ref="Q1643" r:id="rId3220"/>
    <hyperlink xmlns:r="http://schemas.openxmlformats.org/officeDocument/2006/relationships" ref="R1643" r:id="rId3221"/>
    <hyperlink xmlns:r="http://schemas.openxmlformats.org/officeDocument/2006/relationships" ref="Q1644" r:id="rId3222"/>
    <hyperlink xmlns:r="http://schemas.openxmlformats.org/officeDocument/2006/relationships" ref="R1644" r:id="rId3223"/>
    <hyperlink xmlns:r="http://schemas.openxmlformats.org/officeDocument/2006/relationships" ref="Q1645" r:id="rId3224"/>
    <hyperlink xmlns:r="http://schemas.openxmlformats.org/officeDocument/2006/relationships" ref="R1645" r:id="rId3225"/>
    <hyperlink xmlns:r="http://schemas.openxmlformats.org/officeDocument/2006/relationships" ref="Q1646" r:id="rId3226"/>
    <hyperlink xmlns:r="http://schemas.openxmlformats.org/officeDocument/2006/relationships" ref="R1646" r:id="rId3227"/>
    <hyperlink xmlns:r="http://schemas.openxmlformats.org/officeDocument/2006/relationships" ref="Q1647" r:id="rId3228"/>
    <hyperlink xmlns:r="http://schemas.openxmlformats.org/officeDocument/2006/relationships" ref="R1647" r:id="rId3229"/>
    <hyperlink xmlns:r="http://schemas.openxmlformats.org/officeDocument/2006/relationships" ref="Q1648" r:id="rId3230"/>
    <hyperlink xmlns:r="http://schemas.openxmlformats.org/officeDocument/2006/relationships" ref="R1648" r:id="rId3231"/>
    <hyperlink xmlns:r="http://schemas.openxmlformats.org/officeDocument/2006/relationships" ref="Q1649" r:id="rId3232"/>
    <hyperlink xmlns:r="http://schemas.openxmlformats.org/officeDocument/2006/relationships" ref="R1649" r:id="rId3233"/>
    <hyperlink xmlns:r="http://schemas.openxmlformats.org/officeDocument/2006/relationships" ref="Q1650" r:id="rId3234"/>
    <hyperlink xmlns:r="http://schemas.openxmlformats.org/officeDocument/2006/relationships" ref="R1650" r:id="rId3235"/>
    <hyperlink xmlns:r="http://schemas.openxmlformats.org/officeDocument/2006/relationships" ref="Q1651" r:id="rId3236"/>
    <hyperlink xmlns:r="http://schemas.openxmlformats.org/officeDocument/2006/relationships" ref="R1651" r:id="rId3237"/>
    <hyperlink xmlns:r="http://schemas.openxmlformats.org/officeDocument/2006/relationships" ref="Q1652" r:id="rId3238"/>
    <hyperlink xmlns:r="http://schemas.openxmlformats.org/officeDocument/2006/relationships" ref="R1652" r:id="rId3239"/>
    <hyperlink xmlns:r="http://schemas.openxmlformats.org/officeDocument/2006/relationships" ref="Q1653" r:id="rId3240"/>
    <hyperlink xmlns:r="http://schemas.openxmlformats.org/officeDocument/2006/relationships" ref="R1653" r:id="rId3241"/>
    <hyperlink xmlns:r="http://schemas.openxmlformats.org/officeDocument/2006/relationships" ref="Q1654" r:id="rId3242"/>
    <hyperlink xmlns:r="http://schemas.openxmlformats.org/officeDocument/2006/relationships" ref="R1654" r:id="rId3243"/>
    <hyperlink xmlns:r="http://schemas.openxmlformats.org/officeDocument/2006/relationships" ref="Q1655" r:id="rId3244"/>
    <hyperlink xmlns:r="http://schemas.openxmlformats.org/officeDocument/2006/relationships" ref="R1655" r:id="rId3245"/>
    <hyperlink xmlns:r="http://schemas.openxmlformats.org/officeDocument/2006/relationships" ref="Q1656" r:id="rId3246"/>
    <hyperlink xmlns:r="http://schemas.openxmlformats.org/officeDocument/2006/relationships" ref="R1656" r:id="rId3247"/>
    <hyperlink xmlns:r="http://schemas.openxmlformats.org/officeDocument/2006/relationships" ref="Q1657" r:id="rId3248"/>
    <hyperlink xmlns:r="http://schemas.openxmlformats.org/officeDocument/2006/relationships" ref="R1657" r:id="rId3249"/>
    <hyperlink xmlns:r="http://schemas.openxmlformats.org/officeDocument/2006/relationships" ref="Q1658" r:id="rId3250"/>
    <hyperlink xmlns:r="http://schemas.openxmlformats.org/officeDocument/2006/relationships" ref="R1658" r:id="rId3251"/>
    <hyperlink xmlns:r="http://schemas.openxmlformats.org/officeDocument/2006/relationships" ref="Q1659" r:id="rId3252"/>
    <hyperlink xmlns:r="http://schemas.openxmlformats.org/officeDocument/2006/relationships" ref="R1659" r:id="rId3253"/>
    <hyperlink xmlns:r="http://schemas.openxmlformats.org/officeDocument/2006/relationships" ref="Q1660" r:id="rId3254"/>
    <hyperlink xmlns:r="http://schemas.openxmlformats.org/officeDocument/2006/relationships" ref="R1660" r:id="rId3255"/>
    <hyperlink xmlns:r="http://schemas.openxmlformats.org/officeDocument/2006/relationships" ref="Q1661" r:id="rId3256"/>
    <hyperlink xmlns:r="http://schemas.openxmlformats.org/officeDocument/2006/relationships" ref="R1661" r:id="rId3257"/>
    <hyperlink xmlns:r="http://schemas.openxmlformats.org/officeDocument/2006/relationships" ref="Q1662" r:id="rId3258"/>
    <hyperlink xmlns:r="http://schemas.openxmlformats.org/officeDocument/2006/relationships" ref="R1662" r:id="rId3259"/>
    <hyperlink xmlns:r="http://schemas.openxmlformats.org/officeDocument/2006/relationships" ref="Q1663" r:id="rId3260"/>
    <hyperlink xmlns:r="http://schemas.openxmlformats.org/officeDocument/2006/relationships" ref="R1663" r:id="rId3261"/>
    <hyperlink xmlns:r="http://schemas.openxmlformats.org/officeDocument/2006/relationships" ref="Q1664" r:id="rId3262"/>
    <hyperlink xmlns:r="http://schemas.openxmlformats.org/officeDocument/2006/relationships" ref="R1664" r:id="rId3263"/>
    <hyperlink xmlns:r="http://schemas.openxmlformats.org/officeDocument/2006/relationships" ref="Q1665" r:id="rId3264"/>
    <hyperlink xmlns:r="http://schemas.openxmlformats.org/officeDocument/2006/relationships" ref="Q1666" r:id="rId3265"/>
    <hyperlink xmlns:r="http://schemas.openxmlformats.org/officeDocument/2006/relationships" ref="R1666" r:id="rId3266"/>
    <hyperlink xmlns:r="http://schemas.openxmlformats.org/officeDocument/2006/relationships" ref="Q1667" r:id="rId3267"/>
    <hyperlink xmlns:r="http://schemas.openxmlformats.org/officeDocument/2006/relationships" ref="R1667" r:id="rId3268"/>
    <hyperlink xmlns:r="http://schemas.openxmlformats.org/officeDocument/2006/relationships" ref="Q1668" r:id="rId3269"/>
    <hyperlink xmlns:r="http://schemas.openxmlformats.org/officeDocument/2006/relationships" ref="R1668" r:id="rId3270"/>
    <hyperlink xmlns:r="http://schemas.openxmlformats.org/officeDocument/2006/relationships" ref="Q1669" r:id="rId3271"/>
    <hyperlink xmlns:r="http://schemas.openxmlformats.org/officeDocument/2006/relationships" ref="R1669" r:id="rId3272"/>
    <hyperlink xmlns:r="http://schemas.openxmlformats.org/officeDocument/2006/relationships" ref="Q1670" r:id="rId3273"/>
    <hyperlink xmlns:r="http://schemas.openxmlformats.org/officeDocument/2006/relationships" ref="R1670" r:id="rId3274"/>
    <hyperlink xmlns:r="http://schemas.openxmlformats.org/officeDocument/2006/relationships" ref="Q1671" r:id="rId3275"/>
    <hyperlink xmlns:r="http://schemas.openxmlformats.org/officeDocument/2006/relationships" ref="R1671" r:id="rId3276"/>
    <hyperlink xmlns:r="http://schemas.openxmlformats.org/officeDocument/2006/relationships" ref="Q1672" r:id="rId3277"/>
    <hyperlink xmlns:r="http://schemas.openxmlformats.org/officeDocument/2006/relationships" ref="R1672" r:id="rId3278"/>
    <hyperlink xmlns:r="http://schemas.openxmlformats.org/officeDocument/2006/relationships" ref="Q1673" r:id="rId3279"/>
    <hyperlink xmlns:r="http://schemas.openxmlformats.org/officeDocument/2006/relationships" ref="R1673" r:id="rId3280"/>
    <hyperlink xmlns:r="http://schemas.openxmlformats.org/officeDocument/2006/relationships" ref="Q1674" r:id="rId3281"/>
    <hyperlink xmlns:r="http://schemas.openxmlformats.org/officeDocument/2006/relationships" ref="R1674" r:id="rId3282"/>
    <hyperlink xmlns:r="http://schemas.openxmlformats.org/officeDocument/2006/relationships" ref="Q1675" r:id="rId3283"/>
    <hyperlink xmlns:r="http://schemas.openxmlformats.org/officeDocument/2006/relationships" ref="R1675" r:id="rId3284"/>
    <hyperlink xmlns:r="http://schemas.openxmlformats.org/officeDocument/2006/relationships" ref="Q1676" r:id="rId3285"/>
    <hyperlink xmlns:r="http://schemas.openxmlformats.org/officeDocument/2006/relationships" ref="R1676" r:id="rId3286"/>
    <hyperlink xmlns:r="http://schemas.openxmlformats.org/officeDocument/2006/relationships" ref="Q1677" r:id="rId3287"/>
    <hyperlink xmlns:r="http://schemas.openxmlformats.org/officeDocument/2006/relationships" ref="R1677" r:id="rId3288"/>
    <hyperlink xmlns:r="http://schemas.openxmlformats.org/officeDocument/2006/relationships" ref="Q1678" r:id="rId3289"/>
    <hyperlink xmlns:r="http://schemas.openxmlformats.org/officeDocument/2006/relationships" ref="R1678" r:id="rId3290"/>
    <hyperlink xmlns:r="http://schemas.openxmlformats.org/officeDocument/2006/relationships" ref="Q1679" r:id="rId3291"/>
    <hyperlink xmlns:r="http://schemas.openxmlformats.org/officeDocument/2006/relationships" ref="R1679" r:id="rId3292"/>
    <hyperlink xmlns:r="http://schemas.openxmlformats.org/officeDocument/2006/relationships" ref="Q1680" r:id="rId3293"/>
    <hyperlink xmlns:r="http://schemas.openxmlformats.org/officeDocument/2006/relationships" ref="R1680" r:id="rId3294"/>
    <hyperlink xmlns:r="http://schemas.openxmlformats.org/officeDocument/2006/relationships" ref="Q1681" r:id="rId3295"/>
    <hyperlink xmlns:r="http://schemas.openxmlformats.org/officeDocument/2006/relationships" ref="R1681" r:id="rId3296"/>
    <hyperlink xmlns:r="http://schemas.openxmlformats.org/officeDocument/2006/relationships" ref="Q1682" r:id="rId3297"/>
    <hyperlink xmlns:r="http://schemas.openxmlformats.org/officeDocument/2006/relationships" ref="R1682" r:id="rId3298"/>
    <hyperlink xmlns:r="http://schemas.openxmlformats.org/officeDocument/2006/relationships" ref="Q1683" r:id="rId3299"/>
    <hyperlink xmlns:r="http://schemas.openxmlformats.org/officeDocument/2006/relationships" ref="R1683" r:id="rId3300"/>
    <hyperlink xmlns:r="http://schemas.openxmlformats.org/officeDocument/2006/relationships" ref="Q1684" r:id="rId3301"/>
    <hyperlink xmlns:r="http://schemas.openxmlformats.org/officeDocument/2006/relationships" ref="R1684" r:id="rId3302"/>
    <hyperlink xmlns:r="http://schemas.openxmlformats.org/officeDocument/2006/relationships" ref="Q1685" r:id="rId3303"/>
    <hyperlink xmlns:r="http://schemas.openxmlformats.org/officeDocument/2006/relationships" ref="R1685" r:id="rId3304"/>
    <hyperlink xmlns:r="http://schemas.openxmlformats.org/officeDocument/2006/relationships" ref="Q1686" r:id="rId3305"/>
    <hyperlink xmlns:r="http://schemas.openxmlformats.org/officeDocument/2006/relationships" ref="R1686" r:id="rId3306"/>
    <hyperlink xmlns:r="http://schemas.openxmlformats.org/officeDocument/2006/relationships" ref="Q1687" r:id="rId3307"/>
    <hyperlink xmlns:r="http://schemas.openxmlformats.org/officeDocument/2006/relationships" ref="R1687" r:id="rId3308"/>
    <hyperlink xmlns:r="http://schemas.openxmlformats.org/officeDocument/2006/relationships" ref="Q1688" r:id="rId3309"/>
    <hyperlink xmlns:r="http://schemas.openxmlformats.org/officeDocument/2006/relationships" ref="R1688" r:id="rId3310"/>
    <hyperlink xmlns:r="http://schemas.openxmlformats.org/officeDocument/2006/relationships" ref="Q1689" r:id="rId3311"/>
    <hyperlink xmlns:r="http://schemas.openxmlformats.org/officeDocument/2006/relationships" ref="R1689" r:id="rId3312"/>
    <hyperlink xmlns:r="http://schemas.openxmlformats.org/officeDocument/2006/relationships" ref="Q1690" r:id="rId3313"/>
    <hyperlink xmlns:r="http://schemas.openxmlformats.org/officeDocument/2006/relationships" ref="R1690" r:id="rId3314"/>
    <hyperlink xmlns:r="http://schemas.openxmlformats.org/officeDocument/2006/relationships" ref="Q1691" r:id="rId3315"/>
    <hyperlink xmlns:r="http://schemas.openxmlformats.org/officeDocument/2006/relationships" ref="R1691" r:id="rId3316"/>
    <hyperlink xmlns:r="http://schemas.openxmlformats.org/officeDocument/2006/relationships" ref="Q1692" r:id="rId3317"/>
    <hyperlink xmlns:r="http://schemas.openxmlformats.org/officeDocument/2006/relationships" ref="R1692" r:id="rId3318"/>
    <hyperlink xmlns:r="http://schemas.openxmlformats.org/officeDocument/2006/relationships" ref="Q1693" r:id="rId3319"/>
    <hyperlink xmlns:r="http://schemas.openxmlformats.org/officeDocument/2006/relationships" ref="R1693" r:id="rId3320"/>
    <hyperlink xmlns:r="http://schemas.openxmlformats.org/officeDocument/2006/relationships" ref="Q1694" r:id="rId3321"/>
    <hyperlink xmlns:r="http://schemas.openxmlformats.org/officeDocument/2006/relationships" ref="R1694" r:id="rId3322"/>
    <hyperlink xmlns:r="http://schemas.openxmlformats.org/officeDocument/2006/relationships" ref="Q1695" r:id="rId3323"/>
    <hyperlink xmlns:r="http://schemas.openxmlformats.org/officeDocument/2006/relationships" ref="R1695" r:id="rId3324"/>
    <hyperlink xmlns:r="http://schemas.openxmlformats.org/officeDocument/2006/relationships" ref="Q1696" r:id="rId3325"/>
    <hyperlink xmlns:r="http://schemas.openxmlformats.org/officeDocument/2006/relationships" ref="R1696" r:id="rId3326"/>
    <hyperlink xmlns:r="http://schemas.openxmlformats.org/officeDocument/2006/relationships" ref="Q1697" r:id="rId3327"/>
    <hyperlink xmlns:r="http://schemas.openxmlformats.org/officeDocument/2006/relationships" ref="R1697" r:id="rId3328"/>
    <hyperlink xmlns:r="http://schemas.openxmlformats.org/officeDocument/2006/relationships" ref="Q1698" r:id="rId3329"/>
    <hyperlink xmlns:r="http://schemas.openxmlformats.org/officeDocument/2006/relationships" ref="R1698" r:id="rId3330"/>
    <hyperlink xmlns:r="http://schemas.openxmlformats.org/officeDocument/2006/relationships" ref="Q1699" r:id="rId3331"/>
    <hyperlink xmlns:r="http://schemas.openxmlformats.org/officeDocument/2006/relationships" ref="R1699" r:id="rId3332"/>
    <hyperlink xmlns:r="http://schemas.openxmlformats.org/officeDocument/2006/relationships" ref="Q1700" r:id="rId3333"/>
    <hyperlink xmlns:r="http://schemas.openxmlformats.org/officeDocument/2006/relationships" ref="R1700" r:id="rId3334"/>
    <hyperlink xmlns:r="http://schemas.openxmlformats.org/officeDocument/2006/relationships" ref="Q1701" r:id="rId3335"/>
    <hyperlink xmlns:r="http://schemas.openxmlformats.org/officeDocument/2006/relationships" ref="R1701" r:id="rId3336"/>
    <hyperlink xmlns:r="http://schemas.openxmlformats.org/officeDocument/2006/relationships" ref="Q1702" r:id="rId3337"/>
    <hyperlink xmlns:r="http://schemas.openxmlformats.org/officeDocument/2006/relationships" ref="Q1703" r:id="rId3338"/>
    <hyperlink xmlns:r="http://schemas.openxmlformats.org/officeDocument/2006/relationships" ref="R1703" r:id="rId3339"/>
    <hyperlink xmlns:r="http://schemas.openxmlformats.org/officeDocument/2006/relationships" ref="Q1704" r:id="rId3340"/>
    <hyperlink xmlns:r="http://schemas.openxmlformats.org/officeDocument/2006/relationships" ref="R1704" r:id="rId3341"/>
    <hyperlink xmlns:r="http://schemas.openxmlformats.org/officeDocument/2006/relationships" ref="Q1705" r:id="rId3342"/>
    <hyperlink xmlns:r="http://schemas.openxmlformats.org/officeDocument/2006/relationships" ref="R1705" r:id="rId3343"/>
    <hyperlink xmlns:r="http://schemas.openxmlformats.org/officeDocument/2006/relationships" ref="Q1706" r:id="rId3344"/>
    <hyperlink xmlns:r="http://schemas.openxmlformats.org/officeDocument/2006/relationships" ref="R1706" r:id="rId3345"/>
    <hyperlink xmlns:r="http://schemas.openxmlformats.org/officeDocument/2006/relationships" ref="Q1707" r:id="rId3346"/>
    <hyperlink xmlns:r="http://schemas.openxmlformats.org/officeDocument/2006/relationships" ref="R1707" r:id="rId3347"/>
    <hyperlink xmlns:r="http://schemas.openxmlformats.org/officeDocument/2006/relationships" ref="Q1708" r:id="rId3348"/>
    <hyperlink xmlns:r="http://schemas.openxmlformats.org/officeDocument/2006/relationships" ref="R1708" r:id="rId3349"/>
    <hyperlink xmlns:r="http://schemas.openxmlformats.org/officeDocument/2006/relationships" ref="Q1709" r:id="rId3350"/>
    <hyperlink xmlns:r="http://schemas.openxmlformats.org/officeDocument/2006/relationships" ref="R1709" r:id="rId3351"/>
    <hyperlink xmlns:r="http://schemas.openxmlformats.org/officeDocument/2006/relationships" ref="Q1710" r:id="rId3352"/>
    <hyperlink xmlns:r="http://schemas.openxmlformats.org/officeDocument/2006/relationships" ref="R1710" r:id="rId3353"/>
    <hyperlink xmlns:r="http://schemas.openxmlformats.org/officeDocument/2006/relationships" ref="Q1711" r:id="rId3354"/>
    <hyperlink xmlns:r="http://schemas.openxmlformats.org/officeDocument/2006/relationships" ref="R1711" r:id="rId3355"/>
    <hyperlink xmlns:r="http://schemas.openxmlformats.org/officeDocument/2006/relationships" ref="Q1712" r:id="rId3356"/>
    <hyperlink xmlns:r="http://schemas.openxmlformats.org/officeDocument/2006/relationships" ref="R1712" r:id="rId3357"/>
    <hyperlink xmlns:r="http://schemas.openxmlformats.org/officeDocument/2006/relationships" ref="Q1713" r:id="rId3358"/>
    <hyperlink xmlns:r="http://schemas.openxmlformats.org/officeDocument/2006/relationships" ref="R1713" r:id="rId3359"/>
    <hyperlink xmlns:r="http://schemas.openxmlformats.org/officeDocument/2006/relationships" ref="Q1714" r:id="rId3360"/>
    <hyperlink xmlns:r="http://schemas.openxmlformats.org/officeDocument/2006/relationships" ref="R1714" r:id="rId3361"/>
    <hyperlink xmlns:r="http://schemas.openxmlformats.org/officeDocument/2006/relationships" ref="Q1715" r:id="rId3362"/>
    <hyperlink xmlns:r="http://schemas.openxmlformats.org/officeDocument/2006/relationships" ref="R1715" r:id="rId3363"/>
    <hyperlink xmlns:r="http://schemas.openxmlformats.org/officeDocument/2006/relationships" ref="Q1716" r:id="rId3364"/>
    <hyperlink xmlns:r="http://schemas.openxmlformats.org/officeDocument/2006/relationships" ref="Q1717" r:id="rId3365"/>
    <hyperlink xmlns:r="http://schemas.openxmlformats.org/officeDocument/2006/relationships" ref="R1717" r:id="rId3366"/>
    <hyperlink xmlns:r="http://schemas.openxmlformats.org/officeDocument/2006/relationships" ref="Q1718" r:id="rId3367"/>
    <hyperlink xmlns:r="http://schemas.openxmlformats.org/officeDocument/2006/relationships" ref="R1718" r:id="rId3368"/>
    <hyperlink xmlns:r="http://schemas.openxmlformats.org/officeDocument/2006/relationships" ref="Q1719" r:id="rId3369"/>
    <hyperlink xmlns:r="http://schemas.openxmlformats.org/officeDocument/2006/relationships" ref="R1719" r:id="rId3370"/>
    <hyperlink xmlns:r="http://schemas.openxmlformats.org/officeDocument/2006/relationships" ref="Q1720" r:id="rId3371"/>
    <hyperlink xmlns:r="http://schemas.openxmlformats.org/officeDocument/2006/relationships" ref="R1720" r:id="rId3372"/>
    <hyperlink xmlns:r="http://schemas.openxmlformats.org/officeDocument/2006/relationships" ref="Q1721" r:id="rId3373"/>
    <hyperlink xmlns:r="http://schemas.openxmlformats.org/officeDocument/2006/relationships" ref="Q1722" r:id="rId3374"/>
    <hyperlink xmlns:r="http://schemas.openxmlformats.org/officeDocument/2006/relationships" ref="R1722" r:id="rId3375"/>
    <hyperlink xmlns:r="http://schemas.openxmlformats.org/officeDocument/2006/relationships" ref="Q1723" r:id="rId3376"/>
    <hyperlink xmlns:r="http://schemas.openxmlformats.org/officeDocument/2006/relationships" ref="R1723" r:id="rId3377"/>
    <hyperlink xmlns:r="http://schemas.openxmlformats.org/officeDocument/2006/relationships" ref="Q1724" r:id="rId3378"/>
    <hyperlink xmlns:r="http://schemas.openxmlformats.org/officeDocument/2006/relationships" ref="R1724" r:id="rId3379"/>
    <hyperlink xmlns:r="http://schemas.openxmlformats.org/officeDocument/2006/relationships" ref="Q1725" r:id="rId3380"/>
    <hyperlink xmlns:r="http://schemas.openxmlformats.org/officeDocument/2006/relationships" ref="R1725" r:id="rId3381"/>
    <hyperlink xmlns:r="http://schemas.openxmlformats.org/officeDocument/2006/relationships" ref="Q1726" r:id="rId3382"/>
    <hyperlink xmlns:r="http://schemas.openxmlformats.org/officeDocument/2006/relationships" ref="R1726" r:id="rId3383"/>
    <hyperlink xmlns:r="http://schemas.openxmlformats.org/officeDocument/2006/relationships" ref="Q1727" r:id="rId3384"/>
    <hyperlink xmlns:r="http://schemas.openxmlformats.org/officeDocument/2006/relationships" ref="R1727" r:id="rId3385"/>
    <hyperlink xmlns:r="http://schemas.openxmlformats.org/officeDocument/2006/relationships" ref="Q1728" r:id="rId3386"/>
    <hyperlink xmlns:r="http://schemas.openxmlformats.org/officeDocument/2006/relationships" ref="R1728" r:id="rId3387"/>
    <hyperlink xmlns:r="http://schemas.openxmlformats.org/officeDocument/2006/relationships" ref="Q1729" r:id="rId3388"/>
    <hyperlink xmlns:r="http://schemas.openxmlformats.org/officeDocument/2006/relationships" ref="R1729" r:id="rId3389"/>
    <hyperlink xmlns:r="http://schemas.openxmlformats.org/officeDocument/2006/relationships" ref="Q1730" r:id="rId3390"/>
    <hyperlink xmlns:r="http://schemas.openxmlformats.org/officeDocument/2006/relationships" ref="R1730" r:id="rId3391"/>
    <hyperlink xmlns:r="http://schemas.openxmlformats.org/officeDocument/2006/relationships" ref="Q1731" r:id="rId3392"/>
    <hyperlink xmlns:r="http://schemas.openxmlformats.org/officeDocument/2006/relationships" ref="R1731" r:id="rId3393"/>
    <hyperlink xmlns:r="http://schemas.openxmlformats.org/officeDocument/2006/relationships" ref="Q1732" r:id="rId3394"/>
    <hyperlink xmlns:r="http://schemas.openxmlformats.org/officeDocument/2006/relationships" ref="R1732" r:id="rId3395"/>
    <hyperlink xmlns:r="http://schemas.openxmlformats.org/officeDocument/2006/relationships" ref="Q1733" r:id="rId3396"/>
    <hyperlink xmlns:r="http://schemas.openxmlformats.org/officeDocument/2006/relationships" ref="R1733" r:id="rId3397"/>
    <hyperlink xmlns:r="http://schemas.openxmlformats.org/officeDocument/2006/relationships" ref="Q1734" r:id="rId3398"/>
    <hyperlink xmlns:r="http://schemas.openxmlformats.org/officeDocument/2006/relationships" ref="R1734" r:id="rId3399"/>
    <hyperlink xmlns:r="http://schemas.openxmlformats.org/officeDocument/2006/relationships" ref="Q1735" r:id="rId3400"/>
    <hyperlink xmlns:r="http://schemas.openxmlformats.org/officeDocument/2006/relationships" ref="R1735" r:id="rId3401"/>
    <hyperlink xmlns:r="http://schemas.openxmlformats.org/officeDocument/2006/relationships" ref="Q1736" r:id="rId3402"/>
    <hyperlink xmlns:r="http://schemas.openxmlformats.org/officeDocument/2006/relationships" ref="R1736" r:id="rId3403"/>
    <hyperlink xmlns:r="http://schemas.openxmlformats.org/officeDocument/2006/relationships" ref="Q1737" r:id="rId3404"/>
    <hyperlink xmlns:r="http://schemas.openxmlformats.org/officeDocument/2006/relationships" ref="R1737" r:id="rId3405"/>
    <hyperlink xmlns:r="http://schemas.openxmlformats.org/officeDocument/2006/relationships" ref="Q1738" r:id="rId3406"/>
    <hyperlink xmlns:r="http://schemas.openxmlformats.org/officeDocument/2006/relationships" ref="R1738" r:id="rId3407"/>
    <hyperlink xmlns:r="http://schemas.openxmlformats.org/officeDocument/2006/relationships" ref="Q1739" r:id="rId3408"/>
    <hyperlink xmlns:r="http://schemas.openxmlformats.org/officeDocument/2006/relationships" ref="R1739" r:id="rId3409"/>
    <hyperlink xmlns:r="http://schemas.openxmlformats.org/officeDocument/2006/relationships" ref="Q1740" r:id="rId3410"/>
    <hyperlink xmlns:r="http://schemas.openxmlformats.org/officeDocument/2006/relationships" ref="R1740" r:id="rId3411"/>
    <hyperlink xmlns:r="http://schemas.openxmlformats.org/officeDocument/2006/relationships" ref="Q1741" r:id="rId3412"/>
    <hyperlink xmlns:r="http://schemas.openxmlformats.org/officeDocument/2006/relationships" ref="R1741" r:id="rId3413"/>
    <hyperlink xmlns:r="http://schemas.openxmlformats.org/officeDocument/2006/relationships" ref="Q1742" r:id="rId3414"/>
    <hyperlink xmlns:r="http://schemas.openxmlformats.org/officeDocument/2006/relationships" ref="R1742" r:id="rId3415"/>
    <hyperlink xmlns:r="http://schemas.openxmlformats.org/officeDocument/2006/relationships" ref="Q1743" r:id="rId3416"/>
    <hyperlink xmlns:r="http://schemas.openxmlformats.org/officeDocument/2006/relationships" ref="R1743" r:id="rId3417"/>
    <hyperlink xmlns:r="http://schemas.openxmlformats.org/officeDocument/2006/relationships" ref="Q1744" r:id="rId3418"/>
    <hyperlink xmlns:r="http://schemas.openxmlformats.org/officeDocument/2006/relationships" ref="R1744" r:id="rId3419"/>
    <hyperlink xmlns:r="http://schemas.openxmlformats.org/officeDocument/2006/relationships" ref="Q1745" r:id="rId3420"/>
    <hyperlink xmlns:r="http://schemas.openxmlformats.org/officeDocument/2006/relationships" ref="R1745" r:id="rId3421"/>
    <hyperlink xmlns:r="http://schemas.openxmlformats.org/officeDocument/2006/relationships" ref="Q1746" r:id="rId3422"/>
    <hyperlink xmlns:r="http://schemas.openxmlformats.org/officeDocument/2006/relationships" ref="R1746" r:id="rId3423"/>
    <hyperlink xmlns:r="http://schemas.openxmlformats.org/officeDocument/2006/relationships" ref="Q1747" r:id="rId3424"/>
    <hyperlink xmlns:r="http://schemas.openxmlformats.org/officeDocument/2006/relationships" ref="R1747" r:id="rId3425"/>
    <hyperlink xmlns:r="http://schemas.openxmlformats.org/officeDocument/2006/relationships" ref="Q1748" r:id="rId3426"/>
    <hyperlink xmlns:r="http://schemas.openxmlformats.org/officeDocument/2006/relationships" ref="R1748" r:id="rId3427"/>
    <hyperlink xmlns:r="http://schemas.openxmlformats.org/officeDocument/2006/relationships" ref="Q1749" r:id="rId3428"/>
    <hyperlink xmlns:r="http://schemas.openxmlformats.org/officeDocument/2006/relationships" ref="R1749" r:id="rId3429"/>
    <hyperlink xmlns:r="http://schemas.openxmlformats.org/officeDocument/2006/relationships" ref="Q1750" r:id="rId3430"/>
    <hyperlink xmlns:r="http://schemas.openxmlformats.org/officeDocument/2006/relationships" ref="R1750" r:id="rId3431"/>
    <hyperlink xmlns:r="http://schemas.openxmlformats.org/officeDocument/2006/relationships" ref="Q1751" r:id="rId3432"/>
    <hyperlink xmlns:r="http://schemas.openxmlformats.org/officeDocument/2006/relationships" ref="R1751" r:id="rId3433"/>
    <hyperlink xmlns:r="http://schemas.openxmlformats.org/officeDocument/2006/relationships" ref="Q1752" r:id="rId3434"/>
    <hyperlink xmlns:r="http://schemas.openxmlformats.org/officeDocument/2006/relationships" ref="R1752" r:id="rId3435"/>
    <hyperlink xmlns:r="http://schemas.openxmlformats.org/officeDocument/2006/relationships" ref="Q1753" r:id="rId3436"/>
    <hyperlink xmlns:r="http://schemas.openxmlformats.org/officeDocument/2006/relationships" ref="R1753" r:id="rId3437"/>
    <hyperlink xmlns:r="http://schemas.openxmlformats.org/officeDocument/2006/relationships" ref="Q1754" r:id="rId3438"/>
    <hyperlink xmlns:r="http://schemas.openxmlformats.org/officeDocument/2006/relationships" ref="R1754" r:id="rId3439"/>
    <hyperlink xmlns:r="http://schemas.openxmlformats.org/officeDocument/2006/relationships" ref="Q1755" r:id="rId3440"/>
    <hyperlink xmlns:r="http://schemas.openxmlformats.org/officeDocument/2006/relationships" ref="R1755" r:id="rId3441"/>
    <hyperlink xmlns:r="http://schemas.openxmlformats.org/officeDocument/2006/relationships" ref="Q1756" r:id="rId3442"/>
    <hyperlink xmlns:r="http://schemas.openxmlformats.org/officeDocument/2006/relationships" ref="R1756" r:id="rId3443"/>
    <hyperlink xmlns:r="http://schemas.openxmlformats.org/officeDocument/2006/relationships" ref="Q1757" r:id="rId3444"/>
    <hyperlink xmlns:r="http://schemas.openxmlformats.org/officeDocument/2006/relationships" ref="R1757" r:id="rId3445"/>
    <hyperlink xmlns:r="http://schemas.openxmlformats.org/officeDocument/2006/relationships" ref="Q1758" r:id="rId3446"/>
    <hyperlink xmlns:r="http://schemas.openxmlformats.org/officeDocument/2006/relationships" ref="R1758" r:id="rId3447"/>
    <hyperlink xmlns:r="http://schemas.openxmlformats.org/officeDocument/2006/relationships" ref="Q1759" r:id="rId3448"/>
    <hyperlink xmlns:r="http://schemas.openxmlformats.org/officeDocument/2006/relationships" ref="Q1760" r:id="rId3449"/>
    <hyperlink xmlns:r="http://schemas.openxmlformats.org/officeDocument/2006/relationships" ref="R1760" r:id="rId3450"/>
  </hyperlinks>
  <pageMargins left="0.75" right="0.75" top="1" bottom="1" header="0.5" footer="0.5"/>
  <pageSetup orientation="landscape" paperSize="9" fitToHeight="0" fitToWidth="1"/>
  <tableParts count="1">
    <tablePart xmlns:r="http://schemas.openxmlformats.org/officeDocument/2006/relationships" r:id="rId345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2026-10-26T05:52:41Z</dcterms:created>
  <dcterms:modified xsi:type="dcterms:W3CDTF">2026-10-26T05:52:41Z</dcterms:modified>
</cp:coreProperties>
</file>